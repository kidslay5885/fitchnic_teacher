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현황판" sheetId="1" r:id="rId5"/>
    <sheet state="visible" name="강사모집" sheetId="2" r:id="rId6"/>
    <sheet state="visible" name="콘텐츠팀 개별 컨택" sheetId="3" r:id="rId7"/>
    <sheet state="visible" name="진행중" sheetId="4" r:id="rId8"/>
    <sheet state="visible" name="미팅 예정" sheetId="5" r:id="rId9"/>
    <sheet state="hidden" name="Claude Cache" sheetId="6" r:id="rId10"/>
    <sheet state="visible" name="1차메시지" sheetId="7" r:id="rId11"/>
    <sheet state="visible" name="2차메시지" sheetId="8" r:id="rId12"/>
    <sheet state="visible" name="3차메시지" sheetId="9" r:id="rId13"/>
    <sheet state="visible" name="SMS단체메일" sheetId="10" r:id="rId14"/>
    <sheet state="visible" name="연락금지" sheetId="11" r:id="rId15"/>
    <sheet state="visible" name="사용방법" sheetId="12" r:id="rId16"/>
    <sheet state="visible" name="핏크닉메타" sheetId="13" r:id="rId17"/>
    <sheet state="visible" name="핏크닉홈" sheetId="14" r:id="rId18"/>
    <sheet state="visible" name="머니업홈" sheetId="15" r:id="rId19"/>
    <sheet state="visible" name="핏크닉카" sheetId="16" r:id="rId20"/>
    <sheet state="visible" name="머니업카" sheetId="17" r:id="rId21"/>
  </sheets>
  <definedNames>
    <definedName hidden="1" localSheetId="1" name="_xlnm._FilterDatabase">'강사모집'!$A$1:$Z$1763</definedName>
    <definedName hidden="1" localSheetId="2" name="_xlnm._FilterDatabase">'콘텐츠팀 개별 컨택'!$A$1:$U$279</definedName>
    <definedName hidden="1" localSheetId="3" name="_xlnm._FilterDatabase">'진행중'!$A$1:$Z$987</definedName>
    <definedName hidden="1" localSheetId="1" name="Z_F4AA5936_F383_4048_BB5C_9534A96624B6_.wvu.FilterData">'강사모집'!$A$1:$Q$640</definedName>
    <definedName hidden="1" localSheetId="1" name="Z_8C4F6C98_7E4B_4390_AE18_FD21F90CA0FB_.wvu.FilterData">'강사모집'!$A$1:$Q$757</definedName>
  </definedNames>
  <calcPr/>
  <customWorkbookViews>
    <customWorkbookView activeSheetId="0" maximized="1" windowHeight="0" windowWidth="0" guid="{F4AA5936-F383-4048-BB5C-9534A96624B6}" name="~648"/>
    <customWorkbookView activeSheetId="0" maximized="1" windowHeight="0" windowWidth="0" guid="{8C4F6C98-7E4B-4390-AE18-FD21F90CA0FB}" name="전체_보성"/>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51">
      <text>
        <t xml:space="preserve">위에 있음</t>
      </text>
    </comment>
    <comment authorId="0" ref="F174">
      <text>
        <t xml:space="preserve">채널톡에 직접 답변 옴</t>
      </text>
    </comment>
    <comment authorId="0" ref="F179">
      <text>
        <t xml:space="preserve">대표님이 예전에 직접 DM하신적 있음</t>
      </text>
    </comment>
    <comment authorId="0" ref="F190">
      <text>
        <t xml:space="preserve">이미 팔로우중</t>
      </text>
    </comment>
    <comment authorId="0" ref="I234">
      <text>
        <t xml:space="preserve">🟥 무료 강의 다시보기
안녕하세요, 일상AI 데일리입니다.
8/21 진행된 무료 강의 영상의 편집과 업로드가 완료되었습니다.
시청 편의를 위해 유튜브에 업로드했으며, 일부 공개로 설정되어 링크가 없으신 분들은 시청이 불가능합니다. 영상 링크는 오픈채팅방에만 공유되며, 공지사항에도 등록해 두겠습니다.
이번 무료 강의에는 유료급 수준의 내용을 담았으니 무분별한 공유는 자제 부탁드립니다. 또한 해당 영상은 8월 29일(수) 저녁 12시까지만 시청 가능하도록 제한을 두었습니다.</t>
      </text>
    </comment>
    <comment authorId="0" ref="F534">
      <text>
        <t xml:space="preserve">윤예영의 녕 아님 진짜 강사 이름이 녕222입니다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5">
      <text>
        <t xml:space="preserve">채널톡에 직접 답변 옴</t>
      </text>
    </comment>
    <comment authorId="0" ref="E59">
      <text>
        <t xml:space="preserve">대표님이 예전에 직접 DM하신적 있음</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5">
      <text>
        <t xml:space="preserve">채널톡에 직접 답변 옴</t>
      </text>
    </comment>
    <comment authorId="0" ref="F59">
      <text>
        <t xml:space="preserve">대표님이 예전에 직접 DM하신적 있음</t>
      </text>
    </comment>
    <comment authorId="0" ref="F264">
      <text>
        <t xml:space="preserve">추적 60분에 안 좋은 댓글 달린 것 확인</t>
      </text>
    </comment>
    <comment authorId="0" ref="F282">
      <text>
        <t xml:space="preserve">거리문제(김해 거주)</t>
      </text>
    </comment>
    <comment authorId="0" ref="F285">
      <text>
        <t xml:space="preserve">의향은 있고 성과는 더 났으면 좋겠음
</t>
      </text>
    </comment>
    <comment authorId="0" ref="F288">
      <text>
        <t xml:space="preserve">연락 완료, 카톡방 있음, 성과 더 나올때까지 기다려야함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4">
      <text>
        <t xml:space="preserve">거리문제(김해 거주)</t>
      </text>
    </comment>
    <comment authorId="0" ref="C17">
      <text>
        <t xml:space="preserve">의향은 있고 성과는 더 났으면 좋겠음
</t>
      </text>
    </comment>
    <comment authorId="0" ref="C20">
      <text>
        <t xml:space="preserve">연락 완료, 카톡방 있음, 성과 더 나올때까지 기다려야함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새 금지 강사 여기부터 입력</t>
      </text>
    </comment>
  </commentList>
</comments>
</file>

<file path=xl/sharedStrings.xml><?xml version="1.0" encoding="utf-8"?>
<sst xmlns="http://schemas.openxmlformats.org/spreadsheetml/2006/main" count="18572" uniqueCount="4834">
  <si>
    <t>핏크닉 강사 모집 현황판</t>
  </si>
  <si>
    <t>발송 완료</t>
  </si>
  <si>
    <t>응답</t>
  </si>
  <si>
    <t>미팅</t>
  </si>
  <si>
    <t>계약</t>
  </si>
  <si>
    <t>응답률</t>
  </si>
  <si>
    <t>미팅 전환율</t>
  </si>
  <si>
    <t>계약 전환율</t>
  </si>
  <si>
    <t>발송 대비 계약</t>
  </si>
  <si>
    <t>상태별 현황</t>
  </si>
  <si>
    <t>본부장님 확인 필요</t>
  </si>
  <si>
    <t>상태</t>
  </si>
  <si>
    <t>인원</t>
  </si>
  <si>
    <t>비율</t>
  </si>
  <si>
    <t>컨펌 대기 중</t>
  </si>
  <si>
    <t>미검토</t>
  </si>
  <si>
    <t>컨펌 필요</t>
  </si>
  <si>
    <t>명이 컨펌을 기다리고 있어요</t>
  </si>
  <si>
    <t>발송 예정</t>
  </si>
  <si>
    <t>강사모집 탭에서 "컨펌 필요" 선택 시 자동 반영</t>
  </si>
  <si>
    <t>진행 중</t>
  </si>
  <si>
    <t>계약 완료</t>
  </si>
  <si>
    <t>전체 강사 후보</t>
  </si>
  <si>
    <t>제외</t>
  </si>
  <si>
    <t>보류</t>
  </si>
  <si>
    <t>거절</t>
  </si>
  <si>
    <t>인바운드 지원서 현황</t>
  </si>
  <si>
    <t>폼</t>
  </si>
  <si>
    <t>미확인</t>
  </si>
  <si>
    <t>확인완료</t>
  </si>
  <si>
    <t>핏크닉메타</t>
  </si>
  <si>
    <t>핏크닉홈페이지</t>
  </si>
  <si>
    <t>머니업홈페이지</t>
  </si>
  <si>
    <t>핏크닉카페</t>
  </si>
  <si>
    <t>머니업카페</t>
  </si>
  <si>
    <t>합계</t>
  </si>
  <si>
    <t>ㅜ</t>
  </si>
  <si>
    <t>제외/보류 사유</t>
  </si>
  <si>
    <t>분야</t>
  </si>
  <si>
    <t>담당자</t>
  </si>
  <si>
    <t>강사 이름</t>
  </si>
  <si>
    <t>참조 링크</t>
  </si>
  <si>
    <t>강의 이력 여부</t>
  </si>
  <si>
    <t>강의 플랫폼</t>
  </si>
  <si>
    <t>유튜브</t>
  </si>
  <si>
    <t>인스타</t>
  </si>
  <si>
    <t>이메일 (링크X 인스타 없는 강사만!)</t>
  </si>
  <si>
    <t>비고</t>
  </si>
  <si>
    <t>발송채널</t>
  </si>
  <si>
    <t>DM</t>
  </si>
  <si>
    <t>메일</t>
  </si>
  <si>
    <t>1차 발송일</t>
  </si>
  <si>
    <t>1차 결과</t>
  </si>
  <si>
    <t>2차 발송일</t>
  </si>
  <si>
    <t>2차 결과</t>
  </si>
  <si>
    <t>3차 발송일</t>
  </si>
  <si>
    <t>3차 결과</t>
  </si>
  <si>
    <t>최종 상태</t>
  </si>
  <si>
    <t>미팅 메모</t>
  </si>
  <si>
    <t>타이탄/앤잡/코주부 강사</t>
  </si>
  <si>
    <t>예시) 삼삼엠투</t>
  </si>
  <si>
    <t>김상원</t>
  </si>
  <si>
    <t>부자꿈틀</t>
  </si>
  <si>
    <t>https://www.youtube.com/watch?v=G6cGTwMHq-U</t>
  </si>
  <si>
    <t>O</t>
  </si>
  <si>
    <t>개인 컨설팅</t>
  </si>
  <si>
    <t>부자꿈틀 - 공간대여 여성수</t>
  </si>
  <si>
    <t>https://www.instagram.com/booggum/</t>
  </si>
  <si>
    <t>사업 컨설팅</t>
  </si>
  <si>
    <t>김지상</t>
  </si>
  <si>
    <t>사업왕 심길후</t>
  </si>
  <si>
    <t>https://cafe.naver.com/wwwxodls77/505655</t>
  </si>
  <si>
    <t xml:space="preserve">개인 및 단체 컨설팅, 클래스유 </t>
  </si>
  <si>
    <t>사업의 참견</t>
  </si>
  <si>
    <t>https://www.instagram.com/simgilhu/</t>
  </si>
  <si>
    <t>아웃- 카페 7만</t>
  </si>
  <si>
    <t>영상제작(릴스)</t>
  </si>
  <si>
    <t>김서윤</t>
  </si>
  <si>
    <t>영꿀 롱제이 김진아</t>
  </si>
  <si>
    <t>https://mkt.taling.me/mkt-vod/reels_1?utm_source=onsight&amp;utm_medium=organic&amp;utm_campaign=reels_purchase&amp;utm_content=homebanner&amp;utm_term=%7Bquery%7D&amp;fbclid=PAY2xjawHR75hleHRuA2FlbQIxMAABpjgESBrwT5IueDKHl99Tf8PGbD_BOSSV71p5Jgi_phe872WvO0GwtV7qQg_aem_K2jZnB_9XzqIpIVsZSjnHw</t>
  </si>
  <si>
    <t>오프라인 강연 및 탈잉 홈페이지</t>
  </si>
  <si>
    <t>https://youtu.be/D-beesDeTC8?si=OHlvnOAFr9DLPQPS</t>
  </si>
  <si>
    <t>https://www.instagram.com/ggultip_longj?igsh=cjU4YzIxN20wczl5</t>
  </si>
  <si>
    <t>제안아웃-(최근탈잉런칭이유)</t>
  </si>
  <si>
    <t>에어비엔비</t>
  </si>
  <si>
    <t>정승요</t>
  </si>
  <si>
    <t>업음</t>
  </si>
  <si>
    <t>새로운 사이트에서 하기로함</t>
  </si>
  <si>
    <t>해외구매대행</t>
  </si>
  <si>
    <t>정세희</t>
  </si>
  <si>
    <t>핫뜨</t>
  </si>
  <si>
    <t>https://www.youtube.com/watch?v=elhxzHXqGRw</t>
  </si>
  <si>
    <t>https://www.youtube.com/@hotdd2030/shorts</t>
  </si>
  <si>
    <t>연락해봄 (기다림)</t>
  </si>
  <si>
    <t>구글 온라인 자동화 수입</t>
  </si>
  <si>
    <t>선한부자 오가닉</t>
  </si>
  <si>
    <t>https://class101.net/ko/products/61f68f1cf3a2e1000d780fda</t>
  </si>
  <si>
    <t>ㅇ</t>
  </si>
  <si>
    <t>클래스 101</t>
  </si>
  <si>
    <t>https://youtube.com/channel/UChIn7_WTuf2NcRBCvXgv2EA?si=HbthIS3jUHZtK_kV</t>
  </si>
  <si>
    <t>https://www.instagram.com/positiverich_organic?igsh=MXQwcmx4NDhmc2FhZQ==</t>
  </si>
  <si>
    <t>https://weolbu.com/product?displaySeq=1002&amp;utm_source=creator&amp;utm_medium=affiliate&amp;utm_campaign=class_organic&amp;utm_content=traffic_creator_24&amp;utm_term=youtube&amp;fbclid=PAY2xjawHdzNVleHRuA2FlbQIxMAABppHOhAX0rOzfKK5kSFLSzIEFFXYHUBaYSTLJ-TOgoP6cQLcCGS8H_a_Igg_aem_-T_zv0UGunC1YUFbHudqEg</t>
  </si>
  <si>
    <t>월부닷컴</t>
  </si>
  <si>
    <t>AI 상세페이지</t>
  </si>
  <si>
    <t>디선제압</t>
  </si>
  <si>
    <t>https://www.youtube.com/@%EB%94%94%EC%84%A0%EC%A0%9C%EC%95%95</t>
  </si>
  <si>
    <t>X</t>
  </si>
  <si>
    <t xml:space="preserve">open.kakao.com/o/gWMf3K3g
</t>
  </si>
  <si>
    <t>상세페이지 기획 (AI)</t>
  </si>
  <si>
    <t>정승희</t>
  </si>
  <si>
    <t>페이지부스터</t>
  </si>
  <si>
    <t>이메일</t>
  </si>
  <si>
    <t>AI 유튜브 수익화</t>
  </si>
  <si>
    <t>윤원경</t>
  </si>
  <si>
    <t>지인옥 (작가)</t>
  </si>
  <si>
    <t>블로그</t>
  </si>
  <si>
    <t>?</t>
  </si>
  <si>
    <t>런칭하려고 웨비나받음</t>
  </si>
  <si>
    <t>http://www.youtube.com/@%EC%A7%80%EC%9D%B8%EC%98%A5</t>
  </si>
  <si>
    <t>https://www.instagram.com/jee_writer?igsh=bHppbnV6dGwybm05</t>
  </si>
  <si>
    <t>https://jeeinok.com/ai-youtube-landing</t>
  </si>
  <si>
    <t>AI 숏츠</t>
  </si>
  <si>
    <t>국선우</t>
  </si>
  <si>
    <t>제이 온리</t>
  </si>
  <si>
    <t>o</t>
  </si>
  <si>
    <t>개인</t>
  </si>
  <si>
    <t>https://www.instagram.com/j_only8?utm_source=ig_web_button_share_sheet&amp;igsh=cTJwMG9yZGpoMDh0</t>
  </si>
  <si>
    <t>이지디자인</t>
  </si>
  <si>
    <t>패스트 캠퍼스</t>
  </si>
  <si>
    <t>https://www.youtube.com/@EasyDesign_ED/videos</t>
  </si>
  <si>
    <t>https://www.instagram.com/easy_design.ed/</t>
  </si>
  <si>
    <t>easydesign502@gmail.com</t>
  </si>
  <si>
    <t>누적 수강생 8,000명</t>
  </si>
  <si>
    <t>티스토리블로그, 구글애드센스</t>
  </si>
  <si>
    <t>리뷰요정리남</t>
  </si>
  <si>
    <t>https://class101.net/ko/products/5dcd2c1f0bdefc4e498af73e</t>
  </si>
  <si>
    <t>https://www.youtube.com/channel/UCRx7_s9Mvw9j2mLSaj6X70g</t>
  </si>
  <si>
    <t>https://www.instagram.com/reviewyojung/#</t>
  </si>
  <si>
    <t>reviewyojung@naver.com</t>
  </si>
  <si>
    <t>무응답</t>
  </si>
  <si>
    <t>릴스해커</t>
  </si>
  <si>
    <t>https://www.reelshacker.co.kr/</t>
  </si>
  <si>
    <t>개인 및 단체 컨설팅, 온라인 vod</t>
  </si>
  <si>
    <t>https://www.youtube.com/@reels_hacker_/videos</t>
  </si>
  <si>
    <t>https://www.instagram.com/reels___hacker/</t>
  </si>
  <si>
    <t>쿠팡 로켓그로스</t>
  </si>
  <si>
    <t>장찬민</t>
  </si>
  <si>
    <t>새끼공룡 모건</t>
  </si>
  <si>
    <t>https://www.youtube.com/@morgan-c1c</t>
  </si>
  <si>
    <t>없음</t>
  </si>
  <si>
    <t>현금 에어드랍</t>
  </si>
  <si>
    <t>머니메이커</t>
  </si>
  <si>
    <t>댓글써봄(기다림)</t>
  </si>
  <si>
    <t>최사장</t>
  </si>
  <si>
    <t>소셜링</t>
  </si>
  <si>
    <t>유리마제</t>
  </si>
  <si>
    <t>https://millmus.com/lecture/detail/129</t>
  </si>
  <si>
    <t>개인 컨설팅, 밀머스</t>
  </si>
  <si>
    <t>유리마제 : 재밌게 돈벌기 달인</t>
  </si>
  <si>
    <t>https://www.instagram.com/_yurimage/</t>
  </si>
  <si>
    <t>비트코인</t>
  </si>
  <si>
    <t>돈복남</t>
  </si>
  <si>
    <t>https://youtu.be/eVSkY_cd0D8?si=MfREs5Z55theFrzd</t>
  </si>
  <si>
    <t>자체 오프라인 강의 및 단체 컨설팅(디스코드, 유튜브 멤버십)</t>
  </si>
  <si>
    <t>https://www.youtube.com/@TV-kc6ue</t>
  </si>
  <si>
    <t>https://www.instagram.com/donboknam_real/?hl=ko</t>
  </si>
  <si>
    <t>이미 타이탄에서함</t>
  </si>
  <si>
    <t>꽃 위탁판매</t>
  </si>
  <si>
    <t>김윤화</t>
  </si>
  <si>
    <t>https://youtu.be/cd9eRQGjfqo?si=wR_LhTKqwja7m9wF</t>
  </si>
  <si>
    <t>https://www.youtube.com/channel/UCSiBYGuWPLiuqLneE6iAtdg</t>
  </si>
  <si>
    <t>앱테크 수익화</t>
  </si>
  <si>
    <t>재택알바남</t>
  </si>
  <si>
    <t>https://onemorething9196.imweb.me/home</t>
  </si>
  <si>
    <t>원모어띵</t>
  </si>
  <si>
    <t>https://www.youtube.com/@homejobman</t>
  </si>
  <si>
    <t>이상함</t>
  </si>
  <si>
    <t>생성형 AI</t>
  </si>
  <si>
    <t>챗GPT강사 이도혜</t>
  </si>
  <si>
    <t>https://www.youtube.com/@chatgpt.114/videos</t>
  </si>
  <si>
    <t>https://www.instagram.com/tiffany_story__</t>
  </si>
  <si>
    <t>dohye.edu@gmail.com</t>
  </si>
  <si>
    <t>너무 많은곳을하고있음</t>
  </si>
  <si>
    <t>공동구매</t>
  </si>
  <si>
    <t>저스트고</t>
  </si>
  <si>
    <t>https://www.youtube.com/watch?v=d5vwNuPq1Cw</t>
  </si>
  <si>
    <t>https://justgo.liveklass.com/</t>
  </si>
  <si>
    <t>http://www.youtube.com/@justgo7994</t>
  </si>
  <si>
    <t>http://instagram.com/justgo_kms</t>
  </si>
  <si>
    <t>나스닥(주식)</t>
  </si>
  <si>
    <t>김직선</t>
  </si>
  <si>
    <t>https://www.youtube.com/watch?v=y6Eng4FKyU0</t>
  </si>
  <si>
    <t>https://bit.ly/3NT9R93</t>
  </si>
  <si>
    <t>http://www.youtube.com/@ndaqtrader</t>
  </si>
  <si>
    <t>한트협인가 하는곳이 너무잘되어있음</t>
  </si>
  <si>
    <t>유튜브 브랜딩</t>
  </si>
  <si>
    <t>커밍쑨</t>
  </si>
  <si>
    <t>https://www.youtube.com/watch?v=kuUlab1qHEc</t>
  </si>
  <si>
    <t>https://psmakers.liveklass.com/classes/218286</t>
  </si>
  <si>
    <t>https://www.youtube.com/@%EC%BB%A4%EB%B0%8D%EC%8F%9C</t>
  </si>
  <si>
    <t>유튜브 쇼핑</t>
  </si>
  <si>
    <t>부업부부</t>
  </si>
  <si>
    <t>https://youtu.be/ddqetdI4RYI?si=wz3e688OmUp7U4Xb</t>
  </si>
  <si>
    <t>부업부부 홈페이지</t>
  </si>
  <si>
    <t>https://youtube.com/channel/UCssMAfwEpQF0GZ8V0a57vuQ?si=koHplR_ofsIRDdk9</t>
  </si>
  <si>
    <t>메일해봄(기다림)</t>
  </si>
  <si>
    <t>학교장터 S2B</t>
  </si>
  <si>
    <t>돈기부여</t>
  </si>
  <si>
    <t>https://youtu.be/UFTP-Yl2vuc?si=KmnzMpvd89P0hYP-</t>
  </si>
  <si>
    <r>
      <rPr/>
      <t xml:space="preserve">공개적으로 하지는 않는 것 같음,
구글폼 신청자에게만 개별 강의 안내
구글폼링크 : </t>
    </r>
    <r>
      <rPr>
        <color rgb="FF1155CC"/>
      </rPr>
      <t xml:space="preserve">bit.ly/3ImW20a
</t>
    </r>
    <r>
      <rPr/>
      <t>강의문의 연락처 : 010-5385-9395</t>
    </r>
  </si>
  <si>
    <t>https://youtube.com/channel/UCbO7ae8WmgGuK9-d6OkQ6JQ?si=89eby5Tl0EFdDSTn</t>
  </si>
  <si>
    <t>해외 및 국내 구매 대행</t>
  </si>
  <si>
    <t>부추경자</t>
  </si>
  <si>
    <t>부추경자 블로그
https://www.youtube.com/watch?v=6xMbPBWr_AU</t>
  </si>
  <si>
    <t>현) 개인 컨설팅
전) 타이탄 수강생, 초청 강사</t>
  </si>
  <si>
    <t>https://www.youtube.com/channel/UCsXCQkVgOZMwlaXqVr3rpjQ</t>
  </si>
  <si>
    <t>https://www.instagram.com/buchugj/</t>
  </si>
  <si>
    <t>darmvit@naver.com</t>
  </si>
  <si>
    <t>2026.04.01</t>
  </si>
  <si>
    <t>AIX 에익스 (나민수)
&amp;
윤권</t>
  </si>
  <si>
    <t>나민수 - 저스트두잇클럽</t>
  </si>
  <si>
    <t>개인 컨설팅, 오프라인 기업 강연</t>
  </si>
  <si>
    <t>https://www.instagram.com/naminsoo_ai/?utm_source=ig_web_button_share_sheet&amp;igsh=ZDNlZDc0MzIxNw%3D%3D#</t>
  </si>
  <si>
    <t>나민수 &amp; 윤권 - AI 스타트 클럽</t>
  </si>
  <si>
    <t>https://www.instagram.com/yoonkwon_ai/?igsh=dmN0NjBlaGppamts#</t>
  </si>
  <si>
    <t>구글 에드센스</t>
  </si>
  <si>
    <t>저스트액션</t>
  </si>
  <si>
    <t>https://www.youtube.com/@JUSTACTION50/videos</t>
  </si>
  <si>
    <t>https://justaction.liveklass.com/</t>
  </si>
  <si>
    <t>이너리드</t>
  </si>
  <si>
    <t>https://litt.ly/infj_aibro</t>
  </si>
  <si>
    <t>https://youtube.com/@innerlead?si=UcrMAF02k0R8nNbP</t>
  </si>
  <si>
    <t>쿠팡, 스마트스토어</t>
  </si>
  <si>
    <t>돈버는하마</t>
  </si>
  <si>
    <t>https://m.cafe.naver.com/ca-fe/web/cafes/gimpophone/articles/10574?useCafeId=false&amp;tc</t>
  </si>
  <si>
    <t>https://youtube.com/@makingmoneyhippo?si=9JaabwWaGZiO5kFS</t>
  </si>
  <si>
    <t>https://www.instagram.com/makingmoneyhippo?igsh=ZDhqNWRzNXFqeDMz</t>
  </si>
  <si>
    <t>인스타툰</t>
  </si>
  <si>
    <t>소금툰</t>
  </si>
  <si>
    <t>https://fastcampus.co.kr/dgn_online_cd</t>
  </si>
  <si>
    <t>https://www.instagram.com/sogeumtoon/</t>
  </si>
  <si>
    <t>부동산 투자</t>
  </si>
  <si>
    <t>월세여왕 리나쌤</t>
  </si>
  <si>
    <t>https://linaedu.modoo.at/</t>
  </si>
  <si>
    <t>개인 강의</t>
  </si>
  <si>
    <t>https://www.youtube.com/@lina_only_one</t>
  </si>
  <si>
    <t>https://www.instagram.com/lina_only_one/</t>
  </si>
  <si>
    <t>구매대행</t>
  </si>
  <si>
    <t>셀벤져스 로라</t>
  </si>
  <si>
    <t>https://cafe.naver.com/cellaravengers/30491</t>
  </si>
  <si>
    <t>강의</t>
  </si>
  <si>
    <t>https://www.youtube.com/@sell_vengers/community</t>
  </si>
  <si>
    <t>https://www.instagram.com/sellvengers_rora/</t>
  </si>
  <si>
    <t>디자인 수익화</t>
  </si>
  <si>
    <t>혜다나다</t>
  </si>
  <si>
    <t>https://litt.ly/hyeda</t>
  </si>
  <si>
    <t>전자책</t>
  </si>
  <si>
    <t>로고사업가혜다</t>
  </si>
  <si>
    <t>https://www.instagram.com/hyeda.nada/</t>
  </si>
  <si>
    <t>AI 홈페이지</t>
  </si>
  <si>
    <t>이해수</t>
  </si>
  <si>
    <t>누끼토끼</t>
  </si>
  <si>
    <t>https://nookitokki.co.kr/</t>
  </si>
  <si>
    <t>https://www.youtube.com/@nookitokki</t>
  </si>
  <si>
    <t>https://www.instagram.com/nookitokki/</t>
  </si>
  <si>
    <t>라이브 커머스</t>
  </si>
  <si>
    <t>러브미겸 황나겸</t>
  </si>
  <si>
    <t>링크트리</t>
  </si>
  <si>
    <t>https://www.youtube.com/@luvme_gyeom</t>
  </si>
  <si>
    <t>https://www.instagram.com/luvme.gyeom/</t>
  </si>
  <si>
    <t>인스타 공구</t>
  </si>
  <si>
    <t>최이사</t>
  </si>
  <si>
    <t>클래스유</t>
  </si>
  <si>
    <t>https://www.instagram.com/09.allrounder/</t>
  </si>
  <si>
    <t>AI 디자인</t>
  </si>
  <si>
    <t>아인</t>
  </si>
  <si>
    <t>콜로소</t>
  </si>
  <si>
    <t>https://www.instagram.com/ai_design_ain/</t>
  </si>
  <si>
    <t>거절 의사</t>
  </si>
  <si>
    <t>블로그 • 마케팅 • AI 글쓰기</t>
  </si>
  <si>
    <t>노마드윤</t>
  </si>
  <si>
    <t>링크트리.</t>
  </si>
  <si>
    <t>라이브 강의 판매</t>
  </si>
  <si>
    <t>https://www.youtube.com/watch?v=4hSJ4or9xrs</t>
  </si>
  <si>
    <t>https://www.instagram.com/nomadyoon/</t>
  </si>
  <si>
    <t>블로그 • N잡 • 마케팅 • 지식창업</t>
  </si>
  <si>
    <t>마케터 C</t>
  </si>
  <si>
    <t>https://www.instagram.com/marketer_c_/</t>
  </si>
  <si>
    <t>타로 수익화</t>
  </si>
  <si>
    <t>로비앙</t>
  </si>
  <si>
    <t>프로필</t>
  </si>
  <si>
    <t>로비앙 랜드</t>
  </si>
  <si>
    <t>https://www.youtube.com/channel/UCLEOFQXSxeLZSNxqQbR8WxQ</t>
  </si>
  <si>
    <t>https://www.instagram.com/rovian.tarot</t>
  </si>
  <si>
    <t>블로그 수익화</t>
  </si>
  <si>
    <t>김메리</t>
  </si>
  <si>
    <t>https://www.instagram.com/enjoy_meri/</t>
  </si>
  <si>
    <t>이람님</t>
  </si>
  <si>
    <t>https://www.instagram.com/iramblog1/</t>
  </si>
  <si>
    <t>블로그 인플루언서수익화/여행릴스</t>
  </si>
  <si>
    <t>희아</t>
  </si>
  <si>
    <t>개인강의</t>
  </si>
  <si>
    <t>https://www.instagram.com/heeah_travel/</t>
  </si>
  <si>
    <t>중국 사입</t>
  </si>
  <si>
    <t>씨오</t>
  </si>
  <si>
    <t>https://www.instagram.com/ccio_._/</t>
  </si>
  <si>
    <t>래피드 클래스</t>
  </si>
  <si>
    <t>https://open.kakao.com/o/g8YeRwch</t>
  </si>
  <si>
    <t>마스터피스</t>
  </si>
  <si>
    <t>https://www.instagram.com/km_masterpiece/</t>
  </si>
  <si>
    <t>갓찌뇽</t>
  </si>
  <si>
    <t>https://www.instagram.com/gotjitip/</t>
  </si>
  <si>
    <t>https://www.youtube.com/@%EA%B0%93%EC%B0%8C%EB%87%BD/videos</t>
  </si>
  <si>
    <t>소형 꼬마빌딩 수익화</t>
  </si>
  <si>
    <t>차빌 TV</t>
  </si>
  <si>
    <t>https://www.youtube.com/@TVchabuil</t>
  </si>
  <si>
    <t>https://www.instagram.com/chabuil_1/</t>
  </si>
  <si>
    <t>chabuil@chabuil.com</t>
  </si>
  <si>
    <t>사업하는 뚜벅이</t>
  </si>
  <si>
    <t>비즈부스트</t>
  </si>
  <si>
    <t>https://www.youtube.com/@Satddu</t>
  </si>
  <si>
    <t>https://www.instagram.com/satddu/</t>
  </si>
  <si>
    <t>Innerpeaceer@gmail.com</t>
  </si>
  <si>
    <t>쇼핑물(온라인 판매)</t>
  </si>
  <si>
    <t xml:space="preserve">민이즈
</t>
  </si>
  <si>
    <t>개인 강의(카페)</t>
  </si>
  <si>
    <t>https://www.youtube.com/@WeelborgWilkens</t>
  </si>
  <si>
    <t>https://www.instagram.com/min_is__/</t>
  </si>
  <si>
    <t>부동산</t>
  </si>
  <si>
    <t>하니</t>
  </si>
  <si>
    <t xml:space="preserve">클래스101 </t>
  </si>
  <si>
    <t>목소리 활용 수익화</t>
  </si>
  <si>
    <t>김상중</t>
  </si>
  <si>
    <t>유캐빈</t>
  </si>
  <si>
    <t>https://cyclehackers.com/product/219276/</t>
  </si>
  <si>
    <t>사이클해커스</t>
  </si>
  <si>
    <t>https://www.instagram.com/oranbi0622/</t>
  </si>
  <si>
    <r>
      <rPr>
        <rFont val="Arial"/>
      </rPr>
      <t xml:space="preserve">누적 시청자 수 : 2,394명
 웨비나 1회차 매출 4,100만원 
</t>
    </r>
    <r>
      <rPr>
        <rFont val="Arial"/>
        <color rgb="FF1155CC"/>
      </rPr>
      <t>https://litt.ly/yukevin</t>
    </r>
  </si>
  <si>
    <t>아이폰 스냅 수익화</t>
  </si>
  <si>
    <t>Yoon</t>
  </si>
  <si>
    <t>https://cyclehackers.com/product/246952/</t>
  </si>
  <si>
    <t>https://www.instagram.com/doubleu.snap/#</t>
  </si>
  <si>
    <r>
      <rPr>
        <rFont val="Arial"/>
      </rPr>
      <t xml:space="preserve">누적 시청자 수 : 1,778명
</t>
    </r>
    <r>
      <rPr>
        <rFont val="Arial"/>
        <color rgb="FF1155CC"/>
      </rPr>
      <t>https://linktr.ee/doubleu.snap</t>
    </r>
  </si>
  <si>
    <t>식료품 스마트 스토어 수익화</t>
  </si>
  <si>
    <t>김준</t>
  </si>
  <si>
    <t>https://cyclehackers.com/product/237742/</t>
  </si>
  <si>
    <t>https://www.youtube.com/@%EC%9B%94%EB%B0%B1%EB%A9%94%EC%9D%B4%EC%BB%A4</t>
  </si>
  <si>
    <t>https://www.instagram.com/100_maker/</t>
  </si>
  <si>
    <r>
      <rPr/>
      <t xml:space="preserve">누적 시청자 수 : 1,385명
</t>
    </r>
    <r>
      <rPr>
        <color rgb="FF1155CC"/>
      </rPr>
      <t>https://cafe.naver.com/f-e/cafes/31051320/menus/0?viewType=L</t>
    </r>
  </si>
  <si>
    <t>애유미</t>
  </si>
  <si>
    <t>https://cyclehackers.com/product/296180/</t>
  </si>
  <si>
    <t>https://www.youtube.com/@%EC%95%A0%EC%9C%A0%EB%AF%B81</t>
  </si>
  <si>
    <t>이베이 역직구 수익화</t>
  </si>
  <si>
    <t>김동휘</t>
  </si>
  <si>
    <t>위쏭</t>
  </si>
  <si>
    <t>와디즈 펀딩
사이클해커스</t>
  </si>
  <si>
    <r>
      <rPr>
        <rFont val="Arial"/>
        <color rgb="FF1155CC"/>
      </rPr>
      <t>https://www.youtube.com/watch?v=sLU0_pLbCJA</t>
    </r>
    <r>
      <rPr>
        <rFont val="Arial"/>
      </rPr>
      <t xml:space="preserve"> (원더휴먼 채널 영상)</t>
    </r>
  </si>
  <si>
    <t>여행 영상 인스타 수익화</t>
  </si>
  <si>
    <t>다해</t>
  </si>
  <si>
    <t>와디즈 펀딩
링크트리</t>
  </si>
  <si>
    <t>https://www.instagram.com/travelrlo/</t>
  </si>
  <si>
    <t>AI 강사 되기</t>
  </si>
  <si>
    <t>조티쳐</t>
  </si>
  <si>
    <t>사이클해커스
와디즈 펀딩</t>
  </si>
  <si>
    <r>
      <rPr>
        <color rgb="FF1155CC"/>
      </rPr>
      <t>탈잉</t>
    </r>
    <r>
      <rPr/>
      <t xml:space="preserve">
</t>
    </r>
    <r>
      <rPr>
        <color rgb="FF1155CC"/>
      </rPr>
      <t>사이클해커스</t>
    </r>
  </si>
  <si>
    <t>https://www.instagram.com/david_nazarite</t>
  </si>
  <si>
    <t>당근마켓 과일 위탁</t>
  </si>
  <si>
    <t>민근영</t>
  </si>
  <si>
    <t>https://cyclehackers.com/product/235892/</t>
  </si>
  <si>
    <t>누적 신청자 수 : 1,194명</t>
  </si>
  <si>
    <t xml:space="preserve">AI </t>
  </si>
  <si>
    <t>AI상상력대장</t>
  </si>
  <si>
    <t>https://linktr.ee/winnersopenroom?fbclid=PAZXh0bgNhZW0CMTEAAaen5z3jeWWC44cHSnLc4eRPAJFeONhUATqr_kv7toCpq0dRiV-eYlkrJxR2FA_aem_uocB5ebtmIX6ZTjS4Yhh8g</t>
  </si>
  <si>
    <t>https://www.youtube.com/@captain_ai/videos</t>
  </si>
  <si>
    <t>소자본창업-스티커제작판매</t>
  </si>
  <si>
    <t xml:space="preserve"> 스티커지호</t>
  </si>
  <si>
    <t>https://www.instagram.com/stickerjiho/</t>
  </si>
  <si>
    <t>로고 디자인</t>
  </si>
  <si>
    <t>로공백(인스타:봄디)</t>
  </si>
  <si>
    <t>https://blog.naver.com/hideon_bush</t>
  </si>
  <si>
    <t>개인강의/2기</t>
  </si>
  <si>
    <t>https://www.instagram.com/bomde_sign/</t>
  </si>
  <si>
    <t xml:space="preserve"> AI숏츠</t>
  </si>
  <si>
    <t>파크</t>
  </si>
  <si>
    <t>https://blog.naver.com/online-money/223298272260</t>
  </si>
  <si>
    <r>
      <rPr/>
      <t xml:space="preserve">돈버는온라인자판기-12만명  </t>
    </r>
    <r>
      <rPr>
        <color rgb="FF1155CC"/>
      </rPr>
      <t>https://www.youtube.com/@online-money</t>
    </r>
  </si>
  <si>
    <t>https://cafe.naver.com/f-e/cafes/24490019/articles/97396?menuid=315&amp;referrerAllArticles=false</t>
  </si>
  <si>
    <t>개인 카페,블로그 운영하면서 AI숏츠 
강의 몇년째하는데 신청자받아서 
당첨된사람만 강의들을 수 있음</t>
  </si>
  <si>
    <t>생성형 AI 콘텐츠 제작</t>
  </si>
  <si>
    <t>아인프로</t>
  </si>
  <si>
    <t>https://litt.ly/promania_pmae?fbclid=PAZXh0bgNhZW0CMTEAAadw0090QQ43D71Gh5eEPcHINx6Cp7AQeyS3d9nhyTnlvNwetaNSWuf2D-HyRA_aem_mWyi7vnkHCdPelxN8CvrrQ</t>
  </si>
  <si>
    <t>개인강의 / 5기</t>
  </si>
  <si>
    <r>
      <rPr/>
      <t xml:space="preserve">5천명 </t>
    </r>
    <r>
      <rPr>
        <color rgb="FF1155CC"/>
      </rPr>
      <t>https://www.youtube.com/@promania_ai</t>
    </r>
  </si>
  <si>
    <t>https://www.instagram.com/promania_ai/</t>
  </si>
  <si>
    <t>유료 강의로 5기째 진행 중</t>
  </si>
  <si>
    <t>소액 경매</t>
  </si>
  <si>
    <t>방방테크</t>
  </si>
  <si>
    <t>https://litt.ly/bangbangtech?fbclid=PAZXh0bgNhZW0CMTEAAafkuR7Jb6bF13x7cmpdbh-VwCG6fV7CJeZM0J4ePLRl9MKsPS2d1JRJUEwQvg_aem_bwKfrXkU5kc6qYcRx-aVew</t>
  </si>
  <si>
    <t>https://www.instagram.com/bangbang_tech/</t>
  </si>
  <si>
    <t>소규모 스터디 다수 진행</t>
  </si>
  <si>
    <t>(7월 2째주 시작) AI</t>
  </si>
  <si>
    <t>AI돈나</t>
  </si>
  <si>
    <t>https://www.youtube.com/@aidonnawa</t>
  </si>
  <si>
    <t>bokhan2329@gmail.com</t>
  </si>
  <si>
    <t>AI</t>
  </si>
  <si>
    <t>김은진</t>
  </si>
  <si>
    <t>gpt_kimsa</t>
  </si>
  <si>
    <t>개인강의/카카오 비즈니스</t>
  </si>
  <si>
    <t>https://youtube.com/@gpt_kimisa?si=yMw3t-PGfBRjAGHJ</t>
  </si>
  <si>
    <t>https://www.instagram.com/gpt_kimisa?igsh=dXhidTVwdmFoc2d2</t>
  </si>
  <si>
    <t>billykim1005@gmail.com</t>
  </si>
  <si>
    <t>생성형 AI 강의 진행중 (자체 강의)</t>
  </si>
  <si>
    <t>성공의 숲</t>
  </si>
  <si>
    <t>성공의 숲(자사 플랫폼)</t>
  </si>
  <si>
    <t>https://www.instagram.com/forest_success?igsh=bHpsYmdjaGVodWV5</t>
  </si>
  <si>
    <t xml:space="preserve">자사몰 강의중 </t>
  </si>
  <si>
    <t>기린 과자</t>
  </si>
  <si>
    <t xml:space="preserve">1:1 강의 /블로그 모집 </t>
  </si>
  <si>
    <t>https://www.instagram.com/kirin.cookie?igsh=Mm1nYXlxemt6YXI0</t>
  </si>
  <si>
    <t>유튜브 AI</t>
  </si>
  <si>
    <t>유월차선</t>
  </si>
  <si>
    <t>개인사이트/전자책</t>
  </si>
  <si>
    <t>https://www.instagram.com/youfastlane/</t>
  </si>
  <si>
    <t>자사몰 전자책 판매중</t>
  </si>
  <si>
    <t>AI 작곡</t>
  </si>
  <si>
    <t>lowcut_official</t>
  </si>
  <si>
    <t>자체 강의</t>
  </si>
  <si>
    <t>https://www.instagram.com/lowcut__official?igsh=MmRwNWdxbzF5d2hh</t>
  </si>
  <si>
    <t>자체 강의 진행중</t>
  </si>
  <si>
    <t>김예빈</t>
  </si>
  <si>
    <t>독립D</t>
  </si>
  <si>
    <t>x</t>
  </si>
  <si>
    <t>http://www.youtube.com/@doklip.D</t>
  </si>
  <si>
    <t>http://instagram.com/doklip.d</t>
  </si>
  <si>
    <t>doklip.d@gmail.com</t>
  </si>
  <si>
    <t>AI 영상</t>
  </si>
  <si>
    <t>왼손 WENSON AI</t>
  </si>
  <si>
    <t>(소액)자체 강의 플랫폼</t>
  </si>
  <si>
    <t>https://www.youtube.com/@wensonai/videos</t>
  </si>
  <si>
    <t>ilowme@naver.com</t>
  </si>
  <si>
    <t>유튜브 브랜딩, 수익화</t>
  </si>
  <si>
    <t>작심만일, 카일</t>
  </si>
  <si>
    <t>자사 강의 플랫폼</t>
  </si>
  <si>
    <t>정보성 유튜브</t>
  </si>
  <si>
    <t>유튜브 지식 쇼츠</t>
  </si>
  <si>
    <r>
      <rPr>
        <color rgb="FF1155CC"/>
      </rPr>
      <t>유튜브1</t>
    </r>
    <r>
      <rPr/>
      <t xml:space="preserve">, </t>
    </r>
    <r>
      <rPr>
        <color rgb="FF1155CC"/>
      </rPr>
      <t>유튜브2</t>
    </r>
  </si>
  <si>
    <t>https://www.youtube.com/@YoutubeShortIntF</t>
  </si>
  <si>
    <t>https://www.instagram.com/kyleinmind/</t>
  </si>
  <si>
    <r>
      <rPr>
        <color rgb="FF1155CC"/>
      </rPr>
      <t>이메일</t>
    </r>
    <r>
      <rPr/>
      <t>, 지식 쇼츠 채널 2개 운영(합 18만)</t>
    </r>
  </si>
  <si>
    <t>AI 로켓그로스</t>
  </si>
  <si>
    <t>일렌</t>
  </si>
  <si>
    <t>개인강의/10기</t>
  </si>
  <si>
    <t>https://www.youtube.com/@ihlen_tv</t>
  </si>
  <si>
    <t>https://www.instagram.com/ihlen_online_business_coach/</t>
  </si>
  <si>
    <t>ihlenco@naver.com</t>
  </si>
  <si>
    <t>디스이즈머니</t>
  </si>
  <si>
    <t>전자책(블로그)</t>
  </si>
  <si>
    <t>https://www.youtube.com/channel/UClP2hW295JL_o-lESiMY0fg/join</t>
  </si>
  <si>
    <t>boxtvstar@gmail.com</t>
  </si>
  <si>
    <t>AI 음악 수익화</t>
  </si>
  <si>
    <t>유쾌한케로로</t>
  </si>
  <si>
    <t>무료 강의 상세페이지</t>
  </si>
  <si>
    <t>디하클</t>
  </si>
  <si>
    <t>https://youtu.be/SHq_W_9rsPA?si=R-F297dgLz5N0Zeo</t>
  </si>
  <si>
    <t>연락처 확인 부탁드립니다</t>
  </si>
  <si>
    <t>연락처 없음</t>
  </si>
  <si>
    <t>숏츠</t>
  </si>
  <si>
    <t>테일러</t>
  </si>
  <si>
    <t>무료강의 상세페이지</t>
  </si>
  <si>
    <t>https://youtu.be/HPPi3RsvEBc?si=y_P8bwcwtgZ28u94</t>
  </si>
  <si>
    <t>월억숏츠 소구/ 기존 + AI 합쳐서 강의 구성, 연락처 확인 부탁드립니다</t>
  </si>
  <si>
    <t>AI 시니어 유튜브</t>
  </si>
  <si>
    <t>신팀장</t>
  </si>
  <si>
    <t>인터뷰채널</t>
  </si>
  <si>
    <t>YDMCN</t>
  </si>
  <si>
    <t>YDMCN 유튜브 링크</t>
  </si>
  <si>
    <t>7/11 무료 강의 진행 예정</t>
  </si>
  <si>
    <t>신국부론</t>
  </si>
  <si>
    <t>월급쟁이 부자들</t>
  </si>
  <si>
    <t>https://www.youtube.com/watch?v=zpJwJwIORNU</t>
  </si>
  <si>
    <t>VOD 강의 판매 중</t>
  </si>
  <si>
    <t>사이드퀘스트</t>
  </si>
  <si>
    <t>https://www.youtube.com/@%EC%82%AC%EC%9D%B4%EB%93%9C%ED%80%98%EC%8A%A4%ED%8A%B8/videos</t>
  </si>
  <si>
    <t>SideQuest316@gmail.com</t>
  </si>
  <si>
    <t>AI 쇼핑몰</t>
  </si>
  <si>
    <t>이도전</t>
  </si>
  <si>
    <t>인스타그램</t>
  </si>
  <si>
    <t>https://www.youtube.com/channel/UCqwCkUGth3fxt6bL_0wtWTg</t>
  </si>
  <si>
    <t>https://www.instagram.com/challenge_dojun?utm_source=ig_web_button_share_sheet&amp;igsh=OG1vYjNpeXRkM3cx</t>
  </si>
  <si>
    <t>AI 유튜브 쇼츠</t>
  </si>
  <si>
    <t>원초적 인사이트</t>
  </si>
  <si>
    <t>개인 전자책 판매</t>
  </si>
  <si>
    <r>
      <rPr>
        <color rgb="FF1155CC"/>
      </rPr>
      <t>카카오톡</t>
    </r>
    <r>
      <rPr/>
      <t xml:space="preserve">, </t>
    </r>
    <r>
      <rPr>
        <color rgb="FF1155CC"/>
      </rPr>
      <t>이메일</t>
    </r>
    <r>
      <rPr/>
      <t>, 전자책 판매 중</t>
    </r>
  </si>
  <si>
    <t>청소업체 창업(소액창업)</t>
  </si>
  <si>
    <t>윤예영</t>
  </si>
  <si>
    <t>청사남 박형민</t>
  </si>
  <si>
    <t>패스트캠퍼스</t>
  </si>
  <si>
    <t>https://www.youtube.com/@ilovecleaning</t>
  </si>
  <si>
    <t>https://www.instagram.com/chungsanam/?hl=ko</t>
  </si>
  <si>
    <t>VOD강의 판매중 (강사님이 5만원으로 창업 시작)</t>
  </si>
  <si>
    <t>인스타 수익창출</t>
  </si>
  <si>
    <t>리치파카</t>
  </si>
  <si>
    <t>https://www.youtube.com/@-richpaca</t>
  </si>
  <si>
    <t>https://www.instagram.com/richpaca/?hl=ko</t>
  </si>
  <si>
    <t>VOD강의 판매중, 스마트스토어에서 물건 자체판매중</t>
  </si>
  <si>
    <t>청소업체 창업</t>
  </si>
  <si>
    <t>박응석</t>
  </si>
  <si>
    <t>클린몬스터즈</t>
  </si>
  <si>
    <t>부동산 경매</t>
  </si>
  <si>
    <t>알론소운(고운정)</t>
  </si>
  <si>
    <t>https://www.youtube.com/@alonso_woon</t>
  </si>
  <si>
    <t>alonso_woon@naver.com</t>
  </si>
  <si>
    <t>VOD판매중</t>
  </si>
  <si>
    <t>원소영</t>
  </si>
  <si>
    <t>재테크르르</t>
  </si>
  <si>
    <t>강의판매페이지</t>
  </si>
  <si>
    <t>유투브</t>
  </si>
  <si>
    <t>부동산책 베스트셀러저자, 최근 더현대 문화센터에서 특강진행,오픈채팅 정보방 운영</t>
  </si>
  <si>
    <t>AI 음원</t>
  </si>
  <si>
    <t>AI연금술사</t>
  </si>
  <si>
    <t>https://www.youtube.com/@ai.moneymaker.official</t>
  </si>
  <si>
    <t>유투브영상 적지만 강의 다수 진행</t>
  </si>
  <si>
    <t>AI스마트스토어</t>
  </si>
  <si>
    <t>한이룸</t>
  </si>
  <si>
    <t>https://www.youtube.com/@irum_hahn/videos</t>
  </si>
  <si>
    <t>cole@rebrandb.com</t>
  </si>
  <si>
    <t xml:space="preserve">청소&amp;방충망교체 </t>
  </si>
  <si>
    <t>방충망대장</t>
  </si>
  <si>
    <t>https://www.youtube.com/@%EB%B0%A9%EC%B6%A9%EB%A7%9D%EB%8C%80%EC%9E%A5</t>
  </si>
  <si>
    <t>windowclean1009@naver.com</t>
  </si>
  <si>
    <t>AI 유튜브 영상 제작</t>
  </si>
  <si>
    <t>김승철</t>
  </si>
  <si>
    <t>머니몬스터</t>
  </si>
  <si>
    <t>무료 강의 상세 페이지</t>
  </si>
  <si>
    <t>인베이더스쿨</t>
  </si>
  <si>
    <t>네이버 카페</t>
  </si>
  <si>
    <t>강의 진행 중</t>
  </si>
  <si>
    <t>돈강TV</t>
  </si>
  <si>
    <t>강의 페이지</t>
  </si>
  <si>
    <t>Kmong</t>
  </si>
  <si>
    <t>https://www.youtube.com/@%EB%8F%88%EA%B0%95/featured</t>
  </si>
  <si>
    <t>donkang97@naver.com</t>
  </si>
  <si>
    <t>VOD 판매 중</t>
  </si>
  <si>
    <t>유리청소</t>
  </si>
  <si>
    <t>퓨어맨코리아</t>
  </si>
  <si>
    <t>https://www.youtube.com/@%ED%93%A8%EC%96%B4%EB%A7%A8%EC%BD%94%EB%A6%AC%EC%95%84</t>
  </si>
  <si>
    <t>AI전자책</t>
  </si>
  <si>
    <t>함프로</t>
  </si>
  <si>
    <t>탈잉</t>
  </si>
  <si>
    <t>https://www.instagram.com/ebook_hampro/?hl=ko</t>
  </si>
  <si>
    <t>VOD판매중,와디즈 펀딩 이력</t>
  </si>
  <si>
    <t>유튜브쇼츠</t>
  </si>
  <si>
    <t>그라운드</t>
  </si>
  <si>
    <t>와디즈</t>
  </si>
  <si>
    <t>https://www.youtube.com/watch?v=BMuusqmBxDA&amp;t=277s</t>
  </si>
  <si>
    <t>AI상세페이지</t>
  </si>
  <si>
    <t>이기호</t>
  </si>
  <si>
    <t>101클래스</t>
  </si>
  <si>
    <t>AI 브랜드 블로그</t>
  </si>
  <si>
    <t>코탤</t>
  </si>
  <si>
    <t>ㅊ</t>
  </si>
  <si>
    <t>정승희의 스승님 중 한 분(개인적으로 연락 가능), 제한시간 지나서 올림(성과 해당x)</t>
  </si>
  <si>
    <t>AI 수익화(GPT)</t>
  </si>
  <si>
    <t>갓진주(송진주)</t>
  </si>
  <si>
    <t>https://www.youtube.com/@%EA%B0%93%EC%A7%84%EC%A3%BC</t>
  </si>
  <si>
    <t>https://www.instagram.com/gotjinju/</t>
  </si>
  <si>
    <t>ai쇼츠</t>
  </si>
  <si>
    <t>마케팅뷰</t>
  </si>
  <si>
    <t>자체강의</t>
  </si>
  <si>
    <t>https://www.youtube.com/@marketing_beauty1/shorts</t>
  </si>
  <si>
    <t>https://www.instagram.com/marketing__beauty1/reels/</t>
  </si>
  <si>
    <t>데브남</t>
  </si>
  <si>
    <t>https://www.youtube.com/@AI%EC%95%8C%EB%A0%A4%EC%A3%BC%EB%8A%94%EB%82%A8%EC%9E%90-%EB%8D%B0%EB%B8%8C%EB%82%A8/videos</t>
  </si>
  <si>
    <t>https://www.instagram.com/ai.devman</t>
  </si>
  <si>
    <t>AI 유튜브</t>
  </si>
  <si>
    <t>마케터 제이</t>
  </si>
  <si>
    <t>디지털 노마드 하이클래스</t>
  </si>
  <si>
    <t>AI 수익화(사진)</t>
  </si>
  <si>
    <t>박하은</t>
  </si>
  <si>
    <t>파파준스</t>
  </si>
  <si>
    <t>https://www.instagram.com/papa.juns_?igsh=MXV4aTZwdGhwNTVxaQ==</t>
  </si>
  <si>
    <t>AI IT 블로그</t>
  </si>
  <si>
    <t>새벽리더</t>
  </si>
  <si>
    <t>돈버는 사람들</t>
  </si>
  <si>
    <t>강의 VOD 판매 중, IT 분야 인플루언서</t>
  </si>
  <si>
    <t>AI 유튜브 전반</t>
  </si>
  <si>
    <t>AI 머니</t>
  </si>
  <si>
    <t>전자책 메인 + VOD 영상</t>
  </si>
  <si>
    <t>AI 쇼츠</t>
  </si>
  <si>
    <t>열정피디</t>
  </si>
  <si>
    <t>자체 리틀리</t>
  </si>
  <si>
    <t>글로벌 타겟 AI 쇼츠 수익화</t>
  </si>
  <si>
    <t>경매 월세투자</t>
  </si>
  <si>
    <t>반지상</t>
  </si>
  <si>
    <t>자체 홈페이지</t>
  </si>
  <si>
    <t>부비게이터 Out으로 인한 경매 관련 강사 보충</t>
  </si>
  <si>
    <t>AI쇼츠</t>
  </si>
  <si>
    <t>자체 블로그</t>
  </si>
  <si>
    <t>유튜브 10만 팔로워</t>
  </si>
  <si>
    <t>재테크</t>
  </si>
  <si>
    <t>누워서 돈벌기</t>
  </si>
  <si>
    <r>
      <rPr>
        <color rgb="FF1155CC"/>
      </rPr>
      <t>유튜브1</t>
    </r>
    <r>
      <rPr/>
      <t xml:space="preserve">, </t>
    </r>
    <r>
      <rPr>
        <color rgb="FF1155CC"/>
      </rPr>
      <t>유튜브2</t>
    </r>
  </si>
  <si>
    <r>
      <rPr>
        <color rgb="FF1155CC"/>
      </rPr>
      <t>이메일</t>
    </r>
    <r>
      <rPr/>
      <t>, 허니블링 신아로미 2명으로 구성된 14만 팔로워 팀</t>
    </r>
  </si>
  <si>
    <t>노마드크리스</t>
  </si>
  <si>
    <r>
      <rPr>
        <color rgb="FF1155CC"/>
      </rPr>
      <t>유튜브</t>
    </r>
    <r>
      <rPr/>
      <t xml:space="preserve">, </t>
    </r>
    <r>
      <rPr>
        <color rgb="FF1155CC"/>
      </rPr>
      <t>강의소개</t>
    </r>
  </si>
  <si>
    <t>레벨업메이트</t>
  </si>
  <si>
    <r>
      <rPr>
        <color rgb="FF1155CC"/>
      </rPr>
      <t>이메일</t>
    </r>
    <r>
      <rPr>
        <color rgb="FF000000"/>
      </rPr>
      <t>, 타플랫폼 강사 활동 중</t>
    </r>
  </si>
  <si>
    <t>AI 광고이미지 제작</t>
  </si>
  <si>
    <t>반토막AI</t>
  </si>
  <si>
    <t>자체 카페</t>
  </si>
  <si>
    <t>https://www.youtube.com/@%EB%B0%98%ED%86%A0%EB%A7%89AI</t>
  </si>
  <si>
    <t>https://www.instagram.com/halfcut_ai/</t>
  </si>
  <si>
    <t>wpgursla1@gmail.com</t>
  </si>
  <si>
    <t>마케팅 (네이버, 당근)</t>
  </si>
  <si>
    <t>잘 파는 청년</t>
  </si>
  <si>
    <t>앤기브마케팅</t>
  </si>
  <si>
    <t>https://www.youtube.com/@%EC%9E%98%ED%8C%8C%EB%8A%94%EC%B2%AD%EB%85%84</t>
  </si>
  <si>
    <t>https://www.instagram.com/jalpachung?utm_source=ig_web_button_share_sheet&amp;igsh=MWF4bHRrMTlnOTFyNQ==</t>
  </si>
  <si>
    <t>ceo@andgivemarketing.com</t>
  </si>
  <si>
    <t>AI시니어</t>
  </si>
  <si>
    <t>채널-지혜우물</t>
  </si>
  <si>
    <t>https://www.youtube.com/@%EC%A7%80%ED%98%9C%EC%9A%B0%EB%AC%BC</t>
  </si>
  <si>
    <t xml:space="preserve">hustledaram@gmail.com </t>
  </si>
  <si>
    <t>AI 시니어 외 다수</t>
  </si>
  <si>
    <t>이재인/ 이니언니</t>
  </si>
  <si>
    <t>https://www.youtube.com/@ini_unnie</t>
  </si>
  <si>
    <t>https://www.instagram.com/ini_unnie/</t>
  </si>
  <si>
    <t>AICMKorea@gmail.com</t>
  </si>
  <si>
    <t>리틀리/</t>
  </si>
  <si>
    <t xml:space="preserve">AI 쇼츠 </t>
  </si>
  <si>
    <t>룰루랄라릴리</t>
  </si>
  <si>
    <t>잭슨프리덤</t>
  </si>
  <si>
    <t>현장속으로, 휴먼인사이드, 원더 휴먼출연중</t>
  </si>
  <si>
    <t>잇다방 ITdabang</t>
  </si>
  <si>
    <t>https://www.youtube.com/@itdabang</t>
  </si>
  <si>
    <t>야옹멍 YaongMeong</t>
  </si>
  <si>
    <t>틱톡</t>
  </si>
  <si>
    <t>https://www.youtube.com/@%EC%95%BC%EC%98%B9%EB%A9%8DYaongMeong</t>
  </si>
  <si>
    <t>mgmsdiary@gmail.com</t>
  </si>
  <si>
    <t>슈퍼봇</t>
  </si>
  <si>
    <t>클래스101</t>
  </si>
  <si>
    <t>https://www.youtube.com/@_Superbot_</t>
  </si>
  <si>
    <t>https://www.instagram.com/superbot_origin/?igsh=OGQ5ZDc2ODk2ZA%3D%3D&amp;utm_source=qr#</t>
  </si>
  <si>
    <t>jumptipsy@gmail.com</t>
  </si>
  <si>
    <t>요즘 것들 돈버는 이야기,일터뷰 츨연</t>
  </si>
  <si>
    <t>연락 대기중</t>
  </si>
  <si>
    <t>AI 스레드</t>
  </si>
  <si>
    <t>인터뷰 출연</t>
  </si>
  <si>
    <t>자체플랫폼</t>
  </si>
  <si>
    <t>https://www.youtube.com/@growthyoungduk</t>
  </si>
  <si>
    <t>onemorething9196@gmail.com</t>
  </si>
  <si>
    <t>AI ON 에이아이온</t>
  </si>
  <si>
    <t>https://www.youtube.com/@AION%EB%8F%88%EB%B2%84%EB%8A%94%EB%B2%95</t>
  </si>
  <si>
    <t>aion.official.ai@gmail.com</t>
  </si>
  <si>
    <r>
      <rPr>
        <color rgb="FF1155CC"/>
      </rPr>
      <t>운영하는 블로그</t>
    </r>
    <r>
      <rPr>
        <color rgb="FF000000"/>
      </rPr>
      <t>, aion.official.ai@gmail.com</t>
    </r>
  </si>
  <si>
    <t>AI 유튜브 (시니어)</t>
  </si>
  <si>
    <t>유튜브수익연구소-유수연</t>
  </si>
  <si>
    <t>자체 플랫폼</t>
  </si>
  <si>
    <t>https://www.youtube.com/@%EC%9C%A0%EC%88%98%EC%97%B0s</t>
  </si>
  <si>
    <t>AI 콘텐츠</t>
  </si>
  <si>
    <t>유투브 하는 남자 디노</t>
  </si>
  <si>
    <t>https://www.youtube.com/channel/UC3iyduO41XsWKZsYkE5FNyQ/join</t>
  </si>
  <si>
    <t>worksong87@gmail.com</t>
  </si>
  <si>
    <t>네이버카페</t>
  </si>
  <si>
    <t>AI, GPT 전문가</t>
  </si>
  <si>
    <t>알린</t>
  </si>
  <si>
    <t>https://www.youtube.com/@ailifeinnovation</t>
  </si>
  <si>
    <t>http://instagram.com/ailifeinnovation</t>
  </si>
  <si>
    <t>ailifeinnovation@gmail.com</t>
  </si>
  <si>
    <t>Creator Profit Lab</t>
  </si>
  <si>
    <t>https://www.youtube.com/@CreatorProfitLabKR/shorts</t>
  </si>
  <si>
    <t>http://instagram.com/adaisy.click24</t>
  </si>
  <si>
    <t>AI를 이용한 인스타툰, 블로그 글, 유투브 등 제작</t>
  </si>
  <si>
    <t>원더로이</t>
  </si>
  <si>
    <t>카페</t>
  </si>
  <si>
    <t>월부</t>
  </si>
  <si>
    <t>https://www.instagram.com/wonder_roy_world/</t>
  </si>
  <si>
    <t>wonder_roy@naver.com</t>
  </si>
  <si>
    <t>유튜브, 디자인 부수입</t>
  </si>
  <si>
    <t>돈디</t>
  </si>
  <si>
    <t>https://www.youtube.com/@%EB%8F%88%EB%94%94AI</t>
  </si>
  <si>
    <t>https://www.instagram.com/dondi_ai_/</t>
  </si>
  <si>
    <t>artist8012@naver.com</t>
  </si>
  <si>
    <t>AI 멘토 천꿈이</t>
  </si>
  <si>
    <t>https://www.instagram.com/slow_life_kr/</t>
  </si>
  <si>
    <t>limonsparkk@gmail.com</t>
  </si>
  <si>
    <t>쌩초</t>
  </si>
  <si>
    <t>https://www.instagram.com/ssaengcho/</t>
  </si>
  <si>
    <t>리몬</t>
  </si>
  <si>
    <t>https://www.youtube.com/@limonsparkk</t>
  </si>
  <si>
    <t>https://www.instagram.com/limonsparkk/</t>
  </si>
  <si>
    <t>비기</t>
  </si>
  <si>
    <t>https://www.instagram.com/biggie_ai?utm_source=ig_web_button_share_sheet&amp;igsh=dzR2cjU1MXhncjBx</t>
  </si>
  <si>
    <t>biggieai200@gmail.com</t>
  </si>
  <si>
    <t>AI 부업</t>
  </si>
  <si>
    <t>집콕머니</t>
  </si>
  <si>
    <t>블로그, 애드센스</t>
  </si>
  <si>
    <t>아로스</t>
  </si>
  <si>
    <t>유튜브신쌤</t>
  </si>
  <si>
    <t>스마트 스토어</t>
  </si>
  <si>
    <t>ebs</t>
  </si>
  <si>
    <t>book0884@naver.com</t>
  </si>
  <si>
    <t>인스타공동구매</t>
  </si>
  <si>
    <t>터닝포인트스쿨 강의</t>
  </si>
  <si>
    <r>
      <rPr>
        <color rgb="FFFF0000"/>
      </rPr>
      <t>터닝포인트스쿨</t>
    </r>
    <r>
      <rPr>
        <color rgb="FFFF0000"/>
      </rPr>
      <t>,</t>
    </r>
    <r>
      <rPr>
        <color rgb="FFFF0000"/>
      </rPr>
      <t>클래스유</t>
    </r>
  </si>
  <si>
    <t>SNS수익화</t>
  </si>
  <si>
    <t>청담캔디언니</t>
  </si>
  <si>
    <t xml:space="preserve">최근 무료 라이브7월10일로 당장은 어려울 듯 </t>
  </si>
  <si>
    <t>AI콘텐츠</t>
  </si>
  <si>
    <t>홍아린_AI디자인</t>
  </si>
  <si>
    <t>https://www.youtube.com/@%ED%99%8D%EC%95%84%EB%A6%B0AI%EB%94%94%EC%9E%90%EC%9D%B8%EB%9E%A9</t>
  </si>
  <si>
    <t>https://www.instagram.com/ai_leading/</t>
  </si>
  <si>
    <t>sewha1217@naver.com</t>
  </si>
  <si>
    <t>AI 수익화</t>
  </si>
  <si>
    <t>플러스킴샘TV(지인이라 안되요 ㅠㅠ)</t>
  </si>
  <si>
    <t>https://www.youtube.com/@brainplus</t>
  </si>
  <si>
    <t>https://www.instagram.com/brain_plus82/</t>
  </si>
  <si>
    <t>AI 도리</t>
  </si>
  <si>
    <t>https://www.youtube.com/@Ai-dori?app=desktop</t>
  </si>
  <si>
    <t>https://www.instagram.com/ai_dori_/</t>
  </si>
  <si>
    <t>chodori330@gmail.com</t>
  </si>
  <si>
    <t>신영선(알잘스튜디오 대표)</t>
  </si>
  <si>
    <t>창업</t>
  </si>
  <si>
    <t>돈린이</t>
  </si>
  <si>
    <t>과거 Kmong 강사</t>
  </si>
  <si>
    <t>donlinee1@gmail.com</t>
  </si>
  <si>
    <r>
      <rPr/>
      <t xml:space="preserve">과거 Kmong 강사, </t>
    </r>
    <r>
      <rPr>
        <color rgb="FF1155CC"/>
      </rPr>
      <t>블로그</t>
    </r>
    <r>
      <rPr/>
      <t>, AI 수익에 부정적인거 같음</t>
    </r>
  </si>
  <si>
    <t>레벨업클라스</t>
  </si>
  <si>
    <t>https://www.youtube.com/@%EB%A0%88%EB%B2%A8%EC%97%85%ED%81%B4%EB%9D%BC%EC%8A%A4</t>
  </si>
  <si>
    <t>levelupclass@hotmail.com</t>
  </si>
  <si>
    <t>노마케터스</t>
  </si>
  <si>
    <t>프드프</t>
  </si>
  <si>
    <t>https://www.youtube.com/@nomarketers</t>
  </si>
  <si>
    <t>https://www.instagram.com/nomarketers/</t>
  </si>
  <si>
    <t>no_marketers@naver.com</t>
  </si>
  <si>
    <t>심심</t>
  </si>
  <si>
    <t>딩마녀</t>
  </si>
  <si>
    <t>https://www.youtube.com/@dingwitch7</t>
  </si>
  <si>
    <t>https://www.instagram.com/_dingwitch/</t>
  </si>
  <si>
    <t>design413_@naver.com</t>
  </si>
  <si>
    <t>채문기</t>
  </si>
  <si>
    <t>https://www.instagram.com/kirin.cookie/</t>
  </si>
  <si>
    <t>공사장</t>
  </si>
  <si>
    <t>긍정필터</t>
  </si>
  <si>
    <t>https://www.instagram.com/reelta.gangsa/</t>
  </si>
  <si>
    <t>비기 AI</t>
  </si>
  <si>
    <t>https://www.instagram.com/biggie_ai/</t>
  </si>
  <si>
    <t>기묘한자동화</t>
  </si>
  <si>
    <t>https://www.youtube.com/@kooky0ai</t>
  </si>
  <si>
    <t>https://www.instagram.com/kooky.ai/</t>
  </si>
  <si>
    <t>biz@wintopartners.com</t>
  </si>
  <si>
    <t>Ai 숏폼</t>
  </si>
  <si>
    <t>최성훈</t>
  </si>
  <si>
    <t>로고제작</t>
  </si>
  <si>
    <t>이디로고</t>
  </si>
  <si>
    <t>edlogo@naver.com</t>
  </si>
  <si>
    <t>lovingmin2@naver.com</t>
  </si>
  <si>
    <t>AI 영상 콘텐츠</t>
  </si>
  <si>
    <t>김땡땡</t>
  </si>
  <si>
    <t>AI 블로그</t>
  </si>
  <si>
    <t>조은쌤</t>
  </si>
  <si>
    <t>정혁신</t>
  </si>
  <si>
    <t>돈클(돈버는 형님들 플랫폼)</t>
  </si>
  <si>
    <t>노코딩 홈페이지 제작</t>
  </si>
  <si>
    <t>웹모먼트</t>
  </si>
  <si>
    <t>https://www.instagram.com/web._moment/</t>
  </si>
  <si>
    <t>허지영</t>
  </si>
  <si>
    <t>AI 숏폼 제작</t>
  </si>
  <si>
    <t>콘텐츠이지</t>
  </si>
  <si>
    <t>https://www.instagram.com/contents_easy/</t>
  </si>
  <si>
    <t xml:space="preserve">piao0823@naver.com </t>
  </si>
  <si>
    <t>퍼포먼스 마케팅(구글 유튜브 인스타 메타)</t>
  </si>
  <si>
    <t>퍼포맨</t>
  </si>
  <si>
    <t>rldbs06@naver.com</t>
  </si>
  <si>
    <t>피그몽키</t>
  </si>
  <si>
    <t>온꿈사 에듀</t>
  </si>
  <si>
    <t>카카오톡 채널</t>
  </si>
  <si>
    <t>AI 숏폼&amp;상세페이지+이커머스</t>
  </si>
  <si>
    <t>에이커</t>
  </si>
  <si>
    <t>https://www.youtube.com/@aiecor/featured</t>
  </si>
  <si>
    <t>aiecorofficial@gmail.com</t>
  </si>
  <si>
    <t>헤루</t>
  </si>
  <si>
    <t>AI 애드센스</t>
  </si>
  <si>
    <t>애드센스팜</t>
  </si>
  <si>
    <t>https://www.youtube.com/@adsensefarm</t>
  </si>
  <si>
    <t>https://www.instagram.com/adsensefarm_official/</t>
  </si>
  <si>
    <t>자체 무료특강 진행 경험 O</t>
  </si>
  <si>
    <t>AI 영상제작</t>
  </si>
  <si>
    <t>데키랩</t>
  </si>
  <si>
    <t>스레드</t>
  </si>
  <si>
    <t>https://www.youtube.com/@dekilab</t>
  </si>
  <si>
    <t>dekirukka@gmail.com</t>
  </si>
  <si>
    <t>노마드마크</t>
  </si>
  <si>
    <t>https://www.youtube.com/@nomad_mark</t>
  </si>
  <si>
    <t>https://www.instagram.com/nomad_mark_?igsh=bHdnaWNldmttMGo2</t>
  </si>
  <si>
    <t>nomadmarklee@gmail.com</t>
  </si>
  <si>
    <t>디자인하는AI</t>
  </si>
  <si>
    <t>designingi.official@gmail.com</t>
  </si>
  <si>
    <t>도서 판매 중</t>
  </si>
  <si>
    <t>손민수(퇴사연구소)</t>
  </si>
  <si>
    <t>머니루트</t>
  </si>
  <si>
    <t>https://www.youtube.com/@%ED%87%B4%EC%82%AC%EC%97%B0%EA%B5%AC%EC%86%8C</t>
  </si>
  <si>
    <t>toesayeonguso@gmail.com</t>
  </si>
  <si>
    <t>gmltmd03@naver.com</t>
  </si>
  <si>
    <t>AI수익화</t>
  </si>
  <si>
    <t>솔루션키</t>
  </si>
  <si>
    <r>
      <rPr>
        <color rgb="FF1155CC"/>
      </rPr>
      <t>자체플랫폼</t>
    </r>
    <r>
      <rPr>
        <color rgb="FF000000"/>
      </rPr>
      <t>카페</t>
    </r>
  </si>
  <si>
    <t>채널톡</t>
  </si>
  <si>
    <t>리디드로우</t>
  </si>
  <si>
    <t>러닝아넥스</t>
  </si>
  <si>
    <t>https://www.youtube.com/channel/UCj5YYh6XsUC518L-pT7w_DQ</t>
  </si>
  <si>
    <t>https://www.instagram.com/rd_drawdream/</t>
  </si>
  <si>
    <t>otow1500@gmail.com</t>
  </si>
  <si>
    <t>플랫폼 강의 중</t>
  </si>
  <si>
    <t>AI 상세피이지</t>
  </si>
  <si>
    <t>디자인위브</t>
  </si>
  <si>
    <t>zinna0875@gmail.com</t>
  </si>
  <si>
    <t>AI전반</t>
  </si>
  <si>
    <t>동테크</t>
  </si>
  <si>
    <r>
      <rPr>
        <color rgb="FF1155CC"/>
      </rPr>
      <t>개인 강의</t>
    </r>
    <r>
      <rPr/>
      <t>(특강 형식)</t>
    </r>
  </si>
  <si>
    <t>https://www.youtube.com/@%EB%8F%99%ED%85%8C%ED%81%AC/videos</t>
  </si>
  <si>
    <t>ai0255@naver.com</t>
  </si>
  <si>
    <t>오픈채팅</t>
  </si>
  <si>
    <t>AI영상제작</t>
  </si>
  <si>
    <t>솔랄라</t>
  </si>
  <si>
    <t>https://www.instagram.com/53.1tip?igsh=YjlsYnV1YWo5aXg=</t>
  </si>
  <si>
    <t xml:space="preserve"> solrr@naver.com</t>
  </si>
  <si>
    <t>AI영상제작/ 활용</t>
  </si>
  <si>
    <t>칼릭스</t>
  </si>
  <si>
    <t>https://www.instagram.com/calix.son?igsh=MWpuMWIyd3RhMWg4bQ==</t>
  </si>
  <si>
    <t>calixsonbiz@gmail.com</t>
  </si>
  <si>
    <t>강의 생각 없음</t>
  </si>
  <si>
    <t>sns 마케팅 (스레드)</t>
  </si>
  <si>
    <t>밍데이</t>
  </si>
  <si>
    <t>minggdailyy@gmail.com</t>
  </si>
  <si>
    <t>컨설팅</t>
  </si>
  <si>
    <t>AI 유튜브+ 쇼핑</t>
  </si>
  <si>
    <t>브랜디파이</t>
  </si>
  <si>
    <t>강의 소개</t>
  </si>
  <si>
    <t>유튜브쇼핑+3가지 수익화 컨텐츠 로 강의 진행</t>
  </si>
  <si>
    <t>리더인</t>
  </si>
  <si>
    <t>https://www.instagram.com/leedain_leader_in/</t>
  </si>
  <si>
    <t>소액경매</t>
  </si>
  <si>
    <t>아빠윤</t>
  </si>
  <si>
    <t>hwuan0@naver.com</t>
  </si>
  <si>
    <t>AI 마케팅 (네이버, 인스타)</t>
  </si>
  <si>
    <t>권순우</t>
  </si>
  <si>
    <t>AI영상</t>
  </si>
  <si>
    <t>마스터봇</t>
  </si>
  <si>
    <t>https://www.youtube.com/@masterbot/videos</t>
  </si>
  <si>
    <t>syu2429@naver.com</t>
  </si>
  <si>
    <t>민팀장</t>
  </si>
  <si>
    <t>리치픽스</t>
  </si>
  <si>
    <t>https://www.instagram.com/mk_moneytipip/?utm_source=ig_web_button_share_sheet</t>
  </si>
  <si>
    <t>리치픽스 강의 플랫폼 내에 소속 강사</t>
  </si>
  <si>
    <t>AI 비즈니스 코치</t>
  </si>
  <si>
    <t>라치유</t>
  </si>
  <si>
    <t>피그마 강의</t>
  </si>
  <si>
    <t>스태리빛나</t>
  </si>
  <si>
    <t>라이브 클래스</t>
  </si>
  <si>
    <t>hello.starrybitna@gmail.com</t>
  </si>
  <si>
    <t>인스타그램 릴스</t>
  </si>
  <si>
    <t>엠마쌤</t>
  </si>
  <si>
    <t>김인섭</t>
  </si>
  <si>
    <t>https://www.youtube.com/@AI%EC%95%8C%EB%A0%A4%EC%A3%BC%EB%8A%94%EB%82%A8%EC%9E%90-%EB%8D%B0%EB%B8%8C%EB%82%A8</t>
  </si>
  <si>
    <t>https://www.instagram.com/ai.devman/</t>
  </si>
  <si>
    <t>inseop0813@gmail.com</t>
  </si>
  <si>
    <t>AI이커머스</t>
  </si>
  <si>
    <t>롱비</t>
  </si>
  <si>
    <t>https://www.instagram.com/matt_choi88/</t>
  </si>
  <si>
    <t>블로리즘</t>
  </si>
  <si>
    <t>레드피플</t>
  </si>
  <si>
    <t>문단열</t>
  </si>
  <si>
    <t>https://www.instagram.com/ai.sadari/</t>
  </si>
  <si>
    <t>school@sadarifilm.com</t>
  </si>
  <si>
    <t>쿠팡, AI</t>
  </si>
  <si>
    <t>백만장자 앤더슨</t>
  </si>
  <si>
    <t>moneysrule@naver.com</t>
  </si>
  <si>
    <t>천은영</t>
  </si>
  <si>
    <t>https://www.youtube.com/@%EC%B2%9C%EC%9D%80%EC%98%81</t>
  </si>
  <si>
    <t>1000is0@1000is0.com</t>
  </si>
  <si>
    <t>AI 숏폼</t>
  </si>
  <si>
    <t>리지팍</t>
  </si>
  <si>
    <t>디지털거북이</t>
  </si>
  <si>
    <t>https://www.youtube.com/@digital_turtle/videos</t>
  </si>
  <si>
    <t>https://www.instagram.com/hyeoniji_kr</t>
  </si>
  <si>
    <t>digitalturtle@naver.com</t>
  </si>
  <si>
    <t>릴리셔스</t>
  </si>
  <si>
    <t>https://www.instagram.com/my_reels_studio/</t>
  </si>
  <si>
    <t>아리너</t>
  </si>
  <si>
    <t>https://www.instagram.com/ari.neo/</t>
  </si>
  <si>
    <t>sji099@naver.com</t>
  </si>
  <si>
    <t>튜이시</t>
  </si>
  <si>
    <t>https://www.youtube.com/@tuisydesign/featured</t>
  </si>
  <si>
    <t>tuisy@naver.com</t>
  </si>
  <si>
    <t>제휴마케팅</t>
  </si>
  <si>
    <t>럭키보이</t>
  </si>
  <si>
    <t>AI숏가이드</t>
  </si>
  <si>
    <t>cauliflower6@naver.com</t>
  </si>
  <si>
    <t>AI 영상 제작</t>
  </si>
  <si>
    <t>마론킴</t>
  </si>
  <si>
    <t>https://www.youtube.com/@maronkim/videos</t>
  </si>
  <si>
    <t>yesnoing@gmail.com</t>
  </si>
  <si>
    <t>비메오</t>
  </si>
  <si>
    <t>로켓그로스</t>
  </si>
  <si>
    <t>한드래곤</t>
  </si>
  <si>
    <t>https://www.youtube.com/@%ED%95%9C%EB%93%9C%EB%9E%98%EA%B3%A4TV</t>
  </si>
  <si>
    <t>k_cara@naver.com</t>
  </si>
  <si>
    <t>직사장</t>
  </si>
  <si>
    <t>X(무료)</t>
  </si>
  <si>
    <t>jickboss@naver.com</t>
  </si>
  <si>
    <t>해외 구매대행</t>
  </si>
  <si>
    <t>경험부자</t>
  </si>
  <si>
    <t>qnwkrkwmdk@naver.com</t>
  </si>
  <si>
    <t>인스타 릴스</t>
  </si>
  <si>
    <t>두뜬</t>
  </si>
  <si>
    <t>lilychoi_@naver.com</t>
  </si>
  <si>
    <t>숏폼 제작</t>
  </si>
  <si>
    <t>지나킴</t>
  </si>
  <si>
    <t>jina@itsusmedia.com</t>
  </si>
  <si>
    <t>릴스PD 런디</t>
  </si>
  <si>
    <t>https://www.instagram.com/runup.director/</t>
  </si>
  <si>
    <t>릴스카이</t>
  </si>
  <si>
    <t>쇼츠인사이트</t>
  </si>
  <si>
    <t>협업 카카오톡</t>
  </si>
  <si>
    <t>수민</t>
  </si>
  <si>
    <t>피그마 AI</t>
  </si>
  <si>
    <t>피그마리온</t>
  </si>
  <si>
    <t>https://www.youtube.com/@figmaleon/featured</t>
  </si>
  <si>
    <t>chamelidotz@gmail.com</t>
  </si>
  <si>
    <t>AI 숏폼 수익화</t>
  </si>
  <si>
    <t>감격 AI | 숏폼 멘토</t>
  </si>
  <si>
    <t>ladytitan@naver.com</t>
  </si>
  <si>
    <t>AI수익화초월차선, AI상상력대장</t>
  </si>
  <si>
    <t>AI 숏폼 + 쿠팡 수익화</t>
  </si>
  <si>
    <t>재테크 수익화 연구소</t>
  </si>
  <si>
    <t>개인(전자책)</t>
  </si>
  <si>
    <t>nsff2023@naver.com</t>
  </si>
  <si>
    <t>유튜브 수익화</t>
  </si>
  <si>
    <t>회사원A</t>
  </si>
  <si>
    <t>https://www.youtube.com/@calarygirl</t>
  </si>
  <si>
    <t>garickson18@gmail.com</t>
  </si>
  <si>
    <t>밍빵</t>
  </si>
  <si>
    <t>온선</t>
  </si>
  <si>
    <t>https://www.youtube.com/@%EC%98%A8%EC%84%A0/videos</t>
  </si>
  <si>
    <t>kej90916@gmail.com</t>
  </si>
  <si>
    <t>남시언</t>
  </si>
  <si>
    <t>https://www.youtube.com/@%EB%82%A8%EC%8B%9C%EC%96%B8%EC%BD%98%ED%85%90%EC%B8%A0%EB%9E%A9/videos</t>
  </si>
  <si>
    <t>skatldjs@gmail.com</t>
  </si>
  <si>
    <t>쿠팡</t>
  </si>
  <si>
    <t>돌벌자옹</t>
  </si>
  <si>
    <t>개인_전자책 1</t>
  </si>
  <si>
    <t>https://www.youtube.com/@310-ty4ml/videos</t>
  </si>
  <si>
    <t>alwayz.billionsecret@gmail.com</t>
  </si>
  <si>
    <t>개인_전자책 2</t>
  </si>
  <si>
    <t>김이솝</t>
  </si>
  <si>
    <t>https://www.youtube.com/@%EA%B9%80%EC%9D%B4%EC%86%9D%EC%9D%98AI%EA%B0%80%EC%9D%B4%EB%93%9C/videos</t>
  </si>
  <si>
    <t>https://www.instagram.com/aiguideaesop/</t>
  </si>
  <si>
    <t>aiguideforme@gmail.com</t>
  </si>
  <si>
    <t>오토비</t>
  </si>
  <si>
    <t>hceo0518@naver.com</t>
  </si>
  <si>
    <t>AI툴도그</t>
  </si>
  <si>
    <t>AI 음악 유튜브</t>
  </si>
  <si>
    <t>브리즈무드</t>
  </si>
  <si>
    <t>https://www.youtube.com/@BreezeMood</t>
  </si>
  <si>
    <t>https://www.instagram.com/breezemood_/</t>
  </si>
  <si>
    <t>breeze1mood@gmail.com</t>
  </si>
  <si>
    <t>그로우mi</t>
  </si>
  <si>
    <t>https://www.youtube.com/@%EA%B7%B8%EB%A1%9C%EC%9A%B0mi/shorts</t>
  </si>
  <si>
    <t>hazelsu93@naver.com</t>
  </si>
  <si>
    <t>AI 아트</t>
  </si>
  <si>
    <t>따능이</t>
  </si>
  <si>
    <t>사직인생</t>
  </si>
  <si>
    <t>https://www.instagram.com/40saimaster/</t>
  </si>
  <si>
    <t>일본 구매대행</t>
  </si>
  <si>
    <t>미니멀 수출러 큐니오</t>
  </si>
  <si>
    <t>전자책(개인)</t>
  </si>
  <si>
    <t>https://www.youtube.com/@qoonio</t>
  </si>
  <si>
    <t>qoonioinoop@gmail.com</t>
  </si>
  <si>
    <t>성장팩트</t>
  </si>
  <si>
    <t>jipfact@gmail.com</t>
  </si>
  <si>
    <t>일상Ai</t>
  </si>
  <si>
    <t>개인(오픈채팅 링크)</t>
  </si>
  <si>
    <t>daily-ai@naver.com</t>
  </si>
  <si>
    <t>강의 개인 카페 운영</t>
  </si>
  <si>
    <t>AI 자동화</t>
  </si>
  <si>
    <t>노다지 AI</t>
  </si>
  <si>
    <t>https://www.youtube.com/@nodaji_ai/videos</t>
  </si>
  <si>
    <t>hsnikos@dothegy.org</t>
  </si>
  <si>
    <t>AI토리</t>
  </si>
  <si>
    <t>js30market@naver.com</t>
  </si>
  <si>
    <t>AI 부업왕 / 안동수(풍요)</t>
  </si>
  <si>
    <t>개인 카페</t>
  </si>
  <si>
    <t>https://youtube.com/channel/UCqZEEbX8I1B6Sl5rZoYpr_g?si=PcEQsXIJQc-50fVu</t>
  </si>
  <si>
    <t>https://www.instagram.com/ai_success_making?igsh=NDV4YWs5bGMyaHAy</t>
  </si>
  <si>
    <t>aptk5925@gmail.com</t>
  </si>
  <si>
    <t>도서판매</t>
  </si>
  <si>
    <t>Ai 영상</t>
  </si>
  <si>
    <t>엔라이트랩 / 박감독</t>
  </si>
  <si>
    <t>dazoenkr@naver.com</t>
  </si>
  <si>
    <t>꿀빠는 미어캣</t>
  </si>
  <si>
    <t>챗GPT AI 강사 이유림</t>
  </si>
  <si>
    <t>하영</t>
  </si>
  <si>
    <t>https://www.instagram.com/hayoungdropship?utm_source=ig_web_button_share_sheet&amp;igsh=cWx5Nmc0dDh1aG94</t>
  </si>
  <si>
    <t>loveubambi@naver.com</t>
  </si>
  <si>
    <t>콘텐츠 제작</t>
  </si>
  <si>
    <t>서노</t>
  </si>
  <si>
    <t>AI 수익화 릴스</t>
  </si>
  <si>
    <t>릴스몬</t>
  </si>
  <si>
    <t>기계왕곽두팔</t>
  </si>
  <si>
    <t>sunjuntomato@naver.com</t>
  </si>
  <si>
    <t>AI 자동화 셀러</t>
  </si>
  <si>
    <t>엄필승,나홀로 AI</t>
  </si>
  <si>
    <t>youandmer12@naver.com</t>
  </si>
  <si>
    <t>릴스요정</t>
  </si>
  <si>
    <t>백준사</t>
  </si>
  <si>
    <r>
      <rPr>
        <rFont val="Arial"/>
        <color theme="1"/>
      </rPr>
      <t xml:space="preserve">Dreamlike / </t>
    </r>
    <r>
      <rPr>
        <rFont val="Arial"/>
        <color rgb="FFFF0000"/>
      </rPr>
      <t>(셀팜님 제자)</t>
    </r>
  </si>
  <si>
    <t>https://www.youtube.com/@DreamlikeAI-l6d/shorts</t>
  </si>
  <si>
    <t>https://www.instagram.com/dreamlikeai_/</t>
  </si>
  <si>
    <t>rilla8795@gmail.com</t>
  </si>
  <si>
    <t>셀팜님 제자_ 확인필요</t>
  </si>
  <si>
    <t>개발의신</t>
  </si>
  <si>
    <t>AI김박사</t>
  </si>
  <si>
    <t>머니한잔</t>
  </si>
  <si>
    <t>https://www.youtube.com/@%EB%A8%B8%EB%8B%88%ED%95%9C%EC%9E%94</t>
  </si>
  <si>
    <t>moneyhanjan@gmail.com</t>
  </si>
  <si>
    <t>유튜브 쇼츠</t>
  </si>
  <si>
    <t>큐레이터 단비</t>
  </si>
  <si>
    <t>danbiya.min.inter@gmail.com</t>
  </si>
  <si>
    <t>패디PC</t>
  </si>
  <si>
    <t>mlucy@naver.com</t>
  </si>
  <si>
    <t>크몽</t>
  </si>
  <si>
    <t>gptmoneytrack99@gmail.com</t>
  </si>
  <si>
    <t>겨울작가</t>
  </si>
  <si>
    <t>10억만든최대표</t>
  </si>
  <si>
    <t>cddmh11@gmail.com</t>
  </si>
  <si>
    <t>AI 컨텐츠 수익화</t>
  </si>
  <si>
    <t>돈버는 문어</t>
  </si>
  <si>
    <t>tenmiles22@naver.com</t>
  </si>
  <si>
    <t>유돈노</t>
  </si>
  <si>
    <t>클래스 101 전자책</t>
  </si>
  <si>
    <t>likiarch@naver.com</t>
  </si>
  <si>
    <t>AI 홈페이지 제작</t>
  </si>
  <si>
    <t>안레토</t>
  </si>
  <si>
    <t>자체 프로필 링크</t>
  </si>
  <si>
    <t>해디</t>
  </si>
  <si>
    <t>AI쌉파써블</t>
  </si>
  <si>
    <t>마케토리</t>
  </si>
  <si>
    <t>기사</t>
  </si>
  <si>
    <t>delpicorp@naver.com</t>
  </si>
  <si>
    <t>프로원페이지</t>
  </si>
  <si>
    <t>숏폼 수익화</t>
  </si>
  <si>
    <t>선가이드 (틱톡맨)</t>
  </si>
  <si>
    <t>레민</t>
  </si>
  <si>
    <t>ai PPT 제작</t>
  </si>
  <si>
    <t>율리</t>
  </si>
  <si>
    <t>https://www.instagram.com/adventure__dori/</t>
  </si>
  <si>
    <t>studio.dori01@gmail.com</t>
  </si>
  <si>
    <t>유튜브AI</t>
  </si>
  <si>
    <t>신인철</t>
  </si>
  <si>
    <t>http://www.youtube.com/@%EC%9C%A0%ED%8A%9C%EB%B8%8C%EC%8B%A0%EC%8C%A4</t>
  </si>
  <si>
    <t>AI를 활용한 글쓰기도 진행</t>
  </si>
  <si>
    <t>AI 자동화 부업</t>
  </si>
  <si>
    <t>송성현</t>
  </si>
  <si>
    <t>부업의 달인</t>
  </si>
  <si>
    <t>SNS 수익화 &amp; AI 자동화</t>
  </si>
  <si>
    <t>리틀리(프로필)</t>
  </si>
  <si>
    <t>인프랩</t>
  </si>
  <si>
    <t>https://www.youtube.com/@%EA%B3%B5%EC%82%AC%EC%9E%A5-w1p/shorts</t>
  </si>
  <si>
    <t>https://www.instagram.com/ukwaehan_0sajang</t>
  </si>
  <si>
    <t>ukwaehan0sajang@gmail.com</t>
  </si>
  <si>
    <t>소자본 쇼핑몰</t>
  </si>
  <si>
    <t>주수현</t>
  </si>
  <si>
    <t>러브미겸</t>
  </si>
  <si>
    <t>https://www.instagram.com/luvme.gyeom</t>
  </si>
  <si>
    <t>SNS 수익화</t>
  </si>
  <si>
    <t>TOPS 꼬미(정아현)</t>
  </si>
  <si>
    <t>PPT</t>
  </si>
  <si>
    <t>디모</t>
  </si>
  <si>
    <t>번호:01059225147</t>
  </si>
  <si>
    <t>영상편집</t>
  </si>
  <si>
    <t>요시요</t>
  </si>
  <si>
    <t>자체홈</t>
  </si>
  <si>
    <t>gobisang1023@naver.com</t>
  </si>
  <si>
    <t>중복</t>
  </si>
  <si>
    <t>이동영 마케터</t>
  </si>
  <si>
    <t>자체 구글폼</t>
  </si>
  <si>
    <t>https://www.youtube.com/@dylee_marketer_ceo/</t>
  </si>
  <si>
    <t>https://www.instagram.com/dylee_marketer?utm_source=ig_web_button_share_sheet&amp;igsh=ZDNlZDc0MzIxNw==</t>
  </si>
  <si>
    <t>예스릴스</t>
  </si>
  <si>
    <t>자체 프로필</t>
  </si>
  <si>
    <t>아마존 셀링</t>
  </si>
  <si>
    <t>아셀</t>
  </si>
  <si>
    <t>월급쟁이부자들</t>
  </si>
  <si>
    <t>https://www.youtube.com/@amazonseller_asell/videos</t>
  </si>
  <si>
    <t>asell2022@naver.com</t>
  </si>
  <si>
    <t>AI 유튜브 수익형 채널</t>
  </si>
  <si>
    <t>김새벽</t>
  </si>
  <si>
    <t>어쩌다부업</t>
  </si>
  <si>
    <t>해외구매대행을 운영, 형제가 운영하는 회사 있음</t>
  </si>
  <si>
    <t>SNS 수익화 및 AI 숏츠</t>
  </si>
  <si>
    <t>마케팅뷰 서별님</t>
  </si>
  <si>
    <t>marketing_b@naver.com</t>
  </si>
  <si>
    <t>숏츠, 릴스 제작 대행사 운영</t>
  </si>
  <si>
    <t>AI 숏츠 및 수익화</t>
  </si>
  <si>
    <t>N잡학교</t>
  </si>
  <si>
    <t>https://www.youtube.com/@N%EC%9E%A1%ED%95%99%EA%B5%90</t>
  </si>
  <si>
    <t>nomadbird23@gmail.com</t>
  </si>
  <si>
    <t>유튜브 길라잡이 특강</t>
  </si>
  <si>
    <t>AI 이미지 &amp; 영상 콘텐츠 제작자</t>
  </si>
  <si>
    <t>강은비</t>
  </si>
  <si>
    <t>AI 마트</t>
  </si>
  <si>
    <t>https://www.youtube.com/@AI%EB%A7%88%ED%8A%B8/featured</t>
  </si>
  <si>
    <t>https://www.instagram.com/ai.m.art</t>
  </si>
  <si>
    <t>ai.m.art.storemanager@gmail.com</t>
  </si>
  <si>
    <t>튜브렌즈</t>
  </si>
  <si>
    <t>프로그램 홈페이지</t>
  </si>
  <si>
    <t>https://www.youtube.com/@%ED%8A%9C%EB%B8%8C%EB%A0%8C%EC%A6%88</t>
  </si>
  <si>
    <t>tubelens24@gmail.com</t>
  </si>
  <si>
    <t>AI 유튜브 제작</t>
  </si>
  <si>
    <t>AInspire</t>
  </si>
  <si>
    <t>강의홈페이지</t>
  </si>
  <si>
    <t>https://www.youtube.com/@AInspire_kr</t>
  </si>
  <si>
    <t>https://www.instagram.com/ainspire_kr</t>
  </si>
  <si>
    <t>gun@vavaland.co.kr</t>
  </si>
  <si>
    <t>유튜브 쇼츠 수익화</t>
  </si>
  <si>
    <t>돈썰미</t>
  </si>
  <si>
    <r>
      <rPr>
        <color rgb="FF1155CC"/>
      </rPr>
      <t>자체 홈페이지</t>
    </r>
    <r>
      <rPr>
        <color rgb="FF000000"/>
      </rPr>
      <t>(전자책)</t>
    </r>
  </si>
  <si>
    <t>https://www.youtube.com/@donssulmee</t>
  </si>
  <si>
    <t>susipass911@naver.com</t>
  </si>
  <si>
    <t>유튜브 영상 편집</t>
  </si>
  <si>
    <t>잇비</t>
  </si>
  <si>
    <r>
      <rPr>
        <color rgb="FF1155CC"/>
      </rPr>
      <t>자체 홈페이지</t>
    </r>
    <r>
      <rPr/>
      <t>(전자책)</t>
    </r>
  </si>
  <si>
    <t>https://www.youtube.com/@itbe467/videos</t>
  </si>
  <si>
    <t>itbe467@gmail.com</t>
  </si>
  <si>
    <t>유튜브 콘텐츠 퍼스널 브랜딩</t>
  </si>
  <si>
    <t>비전마케터, 루카스</t>
  </si>
  <si>
    <t>leeswookdbd1@naver.com</t>
  </si>
  <si>
    <t>현재 2기 모집중</t>
  </si>
  <si>
    <t>중년 유튜브 교육</t>
  </si>
  <si>
    <t>중튜브양쌤</t>
  </si>
  <si>
    <t>카톡 오픈채팅방</t>
  </si>
  <si>
    <t>yst12388@naver.com</t>
  </si>
  <si>
    <t>오프라인 수업진행</t>
  </si>
  <si>
    <t>키홈</t>
  </si>
  <si>
    <t>자체 네이버 카페</t>
  </si>
  <si>
    <t>https://www.youtube.com/@kihome15</t>
  </si>
  <si>
    <t>kihome15@gmail.com</t>
  </si>
  <si>
    <t>AI 콘텐츠 수익화</t>
  </si>
  <si>
    <t>오은환의 하이라이트</t>
  </si>
  <si>
    <t>자체 플렛폼</t>
  </si>
  <si>
    <t>AI 쇼츠 영상 제작</t>
  </si>
  <si>
    <t>인공지능마켓 강하니</t>
  </si>
  <si>
    <t>https://www.youtube.com/@ai_market</t>
  </si>
  <si>
    <t>aimarket7777@gmail.com</t>
  </si>
  <si>
    <t>시니어 쇼츠 제작</t>
  </si>
  <si>
    <t>시니어 백세습관</t>
  </si>
  <si>
    <t>https://www.youtube.com/@%EC%8B%9C%EB%8B%88%EC%96%B4%EB%B0%B1%EC%84%B8%EC%8A%B5%EA%B4%80/shorts</t>
  </si>
  <si>
    <t>praipan11@naver.com</t>
  </si>
  <si>
    <t>시니어 롱폼제작</t>
  </si>
  <si>
    <t>유튜브팩토리</t>
  </si>
  <si>
    <t>https://www.youtube.com/@%EC%9C%A0%ED%8A%9C%EB%B8%8C%ED%8C%A9%ED%86%A0%EB%A6%AC23</t>
  </si>
  <si>
    <t xml:space="preserve">callos9987@gmail.com </t>
  </si>
  <si>
    <t>유료스터디4기 진행중
1:1 오픈채팅방운영, callos9987@gmail.com</t>
  </si>
  <si>
    <t>유튜브 마케팅</t>
  </si>
  <si>
    <t>진상호</t>
  </si>
  <si>
    <t>돈노리</t>
  </si>
  <si>
    <t>https://m.youtube.com/channel/UCD6-S1HwLyfeJ1XulMJMxnw</t>
  </si>
  <si>
    <t>https://www.instagram.com/donnori123?igsh=MTh3ZmxsMXlqeHl5dQ==</t>
  </si>
  <si>
    <t>alswlyungeon@gmail.com</t>
  </si>
  <si>
    <t>트릭볼러</t>
  </si>
  <si>
    <t>http://www.youtube.com/@%ED%8A%B8%EB%A6%AD%EB%B3%BC%EB%9F%AC</t>
  </si>
  <si>
    <t>trickbowler300@gmail.com</t>
  </si>
  <si>
    <t>유튜브+로켓그로스 등</t>
  </si>
  <si>
    <t>투트랙</t>
  </si>
  <si>
    <t>자체모집</t>
  </si>
  <si>
    <t>http://www.youtube.com/@twotrack584</t>
  </si>
  <si>
    <t>qoo10_lodestar@naver.com</t>
  </si>
  <si>
    <t>일본구매대행 관련 니즈 있음</t>
  </si>
  <si>
    <t>AI 유튜브 (애니메이션 제작)</t>
  </si>
  <si>
    <t>박해선</t>
  </si>
  <si>
    <t>제이의 AI 도서관</t>
  </si>
  <si>
    <t>https://www.youtube.com/@JsAILibrary</t>
  </si>
  <si>
    <t>jaypark@starformation.co.uk</t>
  </si>
  <si>
    <t>AI 인스타툰 수익화</t>
  </si>
  <si>
    <t>미스멍디</t>
  </si>
  <si>
    <t>터닝포인트스쿨</t>
  </si>
  <si>
    <t>https://www.instagram.com/mungdi_/</t>
  </si>
  <si>
    <t>AI 코딩</t>
  </si>
  <si>
    <t>위혜민</t>
  </si>
  <si>
    <t>조코딩</t>
  </si>
  <si>
    <t>홈페이지</t>
  </si>
  <si>
    <t>https://www.youtube.com/@jocoding/videos</t>
  </si>
  <si>
    <t>https://www.instagram.com/youtubejocoding/</t>
  </si>
  <si>
    <t>business@jocoding.net</t>
  </si>
  <si>
    <t>AI 쇼츠 제작 + 유튜브 데이터 검색</t>
  </si>
  <si>
    <t>비드헌트</t>
  </si>
  <si>
    <t>help.vidhunt@gmail.com</t>
  </si>
  <si>
    <t>무료라는 점을 엄청 어필</t>
  </si>
  <si>
    <t>조솔비</t>
  </si>
  <si>
    <t>워커홀릭</t>
  </si>
  <si>
    <t>자체 모집</t>
  </si>
  <si>
    <t>카카오 1:1 오픈채팅</t>
  </si>
  <si>
    <t>라이프2.0</t>
  </si>
  <si>
    <t>https://www.youtube.com/watch?v=3evSj5BG-H4</t>
  </si>
  <si>
    <t>moonyoungbiz@gmail.com</t>
  </si>
  <si>
    <t>AI 수익형 유튜브</t>
  </si>
  <si>
    <t>컨짱</t>
  </si>
  <si>
    <t>본인 홈페이지</t>
  </si>
  <si>
    <t>ahaimpact.info@gmail.com</t>
  </si>
  <si>
    <t>최기쁨</t>
  </si>
  <si>
    <t>현프리</t>
  </si>
  <si>
    <t>passion2122@naver.com</t>
  </si>
  <si>
    <t>ai숏폼</t>
  </si>
  <si>
    <t>rpumkey</t>
  </si>
  <si>
    <t>자체 스마트스토어</t>
  </si>
  <si>
    <t>https://www.youtube.com/@rpumkey</t>
  </si>
  <si>
    <t>joohyeonly@gmail.com</t>
  </si>
  <si>
    <t>휴대폰번호:010-7114-5418</t>
  </si>
  <si>
    <t>온라인재택부업 민파파</t>
  </si>
  <si>
    <t>민파파</t>
  </si>
  <si>
    <t>네이버프리미엄</t>
  </si>
  <si>
    <t>네이버프리미엄에서만</t>
  </si>
  <si>
    <t>honeyline1122@gmail.com</t>
  </si>
  <si>
    <t>010-6755-1882</t>
  </si>
  <si>
    <t>ai블로그</t>
  </si>
  <si>
    <t>꿀이작가</t>
  </si>
  <si>
    <t>https://www.instagram.com/zete.dream/</t>
  </si>
  <si>
    <t>zete.dream@gmail.com</t>
  </si>
  <si>
    <t>아이리스</t>
  </si>
  <si>
    <r>
      <rPr>
        <color rgb="FF000000"/>
      </rPr>
      <t>자체</t>
    </r>
    <r>
      <rPr>
        <color rgb="FF1155CC"/>
      </rPr>
      <t>블로그</t>
    </r>
  </si>
  <si>
    <t>https://www.instagram.com/iris__shorts/</t>
  </si>
  <si>
    <t>테디의머니랩</t>
  </si>
  <si>
    <t>AI머니</t>
  </si>
  <si>
    <t>유튜브 롱폼</t>
  </si>
  <si>
    <t>유퇴남</t>
  </si>
  <si>
    <t>달플아카데미</t>
  </si>
  <si>
    <t>유튜브 숏폼</t>
  </si>
  <si>
    <t>쇼츠학개론</t>
  </si>
  <si>
    <t>N잡뛰는싼타</t>
  </si>
  <si>
    <t>카앨</t>
  </si>
  <si>
    <t>AI쇼룸</t>
  </si>
  <si>
    <t>AI 마케팅 자동화</t>
  </si>
  <si>
    <t>똑사장</t>
  </si>
  <si>
    <t>업페이지</t>
  </si>
  <si>
    <t>https://www.youtube.com/@%EB%98%91%EC%82%AC%EC%9E%A5</t>
  </si>
  <si>
    <t>https://www.instagram.com/ttok_sajang/</t>
  </si>
  <si>
    <t>jbram4995@naver.com</t>
  </si>
  <si>
    <t>양작가</t>
  </si>
  <si>
    <t>https://www.youtube.com/@%EC%96%91%EC%9E%91%EA%B0%802/videos</t>
  </si>
  <si>
    <t>jaggayang@gmail.com</t>
  </si>
  <si>
    <t>옐로우미디어</t>
  </si>
  <si>
    <t>자체홈페이지</t>
  </si>
  <si>
    <t>https://www.youtube.com/@N%EC%9E%A1%EC%97%B0%EA%B5%AC%EC%86%8C/videos</t>
  </si>
  <si>
    <t>yellowmedia.ad@gmail.com</t>
  </si>
  <si>
    <t>해외 판매 AI 마케팅</t>
  </si>
  <si>
    <t>수미남</t>
  </si>
  <si>
    <t>E. ahaimpact.info@gmail.com</t>
  </si>
  <si>
    <t>AI유튜브 (시니어크리에이터협회장)</t>
  </si>
  <si>
    <t>박철우 = 트루팍</t>
  </si>
  <si>
    <t>https://www.youtube.com/@truepark</t>
  </si>
  <si>
    <t>https://www.instagram.com/trueparkpro/</t>
  </si>
  <si>
    <t>true-park@naver.com</t>
  </si>
  <si>
    <r>
      <rPr/>
      <t xml:space="preserve">카카오톡 채널 '트루팍' </t>
    </r>
    <r>
      <rPr>
        <color rgb="FF1155CC"/>
      </rPr>
      <t>bit.ly/true_chat</t>
    </r>
  </si>
  <si>
    <t>해외구매대행, 유튜브쇼핑, 쇼츠</t>
  </si>
  <si>
    <t>재리랜서</t>
  </si>
  <si>
    <t>https://www.youtube.com/@jarrylancer/videos</t>
  </si>
  <si>
    <t>jjarrylancer@gmail.com</t>
  </si>
  <si>
    <t>유튜브랜드</t>
  </si>
  <si>
    <t>100thgrowup@gmail.com</t>
  </si>
  <si>
    <t>게으른유튜버</t>
  </si>
  <si>
    <t>자체 프로필링크</t>
  </si>
  <si>
    <t>https://youtube.com/channel/UCDATvKmotWRx5B3dAGSW6Ng?si=TyRAlkVZJGgWmcfL</t>
  </si>
  <si>
    <t>https://www.instagram.com/idle_youtuber/</t>
  </si>
  <si>
    <t>munmaster@naver.com</t>
  </si>
  <si>
    <t>얼굴 공개 없이 운영</t>
  </si>
  <si>
    <t>루앙데이</t>
  </si>
  <si>
    <t>O(자쳬)</t>
  </si>
  <si>
    <t>자체 블로그 랜딩</t>
  </si>
  <si>
    <t>https://www.youtube.com/@ruangday/videos</t>
  </si>
  <si>
    <t>taront@naver.com</t>
  </si>
  <si>
    <t>캡컷 활용한 강사</t>
  </si>
  <si>
    <t>쇼츠 베이커</t>
  </si>
  <si>
    <t>이 외 여러 채널을 함께 운영</t>
  </si>
  <si>
    <t>AI 패션 디자인</t>
  </si>
  <si>
    <t>디자이너 SJ</t>
  </si>
  <si>
    <t>개인 홈페이지</t>
  </si>
  <si>
    <t>진필</t>
  </si>
  <si>
    <t>010-2474-4516</t>
  </si>
  <si>
    <t>숏폼+마케팅</t>
  </si>
  <si>
    <t>캡틴나나</t>
  </si>
  <si>
    <t>https://www.youtube.com/@captain_nana</t>
  </si>
  <si>
    <t>http://instagram.com/its_captain.nana</t>
  </si>
  <si>
    <t>sellution.official0@gmail.com</t>
  </si>
  <si>
    <t>미국형</t>
  </si>
  <si>
    <t>https://www.youtube.com/@%EB%AF%B8%EA%B5%AD%ED%98%95-x4u</t>
  </si>
  <si>
    <t>migukhyung@gmail.com</t>
  </si>
  <si>
    <t>강의 플랫폼과 유튜버가 동일인 여부 확인 필요</t>
  </si>
  <si>
    <t>무비곰</t>
  </si>
  <si>
    <t>https://www.youtube.com/@%EB%AC%B4B%EA%B3%B0/videos</t>
  </si>
  <si>
    <t>moviebeargomgom@gmail.com</t>
  </si>
  <si>
    <t>AI 시니어 쇼츠</t>
  </si>
  <si>
    <t>인생향기</t>
  </si>
  <si>
    <t>https://www.youtube.com/@%EC%9D%B8%EC%83%9D%ED%96%A5%EA%B8%B01/shorts</t>
  </si>
  <si>
    <t xml:space="preserve"> jhjang82@naver.com</t>
  </si>
  <si>
    <t>스마트대디</t>
  </si>
  <si>
    <t>https://www.youtube.com/@%EC%8A%A4%EB%A7%88%ED%8A%B8%EB%8C%80%EB%94%94</t>
  </si>
  <si>
    <t>smartdaddyai@gmail.com</t>
  </si>
  <si>
    <t>머니무어</t>
  </si>
  <si>
    <t>자체유튜브</t>
  </si>
  <si>
    <t>https://www.youtube.com/@moneymoore-w2v</t>
  </si>
  <si>
    <t>http://bit.ly/4nDD7kd</t>
  </si>
  <si>
    <t>hdh1259@gmail.com</t>
  </si>
  <si>
    <t>전자책판매중</t>
  </si>
  <si>
    <t>휴먼브로</t>
  </si>
  <si>
    <t>https://www.instagram.com/human__bro?igsh=MWl0OGh0bXp1cndrYw==</t>
  </si>
  <si>
    <t>jobbychance@naver.com</t>
  </si>
  <si>
    <t>AI 쇼츠, 스레드</t>
  </si>
  <si>
    <t>노마드폼</t>
  </si>
  <si>
    <t>https://www.instagram.com/nd_form?igsh=MTR2aDlwbjNrYnZ4dg==</t>
  </si>
  <si>
    <t>AI LOL LAB 재테크 수익화 연구소</t>
  </si>
  <si>
    <t>https://www.youtube.com/@AI-LOLLAB/featured</t>
  </si>
  <si>
    <t>https://www.instagram.com/ai__lol__lab?igsh=MTlhZnh1cDNhNmYzNg%3D%3D</t>
  </si>
  <si>
    <t>manalove76@naver.com</t>
  </si>
  <si>
    <t>유튜브 수익화 / 건기식</t>
  </si>
  <si>
    <t xml:space="preserve">프로 권프로TV </t>
  </si>
  <si>
    <t>sharpkwon@gmail.com(010-7615-0844)</t>
  </si>
  <si>
    <t>유튜버랩</t>
  </si>
  <si>
    <t>유튜브 브랜드 수익화</t>
  </si>
  <si>
    <t>비블</t>
  </si>
  <si>
    <t>https://www.youtube.com/@bibl_youtube/videos</t>
  </si>
  <si>
    <t>https://www.instagram.com/accounts/login/?next=%2Fbibl_youtube%2F&amp;source=omni_redirect</t>
  </si>
  <si>
    <t>bibl.content.official@gmail.com</t>
  </si>
  <si>
    <t>AI 유튜브 시니어 채널</t>
  </si>
  <si>
    <t>온라인 사장</t>
  </si>
  <si>
    <t>https://www.youtube.com/@%EC%98%A8%EB%9D%BC%EC%9D%B8%EC%82%AC%EC%9E%A5</t>
  </si>
  <si>
    <t>online_ceo@naver.com</t>
  </si>
  <si>
    <t>쇼츠 쿠파스</t>
  </si>
  <si>
    <t>부업부자</t>
  </si>
  <si>
    <t>https://www.youtube.com/@%EB%B6%80%EC%97%85%EC%9C%BC%EB%A1%9C%EB%B6%80%EC%9E%90</t>
  </si>
  <si>
    <t>sellall5176@gmail.com</t>
  </si>
  <si>
    <t>AI 해외구매대행</t>
  </si>
  <si>
    <t>홍시삼분</t>
  </si>
  <si>
    <t>피그마 디자이너</t>
  </si>
  <si>
    <t>피튜브</t>
  </si>
  <si>
    <t>http://www.youtube.com/@figma_tutor</t>
  </si>
  <si>
    <t>http://instagram.com/figma_tutor</t>
  </si>
  <si>
    <t>yiseo@figmatutor.info</t>
  </si>
  <si>
    <t>Dreamatic asmr</t>
  </si>
  <si>
    <t>https://www.youtube.com/@Dreamaticasmr</t>
  </si>
  <si>
    <t>https://www.instagram.com/dreamatic_asmr/</t>
  </si>
  <si>
    <t>dreamaticasmr@gmail.com</t>
  </si>
  <si>
    <t>ai asmr 영상으로 조회수수익</t>
  </si>
  <si>
    <t>마케팅김이사 - AI 마케팅 자동화</t>
  </si>
  <si>
    <r>
      <rPr>
        <rFont val="Arial"/>
      </rPr>
      <t>정보방:</t>
    </r>
    <r>
      <rPr>
        <rFont val="Arial"/>
        <color rgb="FF1155CC"/>
      </rPr>
      <t>카카오 오픈채팅방</t>
    </r>
    <r>
      <rPr>
        <rFont val="Arial"/>
      </rPr>
      <t>(참여코드1234),
강의안내:</t>
    </r>
    <r>
      <rPr>
        <rFont val="Arial"/>
        <color rgb="FF1155CC"/>
      </rPr>
      <t>노션</t>
    </r>
  </si>
  <si>
    <t>퀵리치</t>
  </si>
  <si>
    <t>https://www.instagram.com/quick_richx/reels/</t>
  </si>
  <si>
    <t>ehdrb2571@gmail.com</t>
  </si>
  <si>
    <t>AI sns수익화</t>
  </si>
  <si>
    <t>송핑</t>
  </si>
  <si>
    <t>https://www.youtube.com/@%EB%9D%BC%EC%9D%B4%ED%94%84%EB%9F%AC%EB%8B%9D098</t>
  </si>
  <si>
    <t>https://www.instagram.com/song_ping7/reels/</t>
  </si>
  <si>
    <t>shm3966@naver.com</t>
  </si>
  <si>
    <t>10/31 오후8시 개인 무료강의 예정</t>
  </si>
  <si>
    <t>인별천재</t>
  </si>
  <si>
    <t>삼쩜삼캠퍼스</t>
  </si>
  <si>
    <t>AI 로고</t>
  </si>
  <si>
    <t>그리미아트</t>
  </si>
  <si>
    <t>https://www.instagram.com/grimiartdesign/#</t>
  </si>
  <si>
    <t>grimiart6432@naver.com</t>
  </si>
  <si>
    <t>김채린</t>
  </si>
  <si>
    <t>matching ai</t>
  </si>
  <si>
    <t>AI 캐릭터 유튜브</t>
  </si>
  <si>
    <t>드론여행가</t>
  </si>
  <si>
    <t>릴스 수익화</t>
  </si>
  <si>
    <t>승재</t>
  </si>
  <si>
    <t>https://www.instagram.com/hk3rb/</t>
  </si>
  <si>
    <t>유민정</t>
  </si>
  <si>
    <t>이종윤</t>
  </si>
  <si>
    <t>번호 01049295685</t>
  </si>
  <si>
    <t>시니어 타겟 숏폼</t>
  </si>
  <si>
    <t>낭만싸부(이지쇼츠)</t>
  </si>
  <si>
    <r>
      <rPr>
        <color rgb="FF1155CC"/>
      </rPr>
      <t>업스킬</t>
    </r>
    <r>
      <rPr>
        <color rgb="FF000000"/>
      </rPr>
      <t xml:space="preserve">, </t>
    </r>
    <r>
      <rPr>
        <color rgb="FF1155CC"/>
      </rPr>
      <t>개인카페</t>
    </r>
  </si>
  <si>
    <t>ugotapower@gmail.com</t>
  </si>
  <si>
    <t>존잘라스</t>
  </si>
  <si>
    <r>
      <rPr/>
      <t>요즘은 쓰레드 + 블로그 부업 하시는 것 같습니다/</t>
    </r>
    <r>
      <rPr>
        <color rgb="FF1155CC"/>
      </rPr>
      <t>카카오톡 채널 링크</t>
    </r>
  </si>
  <si>
    <t>이모티콘 제작</t>
  </si>
  <si>
    <t>김나무</t>
  </si>
  <si>
    <t>https://www.instagram.com/namukim_/</t>
  </si>
  <si>
    <t xml:space="preserve">틱톡 라이브 </t>
  </si>
  <si>
    <t>틱알남</t>
  </si>
  <si>
    <t>https://youtube.com/channel/UCJwcwLKccXOK88Wqw6OcIzQ?si=xNsgZhS7W2VYxPTx</t>
  </si>
  <si>
    <t>https://www.instagram.com/tiktok_alnam?utm_source=ig_web_button_share_sheet&amp;igsh=ZDNlZDc0MzIxNw==</t>
  </si>
  <si>
    <t>뉴로엔터테인먼트 대표/ 컨택 후 소속 크리에이터 강사 발굴?</t>
  </si>
  <si>
    <t>중국 사오홍슈 구매대행</t>
  </si>
  <si>
    <t>그릿</t>
  </si>
  <si>
    <t>시행착오</t>
  </si>
  <si>
    <t>https://www.instagram.com/grit_pick?utm_source=ig_web_button_share_sheet&amp;igsh=ZDNlZDc0MzIxNw==</t>
  </si>
  <si>
    <t>사찍남 출연 / 시행착오 플랫폼에서 강의 이력 O</t>
  </si>
  <si>
    <t>PPT 수익화</t>
  </si>
  <si>
    <t>리더리안</t>
  </si>
  <si>
    <t>david@aand.kr</t>
  </si>
  <si>
    <t>010-8281-8760</t>
  </si>
  <si>
    <t>인스타 마케팅 수익화</t>
  </si>
  <si>
    <t>슬비</t>
  </si>
  <si>
    <t>네이버 인플루언서</t>
  </si>
  <si>
    <t>editkim</t>
  </si>
  <si>
    <t>https://www.instagram.com/_edit.kim/</t>
  </si>
  <si>
    <t>폐쇠몰</t>
  </si>
  <si>
    <t>황금코볼트</t>
  </si>
  <si>
    <t>머니커머스</t>
  </si>
  <si>
    <t>coachingkobold@gmail.com</t>
  </si>
  <si>
    <t>토스, 올웨이즈 상품 판매</t>
  </si>
  <si>
    <t>Faceless A.I Lab</t>
  </si>
  <si>
    <t>ai.lab.world0@gmail.com</t>
  </si>
  <si>
    <t>광장</t>
  </si>
  <si>
    <t>channel.gwangjang@gmail.com</t>
  </si>
  <si>
    <t>창업 디자이너, 창디</t>
  </si>
  <si>
    <t xml:space="preserve"> changdi.designer@gmail.com</t>
  </si>
  <si>
    <t>시현의 모험</t>
  </si>
  <si>
    <t>https://www.youtube.com/@sihyun_adventure</t>
  </si>
  <si>
    <t>sihyun@kimsihyun.com</t>
  </si>
  <si>
    <t>디자이너맘</t>
  </si>
  <si>
    <t xml:space="preserve"> hey1486@naver.com</t>
  </si>
  <si>
    <t>브랜드위탁</t>
  </si>
  <si>
    <t>박홍준</t>
  </si>
  <si>
    <t>래리</t>
  </si>
  <si>
    <r>
      <rPr>
        <color rgb="FF1155CC"/>
      </rPr>
      <t>옐로우캠퍼스(자체 플랫폼</t>
    </r>
    <r>
      <rPr/>
      <t>)</t>
    </r>
  </si>
  <si>
    <t>softiseverything@gmail.com</t>
  </si>
  <si>
    <t>쇼핑몰</t>
  </si>
  <si>
    <t>이맛쇼 (이 맛에 쇼핑몰 한다)</t>
  </si>
  <si>
    <t>ematshow2022@gmail.com</t>
  </si>
  <si>
    <t>캡컷+유튜브</t>
  </si>
  <si>
    <t>유랑</t>
  </si>
  <si>
    <t>https://www.youtube.com/@%EC%9C%A0%EB%9E%91%EC%9C%A0%ED%8A%9C%EB%B8%8C</t>
  </si>
  <si>
    <t>https://www.instagram.com/you.rang.ki/</t>
  </si>
  <si>
    <t>glemfkcl@gmail.com</t>
  </si>
  <si>
    <t>틱톡수익창출</t>
  </si>
  <si>
    <t>주군</t>
  </si>
  <si>
    <t>꿀팁영상</t>
  </si>
  <si>
    <t>https://www.youtube.com/@joogoon_it</t>
  </si>
  <si>
    <t>http://instagram.com/joogoon.it</t>
  </si>
  <si>
    <t>overxn@naver.com</t>
  </si>
  <si>
    <t>AI 유튜브 숏폼</t>
  </si>
  <si>
    <t>무궁화쌤</t>
  </si>
  <si>
    <t>https://www.youtube.com/@%EB%AC%B4%EA%B6%81%ED%99%94%EC%8C%A4/videos</t>
  </si>
  <si>
    <t>https://www.instagram.com/mugunghwa_ssam/</t>
  </si>
  <si>
    <t>Thincademy</t>
  </si>
  <si>
    <t>https://www.youtube.com/@Thincademy/featured</t>
  </si>
  <si>
    <t>hello@thincademy.com</t>
  </si>
  <si>
    <t>월천 알고리즘</t>
  </si>
  <si>
    <t>drmoney0717@gmail.com</t>
  </si>
  <si>
    <t>찍봇</t>
  </si>
  <si>
    <t>https://www.youtube.com/@%EC%B0%8D%EB%B4%87</t>
  </si>
  <si>
    <t>zzikbot@gmail.com</t>
  </si>
  <si>
    <t>AI 팩트</t>
  </si>
  <si>
    <t>https://www.youtube.com/@AIFACT-GPTPARK</t>
  </si>
  <si>
    <t>Second Life</t>
  </si>
  <si>
    <t>다가구 경매 투자</t>
  </si>
  <si>
    <t>소다경매</t>
  </si>
  <si>
    <t>더낙찰옥션</t>
  </si>
  <si>
    <t>010-8185-2983</t>
  </si>
  <si>
    <t>전자책 수익화</t>
  </si>
  <si>
    <t>방구석투잡러 조야</t>
  </si>
  <si>
    <t>https://www.instagram.com/joya_creator/</t>
  </si>
  <si>
    <t>guswh2678@naver.com</t>
  </si>
  <si>
    <t>강사 정보 삭제</t>
  </si>
  <si>
    <t>돈되는 AI+SNS, 이든</t>
  </si>
  <si>
    <t>본인 오픈채팅</t>
  </si>
  <si>
    <t>https://www.youtube.com/@%EB%8F%88%EB%90%98%EB%8A%94AI%EB%A7%8C%EC%B7%A8%EA%B8%89%ED%95%A9%EB%8B%88%EB%8B%A4</t>
  </si>
  <si>
    <t>https://pf.kakao.com/_GUuHn/chat</t>
  </si>
  <si>
    <t>별다른 연락 창구가 없습니다. 오픈채팅방에 들어가니 자기를 '강의 팔이'가 될 사람이라고 소개하고 있습니다. 유튜브 댓글을 통해서 연락 창구를 물어보거나, 본격적으로 활동할 때 맞춰서 연락해보면 좋을 것 같습니다.</t>
  </si>
  <si>
    <t>AI 상세페이지 (제디터 활용)</t>
  </si>
  <si>
    <t>AI부업왕</t>
  </si>
  <si>
    <t>연락처가 없어서 폼 작성해서 연락오게 만들어야 할 것 같습니다</t>
  </si>
  <si>
    <t>로판장</t>
  </si>
  <si>
    <t>부자가 되고 싶은 은똘</t>
  </si>
  <si>
    <r>
      <rPr>
        <color rgb="FF1155CC"/>
      </rPr>
      <t>유튜브</t>
    </r>
    <r>
      <rPr/>
      <t xml:space="preserve">, </t>
    </r>
    <r>
      <rPr>
        <color rgb="FF1155CC"/>
      </rPr>
      <t>개인 콘텐츠</t>
    </r>
  </si>
  <si>
    <t>개인 콘텐츠</t>
  </si>
  <si>
    <t>dmsgp361@naver.com</t>
  </si>
  <si>
    <t>중국구매대행</t>
  </si>
  <si>
    <t>꾸키 (꾸준하게 키워가는 인생)</t>
  </si>
  <si>
    <t>개인 스마트스토어</t>
  </si>
  <si>
    <t>jimin1992@naver.com</t>
  </si>
  <si>
    <t>블로그수익화</t>
  </si>
  <si>
    <t>시골쥐의 도시생활</t>
  </si>
  <si>
    <t>개인 플랫폼</t>
  </si>
  <si>
    <t>countryside.baek@gmail.com</t>
  </si>
  <si>
    <t>재테크 유튜버</t>
  </si>
  <si>
    <t>sns 디자인 캔바강사</t>
  </si>
  <si>
    <t>써니쌤</t>
  </si>
  <si>
    <t>자체강의(오픈톡방)</t>
  </si>
  <si>
    <r>
      <rPr>
        <color rgb="FF1155CC"/>
      </rPr>
      <t>instagram.com/sunny_ssam_</t>
    </r>
  </si>
  <si>
    <t>ai 디자인</t>
  </si>
  <si>
    <t>김용빈</t>
  </si>
  <si>
    <t>디자이너 덕디</t>
  </si>
  <si>
    <t>https://www.youtube.com/@DeokDi/videos</t>
  </si>
  <si>
    <t>http://instagram.com/deok_di</t>
  </si>
  <si>
    <t>d_deokdi@naver.com</t>
  </si>
  <si>
    <t>ai 블로그</t>
  </si>
  <si>
    <t>알파남</t>
  </si>
  <si>
    <r>
      <rPr>
        <color rgb="FF1155CC"/>
      </rPr>
      <t>rlackdtlr12123@gmail.com</t>
    </r>
  </si>
  <si>
    <t>조향 브랜드 창업</t>
  </si>
  <si>
    <t>정범진</t>
  </si>
  <si>
    <r>
      <rPr>
        <color rgb="FF1155CC"/>
      </rPr>
      <t>밀머스</t>
    </r>
    <r>
      <rPr>
        <color rgb="FF000000"/>
      </rPr>
      <t>, 현재 7기 진행중</t>
    </r>
  </si>
  <si>
    <t>밀머스</t>
  </si>
  <si>
    <t>리부케 창업</t>
  </si>
  <si>
    <t>나혜선</t>
  </si>
  <si>
    <r>
      <rPr>
        <color rgb="FF1155CC"/>
      </rPr>
      <t>밀머스</t>
    </r>
    <r>
      <rPr/>
      <t>, 현재 11기 진행중</t>
    </r>
  </si>
  <si>
    <t>skgptjs12@gmail.com</t>
  </si>
  <si>
    <t>정윤호</t>
  </si>
  <si>
    <r>
      <rPr>
        <color rgb="FF1155CC"/>
      </rPr>
      <t>밀머스</t>
    </r>
    <r>
      <rPr/>
      <t>, 현재 5기 진행중</t>
    </r>
  </si>
  <si>
    <t>dregol12@naver.com</t>
  </si>
  <si>
    <t>최홍희</t>
  </si>
  <si>
    <r>
      <rPr>
        <color rgb="FF1155CC"/>
      </rPr>
      <t>출연영상</t>
    </r>
    <r>
      <rPr/>
      <t xml:space="preserve">, </t>
    </r>
    <r>
      <rPr>
        <color rgb="FF1155CC"/>
      </rPr>
      <t>밀머스</t>
    </r>
    <r>
      <rPr/>
      <t>, 현재 7기 진행중,</t>
    </r>
  </si>
  <si>
    <t>namposa.honghee@gmail.com</t>
  </si>
  <si>
    <t>광고 대행</t>
  </si>
  <si>
    <t>잘파는청년</t>
  </si>
  <si>
    <r>
      <rPr>
        <color rgb="FF1155CC"/>
      </rPr>
      <t>사이클해커스</t>
    </r>
    <r>
      <rPr/>
      <t xml:space="preserve"> 9월 3일 무료강의</t>
    </r>
  </si>
  <si>
    <t>시니어 유튜브</t>
  </si>
  <si>
    <t xml:space="preserve"> 꽃보다후반</t>
  </si>
  <si>
    <t>https://www.youtube.com/@%EA%BD%83%EB%B3%B4%EB%8B%A4%ED%9B%84%EB%B0%98</t>
  </si>
  <si>
    <t>ggotboda100@gmail.com</t>
  </si>
  <si>
    <t>황혼연애·오디오북</t>
  </si>
  <si>
    <t>https://www.youtube.com/@hwanghonromance</t>
  </si>
  <si>
    <t>eorms65@gmail.com</t>
  </si>
  <si>
    <t>유토</t>
  </si>
  <si>
    <r>
      <rPr>
        <color rgb="FF1155CC"/>
        <sz val="9.0"/>
      </rPr>
      <t>사이클해커스</t>
    </r>
    <r>
      <rPr>
        <sz val="9.0"/>
      </rPr>
      <t xml:space="preserve"> 11월 16일 무료강의</t>
    </r>
  </si>
  <si>
    <t>AI활용 영상 제작</t>
  </si>
  <si>
    <t>숏폼태이</t>
  </si>
  <si>
    <t>컨설팅 및 영상 제작 강의</t>
  </si>
  <si>
    <t>틱톡 라이브 수익화</t>
  </si>
  <si>
    <t>청나</t>
  </si>
  <si>
    <t>틱톡에이전시 회사운영</t>
  </si>
  <si>
    <t>https://www.youtube.com/@life_trainer</t>
  </si>
  <si>
    <t>prettyyunah@naver.com</t>
  </si>
  <si>
    <t>틱톡 수익화</t>
  </si>
  <si>
    <t>두유원호</t>
  </si>
  <si>
    <t>https://www.youtube.com/channel/UCr20bTgXCdu1svidhdnRXyg</t>
  </si>
  <si>
    <t>https://www.instagram.com/doyouwanthow</t>
  </si>
  <si>
    <t>musiaeasyguitar@gmail.com</t>
  </si>
  <si>
    <t>아나의디노</t>
  </si>
  <si>
    <r>
      <rPr>
        <color rgb="FF000000"/>
      </rPr>
      <t xml:space="preserve">자체 </t>
    </r>
    <r>
      <rPr>
        <color rgb="FF1155CC"/>
      </rPr>
      <t>SNS강의 홈페이지</t>
    </r>
  </si>
  <si>
    <t>https://www.youtube.com/@anasdino</t>
  </si>
  <si>
    <t>https://www.instagram.com/anasdinonews/</t>
  </si>
  <si>
    <t>abc2554@daum.net</t>
  </si>
  <si>
    <t>N잡씨피닉</t>
  </si>
  <si>
    <t>https://www.youtube.com/channel/UCDLl0e_r3Pj0fYOqb6hXRjw</t>
  </si>
  <si>
    <t>njobseed@gmail.com</t>
  </si>
  <si>
    <t>AI 시니어 타깃 롱폼 유튜브</t>
  </si>
  <si>
    <t>시칠리아</t>
  </si>
  <si>
    <t>https://www.youtube.com/@%EB%85%B8%EC%9D%B8%EB%B0%B1%EC%84%B8/</t>
  </si>
  <si>
    <r>
      <rPr>
        <color rgb="FF1155CC"/>
      </rPr>
      <t>sojil.com@gmail.com</t>
    </r>
  </si>
  <si>
    <t>박용환</t>
  </si>
  <si>
    <t>MKYU</t>
  </si>
  <si>
    <t>santarisoo@naver.com</t>
  </si>
  <si>
    <t>AI 유튜</t>
  </si>
  <si>
    <t>부끌로리</t>
  </si>
  <si>
    <t>노션</t>
  </si>
  <si>
    <t>AI&amp;유튜브교육강사 김수영</t>
  </si>
  <si>
    <t>강사 플로필</t>
  </si>
  <si>
    <t>은우아빠</t>
  </si>
  <si>
    <t>늦게핀지혜</t>
  </si>
  <si>
    <t>https://www.youtube.com/@%EB%8A%A6%EA%B2%8C%ED%95%80%EC%A7%80%ED%98%9C/featured</t>
  </si>
  <si>
    <t>sseggy55@gmail.com</t>
  </si>
  <si>
    <t>AI 숏폼, 틱톡, 인스타</t>
  </si>
  <si>
    <t>월드판타지</t>
  </si>
  <si>
    <t>https://www.youtube.com/@w.fantasy</t>
  </si>
  <si>
    <t>ejw230302@gmail.com</t>
  </si>
  <si>
    <t>AI 실사화 영상 제작</t>
  </si>
  <si>
    <t xml:space="preserve">AI 음악채널, 시니어, 실버 롱폼 </t>
  </si>
  <si>
    <t>이지쇼츠</t>
  </si>
  <si>
    <t>https://www.youtube.com/@gasinai/featured</t>
  </si>
  <si>
    <t>AI 시니어 수익화</t>
  </si>
  <si>
    <t>발트</t>
  </si>
  <si>
    <t>카페(업스쿨)</t>
  </si>
  <si>
    <t>AI롱폼</t>
  </si>
  <si>
    <t>머니그릴스</t>
  </si>
  <si>
    <t>https://www.instagram.com/money_grylls?igsh=OWN4M3hzNXN2dmxm</t>
  </si>
  <si>
    <t>카카오오픈채팅</t>
  </si>
  <si>
    <t>유튜브 롱폼 수익화</t>
  </si>
  <si>
    <t>직장인 N잡러</t>
  </si>
  <si>
    <t>크몽으로 문의</t>
  </si>
  <si>
    <t>지혜로운노년</t>
  </si>
  <si>
    <t>https://www.youtube.com/@%EC%A7%80%ED%98%9C%EB%A1%9C%EC%9A%B4%EB%85%B8%EB%85%84-bestgene</t>
  </si>
  <si>
    <t>bestgene750616@gmail.com</t>
  </si>
  <si>
    <t>시니어정보센터</t>
  </si>
  <si>
    <t>https://www.youtube.com/@%EC%8B%9C%EB%8B%88%EC%96%B4%EC%A0%95%EB%B3%B4%EC%84%BC%ED%84%B0</t>
  </si>
  <si>
    <t>choijua715@gmail.com</t>
  </si>
  <si>
    <t>최재혁</t>
  </si>
  <si>
    <t>https://www.instagram.com/rose_hiro__/</t>
  </si>
  <si>
    <t>디지털빵셔틀(큐제이)</t>
  </si>
  <si>
    <t>인스타 쇼핑몰</t>
  </si>
  <si>
    <t>이니콘</t>
  </si>
  <si>
    <t>상세페이지1</t>
  </si>
  <si>
    <t>상세페이지2</t>
  </si>
  <si>
    <t>eenicorn@gmail.com</t>
  </si>
  <si>
    <t>틱톡/챗GPT</t>
  </si>
  <si>
    <t>유양석</t>
  </si>
  <si>
    <t>pillip012@naver.com</t>
  </si>
  <si>
    <t>유알남</t>
  </si>
  <si>
    <t xml:space="preserve"> </t>
  </si>
  <si>
    <t>https://www.youtube.com/@%EC%9C%A0%EC%95%8C%EB%82%A8%EC%9C%A0%ED%8A%9C%EB%B8%8C%EC%95%8C%EB%A0%A4%EC%A3%BC%EB%8A%94/featured</t>
  </si>
  <si>
    <t>https://www.instagram.com/youtub.r.nam?igsh=bzE5djJqMjQ1ZHQz</t>
  </si>
  <si>
    <t>AI 시니어 롱폼</t>
  </si>
  <si>
    <t>사연나무</t>
  </si>
  <si>
    <t>https://www.youtube.com/@%EC%82%AC%EC%97%B0%EB%82%98%EB%AC%B4-l7d</t>
  </si>
  <si>
    <t>woomms92@gmail.com</t>
  </si>
  <si>
    <t>틱톡 라이브</t>
  </si>
  <si>
    <t>엄청나</t>
  </si>
  <si>
    <t>불혹청년</t>
  </si>
  <si>
    <t>-</t>
  </si>
  <si>
    <r>
      <rPr>
        <color rgb="FF1155CC"/>
      </rPr>
      <t>yumen969696@gmail.com</t>
    </r>
  </si>
  <si>
    <t>퇴사한김차장</t>
  </si>
  <si>
    <r>
      <rPr>
        <color rgb="FF1155CC"/>
      </rPr>
      <t>개인 플랫폼</t>
    </r>
    <r>
      <rPr/>
      <t xml:space="preserve">, </t>
    </r>
    <r>
      <rPr>
        <color rgb="FF1155CC"/>
      </rPr>
      <t>신청폼</t>
    </r>
  </si>
  <si>
    <t>https://www.youtube.com/@resigned-deputy</t>
  </si>
  <si>
    <t>resigndeputy@daum.net</t>
  </si>
  <si>
    <t>유튜브, SNS 수익화</t>
  </si>
  <si>
    <t>실행엔퍼</t>
  </si>
  <si>
    <t>npermovie@naver.com</t>
  </si>
  <si>
    <t>시니어 썰쇼츠</t>
  </si>
  <si>
    <t>웃짤튜브</t>
  </si>
  <si>
    <t>goodluck7mylife@gmail.com</t>
  </si>
  <si>
    <t>당근마켓</t>
  </si>
  <si>
    <t>1평사장</t>
  </si>
  <si>
    <t>ripleysy@gmail.com</t>
  </si>
  <si>
    <t>이커머스(당근마켓)</t>
  </si>
  <si>
    <t>사업여행자</t>
  </si>
  <si>
    <t>jae@flexlim.kr</t>
  </si>
  <si>
    <t>이커머스(사입)</t>
  </si>
  <si>
    <t>어린사장 어사</t>
  </si>
  <si>
    <t>AI 유튜브, 쇼츠</t>
  </si>
  <si>
    <t>냠냠왕국</t>
  </si>
  <si>
    <t>https://www.youtube.com/@yumyum_kingdom%EB%83%A0%EB%83%A0%EC%99%95%EA%B5%AD</t>
  </si>
  <si>
    <t>http://instagram.com/yumyum_kingdom</t>
  </si>
  <si>
    <t>h70439357@gmail.com</t>
  </si>
  <si>
    <t>유튜브 숏폼 수익화</t>
  </si>
  <si>
    <t>콩키</t>
  </si>
  <si>
    <t>https://www.instagram.com/kongkey__/</t>
  </si>
  <si>
    <t>쇼츠 유니버스</t>
  </si>
  <si>
    <t>솔루션키 N잡교실</t>
  </si>
  <si>
    <t>https://www.instagram.com/shorts_university_?igsh=OWlyb2p2cW5mZjlj</t>
  </si>
  <si>
    <t>프리마드</t>
  </si>
  <si>
    <t>health.justdoit@gmail.com</t>
  </si>
  <si>
    <t>비즈니스 문의 01050738129 (문자만 가능)</t>
  </si>
  <si>
    <t>AI 활용 해외타겟 온라인커머스</t>
  </si>
  <si>
    <t>코리컨(USPY)</t>
  </si>
  <si>
    <r>
      <rPr>
        <color rgb="FF1155CC"/>
      </rPr>
      <t>업스킬,</t>
    </r>
    <r>
      <rPr>
        <color rgb="FF1155CC"/>
      </rPr>
      <t xml:space="preserve"> </t>
    </r>
    <r>
      <rPr>
        <color rgb="FF1155CC"/>
      </rPr>
      <t>크몽</t>
    </r>
  </si>
  <si>
    <t>wth151@naver.com</t>
  </si>
  <si>
    <t>10월 31일에 업스킬에서 무료강의 했었음</t>
  </si>
  <si>
    <t>해외 숏폼 유튜브</t>
  </si>
  <si>
    <t>부업하는부부</t>
  </si>
  <si>
    <t>https://youtube.com/channel/UCssMAfwEpQF0GZ8V0a57vuQ?si=bVKjc4B4cvZHDp2_</t>
  </si>
  <si>
    <t>shortsman1700@gmail.com</t>
  </si>
  <si>
    <t xml:space="preserve">해외 타겟 숏폼 제작 /남편은 쇼츠알려주는남자 부인은 스마트스토어하는 여자 </t>
  </si>
  <si>
    <t>틱톡 라이브 &amp; 에이전트</t>
  </si>
  <si>
    <t>케이라이브코</t>
  </si>
  <si>
    <t>틱톡 라이브 수익화도 가능하고/ 라이브 부담스러운 사람은 에이전트로 인플루언서들 관리</t>
  </si>
  <si>
    <t>AI이미지,쇼츠</t>
  </si>
  <si>
    <t>울트라디자인</t>
  </si>
  <si>
    <t>인프런</t>
  </si>
  <si>
    <t>beat1582good@gmail.com</t>
  </si>
  <si>
    <t>틱톡수익창출,쿠팡</t>
  </si>
  <si>
    <t>주말사업</t>
  </si>
  <si>
    <t>wanted2st@naver.com</t>
  </si>
  <si>
    <t>쿠팡로켓, 구매대행</t>
  </si>
  <si>
    <t>임반장</t>
  </si>
  <si>
    <t>dbcks916@naver.com</t>
  </si>
  <si>
    <t>SNS 수익화(인스타)</t>
  </si>
  <si>
    <t>공감스타 킴샘</t>
  </si>
  <si>
    <t>https://www.youtube.com/@gonggamstar_gahee</t>
  </si>
  <si>
    <t>https://www.instagram.com/edurable_ceo</t>
  </si>
  <si>
    <t>gonggamstar@naver.com</t>
  </si>
  <si>
    <t>타탄계열</t>
  </si>
  <si>
    <t>유튜브 컨설팅</t>
  </si>
  <si>
    <t>유튜브 훈련소</t>
  </si>
  <si>
    <t>https://www.youtube.com/@%ED%9B%88%EB%A0%A8%EC%86%8C/shorts</t>
  </si>
  <si>
    <t>brilliant.red@daum.net</t>
  </si>
  <si>
    <t>자체 플랫폼 내에 있는 인스타 링크 잘못된 주소라고 뜸</t>
  </si>
  <si>
    <t>AI 유튜브 자동화</t>
  </si>
  <si>
    <t>애구마</t>
  </si>
  <si>
    <t xml:space="preserve"> agmma5000@gmail.com</t>
  </si>
  <si>
    <r>
      <rPr/>
      <t xml:space="preserve">유튜브 채널은 있는데 </t>
    </r>
    <r>
      <rPr>
        <color rgb="FF1155CC"/>
      </rPr>
      <t>코딩 채널</t>
    </r>
    <r>
      <rPr/>
      <t>/플로이쨈님이랑 같은 AI툴 사용하는 것 같음</t>
    </r>
  </si>
  <si>
    <t>구매대행/중국사입</t>
  </si>
  <si>
    <t>머니포리얼</t>
  </si>
  <si>
    <t>javicorp29@gmail.com</t>
  </si>
  <si>
    <t>쿠팡 과일판매</t>
  </si>
  <si>
    <t>고효율</t>
  </si>
  <si>
    <t>baeksm09102@naver.com</t>
  </si>
  <si>
    <t>문리치</t>
  </si>
  <si>
    <t>kksy214@gmail.com</t>
  </si>
  <si>
    <t>당근 마케팅</t>
  </si>
  <si>
    <t>이끌림라운지</t>
  </si>
  <si>
    <t>사진보정 &amp; 릴스 마케팅</t>
  </si>
  <si>
    <t>정연</t>
  </si>
  <si>
    <t>avec.jeongyeon@gmail.com</t>
  </si>
  <si>
    <t>당근 위탁판매</t>
  </si>
  <si>
    <t>코코마리</t>
  </si>
  <si>
    <t>공동구매 중개</t>
  </si>
  <si>
    <t>정재연</t>
  </si>
  <si>
    <t>리노센스</t>
  </si>
  <si>
    <t>https://www.youtube.com/@leenosence</t>
  </si>
  <si>
    <t>leenosence@gmail.com</t>
  </si>
  <si>
    <t>위탁판매, SNS, 유튜브 수익화 등</t>
  </si>
  <si>
    <t>돈버는 속성, 뮤지니</t>
  </si>
  <si>
    <r>
      <rPr>
        <color rgb="FF1155CC"/>
      </rPr>
      <t>크몽</t>
    </r>
    <r>
      <rPr/>
      <t xml:space="preserve">, </t>
    </r>
    <r>
      <rPr>
        <color rgb="FF1155CC"/>
      </rPr>
      <t>개인 블로그</t>
    </r>
  </si>
  <si>
    <t>농산물 위탁판매</t>
  </si>
  <si>
    <t>팜피디</t>
  </si>
  <si>
    <t>the.farmpd@gmail.com</t>
  </si>
  <si>
    <t>친절한 마케팅</t>
  </si>
  <si>
    <t>영셀</t>
  </si>
  <si>
    <t>업그레이더스</t>
  </si>
  <si>
    <t>hjhh8425@gmail.com</t>
  </si>
  <si>
    <t>ai 유튜브</t>
  </si>
  <si>
    <t>AI 수익화 초월</t>
  </si>
  <si>
    <t>한여름</t>
  </si>
  <si>
    <t>쓰레드 주소</t>
  </si>
  <si>
    <t>권기동</t>
  </si>
  <si>
    <r>
      <rPr>
        <color rgb="FF1155CC"/>
      </rPr>
      <t>contact@glowuprizz.com</t>
    </r>
  </si>
  <si>
    <t>정상록</t>
  </si>
  <si>
    <t>https://www.youtube.com/@qjc_qjc</t>
  </si>
  <si>
    <t>sesileo82@gmail.com</t>
  </si>
  <si>
    <t>CONNECT AI LAB │ AI멘토 Jay</t>
  </si>
  <si>
    <r>
      <rPr>
        <color rgb="FF1155CC"/>
      </rPr>
      <t>AI강의1</t>
    </r>
    <r>
      <rPr/>
      <t xml:space="preserve">, </t>
    </r>
    <r>
      <rPr>
        <color rgb="FF1155CC"/>
      </rPr>
      <t>AI강의2</t>
    </r>
  </si>
  <si>
    <t>https://www.youtube.com/@CONNECT-AI-LAB/videos</t>
  </si>
  <si>
    <t>jay@connexionai.kr</t>
  </si>
  <si>
    <t>방주지기</t>
  </si>
  <si>
    <t>노션 랜딩페이지</t>
  </si>
  <si>
    <t>https://www.youtube.com/@BANGZOOZIGI</t>
  </si>
  <si>
    <t>bangzoozigi@naver.com</t>
  </si>
  <si>
    <t>데이보의 ai 스쿨</t>
  </si>
  <si>
    <t>monkeyteacher88@gmail.com</t>
  </si>
  <si>
    <t>게으른 유튜버</t>
  </si>
  <si>
    <t>재발송</t>
  </si>
  <si>
    <t>퇴사말고부업</t>
  </si>
  <si>
    <t>https://www.youtube.com/@toemalbu</t>
  </si>
  <si>
    <t>toemalbu@gmail.com</t>
  </si>
  <si>
    <t>SEO 아레나</t>
  </si>
  <si>
    <t>https://www.youtube.com/@SEO%EC%95%84%EB%A0%88%EB%82%98</t>
  </si>
  <si>
    <t>seoarenakr@gmail.com</t>
  </si>
  <si>
    <t>쇼츠수익</t>
  </si>
  <si>
    <t>쇼츠라이트</t>
  </si>
  <si>
    <t>shortcollect123@gmail.com</t>
  </si>
  <si>
    <t>AI 튜토리얼</t>
  </si>
  <si>
    <t>그린코끼리</t>
  </si>
  <si>
    <t>AI 프로그램 기초 튜토리얼 무료강의 / 메일X 자체 플랫폼 내에 메일 구독이 있음</t>
  </si>
  <si>
    <t>AI숏츠</t>
  </si>
  <si>
    <t>숏폼마켓</t>
  </si>
  <si>
    <t>프로필 내에 기입 된 오픈채팅방 링크 삭제 되어있음</t>
  </si>
  <si>
    <t>쇼츠</t>
  </si>
  <si>
    <t>새츠</t>
  </si>
  <si>
    <t>https://www.youtube.com/@%EC%9D%B4%EC%83%81%ED%95%9C%EC%83%9D%EB%AC%BC%EB%8F%84%EA%B0%90</t>
  </si>
  <si>
    <t>https://www.instagram.com/sats_shorts/</t>
  </si>
  <si>
    <t>시니어대상 연예인 쇼츠</t>
  </si>
  <si>
    <t>꿈마당안성미(셀럽판다)</t>
  </si>
  <si>
    <t>리틀리</t>
  </si>
  <si>
    <t>큐리어스</t>
  </si>
  <si>
    <t>luisse0612@gmail.com</t>
  </si>
  <si>
    <t>우아한이지연</t>
  </si>
  <si>
    <t>온라인사장</t>
  </si>
  <si>
    <t>엄마, 내가 알려줄게</t>
  </si>
  <si>
    <t>gataeju3@gmail.com</t>
  </si>
  <si>
    <t>작당연구소</t>
  </si>
  <si>
    <t>https://www.youtube.com/@jakdanglabs/videos</t>
  </si>
  <si>
    <t>jakdanglab@gmail.com</t>
  </si>
  <si>
    <t>구스마일</t>
  </si>
  <si>
    <t>taehan@gmail.com</t>
  </si>
  <si>
    <t>AI 유튜브 / 릴스</t>
  </si>
  <si>
    <t>릴쏸</t>
  </si>
  <si>
    <t>https://www.youtube.com/@reels_hwan/featured</t>
  </si>
  <si>
    <t>https://www.instagram.com/reels_hwan/</t>
  </si>
  <si>
    <t>envkf0011@gmail.com</t>
  </si>
  <si>
    <t>잔망유머 (쇼처)</t>
  </si>
  <si>
    <t>AI 유튜브/상페</t>
  </si>
  <si>
    <t>원카</t>
  </si>
  <si>
    <t>영보스</t>
  </si>
  <si>
    <t>https://www.youtube.com/@youngbossidea/shorts</t>
  </si>
  <si>
    <t>youngbossidea@gmail.com</t>
  </si>
  <si>
    <t>부자꿈틀 AI 숏폼과 유사한 방식 (해외 영상 짜집기+쿠파스) 구독자 수 대비 조회수 높음</t>
  </si>
  <si>
    <t>AI 동물 숏폼</t>
  </si>
  <si>
    <t>냥뇽멍냥</t>
  </si>
  <si>
    <t>https://www.youtube.com/@%EA%B5%AC%EB%8F%85%EC%9D%80%ED%96%89%EB%B3%B5%ED%95%98%EB%8B%A4%EB%A9%8D%EB%83%A5/shorts</t>
  </si>
  <si>
    <t>ukkidago@gmail.com</t>
  </si>
  <si>
    <t>AI 애니매이션 숏폼, 롱폼</t>
  </si>
  <si>
    <t>사애만</t>
  </si>
  <si>
    <t>https://www.youtube.com/@%EC%82%AC%EC%95%A0%EB%A7%8C</t>
  </si>
  <si>
    <t>saaeman535@gmail.com</t>
  </si>
  <si>
    <t>AI 동물 숏폼, 롱폼</t>
  </si>
  <si>
    <t>김뽀송</t>
  </si>
  <si>
    <t>https://www.youtube.com/@%EA%B9%80%EB%BD%80%EC%86%A1-z3y/shorts</t>
  </si>
  <si>
    <t>https://www.instagram.com/k_pposong_/</t>
  </si>
  <si>
    <t>yong4579@naver.com</t>
  </si>
  <si>
    <t>AI 수익화 숏폼/인스타</t>
  </si>
  <si>
    <t>위드썬</t>
  </si>
  <si>
    <t>sunwith2@gmail.com</t>
  </si>
  <si>
    <t>AI 그림동화/숏폼동화</t>
  </si>
  <si>
    <t>AI파티쉐 러키리카</t>
  </si>
  <si>
    <t>최애강호 게으른 AI 연구소</t>
  </si>
  <si>
    <t>AI 시니어롱폼</t>
  </si>
  <si>
    <t>트파 Trend Finder</t>
  </si>
  <si>
    <t>개인 사이트</t>
  </si>
  <si>
    <t>https://www.youtube.com/@%ED%8A%B8%ED%8C%8CTrendFinder</t>
  </si>
  <si>
    <t>choic9856@gmail.com</t>
  </si>
  <si>
    <t>테라아이</t>
  </si>
  <si>
    <t>https://www.youtube.com/@%ED%85%8C%EB%9D%BC%EC%95%84%EC%9D%B4/featured</t>
  </si>
  <si>
    <t>admin@terai.kr</t>
  </si>
  <si>
    <t>워크스페이스 AI자동화(업무자동화)</t>
  </si>
  <si>
    <t>조현정의AI실험실</t>
  </si>
  <si>
    <t>수익화보다는 구글 워크스페이스를 이용한 업무 효율을 높이는 강의 구성에 적합</t>
  </si>
  <si>
    <t>유마키</t>
  </si>
  <si>
    <t>서울U에듀</t>
  </si>
  <si>
    <t>introvertlee@naver.com</t>
  </si>
  <si>
    <t>우주먼지 여승호</t>
  </si>
  <si>
    <t>https://www.youtube.com/@AIartistLab/featured</t>
  </si>
  <si>
    <t>http://instagram.com/seungho__yeo</t>
  </si>
  <si>
    <t>inventionai919@gmail.com</t>
  </si>
  <si>
    <t>로사장</t>
  </si>
  <si>
    <t xml:space="preserve"> 테라아이</t>
  </si>
  <si>
    <t>성공지식백과</t>
  </si>
  <si>
    <t>https://www.youtube.com/@success_wiki/videos</t>
  </si>
  <si>
    <t>business.successwiki@gmail.com</t>
  </si>
  <si>
    <t>AI유튜브</t>
  </si>
  <si>
    <t>오크삼촌</t>
  </si>
  <si>
    <t>https://www.youtube.com/@OrcMovieToon</t>
  </si>
  <si>
    <t>artboy00@naver.com</t>
  </si>
  <si>
    <t>AI유튜브 동물</t>
  </si>
  <si>
    <t>뚱시바</t>
  </si>
  <si>
    <t>https://www.youtube.com/@huahua_diary</t>
  </si>
  <si>
    <t>https://www.instagram.com/huahua_diary/</t>
  </si>
  <si>
    <t>huahuadiary2@gmail.com</t>
  </si>
  <si>
    <t>도하</t>
  </si>
  <si>
    <t>와디즈 문의 통해서 연락처 확인중</t>
  </si>
  <si>
    <t>숏알남</t>
  </si>
  <si>
    <t>단동TV</t>
  </si>
  <si>
    <t>dandong5864@naver.com</t>
  </si>
  <si>
    <t>텍스토리</t>
  </si>
  <si>
    <t>i503890000@gmail.com</t>
  </si>
  <si>
    <t>에딧킴</t>
  </si>
  <si>
    <t>소개글</t>
  </si>
  <si>
    <t xml:space="preserve"> editkim99@gmail.com</t>
  </si>
  <si>
    <t>캡틴쿠팡 - 로켓그로스 뽀개기</t>
  </si>
  <si>
    <t>dhkang7391@gmail.com</t>
  </si>
  <si>
    <t>시니어 롱폼</t>
  </si>
  <si>
    <t>AI 부업왕</t>
  </si>
  <si>
    <t>디자인비책</t>
  </si>
  <si>
    <t>gunm462@gmail.com</t>
  </si>
  <si>
    <t>n8n</t>
  </si>
  <si>
    <t>그랜트</t>
  </si>
  <si>
    <t>https://www.youtube.com/@ai_grant_truecampus/videos</t>
  </si>
  <si>
    <t>wkdtpghks654@naver.com</t>
  </si>
  <si>
    <t>n8n&amp;Opal</t>
  </si>
  <si>
    <t>잔재미코딩</t>
  </si>
  <si>
    <t>자사 사이트</t>
  </si>
  <si>
    <t>dream@fun-coding.org</t>
  </si>
  <si>
    <t>AI 이미지 생성&amp;AI 쇼츠</t>
  </si>
  <si>
    <t>에이네루</t>
  </si>
  <si>
    <t>phoenix7jn@gmail.com</t>
  </si>
  <si>
    <t>유튜브 릴스 제작</t>
  </si>
  <si>
    <t>크리투스</t>
  </si>
  <si>
    <t>creatus.kr@gmail.com</t>
  </si>
  <si>
    <t>릴스해커-&gt; 크리투스로 닉네임 변경</t>
  </si>
  <si>
    <t>AI 유튜브 동물 숏츠</t>
  </si>
  <si>
    <t>보리와 냥이</t>
  </si>
  <si>
    <t>https://www.youtube.com/@2025CUTEAI</t>
  </si>
  <si>
    <t>aicute2025@gmail.com</t>
  </si>
  <si>
    <t>유튜브 쇼핑숏폼</t>
  </si>
  <si>
    <t>소소세지</t>
  </si>
  <si>
    <t>자체 수강생 카페</t>
  </si>
  <si>
    <t>네이버 카페 통해 이메일 확인 중</t>
  </si>
  <si>
    <t>팬텀미디어</t>
  </si>
  <si>
    <t>kp010444@naver.com</t>
  </si>
  <si>
    <t>AI 자동화 해외구매대행</t>
  </si>
  <si>
    <t>오라인(오인걸)</t>
  </si>
  <si>
    <r>
      <rPr>
        <color rgb="FF1155CC"/>
      </rPr>
      <t>블로그</t>
    </r>
    <r>
      <rPr/>
      <t xml:space="preserve">, </t>
    </r>
    <r>
      <rPr>
        <color rgb="FF1155CC"/>
      </rPr>
      <t>카페</t>
    </r>
    <r>
      <rPr/>
      <t xml:space="preserve">, </t>
    </r>
    <r>
      <rPr>
        <color rgb="FF1155CC"/>
      </rPr>
      <t>와디즈</t>
    </r>
  </si>
  <si>
    <t>개인 VOD</t>
  </si>
  <si>
    <r>
      <rPr>
        <color rgb="FF1155CC"/>
      </rPr>
      <t>ohline1998@gmail.com</t>
    </r>
  </si>
  <si>
    <t>AI 미디어 광고 제작</t>
  </si>
  <si>
    <t>르펌키</t>
  </si>
  <si>
    <t>포트폴리오</t>
  </si>
  <si>
    <t>mkt.rpumkey@gmail.com</t>
  </si>
  <si>
    <t>생생한 AI 소식 - 소이랩</t>
  </si>
  <si>
    <t>패켐</t>
  </si>
  <si>
    <t>http://www.youtube.com/@soy_lab</t>
  </si>
  <si>
    <t>contact@soylab.ai</t>
  </si>
  <si>
    <t>AI 음원 수익화</t>
  </si>
  <si>
    <t>똑지의자동화연구</t>
  </si>
  <si>
    <t>http://www.youtube.com/@automation-holic</t>
  </si>
  <si>
    <t>cs@genius-mouse.com</t>
  </si>
  <si>
    <t>김재덕(갓생대디)</t>
  </si>
  <si>
    <t>전자책 판매</t>
  </si>
  <si>
    <t>루시드 아뜰리에</t>
  </si>
  <si>
    <t>블로그 수익화, 구매대행</t>
  </si>
  <si>
    <t>부업알려주는 비컬TV</t>
  </si>
  <si>
    <t>goadn123@naver.com</t>
  </si>
  <si>
    <t>AI 영상 제작 유튜브 수익화</t>
  </si>
  <si>
    <t>3년후 퇴사</t>
  </si>
  <si>
    <t>https://www.youtube.com/@nomad.notes80/videos</t>
  </si>
  <si>
    <t>jounsjouns@naver.com</t>
  </si>
  <si>
    <t>N8N 블로그 유튜브 자동 수익화</t>
  </si>
  <si>
    <t>남박사</t>
  </si>
  <si>
    <t>https://www.youtube.com/channel/UCV2447slbPVMl1vP1QT-hiQ</t>
  </si>
  <si>
    <t>nkj2001@naver.com</t>
  </si>
  <si>
    <t>AI 코딩 수익화</t>
  </si>
  <si>
    <t>딩코딩코</t>
  </si>
  <si>
    <t>https://www.youtube.com/@%EB%94%A9%EC%BD%94%EB%94%A9%EC%BD%94</t>
  </si>
  <si>
    <t>academey@gmail.com</t>
  </si>
  <si>
    <t>AI 수익</t>
  </si>
  <si>
    <t>조팀장의 AI 공략집</t>
  </si>
  <si>
    <t>https://www.youtube.com/@%EC%A1%B0%ED%8C%80%EC%9E%A5%EC%9D%98AI%EA%B3%B5%EB%9E%B5%EC%A7%91</t>
  </si>
  <si>
    <t>hogis333@gmail.com</t>
  </si>
  <si>
    <t>AI 일본 유튜브 수익화</t>
  </si>
  <si>
    <t>AI일본유튜브</t>
  </si>
  <si>
    <t>dddasung@gmail.com / 01046898314</t>
  </si>
  <si>
    <t>막내혀누 (50대 타겟)</t>
  </si>
  <si>
    <t>jjwithj@naver.com</t>
  </si>
  <si>
    <t>로켓그로스 (주부타겟)</t>
  </si>
  <si>
    <t>셀링코치 (돈버는 엄마셀러)</t>
  </si>
  <si>
    <t>sellingcoachdj@gmail.com</t>
  </si>
  <si>
    <t>노코드 유튜브 자동화</t>
  </si>
  <si>
    <t>바퍼/퍼널띵</t>
  </si>
  <si>
    <t>https://www.youtube.com/watch?v=iHBnmsmX62c</t>
  </si>
  <si>
    <t>info@bsdclasses.com</t>
  </si>
  <si>
    <t>쇼츠 n8n 자동화</t>
  </si>
  <si>
    <t>진용성</t>
  </si>
  <si>
    <t>강의 유튜브</t>
  </si>
  <si>
    <t>http://www.youtube.com/@jys-jinyongsung</t>
  </si>
  <si>
    <t>leo.jin@aibridge.co.kr</t>
  </si>
  <si>
    <t>ai 음악 제작</t>
  </si>
  <si>
    <t>남상원</t>
  </si>
  <si>
    <t>https://www.instagram.com/sangwon.ropefree/</t>
  </si>
  <si>
    <t>카빙쌤</t>
  </si>
  <si>
    <r>
      <rPr>
        <color rgb="FF1155CC"/>
      </rPr>
      <t>블로그</t>
    </r>
    <r>
      <rPr/>
      <t xml:space="preserve">, </t>
    </r>
    <r>
      <rPr>
        <color rgb="FF1155CC"/>
      </rPr>
      <t>유튜브</t>
    </r>
  </si>
  <si>
    <t>메타굿프렌즈</t>
  </si>
  <si>
    <t>kkc5020@naver.com</t>
  </si>
  <si>
    <t>ai 수익</t>
  </si>
  <si>
    <t>허민</t>
  </si>
  <si>
    <r>
      <rPr>
        <color rgb="FF1155CC"/>
      </rPr>
      <t>open.kakao.com/o/g6B2tH3f</t>
    </r>
  </si>
  <si>
    <t>자사 채널</t>
  </si>
  <si>
    <t>나라클샘</t>
  </si>
  <si>
    <t>개인플로그</t>
  </si>
  <si>
    <r>
      <rPr>
        <color rgb="FF1155CC"/>
      </rPr>
      <t>개인플로그</t>
    </r>
    <r>
      <rPr>
        <color rgb="FF000000"/>
      </rPr>
      <t xml:space="preserve">, </t>
    </r>
    <r>
      <rPr>
        <color rgb="FF1155CC"/>
      </rPr>
      <t>크몽</t>
    </r>
  </si>
  <si>
    <t>AI 머니 파이프라인</t>
  </si>
  <si>
    <t>블로그 운영</t>
  </si>
  <si>
    <t>AI숏폼 n8n 자동화</t>
  </si>
  <si>
    <t>시민개발자구씨</t>
  </si>
  <si>
    <t>citizendev9c@gmail.com</t>
  </si>
  <si>
    <t>AI를 이용한 실제 수익화</t>
  </si>
  <si>
    <t>https://www.youtube.com/@AI-%EB%85%B8%EC%BD%94%EB%94%A9/videos</t>
  </si>
  <si>
    <t>kys15487@gmail.com</t>
  </si>
  <si>
    <t>녕222</t>
  </si>
  <si>
    <t>AI 쇼츠, 스레</t>
  </si>
  <si>
    <t>슈퍼이끌림</t>
  </si>
  <si>
    <t>https://business.inpock.co.kr/profile/topjs</t>
  </si>
  <si>
    <t>2인 강사</t>
  </si>
  <si>
    <t>AI 숏폼 자동화</t>
  </si>
  <si>
    <t>닥또리</t>
  </si>
  <si>
    <t>https://www.youtube.com/@DrLee_youtube/videos</t>
  </si>
  <si>
    <t>http://instagram.com/drlee_insta</t>
  </si>
  <si>
    <t>playdrlee@gmail.com</t>
  </si>
  <si>
    <t>AI 디자이너 아인</t>
  </si>
  <si>
    <t>aidesignain@gmail.com</t>
  </si>
  <si>
    <t>AI 애니메이션</t>
  </si>
  <si>
    <t>JE 애니메이션</t>
  </si>
  <si>
    <t>kjeun0826@gmail.com</t>
  </si>
  <si>
    <r>
      <rPr/>
      <t xml:space="preserve">비즈니스 제안 링크  </t>
    </r>
    <r>
      <rPr>
        <color rgb="FF1155CC"/>
      </rPr>
      <t>https://business.inpock.co.kr/form?partner=je_animation</t>
    </r>
    <r>
      <rPr/>
      <t xml:space="preserve"> </t>
    </r>
  </si>
  <si>
    <t>AI 애니메이션 롱폼</t>
  </si>
  <si>
    <t>경제학 똑똑</t>
  </si>
  <si>
    <t>https://www.youtube.com/@%EA%B2%BD%EC%A0%9C%ED%95%99%EB%98%91%EB%98%91</t>
  </si>
  <si>
    <t>https://www.instagram.com/economics_ddok?igsh=MW12ZmZ2bmIyb2cxZw%3D%3D</t>
  </si>
  <si>
    <t>createpreview@gmail.com</t>
  </si>
  <si>
    <t>AI롱폼, 숏폼</t>
  </si>
  <si>
    <t>AI놀이터</t>
  </si>
  <si>
    <t>http://instagram.com/ai.play.ground</t>
  </si>
  <si>
    <t>rudson@naver.com</t>
  </si>
  <si>
    <t>인스타브랜딩 • 숏폼제작 • 퍼스널브랜딩</t>
  </si>
  <si>
    <t>릴다</t>
  </si>
  <si>
    <t>현재 정규 강의 준비중 / 인스타 하이라이트(피드백) 첫번째에 나와있음</t>
  </si>
  <si>
    <t>ai 숏츠 제작</t>
  </si>
  <si>
    <t>AI Boda</t>
  </si>
  <si>
    <t>pfzenith@gmail.com</t>
  </si>
  <si>
    <t xml:space="preserve">veo3 </t>
  </si>
  <si>
    <t>AI 쇼핑 쇼츠</t>
  </si>
  <si>
    <t>AI 리더스 연구</t>
  </si>
  <si>
    <t>https://www.youtube.com/@AI_LEADERS_LAB</t>
  </si>
  <si>
    <t>제품 리뷰 채널 유튜브 수익화</t>
  </si>
  <si>
    <t>소박한 김씨/동굴리뷰</t>
  </si>
  <si>
    <t>kimsobak90@gmail.com</t>
  </si>
  <si>
    <t>ai 영상 제작</t>
  </si>
  <si>
    <t>aifi(아이파이)</t>
  </si>
  <si>
    <t>개인 블로그</t>
  </si>
  <si>
    <t>https://www.youtube.com/@AiFi79</t>
  </si>
  <si>
    <t>imagain07@gmail.com</t>
  </si>
  <si>
    <t>미니컷</t>
  </si>
  <si>
    <t>https://www.youtube.com/@theminicap</t>
  </si>
  <si>
    <t>theminicap@naver.com</t>
  </si>
  <si>
    <t>일이 많아 거절</t>
  </si>
  <si>
    <t>숏폼 AI자동화</t>
  </si>
  <si>
    <t>퀀텀점프클럽</t>
  </si>
  <si>
    <t>sangrok@quantumjumpclub.com</t>
  </si>
  <si>
    <t>게으른 일잘러</t>
  </si>
  <si>
    <t>https://www.youtube.com/@lazy4achiever</t>
  </si>
  <si>
    <t>srlee0408@gmail.com</t>
  </si>
  <si>
    <t>Fast Grow</t>
  </si>
  <si>
    <t>유튜브 시작 100일만에 100만 구독자 달성</t>
  </si>
  <si>
    <t xml:space="preserve">                                     </t>
  </si>
  <si>
    <t>햄로그</t>
  </si>
  <si>
    <t>유튜브에 무료 배포</t>
  </si>
  <si>
    <t>SNS채널 AI활용법</t>
  </si>
  <si>
    <t>열짱(아이펀랩)</t>
  </si>
  <si>
    <t>오프리</t>
  </si>
  <si>
    <t>개인플랫폼</t>
  </si>
  <si>
    <t>MixLab Ai</t>
  </si>
  <si>
    <t xml:space="preserve"> X</t>
  </si>
  <si>
    <t>shuutthink@gmail.com</t>
  </si>
  <si>
    <t>AI 노코딩</t>
  </si>
  <si>
    <t>그레이스 AI</t>
  </si>
  <si>
    <t>kafeo7430@gmail.com</t>
  </si>
  <si>
    <t>정서불안 김햄찌</t>
  </si>
  <si>
    <t>https://www.youtube.com/@%EC%A0%95%EC%84%9C%EB%B6%88%EC%95%88%EA%B9%80%ED%96%84%EC%B0%8C/shorts</t>
  </si>
  <si>
    <t>https://www.instagram.com/anx_hamzzikim/</t>
  </si>
  <si>
    <t>anx_hamzzikim@sandboxnetwork.net</t>
  </si>
  <si>
    <t>AI 롱폼</t>
  </si>
  <si>
    <t>홍성빈</t>
  </si>
  <si>
    <t>쉬운 디지털</t>
  </si>
  <si>
    <t>https://www.youtube.com/@%EC%89%AC%EC%9A%B4%EB%94%94%EC%A7%80%ED%84%B8</t>
  </si>
  <si>
    <t>sonyeu09@naver.com</t>
  </si>
  <si>
    <t>강달달</t>
  </si>
  <si>
    <t>kangdaldal2@naver.com</t>
  </si>
  <si>
    <t>AI짹짹별</t>
  </si>
  <si>
    <t>77rrr11@gmail.com</t>
  </si>
  <si>
    <t>월간AI연구소</t>
  </si>
  <si>
    <t>thin_king@naver.com</t>
  </si>
  <si>
    <t>구글 Opal 시니어 숏폼</t>
  </si>
  <si>
    <t>AI포켓</t>
  </si>
  <si>
    <t>aipocket.now@gmail.com</t>
  </si>
  <si>
    <t>엔플러스</t>
  </si>
  <si>
    <t>lej0414@nate.com</t>
  </si>
  <si>
    <t>별도 홈페이지에서 유튜브 관련 컨설팅 진행중 /010-3085-3390 문의 번호</t>
  </si>
  <si>
    <t>위드제이 / 조현정</t>
  </si>
  <si>
    <t>인스타게시물</t>
  </si>
  <si>
    <t>송덕일의 생존마케팅</t>
  </si>
  <si>
    <t>개인카페</t>
  </si>
  <si>
    <t>viralers@naver.com</t>
  </si>
  <si>
    <t>AI 아기 숏폼</t>
  </si>
  <si>
    <t>베이비톡</t>
  </si>
  <si>
    <t>https://www.youtube.com/@%EB%B2%A0%EC%9D%B4%EB%B9%84%ED%86%A1/shorts</t>
  </si>
  <si>
    <t>luckywave50@gmail.com</t>
  </si>
  <si>
    <t>Ai 오늘애니</t>
  </si>
  <si>
    <t>https://www.youtube.com/@Toaday_Ai_animation</t>
  </si>
  <si>
    <t>skyseadraw@naver.com</t>
  </si>
  <si>
    <t>썰루라기</t>
  </si>
  <si>
    <t>자체 플랫폼(전자책)</t>
  </si>
  <si>
    <t>https://www.youtube.com/@S_luragi/shorts</t>
  </si>
  <si>
    <t>https://www.instagram.com/ssul_luragi/</t>
  </si>
  <si>
    <t>네이버 마케팅</t>
  </si>
  <si>
    <t>머니코치 최준호</t>
  </si>
  <si>
    <t>keepthemoney@naver.com</t>
  </si>
  <si>
    <t>인스타그램 수익화</t>
  </si>
  <si>
    <t>부자본창업 산타코치 (산타맘)</t>
  </si>
  <si>
    <t>https://www.youtube.com/@%EC%82%B0%ED%83%80%EB%A7%98TV</t>
  </si>
  <si>
    <t>https://www.instagram.com/santamom_insta/</t>
  </si>
  <si>
    <t>AI 마케팅</t>
  </si>
  <si>
    <t>애교언니</t>
  </si>
  <si>
    <t>개인 폼</t>
  </si>
  <si>
    <t>시니어 건강쇼츠</t>
  </si>
  <si>
    <t>로이스 PD</t>
  </si>
  <si>
    <t>https://www.youtube.com/@royce_story</t>
  </si>
  <si>
    <t>https://www.instagram.com/royce__story/</t>
  </si>
  <si>
    <t>osy1220@naver.com</t>
  </si>
  <si>
    <r>
      <rPr>
        <color rgb="FF000000"/>
      </rPr>
      <t xml:space="preserve">자체플랫폼 - </t>
    </r>
    <r>
      <rPr>
        <color rgb="FF1155CC"/>
      </rPr>
      <t>부업노리터</t>
    </r>
  </si>
  <si>
    <r>
      <rPr>
        <color rgb="FF000000"/>
      </rPr>
      <t xml:space="preserve">자체플랫폼 - </t>
    </r>
    <r>
      <rPr>
        <color rgb="FF1155CC"/>
      </rPr>
      <t>부업노리터</t>
    </r>
  </si>
  <si>
    <t>AI MAGIC</t>
  </si>
  <si>
    <t xml:space="preserve"> AI 숏폼</t>
  </si>
  <si>
    <t>cafeshopTV</t>
  </si>
  <si>
    <t>AI 음악</t>
  </si>
  <si>
    <t>공지윤</t>
  </si>
  <si>
    <t>스마트스토어</t>
  </si>
  <si>
    <t>자체진행</t>
  </si>
  <si>
    <t>kongjy531@naver.com</t>
  </si>
  <si>
    <t>쇼핑커넥트</t>
  </si>
  <si>
    <t>캐리퀸</t>
  </si>
  <si>
    <t>https://www.youtube.com/@%EC%BA%90%EB%A6%AC%ED%80%B8</t>
  </si>
  <si>
    <t>https://www.instagram.com/carryqueen_</t>
  </si>
  <si>
    <t>carryhada@gmail.com</t>
  </si>
  <si>
    <t>Avy Cobain(에비)</t>
  </si>
  <si>
    <t>avycobain@gmail.com</t>
  </si>
  <si>
    <t>쿠팡 로켓배송 셀러</t>
  </si>
  <si>
    <t>셀라라</t>
  </si>
  <si>
    <t>AI 유튜브 자동화 (자기 툴 보유)</t>
  </si>
  <si>
    <t>유알남 (중복 아님)</t>
  </si>
  <si>
    <t>https://www.youtube.com/watch?v=XglX4V1q9sU&amp;t=24s</t>
  </si>
  <si>
    <t>ptjh99011@gmail.com</t>
  </si>
  <si>
    <t>재미주의</t>
  </si>
  <si>
    <t>https://youtube.com/@jamjam0615?si=g-QenDDpHTj5mghy</t>
  </si>
  <si>
    <t>https://www.instagram.com/jamjam.today/</t>
  </si>
  <si>
    <t>choisummer0615@gmail.com</t>
  </si>
  <si>
    <t>솔브잇</t>
  </si>
  <si>
    <t>https://www.youtube.com/@SOLVwithIT</t>
  </si>
  <si>
    <t>try.to.solvit@gmail.com</t>
  </si>
  <si>
    <t xml:space="preserve"> 언베일퍼스낼리티</t>
  </si>
  <si>
    <t>https://www.youtube.com/@UnveilPersonality/videos</t>
  </si>
  <si>
    <t>contact@unveilpersonality.com</t>
  </si>
  <si>
    <t>쇼츠 클로드코드 자동화</t>
  </si>
  <si>
    <t>빌더 조쉬</t>
  </si>
  <si>
    <t>https://www.youtube.com/@builderjoshkim</t>
  </si>
  <si>
    <t xml:space="preserve"> joshproductletter@gmail.com</t>
  </si>
  <si>
    <t>주된 이력은 ai 디자인. 숏츠 생성 자동화는 일부 컨텐츠</t>
  </si>
  <si>
    <t>유튜브 쇼핑 수익화</t>
  </si>
  <si>
    <t>유튜브 수익화 브랜딩, 크로스업</t>
  </si>
  <si>
    <t>https://www.youtube.com/@%EC%9C%A0%ED%8A%9C%EB%B8%8C%EC%88%98%EC%9D%B5%ED%99%94%EB%B8%8C%EB%9E%9C%EB%94%A9</t>
  </si>
  <si>
    <t>crossup992@gmail.com</t>
  </si>
  <si>
    <t>AI 트렌드 마스터(ATM)</t>
  </si>
  <si>
    <t>찹쌀먹</t>
  </si>
  <si>
    <t>yugeleu@gmail.com</t>
  </si>
  <si>
    <t>셀러문</t>
  </si>
  <si>
    <t>개인컨설팅</t>
  </si>
  <si>
    <t>moongun2020@gmail.com</t>
  </si>
  <si>
    <t>슈퍼말순</t>
  </si>
  <si>
    <t>mimind1025@gmail.com</t>
  </si>
  <si>
    <t>AI 영상 전반 (롱폼, 숏폼 무관)</t>
  </si>
  <si>
    <t>라이프 3.0 픽처스</t>
  </si>
  <si>
    <t>life3.0stories@gmail.com</t>
  </si>
  <si>
    <t>유튜브에 강좌 영상 다수 업로드</t>
  </si>
  <si>
    <t>대디갓재</t>
  </si>
  <si>
    <t>트렌드헌터 + 개인강의</t>
  </si>
  <si>
    <t>rhrhcyj@naver.com</t>
  </si>
  <si>
    <t>사업선배 윤수욱</t>
  </si>
  <si>
    <t>vivivicicon@gmail.com</t>
  </si>
  <si>
    <t>구대판다</t>
  </si>
  <si>
    <t>wearetwojob@gmail.com</t>
  </si>
  <si>
    <t>윤자동</t>
  </si>
  <si>
    <t>ceo@yunjadong.com</t>
  </si>
  <si>
    <t>유튜브에 자동화 관련 강좌 영상 다수 업로드</t>
  </si>
  <si>
    <t>중국 구매대행</t>
  </si>
  <si>
    <t>사뚜</t>
  </si>
  <si>
    <t>대량등록</t>
  </si>
  <si>
    <t>린치핀</t>
  </si>
  <si>
    <t>더망고</t>
  </si>
  <si>
    <t>linchpin9999@naver.com</t>
  </si>
  <si>
    <t>난바로</t>
  </si>
  <si>
    <t>인스타 릴스, AI 영상편집</t>
  </si>
  <si>
    <t>자체</t>
  </si>
  <si>
    <t>소스놀이터</t>
  </si>
  <si>
    <t>voition79@naver.com</t>
  </si>
  <si>
    <t>쇼츠 자동화</t>
  </si>
  <si>
    <t xml:space="preserve"> 그린코끼리 AI</t>
  </si>
  <si>
    <t>hello@greenkokki.com</t>
  </si>
  <si>
    <t>구글 opal 애드센스 자동화</t>
  </si>
  <si>
    <t>솔루션스타 아나브</t>
  </si>
  <si>
    <r>
      <rPr>
        <color rgb="FF1155CC"/>
      </rPr>
      <t>월급쟁이 부자들</t>
    </r>
    <r>
      <rPr/>
      <t xml:space="preserve">, </t>
    </r>
    <r>
      <rPr>
        <color rgb="FF1155CC"/>
      </rPr>
      <t>가벼운학습지</t>
    </r>
  </si>
  <si>
    <t>anab@anab.co.kr</t>
  </si>
  <si>
    <t>AI 숏폼 대행 수익화</t>
  </si>
  <si>
    <t>성팩</t>
  </si>
  <si>
    <t>하이클래스에듀</t>
  </si>
  <si>
    <t>인터뷰 출연한 유튜브</t>
  </si>
  <si>
    <t>soobingsoopaak@gmail.com</t>
  </si>
  <si>
    <t>이커머스(브랜드유통)</t>
  </si>
  <si>
    <t>오규홍(부업공작소)</t>
  </si>
  <si>
    <t>010-5729-1053</t>
  </si>
  <si>
    <t>안혜연</t>
  </si>
  <si>
    <t>aoh56790@naver.com</t>
  </si>
  <si>
    <t>나땅</t>
  </si>
  <si>
    <t>myziptech@gmail.com</t>
  </si>
  <si>
    <t>월텍남(월스트리트 테크남)</t>
  </si>
  <si>
    <t>waltechguy@gmail.com</t>
  </si>
  <si>
    <t>AI 사용 강의</t>
  </si>
  <si>
    <t>Play with AI Lab</t>
  </si>
  <si>
    <t>playwithai.lab.2025@gmail.com</t>
  </si>
  <si>
    <t>https://blog.naver.com/playwithailab</t>
  </si>
  <si>
    <t>숏폼 대행</t>
  </si>
  <si>
    <t>트렌드리더 리아</t>
  </si>
  <si>
    <t>광고실행사 창업</t>
  </si>
  <si>
    <t>월억부자</t>
  </si>
  <si>
    <t>070-8065-7583</t>
  </si>
  <si>
    <t>해보까TV</t>
  </si>
  <si>
    <t>ryusubghee1971@gmail.com</t>
  </si>
  <si>
    <t>open.kakao.com/o/gtr6EA3e</t>
  </si>
  <si>
    <t>AI 영상(유튜브)</t>
  </si>
  <si>
    <t>딸깍디자이너</t>
  </si>
  <si>
    <t>쓰레드</t>
  </si>
  <si>
    <t>http://www.youtube.com/@ddalgak_design</t>
  </si>
  <si>
    <t>https://www.instagram.com/ddalgak.d</t>
  </si>
  <si>
    <t>gigabuddha89@gmail.com</t>
  </si>
  <si>
    <t>노가다꾼의 쇼핑물</t>
  </si>
  <si>
    <t>1:1 컨설팅</t>
  </si>
  <si>
    <t>mlnam0523@nate.com</t>
  </si>
  <si>
    <t>쿠팡 위탁판매</t>
  </si>
  <si>
    <t>사국강</t>
  </si>
  <si>
    <t>lhs2732@naver.com</t>
  </si>
  <si>
    <t>달프</t>
  </si>
  <si>
    <t>gestapo8355@naver.com</t>
  </si>
  <si>
    <t>AI 음원 수익</t>
  </si>
  <si>
    <t>데이보의 AI스쿨</t>
  </si>
  <si>
    <t>AI Coda</t>
  </si>
  <si>
    <t>designcoding1@gmail.com</t>
  </si>
  <si>
    <t>돈벌자옹</t>
  </si>
  <si>
    <t>전자책 PDF</t>
  </si>
  <si>
    <t>엄마는 차대표</t>
  </si>
  <si>
    <t>kkongsssoimom@gmail.com</t>
  </si>
  <si>
    <t>AI 쇼핑몰 자동화</t>
  </si>
  <si>
    <t>쇼팡</t>
  </si>
  <si>
    <t>cannonfort@naver.com</t>
  </si>
  <si>
    <t>대모산 개발단</t>
  </si>
  <si>
    <t>https://www.youtube.com/@%EB%8C%80%EB%AA%A8%EC%82%B0%EA%B0%9C%EB%B0%9C%EB%8B%A8/videos</t>
  </si>
  <si>
    <t>contact@demodev.io</t>
  </si>
  <si>
    <t>레벨업클라쓰</t>
  </si>
  <si>
    <t xml:space="preserve">levelupclass@hotmail.com </t>
  </si>
  <si>
    <t>해피쏠쏠│돈버는 엄마셀러</t>
  </si>
  <si>
    <t>AI박프로</t>
  </si>
  <si>
    <t>contact@aiparkpro.com</t>
  </si>
  <si>
    <t>GAYUN AI</t>
  </si>
  <si>
    <t>hasarang0701@gmail.com</t>
  </si>
  <si>
    <t>이슈피커</t>
  </si>
  <si>
    <t>news@issuepicker.com</t>
  </si>
  <si>
    <t>무해한 노수</t>
  </si>
  <si>
    <t>nohsu0821@graemarketing.co.kr</t>
  </si>
  <si>
    <t>협업 문의</t>
  </si>
  <si>
    <t>해외구매대행/쿠팡로켓그로스</t>
  </si>
  <si>
    <t>이은수</t>
  </si>
  <si>
    <t>유이엔</t>
  </si>
  <si>
    <t>직장인인데 해외구매대행/로켓그로스 부업 하시는 중 실제 본인 경험 공유하며 해외구매대행에 대해서 초보자/직장인도 쉽게 도전할 수 있게끔 콘텐츠를 공유함</t>
  </si>
  <si>
    <t>경매</t>
  </si>
  <si>
    <t>애매모홈</t>
  </si>
  <si>
    <t>https://www.youtube.com/@mmohome</t>
  </si>
  <si>
    <t>kmsun1206@naver.com</t>
  </si>
  <si>
    <t>유나우랩</t>
  </si>
  <si>
    <t>커머스</t>
  </si>
  <si>
    <t>메이크패밀리(윤동규)</t>
  </si>
  <si>
    <t>극단AI</t>
  </si>
  <si>
    <t>https://www.youtube.com/@spoop-v7v</t>
  </si>
  <si>
    <t>https://www.instagram.com/ai_extreme/</t>
  </si>
  <si>
    <t>ai01extreme@gmail.com</t>
  </si>
  <si>
    <r>
      <rPr/>
      <t xml:space="preserve">최근 </t>
    </r>
    <r>
      <rPr>
        <color rgb="FF1155CC"/>
      </rPr>
      <t xml:space="preserve">흑백요리사 AI 애니메이션 </t>
    </r>
    <r>
      <rPr/>
      <t>제작한 분/ 인스타그램에선 AI 정보공유같은거 하</t>
    </r>
  </si>
  <si>
    <t>강의 생각 x</t>
  </si>
  <si>
    <t>에어비앤비</t>
  </si>
  <si>
    <t>방백수</t>
  </si>
  <si>
    <t>bambaksu@gmail.com</t>
  </si>
  <si>
    <r>
      <rPr>
        <color rgb="FF1155CC"/>
      </rPr>
      <t>머니스토리 인터뷰</t>
    </r>
    <r>
      <rPr>
        <color rgb="FF000000"/>
      </rPr>
      <t xml:space="preserve"> 에어비앤비로 부동산 대출 이자를 갚으며 수익화 그 외에 다양한 부업 경험 콘텐츠를 공유함</t>
    </r>
  </si>
  <si>
    <t>ai애니메이션 롱폼</t>
  </si>
  <si>
    <t>간단경제학</t>
  </si>
  <si>
    <t>https://www.youtube.com/@%EA%B0%84%EB%8B%A8%EA%B2%BD%EC%A0%9C%ED%95%99</t>
  </si>
  <si>
    <t>lkslkss0006@gmail.com</t>
  </si>
  <si>
    <t>증권사 플랫폼 부업</t>
  </si>
  <si>
    <t>부업일기</t>
  </si>
  <si>
    <t>구글폼</t>
  </si>
  <si>
    <t>sns 부업 / AI디자인(피그마)</t>
  </si>
  <si>
    <t>헤글</t>
  </si>
  <si>
    <r>
      <rPr>
        <color rgb="FF1155CC"/>
      </rPr>
      <t>리틀리(전자책 판매, 협업 문의)</t>
    </r>
    <r>
      <rPr>
        <color rgb="FF000000"/>
      </rPr>
      <t xml:space="preserve"> 피그마 ai 활용해서 디자인 부업 및 마케팅 부업으로 수익화함 챌린지도 다수 진행중</t>
    </r>
  </si>
  <si>
    <t>전자책 제작</t>
  </si>
  <si>
    <t>유성우(바이컴퍼니)</t>
  </si>
  <si>
    <t>byecompany2016@gmail.com</t>
  </si>
  <si>
    <t>구대는구대표</t>
  </si>
  <si>
    <t>개인강의(네이버카페)</t>
  </si>
  <si>
    <t>9daepyo@gmail.com</t>
  </si>
  <si>
    <t>일하며 여행하는 CEO제노</t>
  </si>
  <si>
    <t>클레스101</t>
  </si>
  <si>
    <t>xenodori@gmail.com</t>
  </si>
  <si>
    <t>AI부업(유튜브,상페)</t>
  </si>
  <si>
    <t>CONNECT AI LAB</t>
  </si>
  <si>
    <r>
      <rPr>
        <color rgb="FF1155CC"/>
      </rPr>
      <t>https://www.ezerai.xyz/</t>
    </r>
    <r>
      <rPr/>
      <t xml:space="preserve"> 수강생이 사용할 수 있는 자체ai보유한 것으로 보입니다</t>
    </r>
  </si>
  <si>
    <t>한국어강사</t>
  </si>
  <si>
    <t>해피켈리</t>
  </si>
  <si>
    <t>looking4free@naver.com</t>
  </si>
  <si>
    <t>퓨리온 AI</t>
  </si>
  <si>
    <t>manager@puritechlab.com</t>
  </si>
  <si>
    <t>경장인</t>
  </si>
  <si>
    <t>richworkers@naver.com</t>
  </si>
  <si>
    <t>무한공작소</t>
  </si>
  <si>
    <r>
      <rPr>
        <color rgb="FF1155CC"/>
      </rPr>
      <t>현재 진행 중인 펀딩</t>
    </r>
    <r>
      <rPr>
        <color rgb="FF000000"/>
      </rPr>
      <t xml:space="preserve"> 문의하기 기능</t>
    </r>
  </si>
  <si>
    <t>겹침</t>
  </si>
  <si>
    <t>신주연</t>
  </si>
  <si>
    <t>ai머니</t>
  </si>
  <si>
    <t>aimoney489@gmail.com</t>
  </si>
  <si>
    <t>.</t>
  </si>
  <si>
    <t>노모어매뉴얼</t>
  </si>
  <si>
    <t>korealofigirl@gmail.com</t>
  </si>
  <si>
    <t>전직 대치동 학원장</t>
  </si>
  <si>
    <t>AI 아스트라</t>
  </si>
  <si>
    <t>birthofthoughtkr@gmail.com</t>
  </si>
  <si>
    <t>AI음원 (대표님 지인 확인)</t>
  </si>
  <si>
    <t>AI음원 연금술사</t>
  </si>
  <si>
    <t>sangwon@ropefree.biz</t>
  </si>
  <si>
    <t>수익화 어려울 듯</t>
  </si>
  <si>
    <t>AI PPT</t>
  </si>
  <si>
    <t>페이퍼로지</t>
  </si>
  <si>
    <t>쇼피 - 동남아 역직구</t>
  </si>
  <si>
    <t>스테비</t>
  </si>
  <si>
    <t>스터디파이</t>
  </si>
  <si>
    <t>yjblue83@gmail.com</t>
  </si>
  <si>
    <t>조MD</t>
  </si>
  <si>
    <t>hy721@green-egg.kr</t>
  </si>
  <si>
    <r>
      <rPr/>
      <t xml:space="preserve">사업중 </t>
    </r>
    <r>
      <rPr>
        <color rgb="FF1155CC"/>
      </rPr>
      <t>https://green-egg.kr/</t>
    </r>
  </si>
  <si>
    <t>명품리셀</t>
  </si>
  <si>
    <t>럭스앤워크</t>
  </si>
  <si>
    <t>자체컨설팅</t>
  </si>
  <si>
    <t>luxurygoodsedu@gmail.com</t>
  </si>
  <si>
    <t>명품 병행수입 명품을 40~50% 싸게 살 수 있는 방법을 소개함</t>
  </si>
  <si>
    <t>AI작곡</t>
  </si>
  <si>
    <t>나인뮤직</t>
  </si>
  <si>
    <t>https://www.youtube.com/@NiNE_MUSIC/videos</t>
  </si>
  <si>
    <t>nine9music9@gmail.com</t>
  </si>
  <si>
    <t>영상독학</t>
  </si>
  <si>
    <t>rteat4670@naver.com</t>
  </si>
  <si>
    <t>쇼피 셀러</t>
  </si>
  <si>
    <t>지적호기심</t>
  </si>
  <si>
    <t>leecho112@naver.com</t>
  </si>
  <si>
    <t>제이로드</t>
  </si>
  <si>
    <t>로고제작 수익화</t>
  </si>
  <si>
    <t>로판장 TV</t>
  </si>
  <si>
    <t>자체강의(현재 오픈 X)</t>
  </si>
  <si>
    <t>losama1998@naver.com</t>
  </si>
  <si>
    <t>AI 이커머스</t>
  </si>
  <si>
    <t>마케팅트루먼쇼(한성국)</t>
  </si>
  <si>
    <t>뉴스레터</t>
  </si>
  <si>
    <t>steve@wmbb.kr</t>
  </si>
  <si>
    <t>AI 최대표</t>
  </si>
  <si>
    <r>
      <rPr>
        <color rgb="FF1155CC"/>
      </rPr>
      <t>유튜브</t>
    </r>
    <r>
      <rPr/>
      <t xml:space="preserve">, </t>
    </r>
    <r>
      <rPr>
        <color rgb="FF1155CC"/>
      </rPr>
      <t>개인 카페</t>
    </r>
    <r>
      <rPr/>
      <t xml:space="preserve">, </t>
    </r>
    <r>
      <rPr>
        <color rgb="FF1155CC"/>
      </rPr>
      <t>블로그</t>
    </r>
  </si>
  <si>
    <r>
      <rPr>
        <color rgb="FF1155CC"/>
      </rPr>
      <t>자체 플랫폼</t>
    </r>
    <r>
      <rPr/>
      <t xml:space="preserve">, </t>
    </r>
    <r>
      <rPr>
        <color rgb="FF1155CC"/>
      </rPr>
      <t>개인 카페</t>
    </r>
  </si>
  <si>
    <t>cddmh@naver.com</t>
  </si>
  <si>
    <t>cocojuan코코쥬안</t>
  </si>
  <si>
    <t>cocojuankr@gmail.com</t>
  </si>
  <si>
    <t>sns 수익화 (인스타)</t>
  </si>
  <si>
    <t>블라블라 리지팍</t>
  </si>
  <si>
    <r>
      <rPr>
        <color rgb="FF1155CC"/>
      </rPr>
      <t>유튜브</t>
    </r>
    <r>
      <rPr/>
      <t xml:space="preserve">, </t>
    </r>
    <r>
      <rPr>
        <color rgb="FF1155CC"/>
      </rPr>
      <t>인스타</t>
    </r>
  </si>
  <si>
    <t>j6r6@naver.com</t>
  </si>
  <si>
    <t>동남아쇼핑몰</t>
  </si>
  <si>
    <t>노마드 데이빗</t>
  </si>
  <si>
    <t>david@joeyanddavid.co.kr</t>
  </si>
  <si>
    <t>김보성</t>
  </si>
  <si>
    <t>윤짱 캔바스쿨</t>
  </si>
  <si>
    <t>aska1471@naver.com</t>
  </si>
  <si>
    <t>이모티콘</t>
  </si>
  <si>
    <t>콘생콘사</t>
  </si>
  <si>
    <t>https://www.youtube.com/@consengconsa</t>
  </si>
  <si>
    <t>제이씨드</t>
  </si>
  <si>
    <t>트렌더스 클래스</t>
  </si>
  <si>
    <t>유생역전</t>
  </si>
  <si>
    <t>개인 오픈톡방</t>
  </si>
  <si>
    <t>네이버카페 운영 : https://cafe.naver.com/sloye</t>
  </si>
  <si>
    <t>무디파이</t>
  </si>
  <si>
    <t>leedain0702@gmail.com</t>
  </si>
  <si>
    <t>당근, 쿠팡 (커머스)</t>
  </si>
  <si>
    <t>이제고딩(김준희)</t>
  </si>
  <si>
    <t>kimjun3025@gmail.com</t>
  </si>
  <si>
    <t>.수익화 어려울 듯</t>
  </si>
  <si>
    <t>Ai-Con Lab</t>
  </si>
  <si>
    <t>sunman113@naver.com</t>
  </si>
  <si>
    <t>워드프레스, 구글 애드센스</t>
  </si>
  <si>
    <t>로알남</t>
  </si>
  <si>
    <t>프레스런</t>
  </si>
  <si>
    <t>유튜브AI 플레이리스트 수익화</t>
  </si>
  <si>
    <t>JJ</t>
  </si>
  <si>
    <t>AI 코딩
(코딩으로 수익화 가능할지는 미지수)</t>
  </si>
  <si>
    <t>헤이제임스</t>
  </si>
  <si>
    <t>개인 사이트 운영</t>
  </si>
  <si>
    <t>james@heyjames.ai</t>
  </si>
  <si>
    <t>AI상세페이지 자동제작</t>
  </si>
  <si>
    <t>AI싱크클럽</t>
  </si>
  <si>
    <t>개인사이트</t>
  </si>
  <si>
    <r>
      <rPr>
        <color rgb="FF1155CC"/>
      </rPr>
      <t>aisyncclub@gmail.com</t>
    </r>
  </si>
  <si>
    <t>유튜브 수익</t>
  </si>
  <si>
    <t>이지훈 디렉터</t>
  </si>
  <si>
    <t>challengehub.kr@gmail.com</t>
  </si>
  <si>
    <t>더망고 구매대행</t>
  </si>
  <si>
    <t>퇴플렉스</t>
  </si>
  <si>
    <t>더망고비즈</t>
  </si>
  <si>
    <t>rexler@kakao.com</t>
  </si>
  <si>
    <t>개인 오프라인 사무실 운영</t>
  </si>
  <si>
    <t>유튜브 쇼핑쇼츠</t>
  </si>
  <si>
    <t>방구석농부</t>
  </si>
  <si>
    <t>코주부 클래스</t>
  </si>
  <si>
    <t>네이버 플레이스 마케팅</t>
  </si>
  <si>
    <t>마코장 장원준</t>
  </si>
  <si>
    <t>AI 영상 수익화</t>
  </si>
  <si>
    <t>AI 수호</t>
  </si>
  <si>
    <t>gogo071307130713@gmail.com</t>
  </si>
  <si>
    <t>쇼츠메이슨</t>
  </si>
  <si>
    <t>크몽 메시지로 물어 본 상황</t>
  </si>
  <si>
    <t>블로그 수익</t>
  </si>
  <si>
    <t xml:space="preserve"> 듀얼인컴</t>
  </si>
  <si>
    <t>viewtechtree@gmail.com</t>
  </si>
  <si>
    <t>채슬러</t>
  </si>
  <si>
    <t>마브스쿨</t>
  </si>
  <si>
    <t>cherryeon73@naver.com</t>
  </si>
  <si>
    <t>숏폼대행사업홈페이지...?</t>
  </si>
  <si>
    <t>쇼핑몰(네이버, 쿠팡, B2B 등)</t>
  </si>
  <si>
    <t>완소사 소대표</t>
  </si>
  <si>
    <t xml:space="preserve"> thwodjssla@naver.com</t>
  </si>
  <si>
    <t>AI 음원&amp;뮤비</t>
  </si>
  <si>
    <t>조선장단꾼</t>
  </si>
  <si>
    <t>yujinsug041@gmail.com</t>
  </si>
  <si>
    <t>영화 '왕과사는 남자' 공식 뮤비 제작 이력</t>
  </si>
  <si>
    <t>AI 유튜브, 블로그 등</t>
  </si>
  <si>
    <t>제이킴유니버스</t>
  </si>
  <si>
    <t>AI음원</t>
  </si>
  <si>
    <t>한다해</t>
  </si>
  <si>
    <t>개인1:1오픈채팅</t>
  </si>
  <si>
    <t>디하클에서 이지롱폼 4기 진행중</t>
  </si>
  <si>
    <t>심심풀이 물음표</t>
  </si>
  <si>
    <t>flowmass@naver.com</t>
  </si>
  <si>
    <t>타이탄</t>
  </si>
  <si>
    <t>제이린 유튜브</t>
  </si>
  <si>
    <t>사이클 해커스</t>
  </si>
  <si>
    <t>chs240305@gmail.com</t>
  </si>
  <si>
    <t>사이클해커스 무료강의 후 정규강의 개설되지 않음</t>
  </si>
  <si>
    <t xml:space="preserve"> 나쁘진 않은데 수익이 적어보임</t>
  </si>
  <si>
    <t>블로그 구글 애드센스</t>
  </si>
  <si>
    <t>해나스쿨</t>
  </si>
  <si>
    <t>플리크</t>
  </si>
  <si>
    <t>재하하우스</t>
  </si>
  <si>
    <t>movie_hs@naver.com</t>
  </si>
  <si>
    <t>AI 팟캐스트</t>
  </si>
  <si>
    <t>ㄷ+쌤</t>
  </si>
  <si>
    <t>so1982km@naver.com</t>
  </si>
  <si>
    <t>연락처 : 01037599767</t>
  </si>
  <si>
    <t>오렌지노</t>
  </si>
  <si>
    <t>숏폼 콘텐츠</t>
  </si>
  <si>
    <t>김지희(롱제이)</t>
  </si>
  <si>
    <t>사이트</t>
  </si>
  <si>
    <t>심플리홈</t>
  </si>
  <si>
    <t>https://www.instagram.com/__simplyhome?igsh=cXJtcGljenlqMDlw</t>
  </si>
  <si>
    <t>뭐가 없음</t>
  </si>
  <si>
    <t>이커머스</t>
  </si>
  <si>
    <t>황대표</t>
  </si>
  <si>
    <t>마케팅 대행</t>
  </si>
  <si>
    <t>주는사란</t>
  </si>
  <si>
    <t>giversaran@gmail.com</t>
  </si>
  <si>
    <t>카카오 채널</t>
  </si>
  <si>
    <t>플랫폼 느낌 강함</t>
  </si>
  <si>
    <t>AI × 마케팅</t>
  </si>
  <si>
    <t>픽스업</t>
  </si>
  <si>
    <t>카카오채널</t>
  </si>
  <si>
    <t>fixup1122@gmail.com</t>
  </si>
  <si>
    <t>클래스유 강의중</t>
  </si>
  <si>
    <t>당근마켓 셀러</t>
  </si>
  <si>
    <t>일평사장</t>
  </si>
  <si>
    <t>월부 강의중 (애매)</t>
  </si>
  <si>
    <t>온라인 판매(쿠창,스스)</t>
  </si>
  <si>
    <t>민군</t>
  </si>
  <si>
    <t>gomingoon@gmail.com</t>
  </si>
  <si>
    <t>시니어 AI</t>
  </si>
  <si>
    <t>제일 쉬운 AI</t>
  </si>
  <si>
    <t>uripeoyn@gmail.com</t>
  </si>
  <si>
    <t>AI유튜브 쇼츠</t>
  </si>
  <si>
    <t>카카오톡</t>
  </si>
  <si>
    <t>돈크라테스</t>
  </si>
  <si>
    <t>donk4579@naver.com</t>
  </si>
  <si>
    <t>카테고리 모호</t>
  </si>
  <si>
    <t>부업시스템</t>
  </si>
  <si>
    <t>강의 x (나쁘진 않음)</t>
  </si>
  <si>
    <t>플레이리스트 수익화</t>
  </si>
  <si>
    <t>띵곡맛집</t>
  </si>
  <si>
    <t>sanghun_bk@naver.com</t>
  </si>
  <si>
    <t>AI 툰</t>
  </si>
  <si>
    <t>이원자탄소</t>
  </si>
  <si>
    <r>
      <rPr>
        <color rgb="FF1155CC"/>
      </rPr>
      <t>머니루트</t>
    </r>
    <r>
      <rPr/>
      <t>,</t>
    </r>
    <r>
      <rPr>
        <color rgb="FF1155CC"/>
      </rPr>
      <t>콜로소</t>
    </r>
  </si>
  <si>
    <t>diatomicarbon@gmail.com</t>
  </si>
  <si>
    <t>10월2일까지 기존강의 수강모집</t>
  </si>
  <si>
    <t>수강, 수익 후기 등 확인불가</t>
  </si>
  <si>
    <t>단기임대(삼삼엠투)</t>
  </si>
  <si>
    <t>잘잉</t>
  </si>
  <si>
    <t>9월30일~ 현재 스터디 모집 중</t>
  </si>
  <si>
    <t xml:space="preserve"> 쿠팡</t>
  </si>
  <si>
    <t>디노 더 노마드</t>
  </si>
  <si>
    <t>https://www.youtube.com/@dino_the_nomad</t>
  </si>
  <si>
    <t>https://www.instagram.com/dino.the.nomad/</t>
  </si>
  <si>
    <t>김지훈</t>
  </si>
  <si>
    <t xml:space="preserve">	https://www.threads.com/@fruit_matjip</t>
  </si>
  <si>
    <t>이유를 정의하지 못하겠어요</t>
  </si>
  <si>
    <t>애드서</t>
  </si>
  <si>
    <t>sjs@mkm20201101.com</t>
  </si>
  <si>
    <t>AI 커머스 브레인</t>
  </si>
  <si>
    <t>민대표 지인, 확인 가능한 정보가 많지않음</t>
  </si>
  <si>
    <t>식탁남 최의현</t>
  </si>
  <si>
    <t>민대표 지인/ 민대표 플랫폼에서 강의 진행 추측</t>
  </si>
  <si>
    <t>분야 모호, 유투브 '달러채굴'이라는 워딩이 약간 걸려요</t>
  </si>
  <si>
    <t>쇼피파이</t>
  </si>
  <si>
    <t>스파미</t>
  </si>
  <si>
    <t>adaddition@naver.com</t>
  </si>
  <si>
    <t>전자책 배포</t>
  </si>
  <si>
    <t>전자책 파이프라인 / 브랜딩</t>
  </si>
  <si>
    <t>연기우</t>
  </si>
  <si>
    <t>giu@31branding.com</t>
  </si>
  <si>
    <t>제이파트너</t>
  </si>
  <si>
    <t>상세페이지 배포, 와디즈펀딩(강의,워크북) 성공</t>
  </si>
  <si>
    <t>콘텐츠가 너무 많다?</t>
  </si>
  <si>
    <t>아하AI</t>
  </si>
  <si>
    <t>아하임팩트 대표, 유튜브 1:1 설계 컨설팅</t>
  </si>
  <si>
    <t>좋아하는 일로 먹고 살기</t>
  </si>
  <si>
    <t>개인블로그</t>
  </si>
  <si>
    <t>karen.youn0909@gmail.com</t>
  </si>
  <si>
    <t>유튜브,블로그,그림책만들기 등 다양한 수익화 강의 진행</t>
  </si>
  <si>
    <t>강사 신뢰성 우려(예. 불여시의 가르침 등 &lt;- 워딩문제)</t>
  </si>
  <si>
    <t>내쪼</t>
  </si>
  <si>
    <t>windoowmymind@naver.com</t>
  </si>
  <si>
    <t>상품성 모호</t>
  </si>
  <si>
    <t>뱁새끼</t>
  </si>
  <si>
    <t>whareen7@naver.com</t>
  </si>
  <si>
    <t>캔바 디자인</t>
  </si>
  <si>
    <t>라미르네</t>
  </si>
  <si>
    <t>lami_rene@naver.com</t>
  </si>
  <si>
    <t>이유 정의를 못하겠어요</t>
  </si>
  <si>
    <t>부업/재태크</t>
  </si>
  <si>
    <t>절약왕 정약용</t>
  </si>
  <si>
    <t>플랜씨</t>
  </si>
  <si>
    <t>isadhappy@hanmail.net</t>
  </si>
  <si>
    <t>글쓰기</t>
  </si>
  <si>
    <t>손힘찬</t>
  </si>
  <si>
    <t>디자인 소스 수익화</t>
  </si>
  <si>
    <t>혼잡스</t>
  </si>
  <si>
    <t>honjobs@naver.com</t>
  </si>
  <si>
    <t xml:space="preserve">일년전 유튜브 통해서 다마고치 진행 </t>
  </si>
  <si>
    <t>안혜빈</t>
  </si>
  <si>
    <t>인스타캠퍼스 공식카페</t>
  </si>
  <si>
    <t>콜로소 상페</t>
  </si>
  <si>
    <t>https://www.youtube.com/@hyenimtv/videos</t>
  </si>
  <si>
    <t>https://www.instagram.com/hyenimtv_official</t>
  </si>
  <si>
    <t>hyenimtv@gmail.com</t>
  </si>
  <si>
    <t>최고수준</t>
  </si>
  <si>
    <t>아마존셀링</t>
  </si>
  <si>
    <t>보표</t>
  </si>
  <si>
    <t>두번째 월급</t>
  </si>
  <si>
    <t>두리두리</t>
  </si>
  <si>
    <t>홈페이지제작</t>
  </si>
  <si>
    <t>수익모델'을 알려준다고 하는데 코딩도 상품성 괜찮을지</t>
  </si>
  <si>
    <t>AI 수익 자동화 (블로그 인스타 스레드)</t>
  </si>
  <si>
    <t>투더제이</t>
  </si>
  <si>
    <r>
      <rPr>
        <color rgb="FF1155CC"/>
      </rPr>
      <t>자체 플랫폼</t>
    </r>
    <r>
      <rPr/>
      <t xml:space="preserve">, </t>
    </r>
    <r>
      <rPr>
        <color rgb="FF1155CC"/>
      </rPr>
      <t>카페</t>
    </r>
  </si>
  <si>
    <t>https://www.youtube.com/@ttj/videos</t>
  </si>
  <si>
    <t>https://www.instagram.com/ibwj/</t>
  </si>
  <si>
    <t>ibwj@piirra.com</t>
  </si>
  <si>
    <t>강의 x</t>
  </si>
  <si>
    <t>루디나</t>
  </si>
  <si>
    <t>왜하노</t>
  </si>
  <si>
    <t>링크</t>
  </si>
  <si>
    <t>whyhano42@gmail.com</t>
  </si>
  <si>
    <t>이유를 정의하지 못하겠어요 (낫뱃</t>
  </si>
  <si>
    <t>셀러공</t>
  </si>
  <si>
    <t>https://www.youtube.com/@%EC%85%80%EB%9F%AC%EA%B3%B5/videos</t>
  </si>
  <si>
    <t>bbs2304@naver.com</t>
  </si>
  <si>
    <t>스마트 스토어 위탁판매</t>
  </si>
  <si>
    <t>위탁고수 장대표</t>
  </si>
  <si>
    <t>https://www.youtube.com/@%EC%9C%84%ED%83%81%EA%B3%A0%EC%88%98_%EC%9E%A5%EB%8C%80%ED%91%9C</t>
  </si>
  <si>
    <t>myjih@naver.com</t>
  </si>
  <si>
    <t>본업 집중</t>
  </si>
  <si>
    <t>수익 결과물은 발견하지 못함</t>
  </si>
  <si>
    <t>온라인 쇼핑몰 창업</t>
  </si>
  <si>
    <t>ON쌤</t>
  </si>
  <si>
    <t>jbr052@naver.com</t>
  </si>
  <si>
    <t>구매대행 + 블로그</t>
  </si>
  <si>
    <t>엄부처</t>
  </si>
  <si>
    <t>hhyonam@gmail.com</t>
  </si>
  <si>
    <t>스레드 상품성?</t>
  </si>
  <si>
    <t>스레드, 틱톡 수익화</t>
  </si>
  <si>
    <t>제시카 잡스</t>
  </si>
  <si>
    <t>https://www.instagram.com/jexsica_jobs/</t>
  </si>
  <si>
    <t xml:space="preserve"> young112373@gmail.com &lt;맞는 이메일인지 확인불가</t>
  </si>
  <si>
    <t>음상품화로는 안될것같아요(예. 2030 솔로파티, 30대초 고급여성 등 워딩, 강사 신뢰성?)</t>
  </si>
  <si>
    <t>소셜링 수익화</t>
  </si>
  <si>
    <t>그대표</t>
  </si>
  <si>
    <t>AI PPT 수익화</t>
  </si>
  <si>
    <t>도리</t>
  </si>
  <si>
    <t>수익화 강의에 약간은 부정적이기도? (유투브 링크참고)</t>
  </si>
  <si>
    <t>카메 ( 셀링재팬 )</t>
  </si>
  <si>
    <t>셀링메이트</t>
  </si>
  <si>
    <t>thepassel86@naver.com</t>
  </si>
  <si>
    <t>수익화 강의보다는 판매자 느낌</t>
  </si>
  <si>
    <t>라이브방송</t>
  </si>
  <si>
    <t>오드리겸</t>
  </si>
  <si>
    <t>강의x</t>
  </si>
  <si>
    <t>쏘피</t>
  </si>
  <si>
    <t>https://www.instagram.com/ssophi_hi/</t>
  </si>
  <si>
    <t>ssophihi@gmail.com</t>
  </si>
  <si>
    <t>수익화 요소 모호</t>
  </si>
  <si>
    <t>AI 자동화 마케팅</t>
  </si>
  <si>
    <t>김민규</t>
  </si>
  <si>
    <t>mingyu.sleaners@gmail.com</t>
  </si>
  <si>
    <t>성공펭귄</t>
  </si>
  <si>
    <t>AI:ON 에이아이온</t>
  </si>
  <si>
    <t>https://www.youtube.com/@AION%EB%8F%88%EB%B2%84%EB%8A%94%EB%B2%95/featured</t>
  </si>
  <si>
    <t>애찌</t>
  </si>
  <si>
    <t>actingisall@naver.com</t>
  </si>
  <si>
    <t>플랫폼 형태</t>
  </si>
  <si>
    <t>멀밍</t>
  </si>
  <si>
    <t>자체플랫폼, 카페</t>
  </si>
  <si>
    <t>타이탄 계열사</t>
  </si>
  <si>
    <t>ai 숏폼</t>
  </si>
  <si>
    <t>아이비클래스</t>
  </si>
  <si>
    <t>수익화 강의가 있는데 어떨지 모르겠어요</t>
  </si>
  <si>
    <t>먹스타그램 수익화</t>
  </si>
  <si>
    <t>진케이이</t>
  </si>
  <si>
    <t>jin_k__@naver.com</t>
  </si>
  <si>
    <t>현직강사</t>
  </si>
  <si>
    <t>블로그 마케팅</t>
  </si>
  <si>
    <t>알스터</t>
  </si>
  <si>
    <t>라이프러닝</t>
  </si>
  <si>
    <t>수익화 증명x, 신뢰성 다소 낮음 (나쁘지 않음)</t>
  </si>
  <si>
    <t xml:space="preserve">      </t>
  </si>
  <si>
    <t>SNS 전문가 이영덕</t>
  </si>
  <si>
    <t>https://www.youtube.com/@growthyoungduk/videos</t>
  </si>
  <si>
    <t>https://www.instagram.com/growthyoungduk/</t>
  </si>
  <si>
    <t>상품성 모호 (좋은 것 같은데?)</t>
  </si>
  <si>
    <t>온라인 한국어 선생님</t>
  </si>
  <si>
    <t>팅쌤</t>
  </si>
  <si>
    <t>http://www.youtube.com/@tingssam_insight</t>
  </si>
  <si>
    <t>artingmin@gmail.com</t>
  </si>
  <si>
    <t>4/1(목) 13시 미팅</t>
  </si>
  <si>
    <t>상세페이지</t>
  </si>
  <si>
    <t>부업</t>
  </si>
  <si>
    <t>돈이좋은세상</t>
  </si>
  <si>
    <t>https://www.youtube.com/@%EB%8F%88%EC%A1%B0-v9c</t>
  </si>
  <si>
    <t>상품성 모호 (나쁘지 않음)</t>
  </si>
  <si>
    <t>ai부업(자동화 프로그램)</t>
  </si>
  <si>
    <t>AI개발좌</t>
  </si>
  <si>
    <t>https://www.youtube.com/@AI%EA%B0%9C%EB%B0%9C%EC%A2%8C</t>
  </si>
  <si>
    <t>korcorlee1@gmail.com</t>
  </si>
  <si>
    <t>툴 파시는 분, 대표님과 나중에 연락 원함</t>
  </si>
  <si>
    <t>일정 조율 중</t>
  </si>
  <si>
    <t>기획 분야&lt;상품성 낮음</t>
  </si>
  <si>
    <t>기획 컨설팅</t>
  </si>
  <si>
    <t>허영훈</t>
  </si>
  <si>
    <t>https://m.blog.naver.com/PostList.naver?blogId=danhur21&amp;categoryName=%EC%B0%BE%EC%95%84%EA%B0%80%EB%8A%94%20%EA%B0%95%EC%97%B0%20%2F%20%EC%BB%A8%EC%84%A4%ED%8C%85%20%EC%95%88%EB%82%B4&amp;categoryNo=7&amp;logCode=0</t>
  </si>
  <si>
    <t>https://www.instagram.com/dan_hur/</t>
  </si>
  <si>
    <t>sns, 퍼널마케팅</t>
  </si>
  <si>
    <t>맹예진 [핏크닉 홈페이지 지원]</t>
  </si>
  <si>
    <t>https://levelupschool.kr/?idx=36</t>
  </si>
  <si>
    <t>https://www.instagram.com/funnel_creator_/</t>
  </si>
  <si>
    <t>노진혁 [머니업 홈페이지 지원]</t>
  </si>
  <si>
    <t>https://www.threads.com/@builder.rich</t>
  </si>
  <si>
    <t>https://www.notion.so/3275d840623980cab999e08f77faa04b?source=copy_link</t>
  </si>
  <si>
    <t>https://www.youtube.com/@doghoneyauction</t>
  </si>
  <si>
    <t>doghoneyauction@gmail.com</t>
  </si>
  <si>
    <t>미리캔버스</t>
  </si>
  <si>
    <t>도루묵</t>
  </si>
  <si>
    <t>https://www.instagram.com/dorumooc_log?igsh=dnN2amc2a21qbGl1</t>
  </si>
  <si>
    <t>dorumooc@naver.com</t>
  </si>
  <si>
    <r>
      <rPr>
        <rFont val="Arial"/>
        <color rgb="FF1155CC"/>
      </rPr>
      <t>ai 미리캔버스 수익화 설명 블로그</t>
    </r>
    <r>
      <rPr>
        <rFont val="Arial"/>
        <color rgb="FF000000"/>
      </rPr>
      <t xml:space="preserve"> 콘텐츠를 발행한지 얼마 안되었지만 ai/아이패드 이용하여 미리캔버스 수익화하는 것이 젊은 직장인들 타겟팅하기 좋아보임</t>
    </r>
  </si>
  <si>
    <t>역직구 사업</t>
  </si>
  <si>
    <t>글로벌셀러레아</t>
  </si>
  <si>
    <t>http://www.youtube.com/@globalrizing</t>
  </si>
  <si>
    <t>globalrhea@gmail.com</t>
  </si>
  <si>
    <t>정승희 / 주의 필요</t>
  </si>
  <si>
    <t>식품 판매</t>
  </si>
  <si>
    <t>셀러살롱</t>
  </si>
  <si>
    <t>https://www.youtube.com/@%EC%85%80%EB%9F%AC%EC%82%B4%EB%A1%B1</t>
  </si>
  <si>
    <t>somang0930@gmail.com</t>
  </si>
  <si>
    <t>강의 생각 X, 7월 이후</t>
  </si>
  <si>
    <t>괜찮은 것 같은데?</t>
  </si>
  <si>
    <t>호테우스</t>
  </si>
  <si>
    <r>
      <rPr>
        <rFont val="Arial"/>
        <color rgb="FF1155CC"/>
      </rPr>
      <t>유튜브</t>
    </r>
    <r>
      <rPr>
        <rFont val="Arial"/>
        <color rgb="FF0D7559"/>
      </rPr>
      <t xml:space="preserve">, </t>
    </r>
    <r>
      <rPr>
        <rFont val="Arial"/>
        <color rgb="FF1155CC"/>
      </rPr>
      <t>블로그</t>
    </r>
    <r>
      <rPr>
        <rFont val="Arial"/>
        <color rgb="FF0D7559"/>
      </rPr>
      <t xml:space="preserve">, </t>
    </r>
    <r>
      <rPr>
        <rFont val="Arial"/>
        <color rgb="FF1155CC"/>
      </rPr>
      <t>틱톡</t>
    </r>
  </si>
  <si>
    <t>https://www.youtube.com/@hotheus</t>
  </si>
  <si>
    <t>hotheus33@gmail.com</t>
  </si>
  <si>
    <t>일본 쇼핑몰</t>
  </si>
  <si>
    <t>도상</t>
  </si>
  <si>
    <t>낫이지스쿨</t>
  </si>
  <si>
    <t>https://www.youtube.com/@%EC%9D%BC%EB%B3%B8%EB%B0%94%EC%9D%B4%EB%A7%88%EC%BD%94%EC%B9%98%EB%8F%84%EC%83%81</t>
  </si>
  <si>
    <t>info@noteasyschool.com</t>
  </si>
  <si>
    <t>수퍼이끌림</t>
  </si>
  <si>
    <t>스레드 통해서 쿠팡파트너스 수익</t>
  </si>
  <si>
    <t>디지털 파일 판매</t>
  </si>
  <si>
    <t>영국사는레이디노마드</t>
  </si>
  <si>
    <t>https://www.instagram.com/_ladynomad/</t>
  </si>
  <si>
    <t>정승희 (이런 사람도 컨택?)</t>
  </si>
  <si>
    <t>이커머스 (쿠팡)</t>
  </si>
  <si>
    <t>빌리브로</t>
  </si>
  <si>
    <t>billibro0813@gmail.com</t>
  </si>
  <si>
    <t>에이양 aiyang</t>
  </si>
  <si>
    <t>https://www.youtube.com/@aiyang%EC%97%90%EC%9D%B4%EC%96%91/shorts</t>
  </si>
  <si>
    <t>https://www.instagram.com/aiyang2025</t>
  </si>
  <si>
    <t>aiyanggirl@gmail.com</t>
  </si>
  <si>
    <t>아마존</t>
  </si>
  <si>
    <t>리셀 이코치</t>
  </si>
  <si>
    <t>https://www.youtube.com/@resell-leecoach</t>
  </si>
  <si>
    <t>beckemgoo@naver.com</t>
  </si>
  <si>
    <t>ai유튜브</t>
  </si>
  <si>
    <t>플러스젠</t>
  </si>
  <si>
    <t>https://www.youtube.com/@%ED%94%8C%EB%9F%AC%EC%8A%A4%EC%A0%A0ai/videos</t>
  </si>
  <si>
    <t>sandbox_culture@naver.com</t>
  </si>
  <si>
    <t>쇼피파이 드랍쉬핑</t>
  </si>
  <si>
    <t>리얼프로젝트</t>
  </si>
  <si>
    <r>
      <rPr>
        <rFont val="Arial"/>
        <color rgb="FF0D7559"/>
      </rPr>
      <t xml:space="preserve">크몽 프로필 문의하기 https://kmong.com/@리얼프로젝트 / 개인 강의 사이트가 있으나 동일인인지 확실치 않음 </t>
    </r>
    <r>
      <rPr>
        <rFont val="Arial"/>
        <color rgb="FF1155CC"/>
      </rPr>
      <t>https://realproject.liveklass.com/</t>
    </r>
  </si>
  <si>
    <t>봄테일</t>
  </si>
  <si>
    <t>https://www.youtube.com/@bomtailofficial</t>
  </si>
  <si>
    <t>bomtailofficial@gmail.com</t>
  </si>
  <si>
    <t>당근비즈니스</t>
  </si>
  <si>
    <t>하리의 부업로그</t>
  </si>
  <si>
    <t>연락처 : 010-9023-4328</t>
  </si>
  <si>
    <t>쿠팡파트너스나 스마트스토어와 같은 개념으로 당근에서 판매하는 부업</t>
  </si>
  <si>
    <t>살구언니</t>
  </si>
  <si>
    <t>https://www.instagram.com/salguunni/</t>
  </si>
  <si>
    <t>wldms7203@naver.com</t>
  </si>
  <si>
    <t>메일 보내볼 순 있을듯</t>
  </si>
  <si>
    <t>머닉스</t>
  </si>
  <si>
    <t>https://www.instagram.com/moneyx.2000/</t>
  </si>
  <si>
    <t>에어비앤비 차밍슬 다음타자</t>
  </si>
  <si>
    <t>마라스튜디오</t>
  </si>
  <si>
    <t>https://www.youtube.com/@Mara_Studio/videos</t>
  </si>
  <si>
    <t>marastudio.class@gmail.com</t>
  </si>
  <si>
    <t>김기찬</t>
  </si>
  <si>
    <t>세연쌤</t>
  </si>
  <si>
    <t>https://www.youtube.com/@%EC%9B%94%EC%84%B8%EB%AA%A8%EB%8B%9D%EC%BD%9C_%EC%84%B8%EC%97%B0%EC%8C%A4</t>
  </si>
  <si>
    <t>http://instagram.com/seyoun_sam_</t>
  </si>
  <si>
    <t>tpdus77889@naver.com</t>
  </si>
  <si>
    <t>딱쉬운 경공매</t>
  </si>
  <si>
    <t>https://www.youtube.com/@ddakeasy_auction</t>
  </si>
  <si>
    <t>rnduf2323@naver.com</t>
  </si>
  <si>
    <t>AI 작사작곡</t>
  </si>
  <si>
    <t>오땡큐</t>
  </si>
  <si>
    <t>사운드클라우드</t>
  </si>
  <si>
    <t>https://www.youtube.com/@othankq</t>
  </si>
  <si>
    <t>https://www.instagram.com/othankq</t>
  </si>
  <si>
    <t>머니멘터리 추천</t>
  </si>
  <si>
    <t>https://www.instagram.com/solrr.aa/</t>
  </si>
  <si>
    <t>로고 디자인 부업 (여쭤봐야됨)</t>
  </si>
  <si>
    <t>헨리</t>
  </si>
  <si>
    <t>https://www.instagram.com/_henryoh?utm_source=ig_web_button_share_sheet&amp;igsh=MXFmbDJwYzViN2JhOA==</t>
  </si>
  <si>
    <t>머니랩스</t>
  </si>
  <si>
    <t>https://www.youtube.com/@%EB%A8%B8%EB%8B%88%EB%9E%A9%EC%8A%A4</t>
  </si>
  <si>
    <t>vetiver.hwang@gmail.com</t>
  </si>
  <si>
    <t>비지오랩</t>
  </si>
  <si>
    <t>https://www.youtube.com/@visiolab23/videos</t>
  </si>
  <si>
    <t>돈벌랩스</t>
  </si>
  <si>
    <t>https://www.youtube.com/@donbeollabs/featured</t>
  </si>
  <si>
    <r>
      <rPr>
        <rFont val="Arial"/>
        <color rgb="FF1155CC"/>
      </rPr>
      <t>donbeollabs@gmail.com</t>
    </r>
  </si>
  <si>
    <t>머니알고리즘</t>
  </si>
  <si>
    <t>https://www.youtube.com/@%EB%A8%B8%EB%8B%88%EC%95%8C%EA%B3%A0%EB%A6%AC%EC%A6%98</t>
  </si>
  <si>
    <t>hwjun003@gmail.com</t>
  </si>
  <si>
    <t>AI 유튜브 부업</t>
  </si>
  <si>
    <t>AI몽상튜브</t>
  </si>
  <si>
    <t>O (마감)</t>
  </si>
  <si>
    <t>https://www.youtube.com/@AImongsang</t>
  </si>
  <si>
    <t>yojunom@naver.com</t>
  </si>
  <si>
    <t>AI 시니어 롱폼, AI 컨텐츠</t>
  </si>
  <si>
    <t>유교수의 AI캠퍼스</t>
  </si>
  <si>
    <t>https://www.youtube.com/@professoryou</t>
  </si>
  <si>
    <t>https://www.instagram.com/graymuse.official/</t>
  </si>
  <si>
    <t>seunghyeyoo@gmail.com</t>
  </si>
  <si>
    <t>스레드로 전자책 배포</t>
  </si>
  <si>
    <t>그림 계정 수익화</t>
  </si>
  <si>
    <t>피곤한덤덤</t>
  </si>
  <si>
    <t>https://youtube.com/channel/UCkpXLQ62-uUAfYa2-mdpcZg?si=-Fa1Kb3rmohUjCxR</t>
  </si>
  <si>
    <t>https://www.instagram.com/tired.dum/</t>
  </si>
  <si>
    <t>인스타 툰으로 챌린지 및 진행 / 새로운 주제</t>
  </si>
  <si>
    <t>블로그수익화' 상품성 괜찮은가요?</t>
  </si>
  <si>
    <t>오로라</t>
  </si>
  <si>
    <t>강의자체모집</t>
  </si>
  <si>
    <t>https://www.youtube.com/@ooo_rora/shorts</t>
  </si>
  <si>
    <t>https://www.instagram.com/ooo_rora/</t>
  </si>
  <si>
    <t>ldancommon@naver.com &lt;잘못된메일</t>
  </si>
  <si>
    <t>전자책/1:1개인코칭, 체험단모집수익화</t>
  </si>
  <si>
    <t>수강생이 실제로 '강사'로 일하는 점에서 위험요소 우려</t>
  </si>
  <si>
    <t>한국어 과외</t>
  </si>
  <si>
    <t>한국어강사 미라클</t>
  </si>
  <si>
    <t>https://www.youtube.com/@KoreanMiracle</t>
  </si>
  <si>
    <t>https://www.instagram.com/miraclekorean_koreanteacher</t>
  </si>
  <si>
    <t>miraclekorean77@gmail.com</t>
  </si>
  <si>
    <t>클래스유 강의중 (머니루트)</t>
  </si>
  <si>
    <t>AI 블로그 수익 자동화</t>
  </si>
  <si>
    <t>다퍼주는남자</t>
  </si>
  <si>
    <t>https://www.youtube.com/@dapernam</t>
  </si>
  <si>
    <t>https://www.instagram.com/dapernam_79/</t>
  </si>
  <si>
    <t>AI 글쓰기</t>
  </si>
  <si>
    <t>AI 콘텐츠 마스터 세인투</t>
  </si>
  <si>
    <t>https://www.youtube.com/@AI%EB%A7%88%EC%8A%A4%ED%84%B0_%EC%84%B8%EC%9D%B8%ED%88%AC</t>
  </si>
  <si>
    <t>https://www.instagram.com/sein_invest.ai?igsh=MThlNDlwamtyM3Uzeg==</t>
  </si>
  <si>
    <t>현재 와디즈 펀딩 진행중.</t>
  </si>
  <si>
    <t>쇼핑 숏폼</t>
  </si>
  <si>
    <t>세지쌤_임영순</t>
  </si>
  <si>
    <t>현재 바빠서 연락 어려움 (4월 둘째주 연락 예정)</t>
  </si>
  <si>
    <t>건강 쇼츠</t>
  </si>
  <si>
    <t>김명선</t>
  </si>
  <si>
    <t>세지스쿨 - 코치, 쇼핑 숏폼 강사</t>
  </si>
  <si>
    <t>돈벌자매</t>
  </si>
  <si>
    <t>https://www.youtube.com/@%EB%8F%88%EB%B2%8C%EC%9E%90%EB%A7%A4/videos</t>
  </si>
  <si>
    <t>이메일 없어서 추후에 보충</t>
  </si>
  <si>
    <t>이커머스창업</t>
  </si>
  <si>
    <t>콘텐츠팀</t>
  </si>
  <si>
    <t>한부장의 돈버는쿠팡</t>
  </si>
  <si>
    <t>부업왕 부킹 - 머니메이킹 스쿨</t>
  </si>
  <si>
    <t>천행(천사와행복여행)</t>
  </si>
  <si>
    <t>돈블링</t>
  </si>
  <si>
    <t>쿠썸 [쿠팡판매의 모든것]</t>
  </si>
  <si>
    <t>단아쌤TV Danasam</t>
  </si>
  <si>
    <t>오른쪽날개</t>
  </si>
  <si>
    <t>해외소싱마스터</t>
  </si>
  <si>
    <t>AI전문가 (3인강사)</t>
  </si>
  <si>
    <t>상상력집단</t>
  </si>
  <si>
    <t>운영이사유튜브</t>
  </si>
  <si>
    <t>대표인스타</t>
  </si>
  <si>
    <t>yunique0318@illusionists.co.kr</t>
  </si>
  <si>
    <t>자사</t>
  </si>
  <si>
    <t>쇼핑쇼츠</t>
  </si>
  <si>
    <t>쿠파스마스터</t>
  </si>
  <si>
    <t>callmebk891@gmail.com</t>
  </si>
  <si>
    <t>쇼삼백</t>
  </si>
  <si>
    <t>자체 진행</t>
  </si>
  <si>
    <t>AI 키즈애니메이션</t>
  </si>
  <si>
    <t>부자준비</t>
  </si>
  <si>
    <t>eunnelkim@gmail.com</t>
  </si>
  <si>
    <t>Ai밥상</t>
  </si>
  <si>
    <t>자체 카페 운영</t>
  </si>
  <si>
    <t>역직구</t>
  </si>
  <si>
    <t>매드매튜</t>
  </si>
  <si>
    <t>standfirm0@naver.com</t>
  </si>
  <si>
    <t>역직구 관련 자동화 프로그램 개발중</t>
  </si>
  <si>
    <t>Avy Cobain</t>
  </si>
  <si>
    <t>정보비타민</t>
  </si>
  <si>
    <t>infovitaminmail@gmail.com</t>
  </si>
  <si>
    <t>과일위탁</t>
  </si>
  <si>
    <t>과일위탁판매전문 : 철대표</t>
  </si>
  <si>
    <t>자체 오픈톡방</t>
  </si>
  <si>
    <t>win270win2708s@naver.com</t>
  </si>
  <si>
    <t>썽윤</t>
  </si>
  <si>
    <t>bexitguru@gmail.com</t>
  </si>
  <si>
    <t>유정씨의 라이프 로그</t>
  </si>
  <si>
    <t>hyj901009@naver.com</t>
  </si>
  <si>
    <t>아임플래너</t>
  </si>
  <si>
    <t>meyou27@naver.com</t>
  </si>
  <si>
    <t>AI 쇼핑몰 상품 소싱</t>
  </si>
  <si>
    <t>강창호(내일 lab)</t>
  </si>
  <si>
    <t>globalbizhows@gmail.com</t>
  </si>
  <si>
    <t>No.</t>
  </si>
  <si>
    <t>강사명</t>
  </si>
  <si>
    <t>1차발송일</t>
  </si>
  <si>
    <t>최종상태</t>
  </si>
  <si>
    <t>미팅메모</t>
  </si>
  <si>
    <t>플레이리스트</t>
  </si>
  <si>
    <t>드루와자기</t>
  </si>
  <si>
    <r>
      <rPr>
        <rFont val="Calibri, sans-serif"/>
        <color rgb="FF1155CC"/>
        <sz val="11.0"/>
        <u/>
      </rPr>
      <t>https://www.youtube.com/channel/UC3sZdDroiHtKYYdGTIhtCeA</t>
    </r>
  </si>
  <si>
    <t>asoda98@nate.com</t>
  </si>
  <si>
    <t>essential;</t>
  </si>
  <si>
    <r>
      <rPr>
        <rFont val="Calibri, sans-serif"/>
        <color rgb="FF1155CC"/>
        <sz val="11.0"/>
        <u/>
      </rPr>
      <t>https://www.youtube.com/channel/UCSGC87iX0QhnIfUOI_B_Rdg</t>
    </r>
  </si>
  <si>
    <t>dl_essential@bugs.co.kr</t>
  </si>
  <si>
    <t>the next SCON</t>
  </si>
  <si>
    <r>
      <rPr>
        <rFont val="Calibri, sans-serif"/>
        <color rgb="FF1155CC"/>
        <sz val="11.0"/>
        <u/>
      </rPr>
      <t>https://www.youtube.com/channel/UCJ9GFEhq9xCLeyIevUNEdNA</t>
    </r>
  </si>
  <si>
    <t>thenextscon@gmail.com</t>
  </si>
  <si>
    <t>몽렉싱피아노 MONGLAXING PIANO</t>
  </si>
  <si>
    <r>
      <rPr>
        <rFont val="Calibri, sans-serif"/>
        <color rgb="FF1155CC"/>
        <sz val="11.0"/>
        <u/>
      </rPr>
      <t>https://www.youtube.com/channel/UClFo7IonhjI9s_YrrhplPGA</t>
    </r>
  </si>
  <si>
    <t>monkeybgmsound2@gmail.com</t>
  </si>
  <si>
    <t>터닝포인트뮤직</t>
  </si>
  <si>
    <r>
      <rPr>
        <rFont val="Calibri, sans-serif"/>
        <color rgb="FF1155CC"/>
        <sz val="11.0"/>
        <u/>
      </rPr>
      <t>https://www.youtube.com/channel/UC4eth-_fKt2Wg79cQqV1a8Q</t>
    </r>
  </si>
  <si>
    <t>dkfo7869@naver.com</t>
  </si>
  <si>
    <t>찐막 JJINMAK</t>
  </si>
  <si>
    <r>
      <rPr>
        <rFont val="Calibri, sans-serif"/>
        <color rgb="FF1155CC"/>
        <sz val="11.0"/>
        <u/>
      </rPr>
      <t>https://www.youtube.com/channel/UCxGyH7vzYkZwFseTUa3yZpQ</t>
    </r>
  </si>
  <si>
    <t>seungminguy@gmail.com</t>
  </si>
  <si>
    <t>남자사람친구</t>
  </si>
  <si>
    <r>
      <rPr>
        <rFont val="Calibri, sans-serif"/>
        <color rgb="FF1155CC"/>
        <sz val="11.0"/>
        <u/>
      </rPr>
      <t>https://www.youtube.com/channel/UCK3aqSPhFJH2XQa2mREnSVQ</t>
    </r>
  </si>
  <si>
    <t>itsmeboyfriend@gmail.com</t>
  </si>
  <si>
    <t>인디인디 In The Indie</t>
  </si>
  <si>
    <r>
      <rPr>
        <rFont val="Calibri, sans-serif"/>
        <color rgb="FF1155CC"/>
        <sz val="11.0"/>
        <u/>
      </rPr>
      <t>https://www.youtube.com/channel/UCmBqBxouLDy3Mfu4XzESuAA</t>
    </r>
  </si>
  <si>
    <t>우플리 𝐖𝐎𝐎𝐎𝐏𝐋𝐘</t>
  </si>
  <si>
    <r>
      <rPr>
        <rFont val="Calibri, sans-serif"/>
        <color rgb="FF1155CC"/>
        <sz val="11.0"/>
        <u/>
      </rPr>
      <t>https://www.youtube.com/channel/UC4zMT5kGhURRcfnnFUitF2g</t>
    </r>
  </si>
  <si>
    <t>woooply@naver.com</t>
  </si>
  <si>
    <t>𝐒𝐄𝐍𝐓𝐈𝐌𝐄𝐍𝐓𝐀𝐋 𝐀𝐔𝐃𝐈𝐎</t>
  </si>
  <si>
    <r>
      <rPr>
        <rFont val="Calibri, sans-serif"/>
        <color rgb="FF1155CC"/>
        <sz val="11.0"/>
        <u/>
      </rPr>
      <t>https://www.youtube.com/channel/UC4Kav4n_aYomsUQ7fZyv7ig</t>
    </r>
  </si>
  <si>
    <t>hansung0716@gmail.com</t>
  </si>
  <si>
    <t>감성푹</t>
  </si>
  <si>
    <r>
      <rPr>
        <rFont val="Calibri, sans-serif"/>
        <color rgb="FF1155CC"/>
        <sz val="11.0"/>
        <u/>
      </rPr>
      <t>https://www.youtube.com/channel/UCFXHjmsbgmGRiUAXXyGF7Zg</t>
    </r>
  </si>
  <si>
    <t>simada999999@gmail.com</t>
  </si>
  <si>
    <t>SISO Wave</t>
  </si>
  <si>
    <r>
      <rPr>
        <rFont val="Calibri, sans-serif"/>
        <color rgb="FF1155CC"/>
        <sz val="11.0"/>
        <u/>
      </rPr>
      <t>https://www.youtube.com/channel/UClRxY7lEeNqc6oezxGSpkKA</t>
    </r>
  </si>
  <si>
    <t>yunsora764950@gmail.com</t>
  </si>
  <si>
    <t>cherry music</t>
  </si>
  <si>
    <r>
      <rPr>
        <rFont val="Calibri, sans-serif"/>
        <color rgb="FF1155CC"/>
        <sz val="11.0"/>
        <u/>
      </rPr>
      <t>https://www.youtube.com/channel/UCbGe5jill2XY05_TGvtKiPQ</t>
    </r>
  </si>
  <si>
    <t>cherry_works@kakao.com</t>
  </si>
  <si>
    <t>힐링음악</t>
  </si>
  <si>
    <r>
      <rPr>
        <rFont val="Calibri, sans-serif"/>
        <color rgb="FF1155CC"/>
        <sz val="11.0"/>
        <u/>
      </rPr>
      <t>https://www.youtube.com/channel/UCpRqjuBMLl_6ocIKUBVRcHw</t>
    </r>
  </si>
  <si>
    <t>healthhan119@gmail.com</t>
  </si>
  <si>
    <t>popment</t>
  </si>
  <si>
    <r>
      <rPr>
        <rFont val="Calibri, sans-serif"/>
        <color rgb="FF1155CC"/>
        <sz val="11.0"/>
        <u/>
      </rPr>
      <t>https://www.youtube.com/channel/UCZzWiPXZVug7B2K6vbKQhdw</t>
    </r>
  </si>
  <si>
    <t>popment.official@gmail.com</t>
  </si>
  <si>
    <t>WRG 우리가 듣고 싶어서 연주한 playlist</t>
  </si>
  <si>
    <r>
      <rPr>
        <rFont val="Calibri, sans-serif"/>
        <color rgb="FF1155CC"/>
        <sz val="11.0"/>
        <u/>
      </rPr>
      <t>https://www.youtube.com/channel/UCHCyX77xqN9OVjLzMpAZvXw</t>
    </r>
  </si>
  <si>
    <t>triojuly12@gmail.com</t>
  </si>
  <si>
    <t>HP Music</t>
  </si>
  <si>
    <r>
      <rPr>
        <rFont val="Calibri, sans-serif"/>
        <color rgb="FF1155CC"/>
        <sz val="11.0"/>
        <u/>
      </rPr>
      <t>https://www.youtube.com/channel/UCIo8R3MdI7Vh2rPvaCagLeQ</t>
    </r>
  </si>
  <si>
    <t>hpmusic.official.kr@gmail.com</t>
  </si>
  <si>
    <t>Objental 오브젠탈</t>
  </si>
  <si>
    <r>
      <rPr>
        <rFont val="Calibri, sans-serif"/>
        <color rgb="FF1155CC"/>
        <sz val="11.0"/>
        <u/>
      </rPr>
      <t>https://www.youtube.com/channel/UCmngZzVnTQIIA9p0QaR5DBg</t>
    </r>
  </si>
  <si>
    <t>objental@naver.com</t>
  </si>
  <si>
    <t>HELLO CELLO CLASSIC</t>
  </si>
  <si>
    <r>
      <rPr>
        <rFont val="Calibri, sans-serif"/>
        <color rgb="FF1155CC"/>
        <sz val="11.0"/>
        <u/>
      </rPr>
      <t>https://www.youtube.com/channel/UC_YH01lyI7Ivfu_TryYcbmw</t>
    </r>
  </si>
  <si>
    <t>simplycellobgm@gmail.com</t>
  </si>
  <si>
    <t>onia music 오니아 뮤직</t>
  </si>
  <si>
    <r>
      <rPr>
        <rFont val="Calibri, sans-serif"/>
        <color rgb="FF1155CC"/>
        <sz val="11.0"/>
        <u/>
      </rPr>
      <t>https://www.youtube.com/channel/UCWN0XUAUJiuySmhfYBBfVzQ</t>
    </r>
  </si>
  <si>
    <t>oniabreeze@gmail.com</t>
  </si>
  <si>
    <t>JazzNe</t>
  </si>
  <si>
    <r>
      <rPr>
        <rFont val="Calibri, sans-serif"/>
        <color rgb="FF1155CC"/>
        <sz val="11.0"/>
        <u/>
      </rPr>
      <t>https://www.youtube.com/channel/UCbsHYIZwk9pZIMp53ciDjOw</t>
    </r>
  </si>
  <si>
    <t>official@underlying.kr</t>
  </si>
  <si>
    <t>mycozypop</t>
  </si>
  <si>
    <r>
      <rPr>
        <rFont val="Calibri, sans-serif"/>
        <color rgb="FF1155CC"/>
        <sz val="11.0"/>
        <u/>
      </rPr>
      <t>https://www.youtube.com/channel/UCYvNducBZDpqYqKLrVfuRtA</t>
    </r>
  </si>
  <si>
    <t>iamcozypop@gmail.com</t>
  </si>
  <si>
    <t>ssing송</t>
  </si>
  <si>
    <r>
      <rPr>
        <rFont val="Calibri, sans-serif"/>
        <color rgb="FF1155CC"/>
        <sz val="11.0"/>
        <u/>
      </rPr>
      <t>https://www.youtube.com/channel/UC3fPdi-N7Qx7Ytfw2XwRnaw</t>
    </r>
  </si>
  <si>
    <t>singasongj47@gmail.com</t>
  </si>
  <si>
    <t>온에잇 𝐎𝐧 𝟖𝐢𝐠𝐡𝐭</t>
  </si>
  <si>
    <r>
      <rPr>
        <rFont val="Calibri, sans-serif"/>
        <color rgb="FF1155CC"/>
        <sz val="11.0"/>
        <u/>
      </rPr>
      <t>https://www.youtube.com/channel/UCwTsxbhNyNaKTsBgjFsgGvA</t>
    </r>
  </si>
  <si>
    <t>on8ight@gmail.com</t>
  </si>
  <si>
    <t>Song Kwangsik / 송광식 official</t>
  </si>
  <si>
    <r>
      <rPr>
        <rFont val="Calibri, sans-serif"/>
        <color rgb="FF1155CC"/>
        <sz val="11.0"/>
        <u/>
      </rPr>
      <t>https://www.youtube.com/channel/UCm9BsTPGsjT282jcZ6ucKRA</t>
    </r>
  </si>
  <si>
    <t>smnow@daum.net</t>
  </si>
  <si>
    <t>예오레오yeoreo</t>
  </si>
  <si>
    <r>
      <rPr>
        <rFont val="Calibri, sans-serif"/>
        <color rgb="FF1155CC"/>
        <sz val="11.0"/>
        <u/>
      </rPr>
      <t>https://www.youtube.com/channel/UCSUN7C7ASLG6lxNU3uGNHng</t>
    </r>
  </si>
  <si>
    <t>yessey4135@gmail.com</t>
  </si>
  <si>
    <t>Breeze Mood</t>
  </si>
  <si>
    <r>
      <rPr>
        <rFont val="Calibri, sans-serif"/>
        <color rgb="FF1155CC"/>
        <sz val="11.0"/>
        <u/>
      </rPr>
      <t>https://www.youtube.com/channel/UCzlOuU2oqj_FCXEhy3XnvxQ</t>
    </r>
  </si>
  <si>
    <t>감성 저장소</t>
  </si>
  <si>
    <r>
      <rPr>
        <rFont val="Calibri, sans-serif"/>
        <color rgb="FF1155CC"/>
        <sz val="11.0"/>
        <u/>
      </rPr>
      <t>https://www.youtube.com/channel/UCTieDwi-vnwxBwJGruCWvTA</t>
    </r>
  </si>
  <si>
    <t>rkashwj@naver.com</t>
  </si>
  <si>
    <t>Lofi Brew</t>
  </si>
  <si>
    <r>
      <rPr>
        <rFont val="Calibri, sans-serif"/>
        <color rgb="FF1155CC"/>
        <sz val="11.0"/>
        <u/>
      </rPr>
      <t>https://www.youtube.com/channel/UCJg6NRMMxvEn9IOmr-rv8Ig</t>
    </r>
  </si>
  <si>
    <t>mrpositive88@gmail.com</t>
  </si>
  <si>
    <t>JINPLY</t>
  </si>
  <si>
    <r>
      <rPr>
        <rFont val="Calibri, sans-serif"/>
        <color rgb="FF1155CC"/>
        <sz val="11.0"/>
        <u/>
      </rPr>
      <t>https://www.youtube.com/channel/UCWTwVZOJBFBjDrIKGSqkrpA</t>
    </r>
  </si>
  <si>
    <t>jinply210718@gmail.com</t>
  </si>
  <si>
    <t>세레나Serena</t>
  </si>
  <si>
    <r>
      <rPr>
        <rFont val="Calibri, sans-serif"/>
        <color rgb="FF1155CC"/>
        <sz val="11.0"/>
        <u/>
      </rPr>
      <t>https://www.youtube.com/channel/UCg86iE8XN1-pxT-lR9BDy-g</t>
    </r>
  </si>
  <si>
    <t>serena00800@gmail.com</t>
  </si>
  <si>
    <t>apple pie</t>
  </si>
  <si>
    <r>
      <rPr>
        <rFont val="Calibri, sans-serif"/>
        <color rgb="FF1155CC"/>
        <sz val="11.0"/>
        <u/>
      </rPr>
      <t>https://www.youtube.com/channel/UCqI4PHxIU-Onj_YGCzTRzWA</t>
    </r>
  </si>
  <si>
    <t>Castle Brock</t>
  </si>
  <si>
    <r>
      <rPr>
        <rFont val="Calibri, sans-serif"/>
        <color rgb="FF1155CC"/>
        <sz val="11.0"/>
        <u/>
      </rPr>
      <t>https://www.youtube.com/channel/UCV4k4iL-2RUNFRcvBTBe0jA</t>
    </r>
  </si>
  <si>
    <t>jacob68.seo@gmail.com</t>
  </si>
  <si>
    <r>
      <rPr>
        <rFont val="Arial"/>
        <color rgb="FF1155CC"/>
      </rPr>
      <t>운영하는 블로그</t>
    </r>
    <r>
      <rPr>
        <rFont val="Arial"/>
        <color rgb="FF000000"/>
      </rPr>
      <t>, aion.official.ai@gmail.com</t>
    </r>
  </si>
  <si>
    <t>Flow Music</t>
  </si>
  <si>
    <r>
      <rPr>
        <rFont val="Calibri, sans-serif"/>
        <color rgb="FF1155CC"/>
        <sz val="11.0"/>
        <u/>
      </rPr>
      <t>https://www.youtube.com/channel/UCC6fYTZ9AIkqNy6zYEHVwow</t>
    </r>
  </si>
  <si>
    <t>flowmu@naver.com</t>
  </si>
  <si>
    <t>우야 𝙇𝙤𝙪𝙣𝙜𝙚</t>
  </si>
  <si>
    <r>
      <rPr>
        <rFont val="Calibri, sans-serif"/>
        <color rgb="FF1155CC"/>
        <sz val="11.0"/>
        <u/>
      </rPr>
      <t>https://www.youtube.com/channel/UC4p55vEp6hc1fZ-raIGQw9Q</t>
    </r>
  </si>
  <si>
    <t>wooo00.ya.0@gmail.com</t>
  </si>
  <si>
    <t>상어오브뮤직</t>
  </si>
  <si>
    <r>
      <rPr>
        <rFont val="Calibri, sans-serif"/>
        <color rgb="FF1155CC"/>
        <sz val="11.0"/>
        <u/>
      </rPr>
      <t>https://www.youtube.com/channel/UCdlRwlBDCiAhnp2nq9QWbcw</t>
    </r>
  </si>
  <si>
    <t>sharkofmusic@naver.com</t>
  </si>
  <si>
    <t>달밤의 오보에 Moonlight Oboe</t>
  </si>
  <si>
    <r>
      <rPr>
        <rFont val="Calibri, sans-serif"/>
        <color rgb="FF1155CC"/>
        <sz val="11.0"/>
        <u/>
      </rPr>
      <t>https://www.youtube.com/channel/UC-zkqwg5Ts1a7C0sFlokP-A</t>
    </r>
  </si>
  <si>
    <t>moonlightoboe@gmail.com</t>
  </si>
  <si>
    <t>Pair Piano</t>
  </si>
  <si>
    <r>
      <rPr>
        <rFont val="Calibri, sans-serif"/>
        <color rgb="FF1155CC"/>
        <sz val="11.0"/>
        <u/>
      </rPr>
      <t>https://www.youtube.com/channel/UC-sGBpquT8KThBJ2ruLdg-Q</t>
    </r>
  </si>
  <si>
    <t>pairpiano0817@gmail.com</t>
  </si>
  <si>
    <t>메르헨 Marchen</t>
  </si>
  <si>
    <r>
      <rPr>
        <rFont val="Calibri, sans-serif"/>
        <color rgb="FF1155CC"/>
        <sz val="11.0"/>
        <u/>
      </rPr>
      <t>https://www.youtube.com/channel/UCuad7SsgU6SabSQaBY9TsFg</t>
    </r>
  </si>
  <si>
    <t>Marchen813@gmail.com</t>
  </si>
  <si>
    <r>
      <rPr>
        <rFont val="Calibri, sans-serif"/>
        <color rgb="FF1155CC"/>
        <sz val="11.0"/>
        <u/>
      </rPr>
      <t>https://www.youtube.com/channel/UCQNX0yOZau7cxuheeXEAb_g</t>
    </r>
  </si>
  <si>
    <t>HealingMate - Dog Music</t>
  </si>
  <si>
    <r>
      <rPr>
        <rFont val="Calibri, sans-serif"/>
        <color rgb="FF1155CC"/>
        <sz val="11.0"/>
        <u/>
      </rPr>
      <t>https://www.youtube.com/channel/UC_0X20s5VVUQJllk_S3FCPQ</t>
    </r>
  </si>
  <si>
    <t>healingmate@gmail.com</t>
  </si>
  <si>
    <t>Cold Water</t>
  </si>
  <si>
    <r>
      <rPr>
        <rFont val="Calibri, sans-serif"/>
        <color rgb="FF1155CC"/>
        <sz val="11.0"/>
        <u/>
      </rPr>
      <t>https://www.youtube.com/channel/UCpi4NSNZrV3oBtgpdaEGeyw</t>
    </r>
  </si>
  <si>
    <t>coldwaterletter@gmail.com</t>
  </si>
  <si>
    <t>DUGGY MUSIC</t>
  </si>
  <si>
    <r>
      <rPr>
        <rFont val="Calibri, sans-serif"/>
        <color rgb="FF1155CC"/>
        <sz val="11.0"/>
        <u/>
      </rPr>
      <t>https://www.youtube.com/channel/UCvjoc8M_tZKmelczU4EtKAw</t>
    </r>
  </si>
  <si>
    <t>dydydml22@naver.com</t>
  </si>
  <si>
    <t>Healing Energy for Soul</t>
  </si>
  <si>
    <r>
      <rPr>
        <rFont val="Calibri, sans-serif"/>
        <color rgb="FF1155CC"/>
        <sz val="11.0"/>
        <u/>
      </rPr>
      <t>https://www.youtube.com/channel/UCboqmwN682NPFew8Wp8Qdmg</t>
    </r>
  </si>
  <si>
    <t>piano@heliosrecord.com</t>
  </si>
  <si>
    <t>공부의신 강성태</t>
  </si>
  <si>
    <r>
      <rPr>
        <rFont val="Calibri, sans-serif"/>
        <color rgb="FF1155CC"/>
        <sz val="11.0"/>
        <u/>
      </rPr>
      <t>https://www.youtube.com/channel/UCsLgKKiv8kDDGy1stC8BxVA</t>
    </r>
  </si>
  <si>
    <t>건반DIARY</t>
  </si>
  <si>
    <r>
      <rPr>
        <rFont val="Calibri, sans-serif"/>
        <color rgb="FF1155CC"/>
        <sz val="11.0"/>
        <u/>
      </rPr>
      <t>https://www.youtube.com/channel/UChF20sN4ttlSXLO6mLv1rGg</t>
    </r>
  </si>
  <si>
    <t>Ian Chung 이언 정</t>
  </si>
  <si>
    <r>
      <rPr>
        <rFont val="Calibri, sans-serif"/>
        <color rgb="FF1155CC"/>
        <sz val="11.0"/>
        <u/>
      </rPr>
      <t>https://www.youtube.com/channel/UC0Myfvs95yARJGE94m3PccQ</t>
    </r>
  </si>
  <si>
    <t>music.ianchung@gmail.com</t>
  </si>
  <si>
    <t>슈바미</t>
  </si>
  <si>
    <r>
      <rPr>
        <rFont val="Calibri, sans-serif"/>
        <color rgb="FF1155CC"/>
        <sz val="11.0"/>
        <u/>
      </rPr>
      <t>https://www.youtube.com/channel/UCVUH4YfinErRE44BkKiq2YQ</t>
    </r>
  </si>
  <si>
    <t>subymee@gmail.com</t>
  </si>
  <si>
    <t>손경민 김정희Son Kyungmin Official</t>
  </si>
  <si>
    <r>
      <rPr>
        <rFont val="Calibri, sans-serif"/>
        <color rgb="FF1155CC"/>
        <sz val="11.0"/>
        <u/>
      </rPr>
      <t>https://www.youtube.com/channel/UCIyvPLWipoYrkutcssIoJnA</t>
    </r>
  </si>
  <si>
    <t>gracepeople0716@gmail.com</t>
  </si>
  <si>
    <t>얘들아 사랑해</t>
  </si>
  <si>
    <r>
      <rPr>
        <rFont val="Calibri, sans-serif"/>
        <color rgb="FF1155CC"/>
        <sz val="11.0"/>
        <u/>
      </rPr>
      <t>https://www.youtube.com/channel/UC26IU0OUxOuGyzyR7aWe2Hw</t>
    </r>
  </si>
  <si>
    <t>canalogcanalog@gmail.com</t>
  </si>
  <si>
    <t>Ending Credits</t>
  </si>
  <si>
    <r>
      <rPr>
        <rFont val="Calibri, sans-serif"/>
        <color rgb="FF1155CC"/>
        <sz val="11.0"/>
        <u/>
      </rPr>
      <t>https://www.youtube.com/channel/UCw3MdFWb-4kdjtx-Y19I3hw</t>
    </r>
  </si>
  <si>
    <t>noterworks@gmail.com</t>
  </si>
  <si>
    <t>윤지지</t>
  </si>
  <si>
    <r>
      <rPr>
        <rFont val="Calibri, sans-serif"/>
        <color rgb="FF1155CC"/>
        <sz val="11.0"/>
        <u/>
      </rPr>
      <t>https://www.youtube.com/channel/UCUk5qF_U4Mrl023952gGX5w</t>
    </r>
  </si>
  <si>
    <t>yunzizi20@gmail.com</t>
  </si>
  <si>
    <t>민플리 ᴘʟᴀʏʟɪsᴛ</t>
  </si>
  <si>
    <r>
      <rPr>
        <rFont val="Calibri, sans-serif"/>
        <color rgb="FF1155CC"/>
        <sz val="11.0"/>
        <u/>
      </rPr>
      <t>https://www.youtube.com/channel/UCq3RYCIkwYmIDbtI0ThEk6A</t>
    </r>
  </si>
  <si>
    <t>coralmellowow@gmail.com</t>
  </si>
  <si>
    <t>지난플리</t>
  </si>
  <si>
    <r>
      <rPr>
        <rFont val="Calibri, sans-serif"/>
        <color rgb="FF1155CC"/>
        <sz val="11.0"/>
        <u/>
      </rPr>
      <t>https://www.youtube.com/channel/UCBg0JMJrF6_Y3I1YpvvXLKA</t>
    </r>
  </si>
  <si>
    <t>joshuajoshuakim@gmail.com</t>
  </si>
  <si>
    <t>읏추읏추</t>
  </si>
  <si>
    <r>
      <rPr>
        <rFont val="Calibri, sans-serif"/>
        <color rgb="FF1155CC"/>
        <sz val="11.0"/>
        <u/>
      </rPr>
      <t>https://www.youtube.com/channel/UCD23NqM89ZcJk1EKDjfMeMg</t>
    </r>
  </si>
  <si>
    <t>popsong2126@gmail.com</t>
  </si>
  <si>
    <t>Gina</t>
  </si>
  <si>
    <r>
      <rPr>
        <rFont val="Calibri, sans-serif"/>
        <color rgb="FF1155CC"/>
        <sz val="11.0"/>
        <u/>
      </rPr>
      <t>https://www.youtube.com/channel/UCXrHUng3QOT9g0JnIYUT7AQ</t>
    </r>
  </si>
  <si>
    <t>ginaworship@gmail.com</t>
  </si>
  <si>
    <t>이팔플리</t>
  </si>
  <si>
    <r>
      <rPr>
        <rFont val="Calibri, sans-serif"/>
        <color rgb="FF1155CC"/>
        <sz val="11.0"/>
        <u/>
      </rPr>
      <t>https://www.youtube.com/channel/UC4_Ega4c2RVe776qOwWtemQ</t>
    </r>
  </si>
  <si>
    <t>seroma room</t>
  </si>
  <si>
    <r>
      <rPr>
        <rFont val="Calibri, sans-serif"/>
        <color rgb="FF1155CC"/>
        <sz val="11.0"/>
        <u/>
      </rPr>
      <t>https://www.youtube.com/channel/UCEpumCWJ6HI4EHd3OcoZkyw</t>
    </r>
  </si>
  <si>
    <t>seromaroom@gmail.com</t>
  </si>
  <si>
    <t>기몽초 ɢɪᴍᴏɴɢᴄʜᴏ</t>
  </si>
  <si>
    <r>
      <rPr>
        <rFont val="Calibri, sans-serif"/>
        <color rgb="FF1155CC"/>
        <sz val="11.0"/>
        <u/>
      </rPr>
      <t>https://www.youtube.com/channel/UCPzjGcGQeC9BckS6a18sJMg</t>
    </r>
  </si>
  <si>
    <t>gimongcho@gmail.com</t>
  </si>
  <si>
    <t>퍼스널 Personal</t>
  </si>
  <si>
    <r>
      <rPr>
        <rFont val="Calibri, sans-serif"/>
        <color rgb="FF1155CC"/>
        <sz val="11.0"/>
        <u/>
      </rPr>
      <t>https://www.youtube.com/channel/UCjO4StI9jjPI9xSIIixsYdw</t>
    </r>
  </si>
  <si>
    <t>personal.playlist@kakaoent.com</t>
  </si>
  <si>
    <t>lovishowsp</t>
  </si>
  <si>
    <r>
      <rPr>
        <rFont val="Calibri, sans-serif"/>
        <color rgb="FF1155CC"/>
        <sz val="11.0"/>
        <u/>
      </rPr>
      <t>https://www.youtube.com/channel/UCvgroUFOLNyVIKz15uvTVVw</t>
    </r>
  </si>
  <si>
    <t>arim0117@naver.com</t>
  </si>
  <si>
    <t>별빛</t>
  </si>
  <si>
    <r>
      <rPr>
        <rFont val="Calibri, sans-serif"/>
        <color rgb="FF1155CC"/>
        <sz val="11.0"/>
        <u/>
      </rPr>
      <t>https://www.youtube.com/channel/UCEoDj_se6I_r5J0RIQRyAOg</t>
    </r>
  </si>
  <si>
    <t>kk020315@naver.com</t>
  </si>
  <si>
    <t>All was well</t>
  </si>
  <si>
    <r>
      <rPr>
        <rFont val="Calibri, sans-serif"/>
        <color rgb="FF1155CC"/>
        <sz val="11.0"/>
        <u/>
      </rPr>
      <t>https://www.youtube.com/channel/UCHHkP5D3JP0W4opHXMa7WyQ</t>
    </r>
  </si>
  <si>
    <t>allwaswell.kr@gmail.com</t>
  </si>
  <si>
    <t>종팝</t>
  </si>
  <si>
    <r>
      <rPr>
        <rFont val="Calibri, sans-serif"/>
        <color rgb="FF1155CC"/>
        <sz val="11.0"/>
        <u/>
      </rPr>
      <t>https://www.youtube.com/channel/UC__SUWseYmg9U37hfAb1x-w</t>
    </r>
  </si>
  <si>
    <t>jongpop_youtube@naver.com</t>
  </si>
  <si>
    <t>차가운 국물</t>
  </si>
  <si>
    <r>
      <rPr>
        <rFont val="Calibri, sans-serif"/>
        <color rgb="FF1155CC"/>
        <sz val="11.0"/>
        <u/>
      </rPr>
      <t>https://www.youtube.com/channel/UCU5ceUtbrpEWeqV0urY8Fzg</t>
    </r>
  </si>
  <si>
    <t>coldsoup36@gmail.com</t>
  </si>
  <si>
    <t>KiKI</t>
  </si>
  <si>
    <r>
      <rPr>
        <rFont val="Calibri, sans-serif"/>
        <color rgb="FF1155CC"/>
        <sz val="11.0"/>
        <u/>
      </rPr>
      <t>https://www.youtube.com/channel/UCE3baDCoGeKNheTjtlIfTPw</t>
    </r>
  </si>
  <si>
    <t>shimse1405@gmail.com</t>
  </si>
  <si>
    <t>라이크둠칫</t>
  </si>
  <si>
    <r>
      <rPr>
        <rFont val="Calibri, sans-serif"/>
        <color rgb="FF1155CC"/>
        <sz val="11.0"/>
        <u/>
      </rPr>
      <t>https://www.youtube.com/channel/UCl22RiXFscUiaZ02UWAYjyQ</t>
    </r>
  </si>
  <si>
    <t>likedoomchit@gmail.com</t>
  </si>
  <si>
    <t>동그라미 circlemusic</t>
  </si>
  <si>
    <r>
      <rPr>
        <rFont val="Calibri, sans-serif"/>
        <color rgb="FF1155CC"/>
        <sz val="11.0"/>
        <u/>
      </rPr>
      <t>https://www.youtube.com/channel/UCqQzFWlSNfJma_jXPHdbzjA</t>
    </r>
  </si>
  <si>
    <t>circlemusic00@gmail.com</t>
  </si>
  <si>
    <t>Breve Joy</t>
  </si>
  <si>
    <r>
      <rPr>
        <rFont val="Calibri, sans-serif"/>
        <color rgb="FF1155CC"/>
        <sz val="11.0"/>
        <u/>
      </rPr>
      <t>https://www.youtube.com/channel/UCDoCufKymcD-ups-KfzUM8g</t>
    </r>
  </si>
  <si>
    <t>brevejoy1@gmail.com</t>
  </si>
  <si>
    <t>리스펙 뮤직 『Respect Music』</t>
  </si>
  <si>
    <r>
      <rPr>
        <rFont val="Calibri, sans-serif"/>
        <color rgb="FF1155CC"/>
        <sz val="11.0"/>
        <u/>
      </rPr>
      <t>https://www.youtube.com/channel/UCFbQ_p8s6WYv5JDDCT91j5A</t>
    </r>
  </si>
  <si>
    <t>respectmusic435@gmail.com</t>
  </si>
  <si>
    <t>Heaven Hazy</t>
  </si>
  <si>
    <r>
      <rPr>
        <rFont val="Calibri, sans-serif"/>
        <color rgb="FF1155CC"/>
        <sz val="11.0"/>
        <u/>
      </rPr>
      <t>https://www.youtube.com/channel/UCQhkIK2TWLY8tCkmya_GRYg</t>
    </r>
  </si>
  <si>
    <t>playlistdjjun1000@gmail.com</t>
  </si>
  <si>
    <t>Real Music리얼 뮤직</t>
  </si>
  <si>
    <r>
      <rPr>
        <rFont val="Calibri, sans-serif"/>
        <color rgb="FF1155CC"/>
        <sz val="11.0"/>
        <u/>
      </rPr>
      <t>https://www.youtube.com/channel/UCzCflTAaZA7FjwvkOh9cSig</t>
    </r>
  </si>
  <si>
    <t>MAS / Modern Arts Society</t>
  </si>
  <si>
    <r>
      <rPr>
        <rFont val="Calibri, sans-serif"/>
        <color rgb="FF1155CC"/>
        <sz val="11.0"/>
        <u/>
      </rPr>
      <t>https://www.youtube.com/channel/UCp1SiKl5R-YWIEO9pMaN4uw</t>
    </r>
  </si>
  <si>
    <t>worklesscreatemore@gmail.com</t>
  </si>
  <si>
    <t>H녀</t>
  </si>
  <si>
    <r>
      <rPr>
        <rFont val="Calibri, sans-serif"/>
        <color rgb="FF1155CC"/>
        <sz val="11.0"/>
        <u/>
      </rPr>
      <t>https://www.youtube.com/channel/UCiKEFY49JIvpOOdTHgsWQHw</t>
    </r>
  </si>
  <si>
    <t>hgirl.playlist@gmail.com</t>
  </si>
  <si>
    <t>Veluune</t>
  </si>
  <si>
    <r>
      <rPr>
        <rFont val="Calibri, sans-serif"/>
        <color rgb="FF1155CC"/>
        <sz val="11.0"/>
        <u/>
      </rPr>
      <t>https://www.youtube.com/channel/UCDgwR9F59q1yafJvL914gnw</t>
    </r>
  </si>
  <si>
    <t>veluune1@gmail.com</t>
  </si>
  <si>
    <t>Salang Log</t>
  </si>
  <si>
    <r>
      <rPr>
        <rFont val="Calibri, sans-serif"/>
        <color rgb="FF1155CC"/>
        <sz val="11.0"/>
        <u/>
      </rPr>
      <t>https://www.youtube.com/channel/UCc1wjdqVct3qIHBRkWaHACg</t>
    </r>
  </si>
  <si>
    <t>moodin7777@gmail.com</t>
  </si>
  <si>
    <t>Properbeats</t>
  </si>
  <si>
    <r>
      <rPr>
        <rFont val="Calibri, sans-serif"/>
        <color rgb="FF1155CC"/>
        <sz val="11.0"/>
        <u/>
      </rPr>
      <t>https://www.youtube.com/channel/UCHOLG07CQS7M1_dJZc-3-iA</t>
    </r>
  </si>
  <si>
    <t>Properbeats@outlook.com</t>
  </si>
  <si>
    <t>힙재 HIPJAE 🎵</t>
  </si>
  <si>
    <r>
      <rPr>
        <rFont val="Calibri, sans-serif"/>
        <color rgb="FF1155CC"/>
        <sz val="11.0"/>
        <u/>
      </rPr>
      <t>https://www.youtube.com/channel/UCsRBNFWeEjgQ9Nhd1H6yp0Q</t>
    </r>
  </si>
  <si>
    <t>aing2012@naver.com</t>
  </si>
  <si>
    <t>플리메이커</t>
  </si>
  <si>
    <r>
      <rPr>
        <rFont val="Calibri, sans-serif"/>
        <color rgb="FF1155CC"/>
        <sz val="11.0"/>
        <u/>
      </rPr>
      <t>https://www.youtube.com/channel/UCdtTdLBYBjFdx23baTBDeQQ</t>
    </r>
  </si>
  <si>
    <t>plimaker108@gmail.com</t>
  </si>
  <si>
    <t>Dj 6ix9ine</t>
  </si>
  <si>
    <r>
      <rPr>
        <rFont val="Calibri, sans-serif"/>
        <color rgb="FF1155CC"/>
        <sz val="11.0"/>
        <u/>
      </rPr>
      <t>https://www.youtube.com/channel/UCsp8mno4MpF_ArHwRiwEd7w</t>
    </r>
  </si>
  <si>
    <t>france1994@naver.com</t>
  </si>
  <si>
    <t>midmeloo</t>
  </si>
  <si>
    <r>
      <rPr>
        <rFont val="Calibri, sans-serif"/>
        <color rgb="FF1155CC"/>
        <sz val="11.0"/>
        <u/>
      </rPr>
      <t>https://www.youtube.com/channel/UCp83pZvhdmahAvBfVrhgMLQ</t>
    </r>
  </si>
  <si>
    <t>midmelooo@gmail.com</t>
  </si>
  <si>
    <t>FINI PLAYLIST</t>
  </si>
  <si>
    <r>
      <rPr>
        <rFont val="Calibri, sans-serif"/>
        <color rgb="FF1155CC"/>
        <sz val="11.0"/>
        <u/>
      </rPr>
      <t>https://www.youtube.com/channel/UCEn-k2Tlf2ivWxcCEUSARkg</t>
    </r>
  </si>
  <si>
    <t>infiniteconcept@naver.com</t>
  </si>
  <si>
    <t>Ashi Glow</t>
  </si>
  <si>
    <r>
      <rPr>
        <rFont val="Calibri, sans-serif"/>
        <color rgb="FF1155CC"/>
        <sz val="11.0"/>
        <u/>
      </rPr>
      <t>https://www.youtube.com/channel/UC7ZbsAvQg58DXHnh71sX4DQ</t>
    </r>
  </si>
  <si>
    <t>ashiglowx@gmail.com</t>
  </si>
  <si>
    <t>MAVOFFICIAL</t>
  </si>
  <si>
    <r>
      <rPr>
        <rFont val="Calibri, sans-serif"/>
        <color rgb="FF1155CC"/>
        <sz val="11.0"/>
        <u/>
      </rPr>
      <t>https://www.youtube.com/channel/UCaxlSM4irfV4rk72JUmecoQ</t>
    </r>
  </si>
  <si>
    <t>mavofficial2020@gmail.com</t>
  </si>
  <si>
    <t>도언</t>
  </si>
  <si>
    <r>
      <rPr>
        <rFont val="Calibri, sans-serif"/>
        <color rgb="FF1155CC"/>
        <sz val="11.0"/>
        <u/>
      </rPr>
      <t>https://www.youtube.com/channel/UCL2kX39zdaCjUsASY3eW4yw</t>
    </r>
  </si>
  <si>
    <t>heronewskr@naver.com</t>
  </si>
  <si>
    <t>요하 YOHA</t>
  </si>
  <si>
    <r>
      <rPr>
        <rFont val="Calibri, sans-serif"/>
        <color rgb="FF1155CC"/>
        <sz val="11.0"/>
        <u/>
      </rPr>
      <t>https://www.youtube.com/channel/UCHfOXTna4Eq5LgpDmtoMyIg</t>
    </r>
  </si>
  <si>
    <t>yohapopwave@gmail.com</t>
  </si>
  <si>
    <t>피스</t>
  </si>
  <si>
    <r>
      <rPr>
        <rFont val="Calibri, sans-serif"/>
        <color rgb="FF1155CC"/>
        <sz val="11.0"/>
        <u/>
      </rPr>
      <t>https://www.youtube.com/channel/UCydX6z-JETLHEuPB0RrCg_g</t>
    </r>
  </si>
  <si>
    <t>deadpeacepool@gmail.com</t>
  </si>
  <si>
    <t>딩고 뮤직 / dingo music</t>
  </si>
  <si>
    <r>
      <rPr>
        <rFont val="Calibri, sans-serif"/>
        <color rgb="FF1155CC"/>
        <sz val="11.0"/>
        <u/>
      </rPr>
      <t>https://www.youtube.com/channel/UCtCiO5t2voB14CmZKTkIzPQ</t>
    </r>
  </si>
  <si>
    <t>JINSEE</t>
  </si>
  <si>
    <r>
      <rPr>
        <rFont val="Calibri, sans-serif"/>
        <color rgb="FF1155CC"/>
        <sz val="11.0"/>
        <u/>
      </rPr>
      <t>https://www.youtube.com/channel/UCMA3vZg15MuDE0H72VdicHA</t>
    </r>
  </si>
  <si>
    <t>wlsthf002@naver.com</t>
  </si>
  <si>
    <t>우리들의낙원상가</t>
  </si>
  <si>
    <r>
      <rPr>
        <rFont val="Calibri, sans-serif"/>
        <color rgb="FF1155CC"/>
        <sz val="11.0"/>
        <u/>
      </rPr>
      <t>https://www.youtube.com/channel/UC9pCotS0U7NGHDK40_c_kgA</t>
    </r>
  </si>
  <si>
    <t>balancingbalanced@gmail.com</t>
  </si>
  <si>
    <t>엉클지니</t>
  </si>
  <si>
    <r>
      <rPr>
        <rFont val="Calibri, sans-serif"/>
        <color rgb="FF1155CC"/>
        <sz val="11.0"/>
        <u/>
      </rPr>
      <t>https://www.youtube.com/channel/UCQeMEUG8Qd1LU6IfCHWn9Fg</t>
    </r>
  </si>
  <si>
    <t>노르웨이 숲 Norwegian Wood</t>
  </si>
  <si>
    <r>
      <rPr>
        <rFont val="Calibri, sans-serif"/>
        <color rgb="FF1155CC"/>
        <sz val="11.0"/>
        <u/>
      </rPr>
      <t>https://www.youtube.com/channel/UCLHYWdHibzsnW1M8ezRaxpQ</t>
    </r>
  </si>
  <si>
    <t>norwegianwood0117@gmail.com</t>
  </si>
  <si>
    <t>리플레이LEEPLAY</t>
  </si>
  <si>
    <r>
      <rPr>
        <rFont val="Calibri, sans-serif"/>
        <color rgb="FF1155CC"/>
        <sz val="11.0"/>
        <u/>
      </rPr>
      <t>https://www.youtube.com/channel/UCKxknVfRWj3YKZuE_qiWZ4Q</t>
    </r>
  </si>
  <si>
    <t>lsm0787@gmail.com</t>
  </si>
  <si>
    <t>반고흐가 되고싶어 Playlist</t>
  </si>
  <si>
    <r>
      <rPr>
        <rFont val="Calibri, sans-serif"/>
        <color rgb="FF1155CC"/>
        <sz val="11.0"/>
        <u/>
      </rPr>
      <t>https://www.youtube.com/channel/UCU_nDPxADHrSQKHUIzf5m3Q</t>
    </r>
  </si>
  <si>
    <t>wantobe.vangogh@gmail.com</t>
  </si>
  <si>
    <t>클로이카</t>
  </si>
  <si>
    <r>
      <rPr>
        <rFont val="Calibri, sans-serif"/>
        <color rgb="FF1155CC"/>
        <sz val="11.0"/>
        <u/>
      </rPr>
      <t>https://www.youtube.com/channel/UCznZaSZISPWtFf1u3VZ5Zeg</t>
    </r>
  </si>
  <si>
    <t>chloe20222@naver.com</t>
  </si>
  <si>
    <t>Laura’s</t>
  </si>
  <si>
    <r>
      <rPr>
        <rFont val="Calibri, sans-serif"/>
        <color rgb="FF1155CC"/>
        <sz val="11.0"/>
        <u/>
      </rPr>
      <t>https://www.youtube.com/channel/UCfOmpIVeyaoRVB2jjNAbbjA</t>
    </r>
  </si>
  <si>
    <t>keshavmandal24@gmail.com</t>
  </si>
  <si>
    <t>by the way</t>
  </si>
  <si>
    <r>
      <rPr>
        <rFont val="Calibri, sans-serif"/>
        <color rgb="FF1155CC"/>
        <sz val="11.0"/>
        <u/>
      </rPr>
      <t>https://www.youtube.com/channel/UCabXkcm1Nwe2Ra8_VUvCcMA</t>
    </r>
  </si>
  <si>
    <t>osh123qw@gmail.com</t>
  </si>
  <si>
    <t>Tido Kang</t>
  </si>
  <si>
    <r>
      <rPr>
        <rFont val="Calibri, sans-serif"/>
        <color rgb="FF1155CC"/>
        <sz val="11.0"/>
        <u/>
      </rPr>
      <t>https://www.youtube.com/channel/UCoEC_KrFVcmGx27vfZ-hiyg</t>
    </r>
  </si>
  <si>
    <t>kangtido@naver.com</t>
  </si>
  <si>
    <t>Imdoong임둥</t>
  </si>
  <si>
    <r>
      <rPr>
        <rFont val="Calibri, sans-serif"/>
        <color rgb="FF1155CC"/>
        <sz val="11.0"/>
        <u/>
      </rPr>
      <t>https://www.youtube.com/channel/UCo0ac-PFaLaF75P-o0tGR2w</t>
    </r>
  </si>
  <si>
    <t>imdoong64@naver.com</t>
  </si>
  <si>
    <t>Lofi 코딩</t>
  </si>
  <si>
    <r>
      <rPr>
        <rFont val="Calibri, sans-serif"/>
        <color rgb="FF1155CC"/>
        <sz val="11.0"/>
        <u/>
      </rPr>
      <t>https://www.youtube.com/channel/UCkwegMjATseS7obo5GW_YsQ</t>
    </r>
  </si>
  <si>
    <t>외로움을 즐겨</t>
  </si>
  <si>
    <r>
      <rPr>
        <rFont val="Calibri, sans-serif"/>
        <color rgb="FF1155CC"/>
        <sz val="11.0"/>
        <u/>
      </rPr>
      <t>https://www.youtube.com/channel/UC-93Wjwrz7ya-w1iaxkRO8A</t>
    </r>
  </si>
  <si>
    <t>dlckdgus6135@naver.com</t>
  </si>
  <si>
    <t>레몬쓰</t>
  </si>
  <si>
    <r>
      <rPr>
        <rFont val="Calibri, sans-serif"/>
        <color rgb="FF1155CC"/>
        <sz val="11.0"/>
        <u/>
      </rPr>
      <t>https://www.youtube.com/channel/UCyMlpFLkx6y5Fg5T19OHudA</t>
    </r>
  </si>
  <si>
    <t>재즈나비 Jazznabi Studio</t>
  </si>
  <si>
    <r>
      <rPr>
        <rFont val="Calibri, sans-serif"/>
        <color rgb="FF1155CC"/>
        <sz val="11.0"/>
        <u/>
      </rPr>
      <t>https://www.youtube.com/channel/UC71s7D9hZHBMMKyCug_A0kA</t>
    </r>
  </si>
  <si>
    <t>jazznabi@gmail.com</t>
  </si>
  <si>
    <t>오늘의 일기 Oneul</t>
  </si>
  <si>
    <r>
      <rPr>
        <rFont val="Calibri, sans-serif"/>
        <color rgb="FF1155CC"/>
        <sz val="11.0"/>
        <u/>
      </rPr>
      <t>https://www.youtube.com/channel/UCM4rFS9nLw2AiBNiDWBNChg</t>
    </r>
  </si>
  <si>
    <t>illusiondk2@gmail.com</t>
  </si>
  <si>
    <t>교육관련</t>
  </si>
  <si>
    <t>HaruSoupe</t>
  </si>
  <si>
    <r>
      <rPr>
        <rFont val="Calibri, sans-serif"/>
        <color rgb="FF1155CC"/>
        <sz val="11.0"/>
        <u/>
      </rPr>
      <t>https://www.youtube.com/channel/UCICqb71IgOVyXGPy6TpRx1A</t>
    </r>
  </si>
  <si>
    <t>harusoupe7@gmail.com</t>
  </si>
  <si>
    <t>Noise Complaints</t>
  </si>
  <si>
    <r>
      <rPr>
        <rFont val="Calibri, sans-serif"/>
        <color rgb="FF1155CC"/>
        <sz val="11.0"/>
        <u/>
      </rPr>
      <t>https://www.youtube.com/channel/UCAm0DrrOiyi8Mk4T9ODIRmw</t>
    </r>
  </si>
  <si>
    <t>Hello Vee</t>
  </si>
  <si>
    <r>
      <rPr>
        <rFont val="Calibri, sans-serif"/>
        <color rgb="FF1155CC"/>
        <sz val="11.0"/>
        <u/>
      </rPr>
      <t>https://www.youtube.com/channel/UC4jh0TnRA3ZHtbVnG9uDoFQ</t>
    </r>
  </si>
  <si>
    <t>hellovee.tv@gmail.com</t>
  </si>
  <si>
    <t>감동 사연</t>
  </si>
  <si>
    <t>여깃썰</t>
  </si>
  <si>
    <t>https://www.youtube.com/channel/UC5eOLvKxyM-1gut6YMEQ98g</t>
  </si>
  <si>
    <t>pmrjja999@gmail.com</t>
  </si>
  <si>
    <t>2026.03.31</t>
  </si>
  <si>
    <t>트럭유머갤</t>
  </si>
  <si>
    <t>https://www.youtube.com/channel/UCQDhGSVc5UMEkxq0xdMA-Pg</t>
  </si>
  <si>
    <t>tokpop259@gmail.com</t>
  </si>
  <si>
    <t>국뽕 사연</t>
  </si>
  <si>
    <t>감동의빛-해외감동사연</t>
  </si>
  <si>
    <t>https://www.youtube.com/channel/UClE_b5xUR8Y2h_Y2MzQDGmA</t>
  </si>
  <si>
    <t>goldenpath20251@gmail.com</t>
  </si>
  <si>
    <t>지혜사연TV_노후사연,노후지혜,지혜정보</t>
  </si>
  <si>
    <t>https://www.youtube.com/channel/UCZ5rrqTZWVKF8yqd-nM-RVw</t>
  </si>
  <si>
    <t>haji.willy77@gmail.com</t>
  </si>
  <si>
    <t>감동테니스</t>
  </si>
  <si>
    <t>https://www.youtube.com/channel/UCsxVBi6UQOrb-aE_LX5zrxA</t>
  </si>
  <si>
    <t>pghh4876@gmail.com</t>
  </si>
  <si>
    <t>만복사연</t>
  </si>
  <si>
    <t>https://www.youtube.com/channel/UCdWGalCRVkqArKGAOy0ITlQ</t>
  </si>
  <si>
    <t>manbok7373@gmail.com</t>
  </si>
  <si>
    <t>해질녘 인생극장</t>
  </si>
  <si>
    <t>https://www.youtube.com/channel/UC9l-8PuHKeTovc7TP_aI0MA</t>
  </si>
  <si>
    <t>sunset.life.cinema@gmail.com</t>
  </si>
  <si>
    <t>웃음하이</t>
  </si>
  <si>
    <t>https://www.youtube.com/channel/UC0zFxOxGZMZW8xN2S9BBXNw</t>
  </si>
  <si>
    <t>rogan24@naver.com</t>
  </si>
  <si>
    <t>감동발동</t>
  </si>
  <si>
    <t>https://www.youtube.com/channel/UC2GBFLo8DSfXwv1nD1weLzg</t>
  </si>
  <si>
    <t>gdbd119@gmail.com</t>
  </si>
  <si>
    <t>https://www.youtube.com/channel/UCkNQT75PDjH7xYAAU3TL6fw</t>
  </si>
  <si>
    <t>woomma59@gmail.com</t>
  </si>
  <si>
    <t>대충봐도 대박</t>
  </si>
  <si>
    <t>https://www.youtube.com/channel/UCoqp-qPQjd5jCBmnHd33n6w</t>
  </si>
  <si>
    <t>iwishbe@gmail.com</t>
  </si>
  <si>
    <t>감동오렌지</t>
  </si>
  <si>
    <t>https://www.youtube.com/channel/UC6iUysJyEJ0fgDKPtH_3ABQ</t>
  </si>
  <si>
    <t>gamdongorange@gmail.com</t>
  </si>
  <si>
    <t>스페셜코리아 - 해외감동사연</t>
  </si>
  <si>
    <t>https://www.youtube.com/channel/UC3RVtuFPWBty58JQwatcL4Q</t>
  </si>
  <si>
    <t>parangjong60@gmail.com</t>
  </si>
  <si>
    <t>시니어 사연</t>
  </si>
  <si>
    <t>직장사이다</t>
  </si>
  <si>
    <t>https://www.youtube.com/channel/UC40fnc7ZyoEQOVIK84EIxLg</t>
  </si>
  <si>
    <t>gioo10@naver.com</t>
  </si>
  <si>
    <t>웃기고있쑈</t>
  </si>
  <si>
    <t>https://www.youtube.com/channel/UCKZoNi9U9aFg7s-Xe7J5Mrw</t>
  </si>
  <si>
    <t>sjd19770007@gmail.com</t>
  </si>
  <si>
    <r>
      <rPr>
        <rFont val="Arial"/>
        <color rgb="FF1E40AF"/>
      </rPr>
      <t xml:space="preserve">카카오톡 채널 '트루팍' </t>
    </r>
    <r>
      <rPr>
        <rFont val="Arial"/>
        <color rgb="FF1155CC"/>
      </rPr>
      <t>bit.ly/true_chat</t>
    </r>
  </si>
  <si>
    <t>노년 인생드라마</t>
  </si>
  <si>
    <t>https://www.youtube.com/channel/UC-P02SoCPWiGdP88JiPbUUA</t>
  </si>
  <si>
    <t>qaz15315324@gmail.com</t>
  </si>
  <si>
    <t>사연보름달</t>
  </si>
  <si>
    <t>https://www.youtube.com/channel/UCmZkEggG98yxOL4iEvwj7Mg</t>
  </si>
  <si>
    <t>surka10@naver.com</t>
  </si>
  <si>
    <t xml:space="preserve">감동 상영관 </t>
  </si>
  <si>
    <t>https://www.youtube.com/channel/UCdxlmWGmISJAKnEjn6VJogA</t>
  </si>
  <si>
    <t>gamdongdoonge@gmail.com</t>
  </si>
  <si>
    <t>사연 읽어주는 남자</t>
  </si>
  <si>
    <t>https://www.youtube.com/channel/UCu0SWxML5JfWSKamNLzu7eg</t>
  </si>
  <si>
    <t>chance0303@naver.com</t>
  </si>
  <si>
    <t>그록고</t>
  </si>
  <si>
    <t>https://www.youtube.com/channel/UCRAG2h8vuvX9isjfA_shJYA</t>
  </si>
  <si>
    <t>xogudqhsh@naver.com</t>
  </si>
  <si>
    <t>시니어인생웃자</t>
  </si>
  <si>
    <t>https://www.youtube.com/channel/UCGJ2Vi63A887e7AzL0MT_ZA</t>
  </si>
  <si>
    <t>cmsmild4353@gmail.com</t>
  </si>
  <si>
    <t>시니어 오아시스</t>
  </si>
  <si>
    <t>https://www.youtube.com/channel/UCbjkBxUJpvThrZU9QMbUOvQ</t>
  </si>
  <si>
    <t>senioroasis365@gmail.com</t>
  </si>
  <si>
    <t>인생튜브</t>
  </si>
  <si>
    <t>https://www.youtube.com/channel/UCj_KDKEDgnXkeh0KlNpSL8A</t>
  </si>
  <si>
    <t>2025life.radio@gmail.com</t>
  </si>
  <si>
    <t>시니어 리얼썰</t>
  </si>
  <si>
    <t>https://www.youtube.com/channel/UC4-4ElAoyQ41HpMF4mC7kFA</t>
  </si>
  <si>
    <t>wan-lim119@hanmail.net</t>
  </si>
  <si>
    <t>꿈나라 인생사연</t>
  </si>
  <si>
    <t>https://www.youtube.com/channel/UCMEmcE45SQeleu9Vae0SzmA</t>
  </si>
  <si>
    <t>soccer969@me.com</t>
  </si>
  <si>
    <t>효도 사연</t>
  </si>
  <si>
    <t>나미소리</t>
  </si>
  <si>
    <t>https://www.youtube.com/channel/UC4ZDYaJxBrgg-5oTZKkBF8g</t>
  </si>
  <si>
    <t>luckythree1133@gmail.com</t>
  </si>
  <si>
    <t>추억의사연다방</t>
  </si>
  <si>
    <t>https://www.youtube.com/channel/UCgjoWn1Gnvj7xfB-HzYpNOQ</t>
  </si>
  <si>
    <t>amanoi2@naver.com</t>
  </si>
  <si>
    <t>썰훈이</t>
  </si>
  <si>
    <t>https://www.youtube.com/channel/UCmqnTcFE0jJdbg-ZoyxXSFg</t>
  </si>
  <si>
    <t>ssulhoon2@gmail.com</t>
  </si>
  <si>
    <t>천년야담극장</t>
  </si>
  <si>
    <t>https://www.youtube.com/channel/UCFs3s9vf0jAdtxWR6XXQt3w</t>
  </si>
  <si>
    <t>minmang79@gmail.com</t>
  </si>
  <si>
    <t>소문유랑단</t>
  </si>
  <si>
    <t>https://www.youtube.com/channel/UC_sB8jOiuVbYHx5A8yCSsBQ</t>
  </si>
  <si>
    <t>tangtv001@gmail.com</t>
  </si>
  <si>
    <t>사연부스</t>
  </si>
  <si>
    <t>https://www.youtube.com/channel/UCUG5tR-niqJpNefS2jzC_Ew</t>
  </si>
  <si>
    <t>gamdongbooth@gmail.com</t>
  </si>
  <si>
    <t>인생 향기</t>
  </si>
  <si>
    <t>https://www.youtube.com/channel/UCwjtbv6zEv1zeUyVl0596Vw</t>
  </si>
  <si>
    <t>jhjang82@naver.com</t>
  </si>
  <si>
    <t>마음쉼터이야기</t>
  </si>
  <si>
    <t>https://www.youtube.com/channel/UC3gf14K9NjpUPwmROijtN5g</t>
  </si>
  <si>
    <t>yks721020@gmail.com</t>
  </si>
  <si>
    <t>사연읽어주는남녀</t>
  </si>
  <si>
    <t>https://www.youtube.com/channel/UCv9FeN8Yjqr3jGKzTNk9SLw</t>
  </si>
  <si>
    <t>sayeonnamnyeo@gmail.com</t>
  </si>
  <si>
    <t>사연클립</t>
  </si>
  <si>
    <t>https://www.youtube.com/channel/UC3ArSP6WlFF7UoZzWtEFd-w</t>
  </si>
  <si>
    <t>sayeonclip@naver.com</t>
  </si>
  <si>
    <t>부모님 사연</t>
  </si>
  <si>
    <t>스타핫이슈</t>
  </si>
  <si>
    <t>https://www.youtube.com/channel/UCOllBppNA5DQpGV0M6TzEnA</t>
  </si>
  <si>
    <t>yminaofu5688@gmail.com</t>
  </si>
  <si>
    <t>할머니 사연</t>
  </si>
  <si>
    <t>할머니댁 춘배</t>
  </si>
  <si>
    <t>https://www.youtube.com/channel/UCLk6Qprj81FKqrZxZLP_J6A</t>
  </si>
  <si>
    <t>lch0995@yahoo.com</t>
  </si>
  <si>
    <t>사연 잇는 우체통</t>
  </si>
  <si>
    <t>https://www.youtube.com/channel/UCOCzogQAKdlgbS39Lrg-N9A</t>
  </si>
  <si>
    <t>sayeonit@gmail.com</t>
  </si>
  <si>
    <t>명언의 선율</t>
  </si>
  <si>
    <t>https://www.youtube.com/channel/UCeFCPQuMsLsMoJ0EO1Xm7Kw</t>
  </si>
  <si>
    <t>sorenjjara@gmail.com</t>
  </si>
  <si>
    <t>경제훈수 - 쉬운 경제 지식</t>
  </si>
  <si>
    <t>https://www.youtube.com/channel/UCpsC4x934EylqtTFduCacAw</t>
  </si>
  <si>
    <t>okbooks0113@gmail.com</t>
  </si>
  <si>
    <t>행복한 어르신</t>
  </si>
  <si>
    <t>https://www.youtube.com/channel/UCTpsoMCvB91FYU_csgghJWw</t>
  </si>
  <si>
    <t>aeae14494@gmail.com</t>
  </si>
  <si>
    <t>메세zip</t>
  </si>
  <si>
    <t>https://www.youtube.com/channel/UCv2cBH0aB22dQ2j5hiAu4qA</t>
  </si>
  <si>
    <t>su_sss@naver.com</t>
  </si>
  <si>
    <t>추후 연락</t>
  </si>
  <si>
    <t>오늘도 숏츠</t>
  </si>
  <si>
    <t>https://www.youtube.com/channel/UCPw-p95GIkrzOko_dbc4WYw</t>
  </si>
  <si>
    <t>lvupcompany@gmail.com</t>
  </si>
  <si>
    <t>감동온</t>
  </si>
  <si>
    <t>https://www.youtube.com/channel/UCVBFT-CTXXkyi1xZzIzNZ5A</t>
  </si>
  <si>
    <t>hool1029@naver.com</t>
  </si>
  <si>
    <t>봐봐봐</t>
  </si>
  <si>
    <t>https://www.youtube.com/channel/UCP3nsqpPzQDWQAKKDn7OziQ</t>
  </si>
  <si>
    <t>bawoomaroo@gmail.com</t>
  </si>
  <si>
    <t>스타썰</t>
  </si>
  <si>
    <t>https://www.youtube.com/channel/UCNxCwQDxlbJwdTxcK8G668A</t>
  </si>
  <si>
    <t>lalagogo2233@gmail.com</t>
  </si>
  <si>
    <t>군대 사연</t>
  </si>
  <si>
    <t>썰무새</t>
  </si>
  <si>
    <t>https://www.youtube.com/channel/UCyYUUUHqygvE7gWy0rZIN7g</t>
  </si>
  <si>
    <t>ddokkangkim87@gmail.com</t>
  </si>
  <si>
    <t>나라 사연</t>
  </si>
  <si>
    <t>감동소리나라</t>
  </si>
  <si>
    <t>https://www.youtube.com/channel/UCgu-EsztJaGMJBVp5zKwGLA</t>
  </si>
  <si>
    <t>treemomo365@gmail.com</t>
  </si>
  <si>
    <t>사연한닢</t>
  </si>
  <si>
    <t>https://www.youtube.com/channel/UCdeUhW2HBSy4qQtzNy2w82A</t>
  </si>
  <si>
    <t>sayeonwang2@gmail.com</t>
  </si>
  <si>
    <t>사연많은너구리</t>
  </si>
  <si>
    <t>https://www.youtube.com/channel/UCGyFajsFGKIRynLoUSJcd6w</t>
  </si>
  <si>
    <t>jess19811027@gmail.com</t>
  </si>
  <si>
    <t>감동테라스</t>
  </si>
  <si>
    <t>https://www.youtube.com/channel/UC_d14IRNoHVU1OIzQusdwTg</t>
  </si>
  <si>
    <t>snskrkrk11@gmail.com</t>
  </si>
  <si>
    <t>썰로별</t>
  </si>
  <si>
    <t>https://www.youtube.com/channel/UCtI10h_MLO1DHNa2JPKg8dA</t>
  </si>
  <si>
    <t>sseollo2023@gmail.com</t>
  </si>
  <si>
    <t>감동탐험</t>
  </si>
  <si>
    <t>https://www.youtube.com/channel/UCE9eONEeUMXFSvSFdFqAbNA</t>
  </si>
  <si>
    <t>Koreanstory24@gmail.com</t>
  </si>
  <si>
    <t>재미삼</t>
  </si>
  <si>
    <t>https://www.youtube.com/channel/UCFCT3S5L7TvGyJ0kLKf0Z7w</t>
  </si>
  <si>
    <t>slowjangnan@gmail.com</t>
  </si>
  <si>
    <t>감동오락관-해외감동사연</t>
  </si>
  <si>
    <t>https://www.youtube.com/channel/UCd1sjFJbeVR5i3IjJ5Q63LA</t>
  </si>
  <si>
    <t>jeongjihong379@gmail.com</t>
  </si>
  <si>
    <t>말많은 선배</t>
  </si>
  <si>
    <t>https://www.youtube.com/channel/UC0T-E0-wKMynZViFH3dmrpA</t>
  </si>
  <si>
    <t>clairvoyantm@naver.com</t>
  </si>
  <si>
    <t>감동코리아맛집</t>
  </si>
  <si>
    <t>https://www.youtube.com/channel/UCnJ6UayOcabCMAa-l8Z_zBw</t>
  </si>
  <si>
    <t>cbksp81@gmail.com</t>
  </si>
  <si>
    <t>눈물나는 사연</t>
  </si>
  <si>
    <t>허들러스</t>
  </si>
  <si>
    <t>https://www.youtube.com/channel/UCsLwPR9crj7PYTq0U_Kyrgg</t>
  </si>
  <si>
    <t>myhuddler@gmail.com</t>
  </si>
  <si>
    <t>오예튜브 - 해외감동사연</t>
  </si>
  <si>
    <t>https://www.youtube.com/channel/UCTuubMy7ytyKEp-HhmA55Tw</t>
  </si>
  <si>
    <t>ohyeahtube1@gmail.com</t>
  </si>
  <si>
    <t>웃긴 테레비</t>
  </si>
  <si>
    <t>https://www.youtube.com/channel/UCWc1upxyUQFWByte08HTGLA</t>
  </si>
  <si>
    <t>kkalkkalfactory@gmail.com</t>
  </si>
  <si>
    <t>감동담기 - 해외감동사연</t>
  </si>
  <si>
    <t>https://www.youtube.com/channel/UC5OJH78AkfGYL-NCCHiDmpQ</t>
  </si>
  <si>
    <t>1218dkssud@gmail.com</t>
  </si>
  <si>
    <t>학튜브</t>
  </si>
  <si>
    <t>https://www.youtube.com/channel/UCZXon8MxUBA92M6H4ixcvgg</t>
  </si>
  <si>
    <t>hyuryu00@gmail.com</t>
  </si>
  <si>
    <t>감동사연</t>
  </si>
  <si>
    <t>https://www.youtube.com/channel/UCdWSNmE4oeTYsQ5aRhaSWhQ</t>
  </si>
  <si>
    <t>kojoons0706@gmail.com</t>
  </si>
  <si>
    <t>핫하군</t>
  </si>
  <si>
    <t>https://www.youtube.com/channel/UC5AIWXfBsknBiK7Zlp57KkQ</t>
  </si>
  <si>
    <t>178cm99kg@gmail.com</t>
  </si>
  <si>
    <t>실화 사연</t>
  </si>
  <si>
    <t xml:space="preserve">지혜생활_오눌도 지혜로운생활🌱 </t>
  </si>
  <si>
    <t>https://www.youtube.com/channel/UCNyIdGmCWdmH5Vxv2mR5ToQ</t>
  </si>
  <si>
    <t>inaegim2013@gmail.com</t>
  </si>
  <si>
    <t>머니창고</t>
  </si>
  <si>
    <t>https://www.youtube.com/channel/UCjiyt0Bf1lBwbwMQdrWewBA</t>
  </si>
  <si>
    <t>88kimmhee@gmail.com</t>
  </si>
  <si>
    <t>사연 읽어주는</t>
  </si>
  <si>
    <t>커피엔톡</t>
  </si>
  <si>
    <t>https://www.youtube.com/channel/UCeV6JeyZcJgcAUrO7hN46Zw</t>
  </si>
  <si>
    <t>coffeentalk2009@gmail.com</t>
  </si>
  <si>
    <t>방구석공포라디오</t>
  </si>
  <si>
    <t>https://www.youtube.com/channel/UCAWXKeaIF52Op1arsSAZmkw</t>
  </si>
  <si>
    <t>banggoosuk12@gmail.com</t>
  </si>
  <si>
    <t>시원한인생</t>
  </si>
  <si>
    <t>https://www.youtube.com/channel/UCnVy4eozKCKF1Q4Udrgz2Ig</t>
  </si>
  <si>
    <t>jytubejp1@gmail.com</t>
  </si>
  <si>
    <t>시니어준비생</t>
  </si>
  <si>
    <t>https://www.youtube.com/channel/UCr_1pu8y1-bGOCOOikBPWNw</t>
  </si>
  <si>
    <t>amorfati9852@daum.net</t>
  </si>
  <si>
    <t>인물뉴스</t>
  </si>
  <si>
    <t>https://www.youtube.com/channel/UC_rBytAj8y5KLl2iKxbR-IQ</t>
  </si>
  <si>
    <t>sms550211@naver.com</t>
  </si>
  <si>
    <t>황혼이야기Y</t>
  </si>
  <si>
    <t>https://www.youtube.com/channel/UCdQkG1TWQESXOfhZAfYKpLw</t>
  </si>
  <si>
    <t>blackpjake01@gmail.com</t>
  </si>
  <si>
    <t>말못사</t>
  </si>
  <si>
    <t>https://www.youtube.com/channel/UCC0-MmKIjLHP7hC1UN8eN7w</t>
  </si>
  <si>
    <t>ktktktkim@gmail.com</t>
  </si>
  <si>
    <t>건강쏙쏙</t>
  </si>
  <si>
    <t>https://www.youtube.com/channel/UC-1_wL5fL8bNNb90LFVzohg</t>
  </si>
  <si>
    <t>healthssokssok@gmail.com</t>
  </si>
  <si>
    <t>달빛아래, 사연한줌</t>
  </si>
  <si>
    <t>https://www.youtube.com/channel/UCjhwNNvrbBJ1xAzOahyKkkg</t>
  </si>
  <si>
    <t>mind.writer.tv@gmail.com</t>
  </si>
  <si>
    <r>
      <rPr>
        <rFont val="Arial"/>
        <color rgb="FF1E40AF"/>
      </rPr>
      <t xml:space="preserve">유튜브 채널은 있는데 </t>
    </r>
    <r>
      <rPr>
        <rFont val="Arial"/>
        <color rgb="FF1155CC"/>
      </rPr>
      <t>코딩 채널</t>
    </r>
    <r>
      <rPr>
        <rFont val="Arial"/>
        <color rgb="FF1E40AF"/>
      </rPr>
      <t>/플로이쨈님이랑 같은 AI툴 사용하는 것 같음</t>
    </r>
  </si>
  <si>
    <t>사연한아름</t>
  </si>
  <si>
    <t>https://www.youtube.com/channel/UCqxSxQIoqcTFehMn62n6zeQ</t>
  </si>
  <si>
    <t>lux4070@gmail.com</t>
  </si>
  <si>
    <t>썰모아· 조회수 89만회</t>
  </si>
  <si>
    <t>https://www.youtube.com/channel/UC8tiVH0oHYrAT2BteaCtLNQ</t>
  </si>
  <si>
    <t>djssuld@gmail.com</t>
  </si>
  <si>
    <t>액티브시니어</t>
  </si>
  <si>
    <t>https://www.youtube.com/channel/UCJo_hN76u7V_0RwQGAIKb-w</t>
  </si>
  <si>
    <t>lahee1000@gmail.com</t>
  </si>
  <si>
    <t>단비인생라디오</t>
  </si>
  <si>
    <t>https://www.youtube.com/channel/UCv9gNkwpG_P1X3-6VAOk3dA</t>
  </si>
  <si>
    <t>anybaba@naver.com</t>
  </si>
  <si>
    <t>시니어전성시대</t>
  </si>
  <si>
    <t>https://www.youtube.com/channel/UCnLO88Oop5XZOQ3PP2U9wvw</t>
  </si>
  <si>
    <t>senior2021@naver.com</t>
  </si>
  <si>
    <t>장수레시피</t>
  </si>
  <si>
    <t>https://www.youtube.com/channel/UCaSEMBqciwE-8PUwIfrnDAg</t>
  </si>
  <si>
    <t>bokgilmaker@gmail.com</t>
  </si>
  <si>
    <t>시니어동행TV</t>
  </si>
  <si>
    <t>https://www.youtube.com/channel/UCwdGfKf95wV7da9a80xKyDA</t>
  </si>
  <si>
    <t>noresarang82@naver.com</t>
  </si>
  <si>
    <t>시니어요지경극장</t>
  </si>
  <si>
    <t>https://www.youtube.com/channel/UCxna9DIruCDzWZmiKzP20AQ</t>
  </si>
  <si>
    <t>redcat108@daum.net</t>
  </si>
  <si>
    <t>건강애국시니어</t>
  </si>
  <si>
    <t>https://www.youtube.com/channel/UCSDaWb97DbFTmdgAx2uVFcw</t>
  </si>
  <si>
    <t>deltamarine@naver.com</t>
  </si>
  <si>
    <t>힙합 플레이리스트</t>
  </si>
  <si>
    <t>릴숭어 lil mullet</t>
  </si>
  <si>
    <t>https://www.youtube.com/channel/UCva4xHp8PPtSzqhGeM3lq7Q</t>
  </si>
  <si>
    <t>lilmulletxx@gmail.com</t>
  </si>
  <si>
    <t>감성 플레이리스트</t>
  </si>
  <si>
    <t>네고막을책임져도될까</t>
  </si>
  <si>
    <t>https://www.youtube.com/channel/UCweFCeE7R38-pvPl6RifWpw</t>
  </si>
  <si>
    <t>micasfu@gmail.com</t>
  </si>
  <si>
    <t>음악 모음 1시간</t>
  </si>
  <si>
    <t>코튼테라스</t>
  </si>
  <si>
    <t>https://www.youtube.com/channel/UCZrdxHK4bFIXd4vqIXi5Grw</t>
  </si>
  <si>
    <t>ncottonterrace.music@gmail.com</t>
  </si>
  <si>
    <t>요리할때 듣는 음악</t>
  </si>
  <si>
    <t>Soul Cafe</t>
  </si>
  <si>
    <t>https://www.youtube.com/channel/UCVccRmiLPePBoImWKXdIaAQ</t>
  </si>
  <si>
    <t>vsoundvsound2020@gmail.com</t>
  </si>
  <si>
    <t>눈오는날 음악</t>
  </si>
  <si>
    <t>BLUE playlist</t>
  </si>
  <si>
    <t>https://www.youtube.com/channel/UCv5HR_gOP8_bAIHeuIDDhww</t>
  </si>
  <si>
    <t>gpcitizen@naver.com</t>
  </si>
  <si>
    <t>소리바구니 SoriBaguni ASMR</t>
  </si>
  <si>
    <t>https://www.youtube.com/channel/UCMBkmtMIII0o7wnvQoRWi1g</t>
  </si>
  <si>
    <t>soribagunisound@naver.com</t>
  </si>
  <si>
    <t>퇴근길 음악</t>
  </si>
  <si>
    <t>야미피아노Yummy piano</t>
  </si>
  <si>
    <t>https://www.youtube.com/channel/UCGvxOx0B7JEF6pS4yVllbzw</t>
  </si>
  <si>
    <t>wbisloveyjkh@gmail.com</t>
  </si>
  <si>
    <t>Beautiful Days Music - 음악채널</t>
  </si>
  <si>
    <t>https://www.youtube.com/channel/UCxvR-04W1r3xe6CzCaSxymg</t>
  </si>
  <si>
    <t>kkw926@gmail.com</t>
  </si>
  <si>
    <t>비오는날 플레이리스트</t>
  </si>
  <si>
    <t>asmr soupe</t>
  </si>
  <si>
    <t>https://www.youtube.com/channel/UCjCDp8b2wtGIiaC3ZqKomSQ</t>
  </si>
  <si>
    <t>neverend@gmail.com</t>
  </si>
  <si>
    <t>이별 노래 모음</t>
  </si>
  <si>
    <t>주간믹스테이프 : 주믹스 WeekMixTape</t>
  </si>
  <si>
    <t>https://www.youtube.com/channel/UC9a45dYlbW3mcgaetjC-iHw</t>
  </si>
  <si>
    <t>skybluebr@naver.com</t>
  </si>
  <si>
    <t>가을 플레이리스트</t>
  </si>
  <si>
    <t>love is all around</t>
  </si>
  <si>
    <t>https://www.youtube.com/channel/UCIfWn9lUtwS_cpXooKA5Jug</t>
  </si>
  <si>
    <t>csm2967@gmail.com</t>
  </si>
  <si>
    <t>Ode Studio Seoul</t>
  </si>
  <si>
    <t>https://www.youtube.com/channel/UClQLZ6IhugUkyRWjoVKPQVg</t>
  </si>
  <si>
    <t>anodeto2020@gmail.com</t>
  </si>
  <si>
    <t>로디</t>
  </si>
  <si>
    <t>https://www.youtube.com/channel/UCjjMXgFBrnCqNzqn4e86dHA</t>
  </si>
  <si>
    <t>yuminan498@gmail.com</t>
  </si>
  <si>
    <t>설렘 플레이리스트</t>
  </si>
  <si>
    <t>UYoung Wave</t>
  </si>
  <si>
    <t>https://www.youtube.com/channel/UCAFLHVP7O_AFTrwDy_MS9ng</t>
  </si>
  <si>
    <t>wavehome03@gmail.com</t>
  </si>
  <si>
    <t>안녕하세요TV</t>
  </si>
  <si>
    <t>https://www.youtube.com/channel/UCCeRgKav1R0hqj2g0xdKNmg</t>
  </si>
  <si>
    <t>hellotv5678@gmail.com</t>
  </si>
  <si>
    <t>드림랜드</t>
  </si>
  <si>
    <t>https://www.youtube.com/channel/UCD4-tiG-ehA40iImoKIxLjg</t>
  </si>
  <si>
    <t>dkfusgkwls@naver.com</t>
  </si>
  <si>
    <t>혼술 음악</t>
  </si>
  <si>
    <t>트로트 하이웨이</t>
  </si>
  <si>
    <t>https://www.youtube.com/channel/UCYrcetzzlN0hvBtxamexSvA</t>
  </si>
  <si>
    <t>bodducke@gmail.com</t>
  </si>
  <si>
    <t xml:space="preserve">니미넴 ㅣ 힙합가게 </t>
  </si>
  <si>
    <t>https://www.youtube.com/channel/UCoImlQASkAVhfqg0MBqeCUw</t>
  </si>
  <si>
    <t>powerrpm83@gmail.com</t>
  </si>
  <si>
    <t>새벽에 듣는 노래</t>
  </si>
  <si>
    <t>들어보송song</t>
  </si>
  <si>
    <t>https://www.youtube.com/channel/UChC-v97QSRidIg_kd4Jf_1A</t>
  </si>
  <si>
    <t>bosong_popmusics@naver.com</t>
  </si>
  <si>
    <t>lalalomusic</t>
  </si>
  <si>
    <t>https://www.youtube.com/channel/UCHkvS5YYj3-aGm9nNVuxlJQ</t>
  </si>
  <si>
    <t>lalalomusic@naver.com</t>
  </si>
  <si>
    <t>청소할때 듣는 음악</t>
  </si>
  <si>
    <t xml:space="preserve">지꿍 </t>
  </si>
  <si>
    <t>https://www.youtube.com/channel/UCQLxLmg6-yR4R3MHxbdVNWw</t>
  </si>
  <si>
    <t>ruru73772@gmail.com</t>
  </si>
  <si>
    <t>레이백 ʟᴀʏʙᴀᴄᴋ</t>
  </si>
  <si>
    <t>https://www.youtube.com/channel/UCMWx7uO8fruVJrgmMtbxG2A</t>
  </si>
  <si>
    <t>laybackstudio@gmail.com</t>
  </si>
  <si>
    <t>나의플레이리스트 naply</t>
  </si>
  <si>
    <t>https://www.youtube.com/channel/UC2kPuCfWPDZhRg60gOdOlKg</t>
  </si>
  <si>
    <t>na.playlist3@gmail.com</t>
  </si>
  <si>
    <t>힐링 음악 모음</t>
  </si>
  <si>
    <t>BeiGe Mellow 베이지멜로우</t>
  </si>
  <si>
    <t>https://www.youtube.com/channel/UCEbIsZjyZx3pERuusDfgM3A</t>
  </si>
  <si>
    <t>beigemellowmusic@gmail.com</t>
  </si>
  <si>
    <t>https://www.youtube.com/channel/UCafdx2Yrm6fBR5QZODJVa9g</t>
  </si>
  <si>
    <t>moneyfme123@gmail.com</t>
  </si>
  <si>
    <t>https://www.youtube.com/channel/UC70ZN3P3QEkjRM5v4gIslLg</t>
  </si>
  <si>
    <t>thdwoqjf@gmail.com</t>
  </si>
  <si>
    <t>상품 소싱</t>
  </si>
  <si>
    <t>https://www.youtube.com/channel/UCCOQRITg9ohcYpht8_5CjJw</t>
  </si>
  <si>
    <t>yata71@naver.com</t>
  </si>
  <si>
    <t>https://www.youtube.com/channel/UCSQUj1sju9ms4lksJpoiGsA</t>
  </si>
  <si>
    <t>donbling01@gmail.com</t>
  </si>
  <si>
    <t>쿠팡 소싱</t>
  </si>
  <si>
    <t>https://www.youtube.com/channel/UCUWmS3YtKspoxZbJR-iOdPA</t>
  </si>
  <si>
    <t>phoneeasy@naver.com</t>
  </si>
  <si>
    <t>https://www.youtube.com/channel/UCoUMRlaHHyIIRySV_bouYCQ</t>
  </si>
  <si>
    <t>dana@w2a.co</t>
  </si>
  <si>
    <t>https://www.youtube.com/channel/UC1-1FHV2EJX1fC3ueOctFBg</t>
  </si>
  <si>
    <t>jerryk2@naver.com</t>
  </si>
  <si>
    <t>이커머스 창업</t>
  </si>
  <si>
    <t>https://www.youtube.com/channel/UC8Bd91IwR42E9euq5VmBLuw</t>
  </si>
  <si>
    <t>jaycay@naver.com</t>
  </si>
  <si>
    <r>
      <rPr>
        <rFont val="Arial"/>
        <color rgb="FF1E40AF"/>
      </rPr>
      <t xml:space="preserve">최근 </t>
    </r>
    <r>
      <rPr>
        <rFont val="Arial"/>
        <color rgb="FF1155CC"/>
      </rPr>
      <t xml:space="preserve">흑백요리사 AI 애니메이션 </t>
    </r>
    <r>
      <rPr>
        <rFont val="Arial"/>
        <color rgb="FF1E40AF"/>
      </rPr>
      <t>제작한 분/ 인스타그램에선 AI 정보공유같은거 하</t>
    </r>
  </si>
  <si>
    <r>
      <rPr>
        <rFont val="Arial"/>
        <color rgb="FF1155CC"/>
      </rPr>
      <t>https://www.ezerai.xyz/</t>
    </r>
    <r>
      <rPr>
        <rFont val="Arial"/>
        <color rgb="FF1E40AF"/>
      </rPr>
      <t xml:space="preserve"> 수강생이 사용할 수 있는 자체ai보유한 것으로 보입니다</t>
    </r>
  </si>
  <si>
    <r>
      <rPr>
        <rFont val="Arial"/>
        <color rgb="FF1155CC"/>
        <u/>
      </rPr>
      <t>ai 미리캔버스 수익화 설명 블로그</t>
    </r>
    <r>
      <rPr>
        <rFont val="Arial"/>
        <color rgb="FF000000"/>
        <u/>
      </rPr>
      <t xml:space="preserve"> 콘텐츠를 발행한지 얼마 안되었지만 ai/아이패드 이용하여 미리캔버스 수익화하는 것이 젊은 직장인들 타겟팅하기 좋아보임</t>
    </r>
  </si>
  <si>
    <r>
      <rPr>
        <rFont val="Arial"/>
        <color rgb="FF0D7559"/>
        <u/>
      </rPr>
      <t xml:space="preserve">크몽 프로필 문의하기 https://kmong.com/@리얼프로젝트 / 개인 강의 사이트가 있으나 동일인인지 확실치 않음 </t>
    </r>
    <r>
      <rPr>
        <rFont val="Arial"/>
        <color rgb="FF1155CC"/>
        <u/>
      </rPr>
      <t>https://realproject.liveklass.com/</t>
    </r>
  </si>
  <si>
    <t/>
  </si>
  <si>
    <t>No</t>
  </si>
  <si>
    <t>이메일 / 전화번호</t>
  </si>
  <si>
    <t>문자</t>
  </si>
  <si>
    <r>
      <rPr>
        <rFont val="Arial"/>
        <color rgb="FF1155CC"/>
      </rPr>
      <t>운영하는 블로그</t>
    </r>
    <r>
      <rPr>
        <rFont val="Arial"/>
        <color rgb="FF000000"/>
      </rPr>
      <t>, aion.official.ai@gmail.com</t>
    </r>
  </si>
  <si>
    <r>
      <rPr>
        <rFont val="Arial"/>
        <color rgb="FF1155CC"/>
      </rPr>
      <t>자체플랫폼</t>
    </r>
    <r>
      <rPr>
        <rFont val="Arial"/>
        <color rgb="FF000000"/>
      </rPr>
      <t>카페</t>
    </r>
  </si>
  <si>
    <r>
      <rPr>
        <rFont val="Arial"/>
        <color rgb="FF1155CC"/>
      </rPr>
      <t>개인 강의</t>
    </r>
    <r>
      <rPr>
        <rFont val="Arial"/>
        <color rgb="FF1E40AF"/>
      </rPr>
      <t>(특강 형식)</t>
    </r>
  </si>
  <si>
    <r>
      <rPr>
        <rFont val="Arial"/>
        <color rgb="FF1E40AF"/>
      </rPr>
      <t xml:space="preserve">Dreamlike / </t>
    </r>
    <r>
      <rPr>
        <rFont val="Arial"/>
        <color rgb="FFFF0000"/>
      </rPr>
      <t>(셀팜님 제자)</t>
    </r>
  </si>
  <si>
    <r>
      <rPr>
        <rFont val="Arial"/>
        <color rgb="FF1155CC"/>
      </rPr>
      <t>자체 홈페이지</t>
    </r>
    <r>
      <rPr>
        <rFont val="Arial"/>
        <color rgb="FF000000"/>
      </rPr>
      <t>(전자책)</t>
    </r>
  </si>
  <si>
    <r>
      <rPr>
        <rFont val="Arial"/>
        <color rgb="FF1155CC"/>
      </rPr>
      <t>자체 홈페이지</t>
    </r>
    <r>
      <rPr>
        <rFont val="Arial"/>
        <color rgb="FF1E40AF"/>
      </rPr>
      <t>(전자책)</t>
    </r>
  </si>
  <si>
    <r>
      <rPr>
        <rFont val="Arial"/>
        <color rgb="FF000000"/>
      </rPr>
      <t>자체</t>
    </r>
    <r>
      <rPr>
        <rFont val="Arial"/>
        <color rgb="FF1155CC"/>
      </rPr>
      <t>블로그</t>
    </r>
  </si>
  <si>
    <r>
      <rPr>
        <rFont val="Arial"/>
        <color rgb="FF1E40AF"/>
      </rPr>
      <t xml:space="preserve">카카오톡 채널 '트루팍' </t>
    </r>
    <r>
      <rPr>
        <rFont val="Arial"/>
        <color rgb="FF1155CC"/>
      </rPr>
      <t>bit.ly/true_chat</t>
    </r>
  </si>
  <si>
    <t>4/2(목) 11시</t>
  </si>
  <si>
    <t xml:space="preserve">AI 영상 </t>
  </si>
  <si>
    <r>
      <rPr>
        <rFont val="Arial"/>
        <color rgb="FF000000"/>
      </rPr>
      <t xml:space="preserve">자체 </t>
    </r>
    <r>
      <rPr>
        <rFont val="Arial"/>
        <color rgb="FF1155CC"/>
      </rPr>
      <t>SNS강의 홈페이지</t>
    </r>
  </si>
  <si>
    <r>
      <rPr>
        <rFont val="Arial"/>
        <color rgb="FF1155CC"/>
        <u/>
      </rPr>
      <t>sojil.com@gmail.com</t>
    </r>
  </si>
  <si>
    <r>
      <rPr>
        <rFont val="Arial"/>
        <color rgb="FF1155CC"/>
      </rPr>
      <t>개인 플랫폼</t>
    </r>
    <r>
      <rPr>
        <rFont val="Arial"/>
        <color rgb="FF1E40AF"/>
      </rPr>
      <t xml:space="preserve">, </t>
    </r>
    <r>
      <rPr>
        <rFont val="Arial"/>
        <color rgb="FF1155CC"/>
      </rPr>
      <t>신청폼</t>
    </r>
  </si>
  <si>
    <r>
      <rPr>
        <rFont val="Arial"/>
        <color rgb="FF1E40AF"/>
      </rPr>
      <t xml:space="preserve">유튜브 채널은 있는데 </t>
    </r>
    <r>
      <rPr>
        <rFont val="Arial"/>
        <color rgb="FF1155CC"/>
      </rPr>
      <t>코딩 채널</t>
    </r>
    <r>
      <rPr>
        <rFont val="Arial"/>
        <color rgb="FF1E40AF"/>
      </rPr>
      <t>/플로이쨈님이랑 같은 AI툴 사용하는 것 같음</t>
    </r>
  </si>
  <si>
    <t>줌 미팅 원함</t>
  </si>
  <si>
    <r>
      <rPr>
        <rFont val="Arial"/>
        <color rgb="FF1E40AF"/>
      </rPr>
      <t xml:space="preserve">최근 </t>
    </r>
    <r>
      <rPr>
        <rFont val="Arial"/>
        <color rgb="FF1155CC"/>
      </rPr>
      <t xml:space="preserve">흑백요리사 AI 애니메이션 </t>
    </r>
    <r>
      <rPr>
        <rFont val="Arial"/>
        <color rgb="FF1E40AF"/>
      </rPr>
      <t>제작한 분/ 인스타그램에선 AI 정보공유같은거 하</t>
    </r>
  </si>
  <si>
    <r>
      <rPr>
        <rFont val="Arial"/>
        <color rgb="FF1155CC"/>
      </rPr>
      <t>https://www.ezerai.xyz/</t>
    </r>
    <r>
      <rPr>
        <rFont val="Arial"/>
        <color rgb="FF1E40AF"/>
      </rPr>
      <t xml:space="preserve"> 수강생이 사용할 수 있는 자체ai보유한 것으로 보입니다</t>
    </r>
  </si>
  <si>
    <r>
      <rPr>
        <rFont val="Arial"/>
        <color rgb="FF1155CC"/>
      </rPr>
      <t>자체 플랫폼</t>
    </r>
    <r>
      <rPr>
        <rFont val="Arial"/>
        <color rgb="FF0D7559"/>
      </rPr>
      <t xml:space="preserve">, </t>
    </r>
    <r>
      <rPr>
        <rFont val="Arial"/>
        <color rgb="FF1155CC"/>
      </rPr>
      <t>카페</t>
    </r>
  </si>
  <si>
    <r>
      <rPr>
        <rFont val="Arial"/>
        <color rgb="FF1155CC"/>
        <u/>
      </rPr>
      <t>ai 미리캔버스 수익화 설명 블로그</t>
    </r>
    <r>
      <rPr>
        <rFont val="Arial"/>
        <color rgb="FF000000"/>
        <u/>
      </rPr>
      <t xml:space="preserve"> 콘텐츠를 발행한지 얼마 안되었지만 ai/아이패드 이용하여 미리캔버스 수익화하는 것이 젊은 직장인들 타겟팅하기 좋아보임</t>
    </r>
  </si>
  <si>
    <t>추후 이야기 하기로</t>
  </si>
  <si>
    <r>
      <rPr>
        <rFont val="Arial"/>
        <color rgb="FF1155CC"/>
      </rPr>
      <t>유튜브</t>
    </r>
    <r>
      <rPr>
        <rFont val="Arial"/>
        <color rgb="FF0D7559"/>
      </rPr>
      <t xml:space="preserve">, </t>
    </r>
    <r>
      <rPr>
        <rFont val="Arial"/>
        <color rgb="FF1155CC"/>
      </rPr>
      <t>블로그</t>
    </r>
    <r>
      <rPr>
        <rFont val="Arial"/>
        <color rgb="FF0D7559"/>
      </rPr>
      <t xml:space="preserve">, </t>
    </r>
    <r>
      <rPr>
        <rFont val="Arial"/>
        <color rgb="FF1155CC"/>
      </rPr>
      <t>틱톡</t>
    </r>
  </si>
  <si>
    <r>
      <rPr>
        <rFont val="Arial"/>
        <color rgb="FF0D7559"/>
        <u/>
      </rPr>
      <t xml:space="preserve">크몽 프로필 문의하기 https://kmong.com/@리얼프로젝트 / 개인 강의 사이트가 있으나 동일인인지 확실치 않음 </t>
    </r>
    <r>
      <rPr>
        <rFont val="Arial"/>
        <color rgb="FF1155CC"/>
        <u/>
      </rPr>
      <t>https://realproject.liveklass.com/</t>
    </r>
  </si>
  <si>
    <r>
      <rPr>
        <rFont val="Arial"/>
        <color rgb="FF1155CC"/>
        <u/>
      </rPr>
      <t>donbeollabs@gmail.com</t>
    </r>
  </si>
  <si>
    <t>성과우수_온백 1기</t>
  </si>
  <si>
    <t xml:space="preserve">김지안 </t>
  </si>
  <si>
    <t>010-3374-5569</t>
  </si>
  <si>
    <t>성과우수_셀팜 5기 농수산물</t>
  </si>
  <si>
    <t>박현주</t>
  </si>
  <si>
    <t>010-9082-2766</t>
  </si>
  <si>
    <t>강사제안 거절</t>
  </si>
  <si>
    <t>성과우수_셀팜 3기 유투브</t>
  </si>
  <si>
    <t xml:space="preserve">강종현 </t>
  </si>
  <si>
    <t>010-7556-4797</t>
  </si>
  <si>
    <t>성과우수_셀팜 3기 농수산물</t>
  </si>
  <si>
    <t>김민</t>
  </si>
  <si>
    <t>010-8255-9215</t>
  </si>
  <si>
    <t>부자꿈틀 1기</t>
  </si>
  <si>
    <t xml:space="preserve">정재호 </t>
  </si>
  <si>
    <t>010-4113-2579</t>
  </si>
  <si>
    <t>민대표 1기</t>
  </si>
  <si>
    <t>김지은</t>
  </si>
  <si>
    <t>010-5894-4111</t>
  </si>
  <si>
    <t>부자꿈틀 2기</t>
  </si>
  <si>
    <t>박수경</t>
  </si>
  <si>
    <t>010-2953-4913</t>
  </si>
  <si>
    <t xml:space="preserve">정경진 </t>
  </si>
  <si>
    <t>010-8231-2575</t>
  </si>
  <si>
    <t xml:space="preserve">이효군 </t>
  </si>
  <si>
    <t>010-9080-5838</t>
  </si>
  <si>
    <t>성과 기다려야함</t>
  </si>
  <si>
    <t>김소완</t>
  </si>
  <si>
    <t>010-4813-3868</t>
  </si>
  <si>
    <t>부담</t>
  </si>
  <si>
    <t>부자꿈틀 시니어 2기</t>
  </si>
  <si>
    <t>오설미 (회신체크)</t>
  </si>
  <si>
    <t>010-2400-5453</t>
  </si>
  <si>
    <t>부자꿈틀 3기</t>
  </si>
  <si>
    <t xml:space="preserve">문아영 </t>
  </si>
  <si>
    <t>010-6653-5103</t>
  </si>
  <si>
    <t>010-2666-6150</t>
  </si>
  <si>
    <t>010-3430-4678</t>
  </si>
  <si>
    <t>전화</t>
  </si>
  <si>
    <t>미팅 일정</t>
  </si>
  <si>
    <t>SNS</t>
  </si>
  <si>
    <t>강사 정보</t>
  </si>
  <si>
    <t>특이사항</t>
  </si>
  <si>
    <t>리셀이코치</t>
  </si>
  <si>
    <t>리셀, 아마존</t>
  </si>
  <si>
    <t>4/1(수) 17:00</t>
  </si>
  <si>
    <t>리셀로 연매출 10억 (아마존 추정)</t>
  </si>
  <si>
    <t>이모티콘 작가 데뷔</t>
  </si>
  <si>
    <t>4/2(목) 11:00</t>
  </si>
  <si>
    <t>탈잉에서 활동 중</t>
  </si>
  <si>
    <t>한국어, 에어비앤비</t>
  </si>
  <si>
    <t>4/2(목) 13:00</t>
  </si>
  <si>
    <r>
      <rPr>
        <color rgb="FF1155CC"/>
        <u/>
      </rPr>
      <t>유튜브</t>
    </r>
    <r>
      <rPr/>
      <t xml:space="preserve"> </t>
    </r>
  </si>
  <si>
    <t>한국어 강사, 월 매출 1,500</t>
  </si>
  <si>
    <t>웰클래스 소속, 미팅 취소 될 수 있음</t>
  </si>
  <si>
    <t>4/2(목) 15:00 (줌)</t>
  </si>
  <si>
    <t>딱쉬운경공매</t>
  </si>
  <si>
    <t>4/6(월) 15:00 (줌)</t>
  </si>
  <si>
    <t>소액 경매, 공매 - 자체 강의 진행 중</t>
  </si>
  <si>
    <t>김은량</t>
  </si>
  <si>
    <t>시니어 준비생</t>
  </si>
  <si>
    <t>4/6(월) 14:00</t>
  </si>
  <si>
    <t>010-6864-6800</t>
  </si>
  <si>
    <t>월 300정도, 멤버십, 클래스 101, 광고업체 협업(이번달 1회,300만)</t>
  </si>
  <si>
    <t>본부장님은 미팅 참여x</t>
  </si>
  <si>
    <t>도루묵(김윤주)</t>
  </si>
  <si>
    <t>N잡•그림•디자인수익화•재테크</t>
  </si>
  <si>
    <t>인스타 팔로우 1만, 수익은 얼마 없는 듯</t>
  </si>
  <si>
    <t>미팅 일정 및 방법 조율 중</t>
  </si>
  <si>
    <t>쏘하</t>
  </si>
  <si>
    <t>릴스 제작</t>
  </si>
  <si>
    <t>인스타로 긍정반응 - 아직 개별 연락 X</t>
  </si>
  <si>
    <t>AI 강의</t>
  </si>
  <si>
    <t>클래스 101 AI 1등 강사</t>
  </si>
  <si>
    <t>현재 바빠서 연락 어려움 (4월 둘 째주쯤 연락 ㄱ)</t>
  </si>
  <si>
    <t>문자 소통 중</t>
  </si>
  <si>
    <t>부담 느껴 거절</t>
  </si>
  <si>
    <t>전화 완료, 강사 매력도 떨어져서 여기서 마무리</t>
  </si>
  <si>
    <t>오용훈</t>
  </si>
  <si>
    <t>플레이리스트 채널 운영 중</t>
  </si>
  <si>
    <t>5월 예정</t>
  </si>
  <si>
    <r>
      <rPr>
        <color rgb="FF1155CC"/>
        <u/>
      </rPr>
      <t>유튜브</t>
    </r>
    <r>
      <rPr>
        <color rgb="FF000000"/>
      </rPr>
      <t>, 010-5579-7971</t>
    </r>
  </si>
  <si>
    <t>강사 관심 높음, 검증은 안 됨, 5월 달에 미팅 예정</t>
  </si>
  <si>
    <t>⚠️ SHEET RESERVED FOR =CLAUDE... FUNCTIONS. DO NOT EDIT! ⚠️</t>
  </si>
  <si>
    <t>Key</t>
  </si>
  <si>
    <t>Value</t>
  </si>
  <si>
    <t>Expiration</t>
  </si>
  <si>
    <t>DM (발송 예정)</t>
  </si>
  <si>
    <t>이메일 (발송 예정)</t>
  </si>
  <si>
    <r>
      <rPr/>
      <t xml:space="preserve">안녕하세요, [강사명]님.
(주) 핏크닉 대표 정승요입니다. :)
우연찮게 대표님의 [콘텐츠]를 인상 깊게 보고 연락을 드렸습니다.
(이런 연락을 자주 드리진 않습니다.. ㅎㅎ)
저희 핏크닉은 온, 오프라인 강의 플랫폼입니다.
현재 핏크닉에는 41명 이상의 전문가께서 강사로 활약하며, 수강생들의 성과를 돕고 있습니다.
핏크닉이 추구하는 1순위 가치는 '성장'입니다.
이 성장을 숫자로 표현하면 다음과 같습니다.
- 평균 강사 기수 : 4기수↑
- 강의 만족도 : 8.6/10점
- 강의 추천 의향 : 84.7%
(설문 참여 인원 : 1,084명)
이처럼 핏크닉은 강사, 수강생 모두에게 실질적인 성장을 만들어드리고 있습니다.
대표님께서 핏크닉과 함께하신다면,
가지신 노하우와 가치를 더 많은 사람들에게 전달할 수 있을 뿐만 아니라,
그 과정에서 강사님의 브랜드와 전문성이 자연스럽게 쌓이는 경험을 제공해드릴 수 있습니다.
관련하여 가볍게 커피챗하면서 이야기를 나눠보시면 어떠실까요? :) 
물론 부담을 가지실 필요는 전혀 없습니다.
미팅이 아닌 서로의 인사이트를 나누는 자리라고 생각하시면 좋을 것 같습니다. ^^
제가 미팅이 많아 본부장님 연락처를 첨부드리며, 연락주시면 스케줄 조율하여 미팅 잡아주실 것입니다. 
편하게 연락주시면 됩니다 :)
앞으로 좋은 인연이 되길 바라겠습니다.
감사합니다.
(주) 핏크닉 대표 정승요 드림
본부장 연락처 : 010-7631-9761
홈페이지 : </t>
    </r>
    <r>
      <rPr>
        <color rgb="FF1155CC"/>
        <u/>
      </rPr>
      <t>fitchnic.com</t>
    </r>
    <r>
      <rPr/>
      <t xml:space="preserve"> </t>
    </r>
  </si>
  <si>
    <r>
      <rPr/>
      <t xml:space="preserve">제목 : [강사명]님께 드리는 제안
안녕하세요, [강사명]님.
(주) 핏크닉 대표 정승요입니다. :)
우연찮게 대표님의 [콘텐츠]를 인상 깊게 보고 꼭 한번 이야기를 나눠보고 싶어 메일을 드렸습니다.
원래 이런 연락을 자주 드리지 않습니다만,
[강사명]님이 가진 노하우와 콘텐츠를 보면서
대표님과 함께 정말 의미 있는 협업을 할 수 있겠다는 생각이 들어 연락을 드렸습니다.
핏크닉이 어떤 곳인지 먼저 말씀드릴게요.
저희 핏크닉은 온, 오프라인 강의 플랫폼으로 41명 분이 강사님과 함께하고 있습니다.
핏크닉이 추구하는 가장 중요한 가치는 '성장'입니다.
이 성장을 숫자로 표현하면 다음과 같습니다.
- 평균 강사 기수 : 4기수↑
- 강의 만족도 : 8.6 / 10점
- 강의 추천 의향 : 84.7%
(설문 참여 인원 : 1,084명)
숫자가 전부를 말해주진 않지만,
핏크닉이 강사님과 수강생의 성장을 얼마나 중요하게 생각하는지는 확인할 수 있다고 생각합니다.
[강사명]님께서 핏크닉과 함께하신다면,
가지신 노하우와 가치를 더 많은 사람들에게 전달할 수 있을 뿐만 아니라,
그 과정에서 강사님의 브랜드와 전문성이 자연스럽게 쌓이는 경험을 제공해드릴 수 있습니다.
관련하여 가볍게 커피챗하면서 이야기를 나눠보시면 어떠실까요? :) 
물론 부담을 가지실 필요는 전혀 없습니다.
미팅이 아닌 서로의 인사이트를 나누는 자리라고 생각하시면 좋을 것 같습니다. ^^
제가 미팅이 많아 본부장님 연락처를 첨부드리며, 
연락주시면 스케줄 조율하여 미팅 잡아주실 것입니다. 
편하게 연락주시면 됩니다 :)
앞으로 좋은 인연이 되길 바라겠습니다.
감사합니다. ^^
(주) 핏크닉 대표 정승요 드림
본부장 연락처 : 010-7631-9761
홈페이지 : </t>
    </r>
    <r>
      <rPr>
        <color rgb="FF1155CC"/>
        <u/>
      </rPr>
      <t>fitchnic.com</t>
    </r>
  </si>
  <si>
    <t>2차 변형 - DM + 이메일 (진행 중)</t>
  </si>
  <si>
    <r>
      <rPr/>
      <t xml:space="preserve">제목 : [강사명]님, 주식회사 핏크닉 대표 정승요입니다. :)
안녕하세요, [강사명]님.
(주) 핏크닉 대표 정승요입니다. :)
지난번 메일에서 핏크닉 소개가 조금 부족했던 것 같아 이렇게 다시 한번 연락드립니다.
강의 연락을 받으셨을 때, 아마 이런 생각을 하셨을 것 같습니다.
'내가 강의를 잘 만들 수 있을까?'
'기획이나 마케팅을 해준다고 하는데, 실제로 얼마나 해줄까?'
'혼자 해도 되는데 굳이 같이 해야 할 이유가 있을까?'
제가 현역 강사이니, 강사님들의 고충을 누구보다 잘 알고 있다고 생각하는데요. ㅎㅎ
개인이 강의를 기획부터 운영을 하게 되면 생기는 문제는 간단합니다.
바로 '강의 자체에 집중하기가 어렵다는 것'입니다.
수강생 모집, CS, 과제 관리, 기수 관리까지 강의 하나에 들어가는 일이 생각보다 많습니다.
수강생 모집 단계에서 막히는 경우도 대부분이고요.
결국 강사님께서 돈, 시간만 낭비하는 경우를 정말 많이 봐왔습니다.
핏크닉 강사님들께서 핏크닉과 오래 함께하시는 이유가 바로 여기에 있습니다.
저희는 강의 기획부터 마케팅, 촬영, 운영까지 전 과정을 함께해드리고 있습니다.
담당 PM, PD, CS팀이 배정되어 강사님께서 오롯이 강의에만 몰입하실 수 있는 환경을 만들어드립니다.
또한 정산 과정도 그 어떤 곳보다 투명하게 진행하고 있습니다.
그리고 또 하나 자부할 수 있는 건, 
누구보다 대표가 열심히 한다는 점입니다. ㅎㅎ 
제가 강사님들과 직접 부딪히며 일하기 때문에, 
강사님들이 어떤 부분이 가장 힘들고 어떤 부분에서 막히는지 잘 압니다.
수강생 모집이 안 될 때, 
커리큘럼을 어떻게 짜야 할지 막막할 때,
수강생 CS가 쌓여서 강의에 집중이 안 될 때.
그 답답함이 어떤 건지 알기 때문에
대표인 제가 직접 발로 뛰면서 케어해드리고 있습니다.
문제가 생겼을 때 가장 빠르게 움직일 수 있는 사람이 저라고 생각하거든요.
[강사명]님! 2026년 핏크닉과 함께 압도적인 성장을 해보시죠. :)
핏크닉에서 책임지고 강사님의 성장을 돕겠습니다.
부담 가지실 것 없습니다.
가볍게 커피 한 잔 하신다고 생각하시면 좋을 것 같습니다. :)
제가 미팅이 많아 본부장님 연락처를 첨부드리며, 
연락주시면 스케줄 조율하여 미팅 잡아주실 것입니다. 
편하게 연락주시면 됩니다 :)
좋은 인연이 되길 기대하겠습니다.
감사합니다. ^^
(주) 핏크닉 대표 정승요 드림
본부장 연락처 : 010-7631-9761
홈페이지 : </t>
    </r>
    <r>
      <rPr>
        <color rgb="FF1155CC"/>
        <u/>
      </rPr>
      <t>fitchnic.com</t>
    </r>
  </si>
  <si>
    <r>
      <rPr/>
      <t xml:space="preserve">안녕하세요, 대표님.
지난번에 연락드렸던 (주) 핏크닉 대표 정승요입니다.
꽤 오랜만에 다시 연락드리네요. ㅎㅎ
그동안 잘 지내셨는지요.
그동안 타이밍이 맞지 않아 아쉬웠는데, 이번에 대표님의 콘텐츠를 보면서 다시 한번 연락드리고 싶었습니다. :)
그동안 핏크닉도 많은 성장을 해왔습니다.
그 성장을 숫자로 표현하자면 다음과 같습니다.
- 핏크닉 강사 평균 강의 기수 : 4기수↑
- 평균 강의 만족도 : 8.6 / 10점
- 평균 강의 추천 의향 : 84.7%
(설문 참여 인원 : 1,084명)
숫자가 전부를 말해주진 않지만,
핏크닉이 강사님과 수강생의 성장을 얼마나 중요하게 생각하는지는 확인할 수 있다고 생각합니다.
대표님께서 핏크닉과 함께하신다면,
가지신 노하우와 가치를 더 많은 사람들에게 전달할 수 있을 뿐만 아니라,
그 과정에서 강사님의 브랜드와 전문성이 자연스럽게 쌓이는 경험을 제공해드릴 수 있습니다.
짧지 않은 기간동안 핏크닉은 많은 성장을 하였습니다.
그리고 대표님의 성장을 책임질 수 있는 환경을 갖추었다고 자신합니다.
관련하여 가볍게 커피챗하면서 이야기를 나눠보시면 어떠실까요? :)
혹시라도 이전과 상황과 생각이 바뀌셨다면, 부담 없이 서로의 이야기를 나눠도 좋을 것 같습니다.
제가 미팅이 많아 본부장님 연락처를 첨부드리며,
연락주시면 스케줄 조율하여 미팅 잡아주실 것입니다.
편하게 연락주시면 됩니다 :)
앞으로 좋은 인연이 되길 바라겠습니다.
감사합니다. ^^
(주) 핏크닉 대표 정승요 드림
본부장 연락처 : 010-7631-9761
홈페이지 : </t>
    </r>
    <r>
      <rPr>
        <color rgb="FF1155CC"/>
        <u/>
      </rPr>
      <t>fitchnic.com</t>
    </r>
  </si>
  <si>
    <r>
      <rPr/>
      <t xml:space="preserve">제목 : 대표님, 마지막으로 인사드립니다. :)
안녕하세요, 대표님.
(주) 핏크닉 대표 정승요입니다. :)
두 번 정도 메일을 드렸는데, 
이번이 마지막 메일입니다.
바쁘셔서 못 보셨을 수도 있고,
지금 당장 관심이 없으실 수도 있습니다.
어떤 이유든 충분히 이해합니다.
다만 한 가지만 말씀드리고 싶습니다.
강의는 타이밍이 중요합니다.
시장이 원할 때 시작하는 강의와
그 타이밍을 놓친 강의는 결과가 달라지거든요.
나중에 마음이 생기셨을 때,
핏크닉과 대표님이 함께할 수 있으면 좋겠습니다.
언제든 편하게 연락 주세요.
문은 항상 열려 있습니다. :)
대표님의 성장과 성공을 늘 응원하겠습니다.
감사합니다. ^^
(주) 핏크닉 대표 정승요 드림
본부장 연락처 : 010-7631-9761
홈페이지 : </t>
    </r>
    <r>
      <rPr>
        <color rgb="FF1155CC"/>
        <u/>
      </rPr>
      <t>fitchnic.com</t>
    </r>
  </si>
  <si>
    <t>SMS</t>
  </si>
  <si>
    <t>단체발송 메일 (개인화x)</t>
  </si>
  <si>
    <t>안녕하세요, 대표님 :) 핏크닉 김상원 본부장입니다. 오랜만에 연락드립니다. ^^
연락을 드린 이유는 대표님께 핏크닉 강사를 제안드리고 싶어서입니다.
대표님이 내신 성과를 보니, 강사로서 충분히 좋은 모습을 보여주실 수 있으실 것 같아서요. :) 아쉬운 마음에 한번 더 연락을 드립니다. (아무에게나 이런 연락을 드리지 않습니다. ㅎㅎ)
아마 갑자기 이런 말씀을 드리면 '내가 강사를 할 수 있을까?' 겁부터 나실 것 같은데요. ^^.. 하지만 걱정하실 필요는 것이 현재 핏크닉에서 가장 후기가 좋은 강사분은 '핏크닉 수강생' 출신이십니다. :) 대표님과 똑같은 상황에서 출발하셨지만 지금은 스타 강사가 되어 수많은 분들의 수익화를 돕고 계십니다.
또한 좋은 강의를 만들기 위해 담당 PM이 함께하여 강의 커리큘럼부터, CS 등 담당 전문가가 함께 도와드실 예정입니다. 강사분들이 몰입할 수 있는 환경을 제공해드리니 너무 걱정하지 않으셨으면 합니다. :)
협업 관련하여 핏크닉에서 가볍게 미팅 한 번 해보시는 건 어떠실까요? 꼭 강사가 아니더라도 함께 커피 한 잔 하시면서 인사이트 나눌 수 있는 시간을 가지면 좋을 것 같습니다. :)
사무실로 직접 방문이 어려우시다면, 줌(Zoom)으로도 가능합니다. 괜찮으신 시간이나 날짜 말씀해주시면 일정 잡아보겠습니다. 
편하게 답장 부탁드리겠습니다. 감사합니다. ^^</t>
  </si>
  <si>
    <t>안녕하세요,
(주) 핏크닉 대표 정승요입니다. :)
우연찮게 대표님의 [채널 콘텐츠]를 인상 깊게 보고 꼭 한번 이야기를 나눠보고 싶어 메일을 드렸습니다.
원래 이런 연락을 자주 드리지 않습니다만,
채널의 퀄리티와 가능성을 보며
함께 정말 의미 있는 협업을 할 수 있겠다는 생각이 들어 연락을 드렸습니다.
핏크닉이 어떤 곳인지 먼저 말씀드릴게요.
저희 핏크닉은 온, 오프라인 강의 플랫폼으로 41명의 강사님과 함께하고 있습니다.
핏크닉이 추구하는 가장 중요한 가치는 '성장'입니다.
이 성장을 숫자로 표현하면 다음과 같습니다.
- 평균 강사 기수 : 4기수↑
- 강의 만족도 : 8.6 / 10점
- 강의 추천 의향 : 84.7%
(설문 참여 인원 : 1,084명)
숫자가 전부를 말해주진 않지만,
핏크닉이 강사님과 수강생의 성장을 얼마나 중요하게 생각하는지는 확인할 수 있다고 생각합니다.
대표님께서 핏크닉과 함께하신다면,
가지신 노하우와 가치를 더 많은 사람들에게 전달할 수 있을 뿐만 아니라,
그 과정에서 강사님의 브랜드와 전문성이 자연스럽게 쌓이는 경험을 제공해드릴 수 있습니다.
관련하여 가볍게 커피챗하면서 이야기를 나눠보시면 어떠실까요? :)
물론 부담을 가지실 필요는 전혀 없습니다.
미팅이 아닌 서로의 인사이트를 나누는 자리라고 생각하시면 좋을 것 같습니다. ^^
제가 미팅이 많아 본부장님 연락처를 첨부드리며,
연락주시면 스케줄 조율하여 미팅 잡아주실 것입니다.
편하게 연락주시면 됩니다 :)
앞으로 좋은 인연이 되길 바라겠습니다.
감사합니다. ^^
(주) 핏크닉 대표 정승요 드림
본부장 연락처 : 010-7631-9761
홈페이지 : fitchnic.com</t>
  </si>
  <si>
    <t>[채널 콘텐츠] 부분은 수정 필요!</t>
  </si>
  <si>
    <t>-&gt; 예. 플레이리스트 콘텐츠, 시니어 콘텐츠 등</t>
  </si>
  <si>
    <t>🚫 연락금지 목록</t>
  </si>
  <si>
    <t>A열에 강사명(활동명) 입력 → markBanned() 실행 → 강사모집 탭 해당 행 빨간색 자동 표시</t>
  </si>
  <si>
    <t>연락금지 플랫폼 (추가 가능)</t>
  </si>
  <si>
    <t>타이탄클래스</t>
  </si>
  <si>
    <t>코주부클래스</t>
  </si>
  <si>
    <t>N잡연구소</t>
  </si>
  <si>
    <t>강사명 (활동명)</t>
  </si>
  <si>
    <t>소속 플랫폼</t>
  </si>
  <si>
    <t>사유</t>
  </si>
  <si>
    <t>인스타그램 ID</t>
  </si>
  <si>
    <t>닉네임</t>
  </si>
  <si>
    <t>현역 강사</t>
  </si>
  <si>
    <t>ssong_toon</t>
  </si>
  <si>
    <t>뻥안치고</t>
  </si>
  <si>
    <t>신영선</t>
  </si>
  <si>
    <t>ism_maker</t>
  </si>
  <si>
    <t>황원택</t>
  </si>
  <si>
    <t>타이탄/인베이더스쿨</t>
  </si>
  <si>
    <t>loat_gang</t>
  </si>
  <si>
    <t>갱</t>
  </si>
  <si>
    <t>방구석 농부</t>
  </si>
  <si>
    <t>nan_on_u</t>
  </si>
  <si>
    <t>이온유</t>
  </si>
  <si>
    <t>frenchluxury_ceo</t>
  </si>
  <si>
    <t>프렌치럭셔리 [35년 장인 이불/럭셔리 리빙]</t>
  </si>
  <si>
    <t>빈이파파</t>
  </si>
  <si>
    <t>titantools__</t>
  </si>
  <si>
    <t>오윤록 l 타철</t>
  </si>
  <si>
    <t>엘제이</t>
  </si>
  <si>
    <t>wns_rl2002</t>
  </si>
  <si>
    <t>민준기</t>
  </si>
  <si>
    <t>나리테일</t>
  </si>
  <si>
    <t>az__eden</t>
  </si>
  <si>
    <t>유찬종</t>
  </si>
  <si>
    <t>hslimlaw</t>
  </si>
  <si>
    <t>임현서 변호사</t>
  </si>
  <si>
    <t>양요다</t>
  </si>
  <si>
    <t>jokyum.kim</t>
  </si>
  <si>
    <t>김조겸 세무사</t>
  </si>
  <si>
    <t>혜다</t>
  </si>
  <si>
    <t>studiohive.official</t>
  </si>
  <si>
    <t>당일보정 바디프로필ㅣ스튜디오 하이브</t>
  </si>
  <si>
    <t>해원</t>
  </si>
  <si>
    <t>your_lawyer_yj</t>
  </si>
  <si>
    <t>김영지 변호사</t>
  </si>
  <si>
    <t>션</t>
  </si>
  <si>
    <t>prayer_moons</t>
  </si>
  <si>
    <t>하나님의 아들 문현권 Kwon Moon</t>
  </si>
  <si>
    <t>루시</t>
  </si>
  <si>
    <t>god.of.the.building</t>
  </si>
  <si>
    <t>건물의신 김동권 : 부동산+숙박업+병행투자전문</t>
  </si>
  <si>
    <t>최영호</t>
  </si>
  <si>
    <t>_doji_o_o</t>
  </si>
  <si>
    <t>이도인</t>
  </si>
  <si>
    <t>kj_93</t>
  </si>
  <si>
    <t>권기동</t>
  </si>
  <si>
    <t>메리</t>
  </si>
  <si>
    <t>roomfinder.kr</t>
  </si>
  <si>
    <t>숙소찾아주는남자</t>
  </si>
  <si>
    <t>mountain.chicken</t>
  </si>
  <si>
    <t>마운틴치킨</t>
  </si>
  <si>
    <t>보거스</t>
  </si>
  <si>
    <t>alphamale__2025</t>
  </si>
  <si>
    <t>애드센스 전문가 | 알파남 김지수</t>
  </si>
  <si>
    <t>콘파남</t>
  </si>
  <si>
    <t>rubypapa_travel</t>
  </si>
  <si>
    <t>루비파파 | 가족 여행 육아 크리에이터</t>
  </si>
  <si>
    <t>_happy_elin</t>
  </si>
  <si>
    <t>병원마케팅 기준 | 엘린</t>
  </si>
  <si>
    <t>주건</t>
  </si>
  <si>
    <t>flourprince</t>
  </si>
  <si>
    <t>신민규</t>
  </si>
  <si>
    <t>부자매</t>
  </si>
  <si>
    <t>돈클</t>
  </si>
  <si>
    <t>gyeongju.si</t>
  </si>
  <si>
    <t>경주특별시</t>
  </si>
  <si>
    <t>연화선녀</t>
  </si>
  <si>
    <t>firelab_pi</t>
  </si>
  <si>
    <t>파이</t>
  </si>
  <si>
    <t>준호</t>
  </si>
  <si>
    <t>gowva1</t>
  </si>
  <si>
    <t>김지호</t>
  </si>
  <si>
    <t>지구미</t>
  </si>
  <si>
    <t>worldvisionkorea</t>
  </si>
  <si>
    <t>월드비전 공식 인스타그램</t>
  </si>
  <si>
    <t>운대표</t>
  </si>
  <si>
    <t>cowboy_grill</t>
  </si>
  <si>
    <t>카우보이그릴</t>
  </si>
  <si>
    <t>1ter_view</t>
  </si>
  <si>
    <t>일터뷰</t>
  </si>
  <si>
    <t>김육아</t>
  </si>
  <si>
    <t>ran0220</t>
  </si>
  <si>
    <t>권동동</t>
  </si>
  <si>
    <t>money_zwi</t>
  </si>
  <si>
    <t>돈벌쥐</t>
  </si>
  <si>
    <t>단비</t>
  </si>
  <si>
    <t>lilgiant_502</t>
  </si>
  <si>
    <t>서준범</t>
  </si>
  <si>
    <t>소행</t>
  </si>
  <si>
    <t>withvine_pharm</t>
  </si>
  <si>
    <t>신유리약사 | 위드바인대표 | 진솔하게 건강이야기 합니다🙋🏻‍♀️</t>
  </si>
  <si>
    <t>윤보령x김한솔</t>
  </si>
  <si>
    <t>youb_nam</t>
  </si>
  <si>
    <t>유브남 | 유튜브 브랜딩 해주는 남자</t>
  </si>
  <si>
    <t>셀리언</t>
  </si>
  <si>
    <t>ai.play.ground</t>
  </si>
  <si>
    <t>AI놀이터 | AI 콘텐츠 크리에이터</t>
  </si>
  <si>
    <t>머니스트</t>
  </si>
  <si>
    <t>drlee_insta</t>
  </si>
  <si>
    <t>철물언니</t>
  </si>
  <si>
    <t>yu_and_yu_building</t>
  </si>
  <si>
    <t>유앤유 빌딩/공인중개사 유연재</t>
  </si>
  <si>
    <t>디노</t>
  </si>
  <si>
    <t>fitchnic_official</t>
  </si>
  <si>
    <t>핏크닉</t>
  </si>
  <si>
    <t>뽀기쌤</t>
  </si>
  <si>
    <t>hamtorigo</t>
  </si>
  <si>
    <t>햄토리와떠나요🐹 I 여행 I 숙소 I 캠핑 I</t>
  </si>
  <si>
    <t>전이사</t>
  </si>
  <si>
    <t>ok_ai.class</t>
  </si>
  <si>
    <t>인옥쌤 | AI 유튜브 수익화 전문가</t>
  </si>
  <si>
    <t>phillip_hkkim</t>
  </si>
  <si>
    <t>김한균 (나는 안늙기로 했다)</t>
  </si>
  <si>
    <t>휴먼스토리</t>
  </si>
  <si>
    <t>young._.boss__</t>
  </si>
  <si>
    <t>영 보스</t>
  </si>
  <si>
    <t>yeah_ceo</t>
  </si>
  <si>
    <t>예사장</t>
  </si>
  <si>
    <t>민이당웅</t>
  </si>
  <si>
    <t>ddoominism</t>
  </si>
  <si>
    <t>임현서</t>
  </si>
  <si>
    <t>8chocolate27</t>
  </si>
  <si>
    <t>장사건물주 강호동 • 35만 유튜버</t>
  </si>
  <si>
    <t>김아키</t>
  </si>
  <si>
    <t>woodeok.apt</t>
  </si>
  <si>
    <t>우더기네 아파트픽</t>
  </si>
  <si>
    <t>키대리</t>
  </si>
  <si>
    <t>mcqueensflowers.korea</t>
  </si>
  <si>
    <t>맥퀸즈플라워 코리아 / 맥퀸즈 플라워스쿨</t>
  </si>
  <si>
    <t>애니한</t>
  </si>
  <si>
    <t>w0n2.0</t>
  </si>
  <si>
    <t>20대 마지막 도전 | 압구정에 배를 인수하다</t>
  </si>
  <si>
    <t>the.salim.kr</t>
  </si>
  <si>
    <t>살림</t>
  </si>
  <si>
    <t>momon100jo</t>
  </si>
  <si>
    <t>머니몬스터 | 유튜브 수익화 가이더</t>
  </si>
  <si>
    <t>매미녀리브</t>
  </si>
  <si>
    <t>하버드클래스</t>
  </si>
  <si>
    <t>cowarrr</t>
  </si>
  <si>
    <t>코월</t>
  </si>
  <si>
    <t>이현정</t>
  </si>
  <si>
    <t>you.rang.ki</t>
  </si>
  <si>
    <t>유프로</t>
  </si>
  <si>
    <t>_lilyfull</t>
  </si>
  <si>
    <t>릴리 | 요가 • 피트니스 • 웰니스</t>
  </si>
  <si>
    <t>juls_kim</t>
  </si>
  <si>
    <t>김혜진_승슬아맘</t>
  </si>
  <si>
    <t>유튜브형제</t>
  </si>
  <si>
    <t>taestar1000</t>
  </si>
  <si>
    <t>태스타🌟| 콘텐츠 비즈니스 빌더</t>
  </si>
  <si>
    <t>스타트팁</t>
  </si>
  <si>
    <t>하이클래스</t>
  </si>
  <si>
    <t>iris__shorts</t>
  </si>
  <si>
    <t>쇼츠 전문가 아이리스 | 쇼츠 1억 벌기 연구소</t>
  </si>
  <si>
    <t>조은정</t>
  </si>
  <si>
    <t>grimiartdesign</t>
  </si>
  <si>
    <t>그리미아트 (디자인 성공비법, 디자인사업 코칭)</t>
  </si>
  <si>
    <t>서재호</t>
  </si>
  <si>
    <t>ramyloveboo</t>
  </si>
  <si>
    <t>소영처럼</t>
  </si>
  <si>
    <t>easy_design.ed</t>
  </si>
  <si>
    <t>이지디자인.이디|상세페이지 제작 및 강의</t>
  </si>
  <si>
    <t>연주</t>
  </si>
  <si>
    <t>runup.director</t>
  </si>
  <si>
    <t>릴스PD 런디 | 브랜드를 위한 숏폼 콘텐츠 제작</t>
  </si>
  <si>
    <t>프룻밀리언</t>
  </si>
  <si>
    <t>s____haron</t>
  </si>
  <si>
    <t>(주)샤론컴퍼니 대표 김지은 | 모공밤 멀티밤 루티너 파이토신 ‘판매 1위’ | 파메스테틱 &amp; 슈퍼젝션 입점교육🧡</t>
  </si>
  <si>
    <t>배우는윤쇼</t>
  </si>
  <si>
    <t>bellnine59</t>
  </si>
  <si>
    <t>김종구</t>
  </si>
  <si>
    <t>유튜브남매</t>
  </si>
  <si>
    <t>daangn__easy</t>
  </si>
  <si>
    <t>당근이지 | 사업가 | 컨설턴트 | 크리에이터</t>
  </si>
  <si>
    <t>쇼츠아재</t>
  </si>
  <si>
    <t>keunyong.ryu.1</t>
  </si>
  <si>
    <t>용쌤 유근용</t>
  </si>
  <si>
    <t>월억도전</t>
  </si>
  <si>
    <t>sook_sajang</t>
  </si>
  <si>
    <t>10년차 숙박업하는 숙사장 | 숙박업 부동산 리모델링</t>
  </si>
  <si>
    <t>김여름</t>
  </si>
  <si>
    <t>hakkondae.official</t>
  </si>
  <si>
    <t>하꼰대</t>
  </si>
  <si>
    <t>배선국</t>
  </si>
  <si>
    <t>seoyoung.me</t>
  </si>
  <si>
    <t>서영 | 퍼스널브랜딩 · 인스타 · AI</t>
  </si>
  <si>
    <t>유튜브훈련소</t>
  </si>
  <si>
    <t>doheon_1ee</t>
  </si>
  <si>
    <t>Lee Do Heon</t>
  </si>
  <si>
    <t>스텔라리</t>
  </si>
  <si>
    <t>kimhwansu90</t>
  </si>
  <si>
    <t>김환수</t>
  </si>
  <si>
    <t>손혜리</t>
  </si>
  <si>
    <t>lets_yun2</t>
  </si>
  <si>
    <t>전지윤🎀 | SNS 수익화</t>
  </si>
  <si>
    <t>인피디</t>
  </si>
  <si>
    <t>marketing__beauty1</t>
  </si>
  <si>
    <t>마케팅뷰 | SNS로 돈 버는 법 | 그룹 컨설팅</t>
  </si>
  <si>
    <t>타임투쇼츠</t>
  </si>
  <si>
    <t>seize__thetime</t>
  </si>
  <si>
    <t>시즈더타임 | 자기계발•N잡•재테크</t>
  </si>
  <si>
    <t>유믿음</t>
  </si>
  <si>
    <t>lhm86.im</t>
  </si>
  <si>
    <t>현민86</t>
  </si>
  <si>
    <t>오션</t>
  </si>
  <si>
    <t>kwonsajang_official</t>
  </si>
  <si>
    <t>권사장 I 통신업 I 유플러스 영업왕</t>
  </si>
  <si>
    <t>랭커</t>
  </si>
  <si>
    <t>jiwoon0814</t>
  </si>
  <si>
    <t>Mike Ji</t>
  </si>
  <si>
    <t>simjeonga8</t>
  </si>
  <si>
    <t>심정아</t>
  </si>
  <si>
    <t>숏대디</t>
  </si>
  <si>
    <t>finedays_kim</t>
  </si>
  <si>
    <t>I 파인데이즈본점 대표 김광호I</t>
  </si>
  <si>
    <t>러셀</t>
  </si>
  <si>
    <t>ceoyoon0602</t>
  </si>
  <si>
    <t>윤채성</t>
  </si>
  <si>
    <t>디슐랭</t>
  </si>
  <si>
    <t>juhaluv</t>
  </si>
  <si>
    <t>김주하/한국말센스연구소/주하효과</t>
  </si>
  <si>
    <t>최보라</t>
  </si>
  <si>
    <t>fineday___s</t>
  </si>
  <si>
    <t>좋은 기분을 선물하는 문구점 | 파인데이즈</t>
  </si>
  <si>
    <t>쇼츠대폭발</t>
  </si>
  <si>
    <t>kspaexpert_olivia</t>
  </si>
  <si>
    <t>스파고결 𝗦𝗣𝗔 𝗚𝗢𝗚𝗬𝗘𝗢𝗟 | 김한결</t>
  </si>
  <si>
    <t>하대표</t>
  </si>
  <si>
    <t>aesthein_sunyoung</t>
  </si>
  <si>
    <t>에스테틱 전문 브랜드 | 에스테인 대표 이선영</t>
  </si>
  <si>
    <t>도다</t>
  </si>
  <si>
    <t>bk_kimm</t>
  </si>
  <si>
    <t>BK Kim</t>
  </si>
  <si>
    <t>릴리</t>
  </si>
  <si>
    <t>ardoryoung</t>
  </si>
  <si>
    <t>달변가 영쌤</t>
  </si>
  <si>
    <t>머니페이지</t>
  </si>
  <si>
    <t>mokri_house</t>
  </si>
  <si>
    <t>박서은 l 목리집박주부</t>
  </si>
  <si>
    <t>유부녀들</t>
  </si>
  <si>
    <t>s_youan_</t>
  </si>
  <si>
    <t>폰공략</t>
  </si>
  <si>
    <t>gyusik.choi</t>
  </si>
  <si>
    <t>생일파티전문MC | 키즈파티레크레이션 | 방문체육 | 유아체육 마스터 에디샘 🦊</t>
  </si>
  <si>
    <t>NFM</t>
  </si>
  <si>
    <t>donkey.co.kr</t>
  </si>
  <si>
    <t>동키 | 김요셉</t>
  </si>
  <si>
    <t>자생법</t>
  </si>
  <si>
    <t>buildinghyung</t>
  </si>
  <si>
    <t>빌딩형</t>
  </si>
  <si>
    <t>돈버는형님들</t>
  </si>
  <si>
    <t>44you_ng</t>
  </si>
  <si>
    <t>김웅빈 ㅣ광주휴대폰성지ㅣ광주 청년통신</t>
  </si>
  <si>
    <t>내일은편하게</t>
  </si>
  <si>
    <t>ai_leading</t>
  </si>
  <si>
    <t>홍아린 Al 연구원</t>
  </si>
  <si>
    <t>디드메</t>
  </si>
  <si>
    <t>we_grow00</t>
  </si>
  <si>
    <t>위그로 | 쿠팡• 로켓그로스•이커머스•AI자기계발</t>
  </si>
  <si>
    <t>김쿠킹</t>
  </si>
  <si>
    <t>seokjunbro</t>
  </si>
  <si>
    <t>원석준 l 석준이형</t>
  </si>
  <si>
    <t>money__earnest</t>
  </si>
  <si>
    <t>b_bshun</t>
  </si>
  <si>
    <t>BSH</t>
  </si>
  <si>
    <t>miracle__pray</t>
  </si>
  <si>
    <t>Noah</t>
  </si>
  <si>
    <t>밀라코</t>
  </si>
  <si>
    <t>thekey1982</t>
  </si>
  <si>
    <t>김덕기</t>
  </si>
  <si>
    <t>원현우</t>
  </si>
  <si>
    <t>aibushusho</t>
  </si>
  <si>
    <t>AI미큐</t>
  </si>
  <si>
    <t>korea_company_lab</t>
  </si>
  <si>
    <t>자금원컴퍼니ㅣ장대표 •장책자금•자금조달•중소기업•소상공인</t>
  </si>
  <si>
    <t>유세종</t>
  </si>
  <si>
    <t>rma_bear</t>
  </si>
  <si>
    <t>샐러리문 곰돌이</t>
  </si>
  <si>
    <t>깡대표</t>
  </si>
  <si>
    <t>kyurr11</t>
  </si>
  <si>
    <t>무자본사업가, 규리다</t>
  </si>
  <si>
    <t>제로</t>
  </si>
  <si>
    <t>izoa1030</t>
  </si>
  <si>
    <t>Changbong Choi</t>
  </si>
  <si>
    <t>방이나</t>
  </si>
  <si>
    <t>_linklog</t>
  </si>
  <si>
    <t>링크로그 | 연결의 순간을 기록하는 사람</t>
  </si>
  <si>
    <t>김히엉</t>
  </si>
  <si>
    <t>rocky__oh</t>
  </si>
  <si>
    <t>오후록</t>
  </si>
  <si>
    <t>리아</t>
  </si>
  <si>
    <t>careernomad_</t>
  </si>
  <si>
    <t>이희망 (망형)</t>
  </si>
  <si>
    <t>hyenimtv_official</t>
  </si>
  <si>
    <t>안혜빈 | 인스타그램마케팅 AI 행동설계자</t>
  </si>
  <si>
    <t>부비게이터&amp;은진</t>
  </si>
  <si>
    <t>gs_nolbu</t>
  </si>
  <si>
    <t>거상 김놀부</t>
  </si>
  <si>
    <t>cmlee.korea</t>
  </si>
  <si>
    <t>이창민 | 러닝스푼즈</t>
  </si>
  <si>
    <t>shin_jae_sik</t>
  </si>
  <si>
    <t>신재식</t>
  </si>
  <si>
    <t>로고언니</t>
  </si>
  <si>
    <t>dino.the.nomad_official</t>
  </si>
  <si>
    <t>Dino.the.nomad 디노</t>
  </si>
  <si>
    <t>yng___nahyun</t>
  </si>
  <si>
    <t>길나현 센터장</t>
  </si>
  <si>
    <t>영끌남</t>
  </si>
  <si>
    <t>the_taehun</t>
  </si>
  <si>
    <t>김태훈</t>
  </si>
  <si>
    <t>김한솔@윤보령</t>
  </si>
  <si>
    <t>j_only8</t>
  </si>
  <si>
    <t>제이온리 | 숏폼 • 제휴마케팅</t>
  </si>
  <si>
    <t>신민철</t>
  </si>
  <si>
    <t>doklip.d</t>
  </si>
  <si>
    <t>독립 D | 서비스를 설계하는 디자이너</t>
  </si>
  <si>
    <t>richpaca</t>
  </si>
  <si>
    <t>리치파카 강연주ㅣ북스타그램ㅣ자기계발ㅣ미라클모닝</t>
  </si>
  <si>
    <t>달라파파</t>
  </si>
  <si>
    <t>gpt_kimisa</t>
  </si>
  <si>
    <t>내일설계 연구소 | 김이사</t>
  </si>
  <si>
    <t>당근바이블</t>
  </si>
  <si>
    <t>moneypicker_</t>
  </si>
  <si>
    <t>머니피커</t>
  </si>
  <si>
    <t>어비&amp;유훈</t>
  </si>
  <si>
    <t>gotjinju</t>
  </si>
  <si>
    <t>송진주 (갓진주) | AI 덕에 갓생</t>
  </si>
  <si>
    <t>이성재</t>
  </si>
  <si>
    <t>j.eating_busan</t>
  </si>
  <si>
    <t>제이팅🧚🏻‍♀️</t>
  </si>
  <si>
    <t>현우</t>
  </si>
  <si>
    <t>_henryoh</t>
  </si>
  <si>
    <t>헨리 | 디지털노마드 • 온라인사업 🇩🇪</t>
  </si>
  <si>
    <t>real_money_story_</t>
  </si>
  <si>
    <t>머니스토리</t>
  </si>
  <si>
    <t>로아</t>
  </si>
  <si>
    <t>sung.wj</t>
  </si>
  <si>
    <t>WJ</t>
  </si>
  <si>
    <t>빽형</t>
  </si>
  <si>
    <t>shcolife</t>
  </si>
  <si>
    <t>시행착오ㅣ온라인 사업•전세계 구매대행</t>
  </si>
  <si>
    <t>유티처</t>
  </si>
  <si>
    <t>buylowofficial</t>
  </si>
  <si>
    <t>Buylow_official</t>
  </si>
  <si>
    <t>angel_1004s</t>
  </si>
  <si>
    <t>[천사님:하예랑] S커빌 | 디엔젤 대표</t>
  </si>
  <si>
    <t>스토어쭌X숏마마</t>
  </si>
  <si>
    <t>sangwon.ropefree</t>
  </si>
  <si>
    <t>남상원 | AI음원 연금술사</t>
  </si>
  <si>
    <t>돈마마</t>
  </si>
  <si>
    <t>namgh__</t>
  </si>
  <si>
    <t>남규현</t>
  </si>
  <si>
    <t>최대표</t>
  </si>
  <si>
    <t>prods.kr</t>
  </si>
  <si>
    <t>프로디스</t>
  </si>
  <si>
    <t>권하영</t>
  </si>
  <si>
    <t>zooan_n</t>
  </si>
  <si>
    <t>배주안</t>
  </si>
  <si>
    <t>kimtbot</t>
  </si>
  <si>
    <t>김트봇 | 자기계발 • 구매대행</t>
  </si>
  <si>
    <t>tae.na__</t>
  </si>
  <si>
    <t>뭘해도태나</t>
  </si>
  <si>
    <t>임솔비</t>
  </si>
  <si>
    <t>kimbro_ywoo</t>
  </si>
  <si>
    <t>킴브로｜김우민｜KIM WOO MIN</t>
  </si>
  <si>
    <t>제로원</t>
  </si>
  <si>
    <t>youtuber_kimbro</t>
  </si>
  <si>
    <t>유튜버 킴브로 | 김유한</t>
  </si>
  <si>
    <t>구타바리</t>
  </si>
  <si>
    <t>won_teamheo</t>
  </si>
  <si>
    <t>원빌딩 허팀장</t>
  </si>
  <si>
    <t>대천명</t>
  </si>
  <si>
    <t>moneyup.class</t>
  </si>
  <si>
    <t>머니업클래스</t>
  </si>
  <si>
    <t>보부상</t>
  </si>
  <si>
    <t>jun_ingu</t>
  </si>
  <si>
    <t>전인구</t>
  </si>
  <si>
    <t>company_surviver</t>
  </si>
  <si>
    <t>슬기로운 인턴생활</t>
  </si>
  <si>
    <t>유손자</t>
  </si>
  <si>
    <t>mo_2222211111</t>
  </si>
  <si>
    <t>므므므므</t>
  </si>
  <si>
    <t>설아</t>
  </si>
  <si>
    <t>bomde_art</t>
  </si>
  <si>
    <t>봄디 | 인스타툰 미술강사 브랜딩</t>
  </si>
  <si>
    <t>blabla_lizzypark</t>
  </si>
  <si>
    <t>블라블라 리지팍 | 릴스ㆍ 인스타ㆍ숏폼ㆍ퍼스널브랜딩</t>
  </si>
  <si>
    <t>이선생</t>
  </si>
  <si>
    <t>paristo_</t>
  </si>
  <si>
    <t>park hyungwoo</t>
  </si>
  <si>
    <t>제이그릿</t>
  </si>
  <si>
    <t>min_depyo02</t>
  </si>
  <si>
    <t>민대표 서정민 | 온라인 의류 쇼핑몰 no.1</t>
  </si>
  <si>
    <t>애삼이</t>
  </si>
  <si>
    <t>bu._.haru</t>
  </si>
  <si>
    <t>부하루 | 자영업마케팅•예산컨설팅</t>
  </si>
  <si>
    <t>jojojojokjang</t>
  </si>
  <si>
    <t>족장 | 15년차 부동산 투자자</t>
  </si>
  <si>
    <t>농부라더스</t>
  </si>
  <si>
    <t>ceo_kang.s</t>
  </si>
  <si>
    <t>송대표 | 비즈니스 • 지원금 • 재테크</t>
  </si>
  <si>
    <t>hankookbiz777</t>
  </si>
  <si>
    <t>한국정책자금연구소 | 중소기업+소상공인 | 한국비즈플랜 파트너</t>
  </si>
  <si>
    <t>elanbiz174</t>
  </si>
  <si>
    <t>정책자금 전략 컨설턴트 한예진</t>
  </si>
  <si>
    <t>thor.jk</t>
  </si>
  <si>
    <t>임준경</t>
  </si>
  <si>
    <t>c_town333</t>
  </si>
  <si>
    <t>양지삼 / 전직 식당알바생</t>
  </si>
  <si>
    <t>richworld_buse</t>
  </si>
  <si>
    <t>부자되는세상(공윤경)</t>
  </si>
  <si>
    <t>루카스</t>
  </si>
  <si>
    <t>zero_g_thousand</t>
  </si>
  <si>
    <t>영근</t>
  </si>
  <si>
    <t>hack_the_reels</t>
  </si>
  <si>
    <t>hahahahauk</t>
  </si>
  <si>
    <t>나선욱</t>
  </si>
  <si>
    <t>에어</t>
  </si>
  <si>
    <t>pa_partners1</t>
  </si>
  <si>
    <t>정책자금해결사 최대표 | 자금해결사 정책부동산 머니푸는남자 피에이파트너스 제조업 중소기업 소상공인 전문가</t>
  </si>
  <si>
    <t>mk_moneytip</t>
  </si>
  <si>
    <t>민팀장 | 자기계발 • 사업가 • 마인드셋</t>
  </si>
  <si>
    <t>donghyun_0126</t>
  </si>
  <si>
    <t>김동현</t>
  </si>
  <si>
    <t>지온서</t>
  </si>
  <si>
    <t>cojooboo_school</t>
  </si>
  <si>
    <t>츄르값버는냥이</t>
  </si>
  <si>
    <t>에스더</t>
  </si>
  <si>
    <t>hyenii_days</t>
  </si>
  <si>
    <t>셀러퀸즈 혜니ෆ</t>
  </si>
  <si>
    <t>_jayroad</t>
  </si>
  <si>
    <t>제이로드 | 숏폼 퍼널 설계자</t>
  </si>
  <si>
    <t>canbus_b</t>
  </si>
  <si>
    <t>캔버스 | 인스타그램 · 릴스 · 마케팅 · 퍼스널브랜딩</t>
  </si>
  <si>
    <t>kodministry</t>
  </si>
  <si>
    <t>다윗의열쇠(Key of david)</t>
  </si>
  <si>
    <t>_charmingseul_</t>
  </si>
  <si>
    <t>차밍슬 | 공간대여 * 자기계발</t>
  </si>
  <si>
    <t>월세여왕리나쌤</t>
  </si>
  <si>
    <t>gogo_chachacha</t>
  </si>
  <si>
    <t>고예찬 | Ye chan</t>
  </si>
  <si>
    <t>아임해피</t>
  </si>
  <si>
    <t>choihangbu</t>
  </si>
  <si>
    <t>최보연 | 최행부 사업•미국주식•부동산</t>
  </si>
  <si>
    <t>셀콘</t>
  </si>
  <si>
    <t>grit_pick</t>
  </si>
  <si>
    <t>그릿💎 | 해외구매대행 | 샤오홍슈 | 중국SNS 왕홍</t>
  </si>
  <si>
    <t>ai_kim7</t>
  </si>
  <si>
    <t>최수빈&amp;김준서</t>
  </si>
  <si>
    <t>ai.yeongseon</t>
  </si>
  <si>
    <t>신영선의 ai탐구</t>
  </si>
  <si>
    <t>엘린</t>
  </si>
  <si>
    <t>inyeonhair</t>
  </si>
  <si>
    <t>동네미용사 이대표</t>
  </si>
  <si>
    <t>쇼츠반장&amp;쩡쌤</t>
  </si>
  <si>
    <t>big_money_woman</t>
  </si>
  <si>
    <t>큰돈만지는여자</t>
  </si>
  <si>
    <t>와일드</t>
  </si>
  <si>
    <t>naddangs</t>
  </si>
  <si>
    <t>나땅 이소라</t>
  </si>
  <si>
    <t>business_personal_trainer</t>
  </si>
  <si>
    <t>돈 벌게 해주는 비즈니스 P.T.쌤</t>
  </si>
  <si>
    <t>라옴</t>
  </si>
  <si>
    <t>two_job_boy</t>
  </si>
  <si>
    <t>부업소년</t>
  </si>
  <si>
    <t>하지혜</t>
  </si>
  <si>
    <t>all_about_crazy_money</t>
  </si>
  <si>
    <t>돈미사(돈에 미친 사람들)</t>
  </si>
  <si>
    <t>wefind_yoojoo</t>
  </si>
  <si>
    <t>정유주</t>
  </si>
  <si>
    <t>백억상사</t>
  </si>
  <si>
    <t>howtosuca</t>
  </si>
  <si>
    <t>자본주의에서생존하는방법ㅣ유튜브 코치</t>
  </si>
  <si>
    <t>박준휘</t>
  </si>
  <si>
    <t>hwanghansol__</t>
  </si>
  <si>
    <t>황한솔 교수 | 경영, AI</t>
  </si>
  <si>
    <t>송대표</t>
  </si>
  <si>
    <t>iamsazangnim</t>
  </si>
  <si>
    <t>나는 사장님 - 성공, 실패, 도전, 열정 스토리</t>
  </si>
  <si>
    <t>훈기자</t>
  </si>
  <si>
    <t>chanchani____</t>
  </si>
  <si>
    <t>찬차니 | FACE EDU 대표 • 중하위권 성적 향상 전문</t>
  </si>
  <si>
    <t>lucasecomsale</t>
  </si>
  <si>
    <t>김 태 영</t>
  </si>
  <si>
    <t>jikdal_official</t>
  </si>
  <si>
    <t>직업의달인</t>
  </si>
  <si>
    <t>쭌이덕</t>
  </si>
  <si>
    <t>korea2030_p</t>
  </si>
  <si>
    <t>코리아2030</t>
  </si>
  <si>
    <t>온루트</t>
  </si>
  <si>
    <t>wonder_h7</t>
  </si>
  <si>
    <t>원더휴먼</t>
  </si>
  <si>
    <t>팡지</t>
  </si>
  <si>
    <t>exitcompany_</t>
  </si>
  <si>
    <t>탈직장인</t>
  </si>
  <si>
    <t>rerbcz</t>
  </si>
  <si>
    <t>김단장</t>
  </si>
  <si>
    <t>쿠브남</t>
  </si>
  <si>
    <t>suhosaup</t>
  </si>
  <si>
    <t>aj_develop</t>
  </si>
  <si>
    <t>anderson</t>
  </si>
  <si>
    <t>장원준</t>
  </si>
  <si>
    <t>s_die92</t>
  </si>
  <si>
    <t>세상의 다양한 이야기</t>
  </si>
  <si>
    <t>월억남</t>
  </si>
  <si>
    <t>livingcreat.or</t>
  </si>
  <si>
    <t>리빙크리에이터</t>
  </si>
  <si>
    <t>떵이자까</t>
  </si>
  <si>
    <t>dream_tree_100</t>
  </si>
  <si>
    <t>꿈나무 | 부동산 • 경매 • 주식</t>
  </si>
  <si>
    <t>신지원</t>
  </si>
  <si>
    <t>bu._.tory</t>
  </si>
  <si>
    <t>부토리ㅣ부동산 내집마련 • 재테크 멘토</t>
  </si>
  <si>
    <t>어비</t>
  </si>
  <si>
    <t>upplan0413</t>
  </si>
  <si>
    <t>애찌✨ | 재테크툰 | 성장하는 어른이</t>
  </si>
  <si>
    <t>유교관</t>
  </si>
  <si>
    <t>ranker_12</t>
  </si>
  <si>
    <t>bangbang_tech</t>
  </si>
  <si>
    <t>방방테크 l 부동산 경매, 신탁공매 9년차 실전투자자</t>
  </si>
  <si>
    <t>nyam.nani</t>
  </si>
  <si>
    <t>창원맛집 🌸냠나니🌸 (+김해맛집,부산맛집)</t>
  </si>
  <si>
    <t>ghks3400</t>
  </si>
  <si>
    <t>빌딩온부동산중개 김주환 대표</t>
  </si>
  <si>
    <t>ceo_ldh</t>
  </si>
  <si>
    <t>이동호 | LI파트너스</t>
  </si>
  <si>
    <t>쇼크트리 훈프로</t>
  </si>
  <si>
    <t>countryside.mouse</t>
  </si>
  <si>
    <t>시골쥐🐹 | 시골쥐의 도시생활</t>
  </si>
  <si>
    <t>joongdi</t>
  </si>
  <si>
    <t>김성중</t>
  </si>
  <si>
    <t>chan_dori_2001</t>
  </si>
  <si>
    <t>20대 사업가 찬도리의 철학 / 동기부여 / 인사이트</t>
  </si>
  <si>
    <t>chuldu_backho</t>
  </si>
  <si>
    <t>두피문신 / 강남두피문신 / 청담두피문신 / 두피문신수강 / 출두SMP 청담본점 백호 / 출두 대표 백건휘</t>
  </si>
  <si>
    <t>엠제이</t>
  </si>
  <si>
    <t>joyful_sara</t>
  </si>
  <si>
    <t>이현정 | 18년 부동산 경매 전문가</t>
  </si>
  <si>
    <t>mary______queen</t>
  </si>
  <si>
    <t>메리아빈 | 의류쇼핑몰컨설팅,룩북촬영,촬영대행</t>
  </si>
  <si>
    <t>jang_hyoung_hee</t>
  </si>
  <si>
    <t>장형희</t>
  </si>
  <si>
    <t>parksang.87</t>
  </si>
  <si>
    <t>박대표 | 세일즈 • 비즈니스 • 자기계발</t>
  </si>
  <si>
    <t>서촌의꿈</t>
  </si>
  <si>
    <t>burning_curve</t>
  </si>
  <si>
    <t>버닝커브 마케팅 에이전시</t>
  </si>
  <si>
    <t>buhakdang</t>
  </si>
  <si>
    <t>김해준 | N잡 • AI • 마케팅</t>
  </si>
  <si>
    <t>apt_minam</t>
  </si>
  <si>
    <t>아미남 | 아파트에 미친 남자</t>
  </si>
  <si>
    <t>김한솔</t>
  </si>
  <si>
    <t>startanything_</t>
  </si>
  <si>
    <t>스타트애니띵 / 도전하는 무자본창업가</t>
  </si>
  <si>
    <t>minyoung_aori</t>
  </si>
  <si>
    <t>김민영🌸아옳이</t>
  </si>
  <si>
    <t>hajunmom_daily</t>
  </si>
  <si>
    <t>하준맘 또는 미안이라고 불러주세요</t>
  </si>
  <si>
    <t>sajjiknam</t>
  </si>
  <si>
    <t>사찍남 | 성장하는 사람</t>
  </si>
  <si>
    <t>0.ggul.nam</t>
  </si>
  <si>
    <t>ceramis_studio</t>
  </si>
  <si>
    <t>booktalk_official</t>
  </si>
  <si>
    <t>이찬양(북토크)</t>
  </si>
  <si>
    <t>세모지</t>
  </si>
  <si>
    <t>hyo_xxn</t>
  </si>
  <si>
    <t>이 효진</t>
  </si>
  <si>
    <t>다빛</t>
  </si>
  <si>
    <t>maedonam</t>
  </si>
  <si>
    <t>빌딩온중개법인/ 윤원재 팀장/ 📚유튜브:매도남TV [빌딩 디벨롭ㆍ꼬마빌딩 전문]</t>
  </si>
  <si>
    <t>머니캡틴</t>
  </si>
  <si>
    <t>im.seo.hyun</t>
  </si>
  <si>
    <t>유일서현 (임서현)</t>
  </si>
  <si>
    <t>영스타</t>
  </si>
  <si>
    <t>_honeybong</t>
  </si>
  <si>
    <t>victor</t>
  </si>
  <si>
    <t>no_easy_world</t>
  </si>
  <si>
    <t>자본주의 그림쟁이 뱀비</t>
  </si>
  <si>
    <t>철거왕</t>
  </si>
  <si>
    <t>0starrrr</t>
  </si>
  <si>
    <t>영스타ㅣ영진 🍒</t>
  </si>
  <si>
    <t>파파준스&amp;동키</t>
  </si>
  <si>
    <t>chaelee_fit</t>
  </si>
  <si>
    <t>채리언니 🍒</t>
  </si>
  <si>
    <t>__brow.dan__</t>
  </si>
  <si>
    <t>목동눈썹문신 목동두피문신 헤어라인 smp 탈모전문 브로우,단</t>
  </si>
  <si>
    <t>justgo_kms</t>
  </si>
  <si>
    <t>저스트고 공동구매 NO.1</t>
  </si>
  <si>
    <t>조이</t>
  </si>
  <si>
    <t>_yurimage</t>
  </si>
  <si>
    <t>유리마제 | 재밌게 돈벌기 달인</t>
  </si>
  <si>
    <t>김동훈</t>
  </si>
  <si>
    <t>positiverich_organic</t>
  </si>
  <si>
    <t>선한부자 오가닉 | 온라인자동화수익 부업 애드센스</t>
  </si>
  <si>
    <t>nolbu_busan</t>
  </si>
  <si>
    <t>놀부와 부산식구들</t>
  </si>
  <si>
    <t>이한별</t>
  </si>
  <si>
    <t>ai.devman</t>
  </si>
  <si>
    <t>김인섭 | 데브남 AI 자동화</t>
  </si>
  <si>
    <t>스토어쭌&amp;숏마마</t>
  </si>
  <si>
    <t>propertypartners.official</t>
  </si>
  <si>
    <t>프라퍼티 파트너스</t>
  </si>
  <si>
    <t>픽엔터</t>
  </si>
  <si>
    <t>building_unni</t>
  </si>
  <si>
    <t>빌딩언니 변혜인</t>
  </si>
  <si>
    <t>전주</t>
  </si>
  <si>
    <t>itaewon__class</t>
  </si>
  <si>
    <t>Taewon Ryan Lee</t>
  </si>
  <si>
    <t>가나수</t>
  </si>
  <si>
    <t>ccio_._</t>
  </si>
  <si>
    <t>씨오(ccio) | 🇨🇳중국사입 1% 비밀전략</t>
  </si>
  <si>
    <t>ksy0724</t>
  </si>
  <si>
    <t>김수영 대표 (수영쌤) | 부투스쿨</t>
  </si>
  <si>
    <t>moon_dongsan</t>
  </si>
  <si>
    <t>문동산</t>
  </si>
  <si>
    <t>mga_jjb</t>
  </si>
  <si>
    <t>elplanc_health</t>
  </si>
  <si>
    <t>엘플랑 | 건강 회복습관 큐레이터 | 청춘리셋 | 남양화</t>
  </si>
  <si>
    <t>애드킹</t>
  </si>
  <si>
    <t>jeong_mentor</t>
  </si>
  <si>
    <t>정T</t>
  </si>
  <si>
    <t>honey_j_zetech</t>
  </si>
  <si>
    <t>허니제이 ㅣ 재테크 설계자 👑</t>
  </si>
  <si>
    <t>mapilnyeo</t>
  </si>
  <si>
    <t>매필녀 | 챗GPT 자동화 개발</t>
  </si>
  <si>
    <t>hajung_lee__</t>
  </si>
  <si>
    <t>이하정 | 방송인</t>
  </si>
  <si>
    <t>깨비</t>
  </si>
  <si>
    <t>austin_pioneer</t>
  </si>
  <si>
    <t>Austin</t>
  </si>
  <si>
    <t>효연</t>
  </si>
  <si>
    <t>dino.the.nomad</t>
  </si>
  <si>
    <t>온쓸이</t>
  </si>
  <si>
    <t>dartpic_com</t>
  </si>
  <si>
    <t>Dartpic</t>
  </si>
  <si>
    <t>iamhappydot</t>
  </si>
  <si>
    <t>아임해피공인중개사 대표 정지영 | 부동산. 경제인플루언서</t>
  </si>
  <si>
    <t>돈슐랭</t>
  </si>
  <si>
    <t>mvm_shin</t>
  </si>
  <si>
    <t>신혁</t>
  </si>
  <si>
    <t>돈대장</t>
  </si>
  <si>
    <t>revivir_hair</t>
  </si>
  <si>
    <t>🩷함예미 | 손상모 열펌•두피자극 없는 염색•두피 모발 개선 전문| 압구정 레비비르🩷</t>
  </si>
  <si>
    <t>picturebook.agit</t>
  </si>
  <si>
    <t>픽처북아지트 | 온라인 영어도서관 리딩해빗 클래스</t>
  </si>
  <si>
    <t>김성진</t>
  </si>
  <si>
    <t>02_tving</t>
  </si>
  <si>
    <t>공이티빙 • 02_𝘵𝘷𝘪𝘯𝘨</t>
  </si>
  <si>
    <t>토리맘</t>
  </si>
  <si>
    <t>sell.farm</t>
  </si>
  <si>
    <t>셀팜 • 노병곤 | 부업인사이트</t>
  </si>
  <si>
    <t>박기만</t>
  </si>
  <si>
    <t>bi_and_na</t>
  </si>
  <si>
    <t>비나🦋｜국내•해외 숙소 여행인플루언서✈️</t>
  </si>
  <si>
    <t>콘텐츠 농부</t>
  </si>
  <si>
    <t>jachung__</t>
  </si>
  <si>
    <t>자청 송명진</t>
  </si>
  <si>
    <t>miracle_we_</t>
  </si>
  <si>
    <t>미라클위 | 교육 | 육아일기</t>
  </si>
  <si>
    <t>빌딩진영쌤</t>
  </si>
  <si>
    <t>fitchnic_</t>
  </si>
  <si>
    <t>핏크닉 선릉점</t>
  </si>
  <si>
    <t>jangsabuilding</t>
  </si>
  <si>
    <t>장사는 건물주다(장건)</t>
  </si>
  <si>
    <t>클라우드봉봉</t>
  </si>
  <si>
    <t>bmoc79</t>
  </si>
  <si>
    <t>김성규</t>
  </si>
  <si>
    <t>해담</t>
  </si>
  <si>
    <t>xexymix_issue</t>
  </si>
  <si>
    <t>이수연</t>
  </si>
  <si>
    <t>park.seonghye</t>
  </si>
  <si>
    <t>훨훨 박성혜</t>
  </si>
  <si>
    <t>kwon__haru</t>
  </si>
  <si>
    <t>권민주 | 12년째 애들이랑 지지고 볶는 중</t>
  </si>
  <si>
    <t>spatheel</t>
  </si>
  <si>
    <t>이미나</t>
  </si>
  <si>
    <t>bangjongim</t>
  </si>
  <si>
    <t>방종임</t>
  </si>
  <si>
    <t>hajung__lee__</t>
  </si>
  <si>
    <t>방송인 이하정</t>
  </si>
  <si>
    <t>매필녀</t>
  </si>
  <si>
    <t>sojin_gang</t>
  </si>
  <si>
    <t>강소진</t>
  </si>
  <si>
    <t>잘팔선생</t>
  </si>
  <si>
    <t>golden_developer</t>
  </si>
  <si>
    <t>집짓는성북동언니 | 금빛나</t>
  </si>
  <si>
    <t>shin_dj</t>
  </si>
  <si>
    <t>신다정 Shin DaJung</t>
  </si>
  <si>
    <t>eunbinessed</t>
  </si>
  <si>
    <t>Eunbin Moon</t>
  </si>
  <si>
    <t>최수빈</t>
  </si>
  <si>
    <t>passionkey</t>
  </si>
  <si>
    <t>(주)프로디스 임기홍</t>
  </si>
  <si>
    <t>yeom_misol</t>
  </si>
  <si>
    <t>염미솔</t>
  </si>
  <si>
    <t>ae_0315</t>
  </si>
  <si>
    <t>김지애</t>
  </si>
  <si>
    <t>수혁임당</t>
  </si>
  <si>
    <t>jinlee_1009</t>
  </si>
  <si>
    <t>Jin</t>
  </si>
  <si>
    <t>christian_hsw</t>
  </si>
  <si>
    <t>현승원</t>
  </si>
  <si>
    <t>효정</t>
  </si>
  <si>
    <t>taehee_oa</t>
  </si>
  <si>
    <t>안태희</t>
  </si>
  <si>
    <t>리얼노말</t>
  </si>
  <si>
    <t>success.pattern</t>
  </si>
  <si>
    <t>성공패턴 | 자기계발 • 동기부여 • 성공 코치</t>
  </si>
  <si>
    <t>onmulju</t>
  </si>
  <si>
    <t>온물주 | 온라인 실전 셀러 • 현실 기준 &amp; 실행</t>
  </si>
  <si>
    <t>최창원</t>
  </si>
  <si>
    <t>ekke.now</t>
  </si>
  <si>
    <t>경제&amp;라이프스타일 매거진 | 에크케</t>
  </si>
  <si>
    <t>apt.rashu</t>
  </si>
  <si>
    <t>아파트라슈 I 부동산 임장하는 강아지</t>
  </si>
  <si>
    <t>숙사장</t>
  </si>
  <si>
    <t>feel.goni</t>
  </si>
  <si>
    <t>김필곤</t>
  </si>
  <si>
    <t>ks_challenger</t>
  </si>
  <si>
    <t>윤기웅 | KS오토플랜 CEO</t>
  </si>
  <si>
    <t>cashbro_official</t>
  </si>
  <si>
    <t>돈버는형님들 | 정윤진</t>
  </si>
  <si>
    <t>chairman_ys</t>
  </si>
  <si>
    <t>황영선 (F&amp;B CEO) | 외식업의 모든것을 합니다.</t>
  </si>
  <si>
    <t>5days1130pm</t>
  </si>
  <si>
    <t>주5일 오후 11:30만 기다리는 애</t>
  </si>
  <si>
    <t>lv.1228</t>
  </si>
  <si>
    <t>호재</t>
  </si>
  <si>
    <t>jinjongoh_official</t>
  </si>
  <si>
    <t>진종오</t>
  </si>
  <si>
    <t>파타이준</t>
  </si>
  <si>
    <t>luckyboy.0721</t>
  </si>
  <si>
    <t>럭키보이 •디지털 노마드 • 온라인 사업</t>
  </si>
  <si>
    <t>carrot_budongsan</t>
  </si>
  <si>
    <t>당근자판기 김진옥 | 투자와 사업 이야기</t>
  </si>
  <si>
    <t>쇼디</t>
  </si>
  <si>
    <t>yeons.a.life</t>
  </si>
  <si>
    <t>연대리 ㅣ 부동산 투자자 ㅣ 아파트 24채 매수 9채 매도</t>
  </si>
  <si>
    <t>석현주</t>
  </si>
  <si>
    <t>_jo_mother</t>
  </si>
  <si>
    <t>조마더 ㅣ 경매ㆍ공매 부동산 투자하고 14살12살 키우는 엄마</t>
  </si>
  <si>
    <t>boovigator</t>
  </si>
  <si>
    <t>부비게이터 | 부동산 경매 전문 투자자</t>
  </si>
  <si>
    <t>kairos7505</t>
  </si>
  <si>
    <t>카이로스곽</t>
  </si>
  <si>
    <t>booggum</t>
  </si>
  <si>
    <t>여성수</t>
  </si>
  <si>
    <t>sinsaimdang.official</t>
  </si>
  <si>
    <t>주언규</t>
  </si>
  <si>
    <t>ks_corebm</t>
  </si>
  <si>
    <t>이성훈 | KSAutoplan</t>
  </si>
  <si>
    <t>dbl_studio8</t>
  </si>
  <si>
    <t>온라인 판매의 모든것 | 돈블링 김동훈</t>
  </si>
  <si>
    <t>hypeboy_jh</t>
  </si>
  <si>
    <t>이준혁</t>
  </si>
  <si>
    <t>redtieceo</t>
  </si>
  <si>
    <t>Seung Hwan Richard Jung</t>
  </si>
  <si>
    <t>삼팔광땡&amp;장땡</t>
  </si>
  <si>
    <t>bigbadboii</t>
  </si>
  <si>
    <t>용준형</t>
  </si>
  <si>
    <t>songhyoyi</t>
  </si>
  <si>
    <t>송효이 songhyooii</t>
  </si>
  <si>
    <t>hyunah_aa</t>
  </si>
  <si>
    <t>Hyuna Kim</t>
  </si>
  <si>
    <t>ddeum_meal</t>
  </si>
  <si>
    <t>뜸들이다_건강한 한끼</t>
  </si>
  <si>
    <t>gobuki_teacher86</t>
  </si>
  <si>
    <t>거투</t>
  </si>
  <si>
    <t>jae_9gu</t>
  </si>
  <si>
    <t>한재구/알렌스</t>
  </si>
  <si>
    <t>지호</t>
  </si>
  <si>
    <t>a_littlesuccess</t>
  </si>
  <si>
    <t>작은성공 l 쿠팡•오픈마켓 온라인 셀러</t>
  </si>
  <si>
    <t>money_tank__</t>
  </si>
  <si>
    <t>머니탱크ㅣ돈을 가져다주는 탱크</t>
  </si>
  <si>
    <t>진대표</t>
  </si>
  <si>
    <t>fitchnic_class</t>
  </si>
  <si>
    <t>danbi_grapher</t>
  </si>
  <si>
    <t>단비그래퍼 | 웹사이트·홈페이지형 블로그</t>
  </si>
  <si>
    <t>minwhitebear</t>
  </si>
  <si>
    <t>민백곰 I 저비용 고효율 광고전략가</t>
  </si>
  <si>
    <t>김해준</t>
  </si>
  <si>
    <t>jabee_ssaem</t>
  </si>
  <si>
    <t>자비쌤 | 현 서울 초등교사 13년 | EBS 영어 강사 | 교육부 지원단</t>
  </si>
  <si>
    <t>조성태</t>
  </si>
  <si>
    <t>hot___j</t>
  </si>
  <si>
    <t>CEO 핫제이</t>
  </si>
  <si>
    <t>잰수성가</t>
  </si>
  <si>
    <t>catchcash_korea_</t>
  </si>
  <si>
    <t>캐치캐시 대한민국</t>
  </si>
  <si>
    <t>어비&amp;유튜브훈련소</t>
  </si>
  <si>
    <t>aaa__jh95</t>
  </si>
  <si>
    <t>안재황</t>
  </si>
  <si>
    <t>온쓸이&amp;최프로</t>
  </si>
  <si>
    <t>gold_pepper_</t>
  </si>
  <si>
    <t>황금후추 남택수</t>
  </si>
  <si>
    <t>chanyoung_59</t>
  </si>
  <si>
    <t>정찬영</t>
  </si>
  <si>
    <t>mnkorea</t>
  </si>
  <si>
    <t>MN 홀딩스</t>
  </si>
  <si>
    <t>향기</t>
  </si>
  <si>
    <t>el_beautybio</t>
  </si>
  <si>
    <t>Kang chae ah</t>
  </si>
  <si>
    <t>blick.day1</t>
  </si>
  <si>
    <t>팔로워 3명에게 1000만원씩 드림 | 정상엽</t>
  </si>
  <si>
    <t>livingfairy_7_chun</t>
  </si>
  <si>
    <t>강칠춘</t>
  </si>
  <si>
    <t>hoyhoyoung</t>
  </si>
  <si>
    <t>김호영 HOY</t>
  </si>
  <si>
    <t>코너</t>
  </si>
  <si>
    <t>parkrjs_</t>
  </si>
  <si>
    <t>박건</t>
  </si>
  <si>
    <t>9pd_studio</t>
  </si>
  <si>
    <t>구피디 | 사업하는 철학자</t>
  </si>
  <si>
    <t>김진국</t>
  </si>
  <si>
    <t>coming.sson</t>
  </si>
  <si>
    <t>커밍쏜 | 유튜브 퍼스널브랜딩</t>
  </si>
  <si>
    <t>kimteamjang__</t>
  </si>
  <si>
    <t>김경은 | 김팀장</t>
  </si>
  <si>
    <t>online_marketer_wj</t>
  </si>
  <si>
    <t>네이버 플레이스 마케팅 I 마코장 장원준</t>
  </si>
  <si>
    <t>동경</t>
  </si>
  <si>
    <t>luvme.gyeom</t>
  </si>
  <si>
    <t>러브미겸 | 패션창업코치</t>
  </si>
  <si>
    <t>salimnam_</t>
  </si>
  <si>
    <t>살림남</t>
  </si>
  <si>
    <t>tipstagram2023</t>
  </si>
  <si>
    <t>인스타그램코치 I 팁스타그램 염호근</t>
  </si>
  <si>
    <t>디유</t>
  </si>
  <si>
    <t>palette.hyein</t>
  </si>
  <si>
    <t>김혜인 | 프리랜서 메이커 🧚‍♀️🎮</t>
  </si>
  <si>
    <t>유벤져스</t>
  </si>
  <si>
    <t>billionman10</t>
  </si>
  <si>
    <t>백억남</t>
  </si>
  <si>
    <t>혜원</t>
  </si>
  <si>
    <t>isanghanmarketing_academy</t>
  </si>
  <si>
    <t>이상한마케팅아카데미 | 온라인마케팅 &amp; SNS마케팅 교육</t>
  </si>
  <si>
    <t>조현진</t>
  </si>
  <si>
    <t>nomadyoon</t>
  </si>
  <si>
    <t>ad_dictor</t>
  </si>
  <si>
    <t>쉽게보는 마케팅 뉴스 에딕</t>
  </si>
  <si>
    <t>marketing.bookmark</t>
  </si>
  <si>
    <t>마케팅 북마크 | 브랜드 디렉터 • 마케터</t>
  </si>
  <si>
    <t>최행부</t>
  </si>
  <si>
    <t>calix.son</t>
  </si>
  <si>
    <t>AI•테크 | 칼릭스 (Calix)</t>
  </si>
  <si>
    <t>탄광</t>
  </si>
  <si>
    <t>brandyaction_j</t>
  </si>
  <si>
    <t>제이 | 브랜디액션 | ACTION</t>
  </si>
  <si>
    <t>choi_captain_good</t>
  </si>
  <si>
    <t>최선장.건물주.방법.알려준다</t>
  </si>
  <si>
    <t>원카&amp;타이탄철물점</t>
  </si>
  <si>
    <t>0_ggul_nam</t>
  </si>
  <si>
    <t>koo.hjj</t>
  </si>
  <si>
    <t>국대교정</t>
  </si>
  <si>
    <t>sanghwa_noel</t>
  </si>
  <si>
    <t>Sang-hwa Noel Lee</t>
  </si>
  <si>
    <t>백대표</t>
  </si>
  <si>
    <t>junojunggg_abl</t>
  </si>
  <si>
    <t>주노정</t>
  </si>
  <si>
    <t>kljcompany_ceo</t>
  </si>
  <si>
    <t>hochul lee</t>
  </si>
  <si>
    <t>안진영</t>
  </si>
  <si>
    <t>cta_sh</t>
  </si>
  <si>
    <t>김세환</t>
  </si>
  <si>
    <t>_mmseok</t>
  </si>
  <si>
    <t>김민석</t>
  </si>
  <si>
    <t>_stonegold</t>
  </si>
  <si>
    <t>온양석산</t>
  </si>
  <si>
    <t>damagochii_</t>
  </si>
  <si>
    <t>창업다마고치</t>
  </si>
  <si>
    <t>강혁</t>
  </si>
  <si>
    <t>gymofwrestler_official</t>
  </si>
  <si>
    <t>짐오브레슬러</t>
  </si>
  <si>
    <t>hansukjoon</t>
  </si>
  <si>
    <t>한석준 아나운서 | 말하기 • 인간관계</t>
  </si>
  <si>
    <t>mincompany_international</t>
  </si>
  <si>
    <t>민컴퍼니인터내셔널 | 블로그 • 플레이스 • 마케팅</t>
  </si>
  <si>
    <t>일스카</t>
  </si>
  <si>
    <t>marketer_suho</t>
  </si>
  <si>
    <t>마케터 수호 | 마케팅 • 브랜딩 • 글쓰기</t>
  </si>
  <si>
    <t>토리맘&amp;쇼츠아재</t>
  </si>
  <si>
    <t>wooooong_di</t>
  </si>
  <si>
    <t>곽은지 | 알보커피바</t>
  </si>
  <si>
    <t>gnsunbae</t>
  </si>
  <si>
    <t>강남선배 웰투두</t>
  </si>
  <si>
    <t>jung_jihyun83</t>
  </si>
  <si>
    <t>정지현</t>
  </si>
  <si>
    <t>김창수</t>
  </si>
  <si>
    <t>odk_coach</t>
  </si>
  <si>
    <t>🇰🇷Oh Dae Keun 🏑KOREA.HOCKEY🏑</t>
  </si>
  <si>
    <t>haenique</t>
  </si>
  <si>
    <t>이해인 | 해니크</t>
  </si>
  <si>
    <t>bm_hanbin</t>
  </si>
  <si>
    <t>고한빈</t>
  </si>
  <si>
    <t>나민씨</t>
  </si>
  <si>
    <t>challenge_dojun</t>
  </si>
  <si>
    <t>woonnz</t>
  </si>
  <si>
    <t>bobusang.official</t>
  </si>
  <si>
    <t>건강식품 보부상ㅣ백두현</t>
  </si>
  <si>
    <t>z_oonon</t>
  </si>
  <si>
    <t>_ansaeroi</t>
  </si>
  <si>
    <t>안새로이 [안성환]</t>
  </si>
  <si>
    <t>business_hwan</t>
  </si>
  <si>
    <t>환사장</t>
  </si>
  <si>
    <t>junojunggg</t>
  </si>
  <si>
    <t>정준호</t>
  </si>
  <si>
    <t>moongrin__</t>
  </si>
  <si>
    <t>문초록 | 세무사</t>
  </si>
  <si>
    <t>_profiler</t>
  </si>
  <si>
    <t>김민성 | 브랜딩 • 세일즈 스킬</t>
  </si>
  <si>
    <t>riswell_y</t>
  </si>
  <si>
    <t>이정연 | (주)이루밍 대표 · 공간전략가</t>
  </si>
  <si>
    <t>장우진</t>
  </si>
  <si>
    <t>geongik</t>
  </si>
  <si>
    <t>익이</t>
  </si>
  <si>
    <t>__noyou</t>
  </si>
  <si>
    <t>노유진 159.999cm</t>
  </si>
  <si>
    <t>uie__uie</t>
  </si>
  <si>
    <t>붙임머리 강남붙임머리 큐피살롱 유이 / 붙임머리수강 붙임머리레이어드컷 탈색염색</t>
  </si>
  <si>
    <t>안정필</t>
  </si>
  <si>
    <t>j._.joohyun</t>
  </si>
  <si>
    <t>제이바비 제이주현 한주현 : 붙임머리 extensions エクステ</t>
  </si>
  <si>
    <t>뚜랑이</t>
  </si>
  <si>
    <t>thundershooter41</t>
  </si>
  <si>
    <t>이유섭 | 벼락슈터</t>
  </si>
  <si>
    <t>joongcar</t>
  </si>
  <si>
    <t>중카tv | 안흥도 |</t>
  </si>
  <si>
    <t>ug_ceo</t>
  </si>
  <si>
    <t>이웅걸 l UG그룹 l UG금융서비스</t>
  </si>
  <si>
    <t>gibokking</t>
  </si>
  <si>
    <t>오픈왕 강기복</t>
  </si>
  <si>
    <t>superbody__jin</t>
  </si>
  <si>
    <t>정대진</t>
  </si>
  <si>
    <t>yumniel_</t>
  </si>
  <si>
    <t>윰니엘 | 공부법•스터디•내신•컨설팅</t>
  </si>
  <si>
    <t>광마스터</t>
  </si>
  <si>
    <t>health_writing_</t>
  </si>
  <si>
    <t>영쫀</t>
  </si>
  <si>
    <t>bini_money_mkt</t>
  </si>
  <si>
    <t>권호빈 | 마케터 • 자기계발 • 브랜드</t>
  </si>
  <si>
    <t>thejb.star</t>
  </si>
  <si>
    <t>김종봉 / 전업투자자 JB</t>
  </si>
  <si>
    <t>for___sasa</t>
  </si>
  <si>
    <t>사 사 sasa</t>
  </si>
  <si>
    <t>잰수성과</t>
  </si>
  <si>
    <t>jangsin1004</t>
  </si>
  <si>
    <t>장사의신 은현장</t>
  </si>
  <si>
    <t>crea__tus</t>
  </si>
  <si>
    <t>크리투스 이경현</t>
  </si>
  <si>
    <t>어비x유훈</t>
  </si>
  <si>
    <t>book_ta_ku</t>
  </si>
  <si>
    <t>북타쿠 | 종합 1위 작가와 책친놈 4인조 이야기📚</t>
  </si>
  <si>
    <t>s_h93k</t>
  </si>
  <si>
    <t>김상현 작가ㅣ결국 무엇이든 해내는 사람</t>
  </si>
  <si>
    <t>이신영</t>
  </si>
  <si>
    <t>chulsoon_official</t>
  </si>
  <si>
    <t>Chul Soon Hwang</t>
  </si>
  <si>
    <t>hkmjhj779902</t>
  </si>
  <si>
    <t>김홍기</t>
  </si>
  <si>
    <t>__ho_dduk__</t>
  </si>
  <si>
    <t>신발 &amp; 안경 컬렉터 | [호떡] 오승민</t>
  </si>
  <si>
    <t>91dan_2</t>
  </si>
  <si>
    <t>정다니</t>
  </si>
  <si>
    <t>yeouiju.official</t>
  </si>
  <si>
    <t>강주영 | 강남여의주</t>
  </si>
  <si>
    <t>hyunniestyle</t>
  </si>
  <si>
    <t>Hyunnie 혀니</t>
  </si>
  <si>
    <t>ggyull_ceo</t>
  </si>
  <si>
    <t>아정당 대표 김민기</t>
  </si>
  <si>
    <t>90.minwoo</t>
  </si>
  <si>
    <t>강민우</t>
  </si>
  <si>
    <t>koreanhulk</t>
  </si>
  <si>
    <t>Je-yong Ha</t>
  </si>
  <si>
    <t>8888tae</t>
  </si>
  <si>
    <t>태태</t>
  </si>
  <si>
    <t>hairby_yumi</t>
  </si>
  <si>
    <t>압구정역미용실 헤어그곳 부원장유미[빌드펌•고데기펌•엘리자벳펌•레이어드컷•퍼스널염색 전문]</t>
  </si>
  <si>
    <t>10million.kr</t>
  </si>
  <si>
    <t>텐밀리언마케팅 | 카페24쇼핑몰, META광고</t>
  </si>
  <si>
    <t>wiibiit</t>
  </si>
  <si>
    <t>위빗 권동윤</t>
  </si>
  <si>
    <t>peppermint_0</t>
  </si>
  <si>
    <t>🌿 페퍼민트</t>
  </si>
  <si>
    <t>작은성공</t>
  </si>
  <si>
    <t>yhj_gonzo</t>
  </si>
  <si>
    <t>윤희재</t>
  </si>
  <si>
    <t>마크윤</t>
  </si>
  <si>
    <t>all.about.jobs</t>
  </si>
  <si>
    <t>직업의모든것</t>
  </si>
  <si>
    <t>ilovechampd</t>
  </si>
  <si>
    <t>애주가TV 참PD</t>
  </si>
  <si>
    <t>ik_sight</t>
  </si>
  <si>
    <t>곽성익</t>
  </si>
  <si>
    <t>박예찬</t>
  </si>
  <si>
    <t>jojofood77</t>
  </si>
  <si>
    <t>조조칼국수</t>
  </si>
  <si>
    <t>ha_jaejun</t>
  </si>
  <si>
    <t>하재준</t>
  </si>
  <si>
    <t>실행동</t>
  </si>
  <si>
    <t>doc102</t>
  </si>
  <si>
    <t>김창열</t>
  </si>
  <si>
    <t>daejangoh</t>
  </si>
  <si>
    <t>오명우</t>
  </si>
  <si>
    <t>admin1943</t>
  </si>
  <si>
    <t>Seung Min</t>
  </si>
  <si>
    <t>minroro___gram</t>
  </si>
  <si>
    <t>민태훈 | 민로로</t>
  </si>
  <si>
    <t>ssebakk</t>
  </si>
  <si>
    <t>박세영</t>
  </si>
  <si>
    <t>gugong_i</t>
  </si>
  <si>
    <t>이정원</t>
  </si>
  <si>
    <t>뱀비</t>
  </si>
  <si>
    <t>_leesseon_</t>
  </si>
  <si>
    <t>이선미</t>
  </si>
  <si>
    <t>mind_taeeun</t>
  </si>
  <si>
    <t>마인드 태은</t>
  </si>
  <si>
    <t>철대표</t>
  </si>
  <si>
    <t>money_challenge.kr</t>
  </si>
  <si>
    <t>사업하는 한대표 | 브랜딩 • 광고 • 마케팅 • 실전 사업스킬 공유</t>
  </si>
  <si>
    <t>money_inthehole</t>
  </si>
  <si>
    <t>머니인더홀 | 경제스타그램</t>
  </si>
  <si>
    <t>uno_ceo</t>
  </si>
  <si>
    <t>jjong9__9</t>
  </si>
  <si>
    <t>쫑</t>
  </si>
  <si>
    <t>an.seo.in</t>
  </si>
  <si>
    <t>안서인</t>
  </si>
  <si>
    <t>jaehinunni</t>
  </si>
  <si>
    <t>박제인 생각대로사는여자 퍼스널브랜딩 전문가 북콘서트 MC</t>
  </si>
  <si>
    <t>sungmyoungjun</t>
  </si>
  <si>
    <t>성명준</t>
  </si>
  <si>
    <t>jiiyyeonn</t>
  </si>
  <si>
    <t>황지연</t>
  </si>
  <si>
    <t>ogata_marito</t>
  </si>
  <si>
    <t>작가 손힘찬(오가타 마리토)</t>
  </si>
  <si>
    <t>hanjinwoo__</t>
  </si>
  <si>
    <t>한 진우</t>
  </si>
  <si>
    <t>millmus_official</t>
  </si>
  <si>
    <t>&lt;밀레니얼머니스쿨&gt;</t>
  </si>
  <si>
    <t>satohiromi22</t>
  </si>
  <si>
    <t>SatoHiromi</t>
  </si>
  <si>
    <t>noblemariage</t>
  </si>
  <si>
    <t>한방언니</t>
  </si>
  <si>
    <t>kimmoney1004</t>
  </si>
  <si>
    <t>김머니 | 콘텐츠 마케터, N잡러</t>
  </si>
  <si>
    <t>ai_margin_</t>
  </si>
  <si>
    <t>노마드마진 | 바이브코딩, AI코딩</t>
  </si>
  <si>
    <t>jekwon_song</t>
  </si>
  <si>
    <t>송제권</t>
  </si>
  <si>
    <t>cha1067018</t>
  </si>
  <si>
    <t>차승원</t>
  </si>
  <si>
    <t>todol_84</t>
  </si>
  <si>
    <t>OrangeCustom</t>
  </si>
  <si>
    <t>oli_jin</t>
  </si>
  <si>
    <t>올리진🌸 FunRunOliJin</t>
  </si>
  <si>
    <t>highestlevel33</t>
  </si>
  <si>
    <t>최고수준 | 인스타브랜딩 • AI자기계발</t>
  </si>
  <si>
    <t>marchgraphy</t>
  </si>
  <si>
    <t>삼월라떼 / 고윤태 / 사진 영상 크리에이터</t>
  </si>
  <si>
    <t>bokjoohwan</t>
  </si>
  <si>
    <t>복주환</t>
  </si>
  <si>
    <t>leeyenajeillgiyoum</t>
  </si>
  <si>
    <t>이옛날</t>
  </si>
  <si>
    <t>kyu.ism</t>
  </si>
  <si>
    <t>Q</t>
  </si>
  <si>
    <t>gonteamjang</t>
  </si>
  <si>
    <t>곤팀장</t>
  </si>
  <si>
    <t>h1003141592</t>
  </si>
  <si>
    <t>조은비</t>
  </si>
  <si>
    <t>money_mentary</t>
  </si>
  <si>
    <t>머니멘터리</t>
  </si>
  <si>
    <t>luster_yoon</t>
  </si>
  <si>
    <t>金潤</t>
  </si>
  <si>
    <t>muchon_demolish</t>
  </si>
  <si>
    <t>정철거</t>
  </si>
  <si>
    <t>goyoontae_official</t>
  </si>
  <si>
    <t>고윤태 스튜디오 | 강연 | 행사 스냅</t>
  </si>
  <si>
    <t>zzuneduck</t>
  </si>
  <si>
    <t>블로그 쭌이덕 김석준</t>
  </si>
  <si>
    <t>invest._.16</t>
  </si>
  <si>
    <t>투자N l 경매에 러닝을 더하다</t>
  </si>
  <si>
    <t>jinyoung1079</t>
  </si>
  <si>
    <t>김진영</t>
  </si>
  <si>
    <t>the_songs_place</t>
  </si>
  <si>
    <t>송희구 인스타그램</t>
  </si>
  <si>
    <t>sarkpiens</t>
  </si>
  <si>
    <t>삵 / 작가 이석근</t>
  </si>
  <si>
    <t>economy.pan</t>
  </si>
  <si>
    <t>경제판다 | 경제에 관심많은 자본주의 판다💵🐼</t>
  </si>
  <si>
    <t>iam_tvrs</t>
  </si>
  <si>
    <t>러셀(황서진)</t>
  </si>
  <si>
    <t>yomang.lee</t>
  </si>
  <si>
    <t>요망 | 웰니스 육아🪽</t>
  </si>
  <si>
    <t>heeeun_shin</t>
  </si>
  <si>
    <t>HeeEun 플랫폼 사업가</t>
  </si>
  <si>
    <t>developer_gold</t>
  </si>
  <si>
    <t>중소형 건물 전문 Developerㅣ 황금대지</t>
  </si>
  <si>
    <t>4real._.onair</t>
  </si>
  <si>
    <t>포리얼 | 𝑱𝒖𝒏 𝑲𝒊𝒎 𝒂𝒌𝒂 𝒇𝒐𝒓𝒓𝒆𝒂𝒍</t>
  </si>
  <si>
    <t>u_jin.v</t>
  </si>
  <si>
    <t>사이유 | 내가사는이유 (𝐋𝐢𝐯𝐞, 𝐋𝐢𝐟𝐞, 𝐁𝐮𝐲)</t>
  </si>
  <si>
    <t>angyuho.85</t>
  </si>
  <si>
    <t>안규호, ᴀɴ ɢʏᴜʜᴏ, #안대장</t>
  </si>
  <si>
    <t>seongunlouispark</t>
  </si>
  <si>
    <t>박성운</t>
  </si>
  <si>
    <t>📘 사용방법 &amp; 운영 가이드</t>
  </si>
  <si>
    <t>탭별 역할</t>
  </si>
  <si>
    <t>강사모집</t>
  </si>
  <si>
    <t>30명이 강사 후보 입력. M열(상태) + O열(등급) 관리</t>
  </si>
  <si>
    <t>컨택관리</t>
  </si>
  <si>
    <t>발송 예정 이상 인원 옮겨서 차수별 발송 추적</t>
  </si>
  <si>
    <t>현황판</t>
  </si>
  <si>
    <t>자동 집계 대시보드. 수정 불필요</t>
  </si>
  <si>
    <t>0~3차메시지</t>
  </si>
  <si>
    <t>채널 규모별 A/B/C안 + 감정/의심 해결 가이드</t>
  </si>
  <si>
    <t>연락금지</t>
  </si>
  <si>
    <t>금지 강사 목록. 추가 후 markBanned() 실행</t>
  </si>
  <si>
    <t>상태값 기준 (M열)</t>
  </si>
  <si>
    <t>등록만 된 상태 (기본값)</t>
  </si>
  <si>
    <t>분류팀이 올림 → 본부장님 확인 필요</t>
  </si>
  <si>
    <t>본부장 컨펌 완료 → 컨택관리 탭에 옮기기</t>
  </si>
  <si>
    <t>0차 이상 발송됨 → 컨택관리 탭에서 추적</t>
  </si>
  <si>
    <t>온보딩 완료 ✅</t>
  </si>
  <si>
    <t>연락 불가 — N열에 사유 기재</t>
  </si>
  <si>
    <t>지금은 아님 — 나중에 발송 예정으로 재진입 가능</t>
  </si>
  <si>
    <t>명확한 거절 — 재연락 절대 금지</t>
  </si>
  <si>
    <t>등급 기준 (O열)</t>
  </si>
  <si>
    <t>A</t>
  </si>
  <si>
    <t>강의 이력 O + 수강생 성과 있음 → 1순위</t>
  </si>
  <si>
    <t>등급이 있어도 좋으나, 획일화가 되면 오히려 큰 의미가 없을 수 있겠다</t>
  </si>
  <si>
    <t>B</t>
  </si>
  <si>
    <t>강의 이력 O + 성과 불명확 → 2순위</t>
  </si>
  <si>
    <t>일단 불러라 - 사짜, 최소기준 충족 못하다</t>
  </si>
  <si>
    <t>C</t>
  </si>
  <si>
    <t>강의 이력 없음 + SNS/수익화 실적 있음 → 3순위</t>
  </si>
  <si>
    <t>트렌드(AI 유튜브 등) - 기준치 널널, 트렌드 X - 브랜딩, 소구점, 프로그램</t>
  </si>
  <si>
    <t>D</t>
  </si>
  <si>
    <t>강의 이력 없음 + 실적 불명확 → 4순위</t>
  </si>
  <si>
    <t>발송 타임라인</t>
  </si>
  <si>
    <t>D+0  0차</t>
  </si>
  <si>
    <t>첫 메시지 — DM 우선, 없으면 이메일</t>
  </si>
  <si>
    <t>D+3  1차</t>
  </si>
  <si>
    <t>리마인드 — 1차 팔로업 응답률 +49% (Belkins 1,100만건)</t>
  </si>
  <si>
    <t>D+6  2차</t>
  </si>
  <si>
    <t>증명 — 누적 응답 94% 도달</t>
  </si>
  <si>
    <t>D+9  3차</t>
  </si>
  <si>
    <t>브레이크업 — 무응답자만 선택 발송</t>
  </si>
  <si>
    <t>채널 규모 기준 (메시지 탭 A/B/C안)</t>
  </si>
  <si>
    <t>A안</t>
  </si>
  <si>
    <t>소규모 — 팔로워/구독자 1만 미만</t>
  </si>
  <si>
    <t>B안</t>
  </si>
  <si>
    <t>중간   — 팔로워/구독자 1만~5만</t>
  </si>
  <si>
    <t>C안</t>
  </si>
  <si>
    <t>대형   — 팔로워/구독자 5만 이상</t>
  </si>
  <si>
    <t>자주 쓰는 필터 (강사모집 탭)</t>
  </si>
  <si>
    <t>컨펌 필요만</t>
  </si>
  <si>
    <t>M열 → "컨펌 필요" (본부장님용)</t>
  </si>
  <si>
    <t>발송 예정만</t>
  </si>
  <si>
    <t>M열 → "발송 예정" (발송 담당자용)</t>
  </si>
  <si>
    <t>A등급만</t>
  </si>
  <si>
    <t>O열 → "A" (우선순위 강사)</t>
  </si>
  <si>
    <t>강의이력O만</t>
  </si>
  <si>
    <t>F열 → "O"</t>
  </si>
  <si>
    <t>지원서_핏크닉메타 — 지원 응답</t>
  </si>
  <si>
    <t>새 응답이 들어오면 L열이 노란색으로 표시돼요. 확인 후 드롭다운에서 상태를 바꾸세요.</t>
  </si>
  <si>
    <t>NO.</t>
  </si>
  <si>
    <t>날짜</t>
  </si>
  <si>
    <t>이름</t>
  </si>
  <si>
    <t>강사명(활동명)</t>
  </si>
  <si>
    <t>연락처</t>
  </si>
  <si>
    <t>강의경험</t>
  </si>
  <si>
    <t>온/오프라인 여부</t>
  </si>
  <si>
    <t>강사지원 계기, 동기, 자신의 장점</t>
  </si>
  <si>
    <t>강의 주제 서술</t>
  </si>
  <si>
    <t>경력과 수치적 성과</t>
  </si>
  <si>
    <t>수강생이 얻을 수 있는 것</t>
  </si>
  <si>
    <t>소셜미디어</t>
  </si>
  <si>
    <t>소셜미디어 링크</t>
  </si>
  <si>
    <t>담당자 검토여부</t>
  </si>
  <si>
    <t>검토상태</t>
  </si>
  <si>
    <t>지원서_핏크닉홈페이지 — 지원 응답</t>
  </si>
  <si>
    <t>&lt; 연애 상담은 상품성?</t>
  </si>
  <si>
    <t>지원서_머니업홈페이지 — 지원 응답</t>
  </si>
  <si>
    <t>지원서_핏크닉카페 — 지원 응답</t>
  </si>
  <si>
    <t>지원서_머니업카페 — 지원 응답</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</si>
</sst>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 M. d"/>
    <numFmt numFmtId="166" formatCode="m/d/yyyy h:mm:ss"/>
  </numFmts>
  <fonts count="255">
    <font>
      <sz val="10.0"/>
      <color rgb="FF000000"/>
      <name val="Arial"/>
      <scheme val="minor"/>
    </font>
    <font>
      <b/>
      <sz val="16.0"/>
      <color rgb="FFFFFFFF"/>
      <name val="Arial"/>
    </font>
    <font>
      <sz val="9.0"/>
      <color rgb="FF888888"/>
      <name val="Arial"/>
    </font>
    <font>
      <sz val="9.0"/>
      <color rgb="FFAAAAAA"/>
      <name val="Arial"/>
    </font>
    <font>
      <b/>
      <sz val="26.0"/>
      <color rgb="FFFFFFFF"/>
      <name val="Arial"/>
    </font>
    <font>
      <color theme="1"/>
      <name val="Arial"/>
      <scheme val="minor"/>
    </font>
    <font>
      <sz val="8.0"/>
      <color rgb="FF888888"/>
      <name val="Arial"/>
    </font>
    <font>
      <b/>
      <sz val="16.0"/>
      <color rgb="FF1A1A2E"/>
      <name val="Arial"/>
    </font>
    <font>
      <b/>
      <sz val="9.0"/>
      <color rgb="FF444444"/>
      <name val="Arial"/>
    </font>
    <font>
      <b/>
      <sz val="9.0"/>
      <color rgb="FFFFFFFF"/>
      <name val="Arial"/>
    </font>
    <font>
      <b/>
      <sz val="9.0"/>
      <color rgb="FF92400E"/>
      <name val="Arial"/>
    </font>
    <font>
      <b/>
      <sz val="9.0"/>
      <color rgb="FF666666"/>
      <name val="Arial"/>
    </font>
    <font>
      <sz val="9.0"/>
      <color rgb="FF666666"/>
      <name val="Arial"/>
    </font>
    <font>
      <b/>
      <sz val="28.0"/>
      <color rgb="FF92400E"/>
      <name val="Arial"/>
    </font>
    <font>
      <sz val="9.0"/>
      <color rgb="FF92400E"/>
      <name val="Arial"/>
    </font>
    <font>
      <b/>
      <sz val="9.0"/>
      <color rgb="FF0D7559"/>
      <name val="Arial"/>
    </font>
    <font>
      <sz val="9.0"/>
      <color rgb="FF0D7559"/>
      <name val="Arial"/>
    </font>
    <font>
      <sz val="8.0"/>
      <color rgb="FFB45309"/>
      <name val="Arial"/>
    </font>
    <font>
      <b/>
      <sz val="9.0"/>
      <color rgb="FF1E40AF"/>
      <name val="Arial"/>
    </font>
    <font>
      <sz val="9.0"/>
      <color rgb="FF1E40AF"/>
      <name val="Arial"/>
    </font>
    <font>
      <b/>
      <sz val="9.0"/>
      <color rgb="FF1E7A45"/>
      <name val="Arial"/>
    </font>
    <font>
      <sz val="9.0"/>
      <color rgb="FF1E7A45"/>
      <name val="Arial"/>
    </font>
    <font>
      <b/>
      <sz val="9.0"/>
      <color rgb="FFCC0000"/>
      <name val="Arial"/>
    </font>
    <font>
      <sz val="9.0"/>
      <color rgb="FFCC0000"/>
      <name val="Arial"/>
    </font>
    <font>
      <b/>
      <sz val="24.0"/>
      <color rgb="FF1A1A2E"/>
      <name val="Arial"/>
    </font>
    <font>
      <sz val="9.0"/>
      <color theme="1"/>
      <name val="Arial"/>
    </font>
    <font>
      <b/>
      <sz val="9.0"/>
      <color rgb="FF434343"/>
      <name val="Arial"/>
    </font>
    <font>
      <b/>
      <sz val="9.0"/>
      <color rgb="FF000000"/>
      <name val="Arial"/>
    </font>
    <font>
      <color rgb="FF434343"/>
      <name val="Arial"/>
      <scheme val="minor"/>
    </font>
    <font>
      <u/>
      <color rgb="FF0000FF"/>
    </font>
    <font>
      <u/>
      <color rgb="FF0000FF"/>
    </font>
    <font>
      <color theme="1"/>
      <name val="Arial"/>
    </font>
    <font>
      <strike/>
      <color rgb="FF434343"/>
      <name val="Arial"/>
      <scheme val="minor"/>
    </font>
    <font>
      <u/>
      <color rgb="FF0000FF"/>
    </font>
    <font>
      <u/>
      <color rgb="FF0000FF"/>
    </font>
    <font>
      <b/>
      <color rgb="FF434343"/>
      <name val="Arial"/>
      <scheme val="minor"/>
    </font>
    <font>
      <b/>
      <color theme="1"/>
      <name val="Arial"/>
      <scheme val="minor"/>
    </font>
    <font>
      <u/>
      <color rgb="FF1155CC"/>
      <name val="Arial"/>
    </font>
    <font>
      <u/>
      <color rgb="FF1155CC"/>
      <name val="Arial"/>
    </font>
    <font>
      <u/>
      <color rgb="FF0000FF"/>
    </font>
    <font>
      <u/>
      <color rgb="FF0000FF"/>
    </font>
    <font>
      <u/>
      <color rgb="FF0000FF"/>
    </font>
    <font>
      <strike/>
      <color theme="1"/>
      <name val="Arial"/>
      <scheme val="minor"/>
    </font>
    <font>
      <u/>
      <color rgb="FF0000FF"/>
    </font>
    <font>
      <u/>
      <color rgb="FF1155CC"/>
      <name val="Arial"/>
    </font>
    <font>
      <u/>
      <color rgb="FF1155CC"/>
      <name val="Arial"/>
    </font>
    <font>
      <u/>
      <color rgb="FF0000FF"/>
    </font>
    <font>
      <u/>
      <color rgb="FF1155CC"/>
      <name val="Arial"/>
    </font>
    <font>
      <u/>
      <color rgb="FF1155CC"/>
      <name val="Arial"/>
    </font>
    <font>
      <u/>
      <color rgb="FF1155CC"/>
    </font>
    <font>
      <u/>
      <color rgb="FF1155CC"/>
    </font>
    <font>
      <color rgb="FF000000"/>
      <name val="Arial"/>
      <scheme val="minor"/>
    </font>
    <font>
      <u/>
      <color rgb="FF1E40AF"/>
      <name val="Arial"/>
    </font>
    <font>
      <b/>
      <u/>
      <color rgb="FF0000FF"/>
    </font>
    <font>
      <sz val="9.0"/>
      <color theme="1"/>
      <name val="Arial"/>
      <scheme val="minor"/>
    </font>
    <font>
      <b/>
      <u/>
      <color rgb="FF0000FF"/>
    </font>
    <font>
      <u/>
      <color rgb="FF1E40AF"/>
    </font>
    <font>
      <u/>
      <color rgb="FF0000FF"/>
      <name val="Arial"/>
    </font>
    <font>
      <strike/>
      <color rgb="FF434343"/>
      <name val="Arial"/>
    </font>
    <font>
      <strike/>
      <color theme="1"/>
      <name val="Arial"/>
    </font>
    <font>
      <u/>
      <color rgb="FF0000FF"/>
      <name val="Arial"/>
    </font>
    <font>
      <u/>
      <color rgb="FF0000FF"/>
      <name val="Arial"/>
    </font>
    <font>
      <u/>
      <color rgb="FF0000FF"/>
      <name val="Arial"/>
    </font>
    <font>
      <u/>
      <color rgb="FF0000FF"/>
    </font>
    <font>
      <u/>
      <color rgb="FF0000FF"/>
    </font>
    <font>
      <u/>
      <color rgb="FF0000FF"/>
    </font>
    <font>
      <u/>
      <color rgb="FF0000FF"/>
    </font>
    <font>
      <u/>
      <color rgb="FF0000FF"/>
    </font>
    <font>
      <u/>
      <color rgb="FF0000FF"/>
    </font>
    <font>
      <u/>
      <color rgb="FF0000FF"/>
    </font>
    <font>
      <u/>
      <color rgb="FF0000FF"/>
    </font>
    <font>
      <color rgb="FFFF0000"/>
      <name val="Arial"/>
      <scheme val="minor"/>
    </font>
    <font>
      <color rgb="FFFF0000"/>
      <name val="Arial"/>
    </font>
    <font>
      <u/>
      <color rgb="FFFF0000"/>
    </font>
    <font>
      <u/>
      <color rgb="FFFF0000"/>
    </font>
    <font>
      <u/>
      <color rgb="FF1E40AF"/>
      <name val="Arial"/>
    </font>
    <font>
      <u/>
      <color rgb="FF0000FF"/>
    </font>
    <font>
      <color rgb="FFDBEAFE"/>
      <name val="Arial"/>
    </font>
    <font>
      <color rgb="FFDBEAFE"/>
      <name val="Arial"/>
      <scheme val="minor"/>
    </font>
    <font>
      <u/>
      <color rgb="FFDBEAFE"/>
    </font>
    <font>
      <u/>
      <color rgb="FF0000FF"/>
    </font>
    <font>
      <u/>
      <color rgb="FF0000FF"/>
    </font>
    <font>
      <u/>
      <color rgb="FF1155CC"/>
      <name val="Arial"/>
    </font>
    <font>
      <u/>
      <color rgb="FF0000FF"/>
    </font>
    <font>
      <u/>
      <color rgb="FF0000FF"/>
    </font>
    <font>
      <sz val="11.0"/>
      <color rgb="FF0F0F0F"/>
      <name val="Roboto"/>
    </font>
    <font>
      <color rgb="FF1155CC"/>
      <name val="Arial"/>
    </font>
    <font>
      <u/>
      <color rgb="FF0000FF"/>
    </font>
    <font>
      <u/>
      <color rgb="FF1E40AF"/>
    </font>
    <font>
      <u/>
      <color rgb="FF1155CC"/>
    </font>
    <font>
      <u/>
      <color rgb="FF0000FF"/>
      <name val="Arial"/>
    </font>
    <font>
      <u/>
      <color rgb="FF1E40AF"/>
    </font>
    <font>
      <sz val="11.0"/>
      <color rgb="FF000000"/>
      <name val="-apple-system"/>
    </font>
    <font>
      <color rgb="FF1E40AF"/>
      <name val="Arial"/>
      <scheme val="minor"/>
    </font>
    <font>
      <sz val="11.0"/>
      <color rgb="FF000000"/>
      <name val="Arial"/>
    </font>
    <font>
      <u/>
      <color theme="1"/>
      <name val="Arial"/>
      <scheme val="minor"/>
    </font>
    <font>
      <u/>
      <sz val="11.0"/>
      <color rgb="FF1E40AF"/>
    </font>
    <font>
      <u/>
      <color rgb="FF0000FF"/>
    </font>
    <font>
      <u/>
      <color rgb="FF0000FF"/>
    </font>
    <font>
      <sz val="11.0"/>
      <color theme="1"/>
      <name val="Arial"/>
    </font>
    <font>
      <u/>
      <color rgb="FF0000FF"/>
      <name val="Arial"/>
    </font>
    <font>
      <strike/>
      <u/>
      <color theme="1"/>
      <name val="Arial"/>
      <scheme val="minor"/>
    </font>
    <font>
      <strike/>
      <u/>
      <color theme="1"/>
      <name val="Arial"/>
      <scheme val="minor"/>
    </font>
    <font>
      <strike/>
      <u/>
      <color theme="1"/>
      <name val="Arial"/>
      <scheme val="minor"/>
    </font>
    <font>
      <u/>
      <color rgb="FFFF0000"/>
    </font>
    <font>
      <u/>
      <color rgb="FF0000FF"/>
    </font>
    <font>
      <u/>
      <color rgb="FF0000FF"/>
    </font>
    <font>
      <u/>
      <color rgb="FF1155CC"/>
    </font>
    <font>
      <sz val="11.0"/>
      <color rgb="FFFF0000"/>
      <name val="Roboto"/>
    </font>
    <font>
      <u/>
      <sz val="11.0"/>
      <color rgb="FF0000FF"/>
      <name val="Roboto"/>
    </font>
    <font>
      <u/>
      <color rgb="FF0000FF"/>
    </font>
    <font>
      <u/>
      <color rgb="FF1155CC"/>
      <name val="Arial"/>
    </font>
    <font>
      <u/>
      <color rgb="FF0000FF"/>
      <name val="Arial"/>
    </font>
    <font>
      <u/>
      <color rgb="FF0000FF"/>
      <name val="Arial"/>
    </font>
    <font>
      <u/>
      <color rgb="FF0000FF"/>
      <name val="Arial"/>
    </font>
    <font>
      <u/>
      <color rgb="FF0000FF"/>
    </font>
    <font>
      <sz val="10.0"/>
      <color rgb="FF0F0F0F"/>
      <name val="Roboto"/>
    </font>
    <font>
      <sz val="10.0"/>
      <color rgb="FF424242"/>
      <name val="&quot;맑은 고딕&quot;"/>
    </font>
    <font>
      <sz val="10.0"/>
      <color theme="1"/>
      <name val="Arial"/>
      <scheme val="minor"/>
    </font>
    <font>
      <u/>
      <color rgb="FF0000FF"/>
    </font>
    <font>
      <u/>
      <color rgb="FF1155CC"/>
      <name val="Arial"/>
    </font>
    <font>
      <u/>
      <sz val="11.0"/>
      <color rgb="FF0000FF"/>
      <name val="Roboto"/>
    </font>
    <font>
      <u/>
      <color rgb="FF1155CC"/>
      <name val="Arial"/>
    </font>
    <font>
      <u/>
      <color rgb="FF0000FF"/>
      <name val="Arial"/>
    </font>
    <font>
      <u/>
      <color rgb="FF1E40AF"/>
    </font>
    <font>
      <u/>
      <color rgb="FF0000FF"/>
    </font>
    <font>
      <u/>
      <color rgb="FF0000FF"/>
    </font>
    <font>
      <sz val="11.0"/>
      <color rgb="FF303441"/>
      <name val="Arial"/>
    </font>
    <font>
      <b/>
      <u/>
      <color rgb="FF0000FF"/>
    </font>
    <font>
      <u/>
      <color rgb="FF0000FF"/>
    </font>
    <font>
      <sz val="10.0"/>
      <color rgb="FF111111"/>
      <name val="Arial"/>
    </font>
    <font>
      <u/>
      <color rgb="FF0000FF"/>
    </font>
    <font>
      <u/>
      <color rgb="FF0000FF"/>
    </font>
    <font>
      <b/>
      <sz val="11.0"/>
      <color theme="1"/>
      <name val="Arial"/>
      <scheme val="minor"/>
    </font>
    <font>
      <u/>
      <color rgb="FF1155CC"/>
      <name val="Arial"/>
    </font>
    <font>
      <u/>
      <color rgb="FFCC0000"/>
      <name val="Arial"/>
    </font>
    <font>
      <u/>
      <color rgb="FF0000FF"/>
      <name val="Arial"/>
    </font>
    <font>
      <u/>
      <color rgb="FF0000FF"/>
      <name val="Arial"/>
    </font>
    <font>
      <sz val="8.0"/>
      <color theme="1"/>
      <name val="Arial"/>
      <scheme val="minor"/>
    </font>
    <font>
      <sz val="12.0"/>
      <color rgb="FF000000"/>
      <name val="나눔고딕"/>
    </font>
    <font>
      <sz val="11.0"/>
      <color rgb="FF343434"/>
      <name val="&quot;Apple SD Gothic Neo&quot;"/>
    </font>
    <font>
      <sz val="10.0"/>
      <color rgb="FF000000"/>
      <name val="Arial"/>
    </font>
    <font>
      <u/>
      <color rgb="FF1155CC"/>
      <name val="Arial"/>
    </font>
    <font>
      <u/>
      <color rgb="FF0000FF"/>
    </font>
    <font>
      <u/>
      <color rgb="FF92400E"/>
    </font>
    <font>
      <u/>
      <color rgb="FF0000FF"/>
    </font>
    <font>
      <sz val="10.0"/>
      <color rgb="FF000000"/>
      <name val="-apple-system"/>
    </font>
    <font>
      <u/>
      <color rgb="FF0000FF"/>
    </font>
    <font>
      <u/>
      <color rgb="FF0000FF"/>
    </font>
    <font>
      <u/>
      <color rgb="FF0000FF"/>
    </font>
    <font>
      <u/>
      <color rgb="FF0000FF"/>
    </font>
    <font>
      <u/>
      <color rgb="FF0000FF"/>
    </font>
    <font>
      <color rgb="FF0D7559"/>
      <name val="Arial"/>
    </font>
    <font>
      <u/>
      <color rgb="FF0D7559"/>
      <name val="Arial"/>
    </font>
    <font>
      <u/>
      <color rgb="FF0D7559"/>
      <name val="Arial"/>
    </font>
    <font>
      <u/>
      <color rgb="FF0D7559"/>
      <name val="Arial"/>
    </font>
    <font>
      <u/>
      <color rgb="FF0D7559"/>
      <name val="Arial"/>
    </font>
    <font>
      <b/>
      <u/>
      <color rgb="FF0D7559"/>
      <name val="Arial"/>
    </font>
    <font>
      <u/>
      <color rgb="FF0D7559"/>
      <name val="Arial"/>
    </font>
    <font>
      <u/>
      <color rgb="FF0D7559"/>
      <name val="Arial"/>
    </font>
    <font>
      <u/>
      <color rgb="FF0D7559"/>
      <name val="Arial"/>
    </font>
    <font>
      <u/>
      <color rgb="FF0D7559"/>
      <name val="Arial"/>
    </font>
    <font>
      <b/>
      <color rgb="FFFFFFFF"/>
      <name val="Arial"/>
    </font>
    <font>
      <u/>
      <color rgb="FF0D7559"/>
      <name val="Arial"/>
    </font>
    <font>
      <color rgb="FF000000"/>
      <name val="Arial"/>
    </font>
    <font>
      <u/>
      <color rgb="FF0000FF"/>
    </font>
    <font>
      <u/>
      <color rgb="FF000000"/>
      <name val="Arial"/>
    </font>
    <font>
      <u/>
      <color rgb="FF000000"/>
      <name val="Arial"/>
    </font>
    <font>
      <u/>
      <color rgb="FF000000"/>
      <name val="Arial"/>
    </font>
    <font>
      <u/>
      <color rgb="FF000000"/>
      <name val="Arial"/>
    </font>
    <font>
      <u/>
      <color rgb="FF0000FF"/>
      <name val="Arial"/>
    </font>
    <font>
      <u/>
      <color rgb="FF000000"/>
      <name val="Arial"/>
    </font>
    <font>
      <u/>
      <color rgb="FF000000"/>
      <name val="Arial"/>
    </font>
    <font>
      <u/>
      <color rgb="FF0000FF"/>
      <name val="Arial"/>
    </font>
    <font>
      <u/>
      <color rgb="FF0000FF"/>
      <name val="Arial"/>
    </font>
    <font>
      <u/>
      <color rgb="FF0000FF"/>
      <name val="Arial"/>
    </font>
    <font>
      <u/>
      <color rgb="FF0000FF"/>
      <name val="Arial"/>
    </font>
    <font>
      <u/>
      <color rgb="FF000000"/>
      <name val="Arial"/>
    </font>
    <font>
      <u/>
      <color rgb="FF000000"/>
    </font>
    <font>
      <u/>
      <color rgb="FF000000"/>
      <name val="Arial"/>
    </font>
    <font>
      <u/>
      <color rgb="FF0000FF"/>
      <name val="Arial"/>
    </font>
    <font>
      <color rgb="FF666666"/>
      <name val="Arial"/>
    </font>
    <font>
      <color rgb="FF1E40AF"/>
      <name val="Arial"/>
    </font>
    <font>
      <color rgb="FF1E7A45"/>
      <name val="Arial"/>
    </font>
    <font>
      <sz val="11.0"/>
      <color rgb="FF000000"/>
      <name val="Calibri"/>
    </font>
    <font>
      <u/>
      <sz val="11.0"/>
      <color rgb="FF0000FF"/>
      <name val="Calibri"/>
    </font>
    <font>
      <u/>
      <color rgb="FF1E7A45"/>
      <name val="Arial"/>
    </font>
    <font>
      <u/>
      <color rgb="FF1E7A45"/>
      <name val="Arial"/>
    </font>
    <font>
      <color rgb="FF666666"/>
      <name val="Arial"/>
      <scheme val="minor"/>
    </font>
    <font>
      <u/>
      <color rgb="FF1E40AF"/>
      <name val="Arial"/>
    </font>
    <font>
      <sz val="11.0"/>
      <color rgb="FF1E40AF"/>
      <name val="Roboto"/>
    </font>
    <font>
      <u/>
      <color rgb="FF1E40AF"/>
      <name val="Arial"/>
    </font>
    <font>
      <u/>
      <color rgb="FF1E40AF"/>
      <name val="Arial"/>
    </font>
    <font>
      <u/>
      <sz val="11.0"/>
      <color rgb="FF0000FF"/>
      <name val="Calibri"/>
    </font>
    <font>
      <u/>
      <color rgb="FF1E40AF"/>
      <name val="Arial"/>
    </font>
    <font>
      <u/>
      <color rgb="FF1E40AF"/>
      <name val="Arial"/>
    </font>
    <font>
      <u/>
      <color rgb="FF1E40AF"/>
      <name val="Arial"/>
    </font>
    <font>
      <u/>
      <color rgb="FF1155CC"/>
      <name val="Arial"/>
    </font>
    <font>
      <u/>
      <color rgb="FF1E40AF"/>
      <name val="Arial"/>
    </font>
    <font>
      <u/>
      <color rgb="FF1E40AF"/>
      <name val="Arial"/>
    </font>
    <font>
      <u/>
      <color rgb="FF1E40AF"/>
      <name val="Arial"/>
    </font>
    <font>
      <u/>
      <color rgb="FF0D7559"/>
      <name val="Arial"/>
    </font>
    <font>
      <u/>
      <color rgb="FF0D7559"/>
      <name val="Arial"/>
    </font>
    <font>
      <u/>
      <color rgb="FF0D7559"/>
      <name val="Arial"/>
    </font>
    <font>
      <u/>
      <color rgb="FF0D7559"/>
      <name val="Arial"/>
    </font>
    <font>
      <b/>
      <u/>
      <color rgb="FF0D7559"/>
      <name val="Arial"/>
    </font>
    <font>
      <color rgb="FFFFFFFF"/>
      <name val="Arial"/>
    </font>
    <font>
      <b/>
      <color rgb="FF1E7A45"/>
      <name val="Arial"/>
    </font>
    <font>
      <u/>
      <color rgb="FF1E7A45"/>
      <name val="Arial"/>
    </font>
    <font>
      <u/>
      <color rgb="FF1E7A45"/>
      <name val="Arial"/>
    </font>
    <font>
      <u/>
      <color rgb="FF1E7A45"/>
      <name val="Arial"/>
    </font>
    <font>
      <u/>
      <color rgb="FF1E7A45"/>
      <name val="Arial"/>
    </font>
    <font>
      <u/>
      <color rgb="FF1E7A45"/>
      <name val="Arial"/>
    </font>
    <font>
      <u/>
      <color rgb="FF1E7A45"/>
      <name val="Arial"/>
    </font>
    <font>
      <u/>
      <color rgb="FF1E7A45"/>
      <name val="Arial"/>
    </font>
    <font>
      <u/>
      <color rgb="FF1E40AF"/>
      <name val="Arial"/>
    </font>
    <font>
      <u/>
      <color rgb="FF1E40AF"/>
      <name val="Arial"/>
    </font>
    <font>
      <sz val="11.0"/>
      <color rgb="FF1E40AF"/>
      <name val="-apple-system"/>
    </font>
    <font>
      <u/>
      <color rgb="FF1E40AF"/>
      <name val="Arial"/>
    </font>
    <font>
      <sz val="11.0"/>
      <color rgb="FF1E40AF"/>
      <name val="Arial"/>
    </font>
    <font>
      <u/>
      <sz val="11.0"/>
      <color rgb="FF1E40AF"/>
      <name val="Roboto"/>
    </font>
    <font>
      <u/>
      <color rgb="FF1E40AF"/>
      <name val="Arial"/>
    </font>
    <font>
      <b/>
      <u/>
      <color rgb="FF1E40AF"/>
      <name val="Arial"/>
    </font>
    <font>
      <color rgb="FF1E40AF"/>
      <name val="Roboto"/>
    </font>
    <font>
      <sz val="11.0"/>
      <color rgb="FF1E40AF"/>
      <name val="Apple SD Gothic Neo"/>
    </font>
    <font>
      <u/>
      <color rgb="FF1E40AF"/>
      <name val="Arial"/>
    </font>
    <font>
      <u/>
      <color rgb="FF0D7559"/>
      <name val="Arial"/>
    </font>
    <font>
      <u/>
      <color rgb="FF073763"/>
      <name val="Arial"/>
    </font>
    <font>
      <u/>
      <color rgb="FF0D7559"/>
      <name val="Arial"/>
    </font>
    <font>
      <u/>
      <color rgb="FF0D7559"/>
      <name val="Arial"/>
    </font>
    <font>
      <u/>
      <color rgb="FF073763"/>
      <name val="Arial"/>
    </font>
    <font>
      <u/>
      <color rgb="FF0D7559"/>
      <name val="Arial"/>
    </font>
    <font>
      <u/>
      <color rgb="FF0D7559"/>
      <name val="Arial"/>
    </font>
    <font>
      <b/>
      <u/>
      <color rgb="FF0D7559"/>
      <name val="Arial"/>
    </font>
    <font>
      <u/>
      <color rgb="FF073763"/>
      <name val="Arial"/>
    </font>
    <font>
      <u/>
      <color rgb="FF0000FF"/>
    </font>
    <font>
      <u/>
      <color rgb="FF000000"/>
      <name val="Arial"/>
    </font>
    <font>
      <u/>
      <color rgb="FF000000"/>
      <name val="Arial"/>
    </font>
    <font>
      <u/>
      <color rgb="FF000000"/>
    </font>
    <font>
      <u/>
      <color rgb="FF000000"/>
    </font>
    <font>
      <sz val="15.0"/>
      <color theme="1"/>
      <name val="Arial"/>
      <scheme val="minor"/>
    </font>
    <font>
      <u/>
      <color rgb="FF0000FF"/>
    </font>
    <font/>
    <font>
      <u/>
      <color rgb="FF0000FF"/>
    </font>
    <font>
      <b/>
      <color rgb="FFFF00FF"/>
      <name val="Arial"/>
      <scheme val="minor"/>
    </font>
    <font>
      <b/>
      <sz val="13.0"/>
      <color rgb="FFFFFFFF"/>
      <name val="Arial"/>
    </font>
    <font>
      <color rgb="FF856404"/>
      <name val="Arial"/>
    </font>
    <font>
      <b/>
      <color rgb="FFCC0000"/>
      <name val="Arial"/>
    </font>
    <font>
      <color rgb="FFCC0000"/>
      <name val="Arial"/>
    </font>
    <font>
      <sz val="11.0"/>
      <color rgb="FF000000"/>
      <name val="&quot;맑은 고딕&quot;"/>
    </font>
    <font>
      <u/>
      <sz val="11.0"/>
      <color rgb="FF000000"/>
      <name val="&quot;맑은 고딕&quot;"/>
    </font>
    <font>
      <b/>
      <sz val="10.0"/>
      <color rgb="FFFFFFFF"/>
      <name val="Arial"/>
    </font>
    <font>
      <b/>
      <sz val="9.0"/>
      <color theme="1"/>
      <name val="Arial"/>
    </font>
    <font>
      <b/>
      <sz val="12.0"/>
      <color rgb="FFFFFFFF"/>
      <name val="Arial"/>
    </font>
    <font>
      <u/>
      <color rgb="FF0000FF"/>
    </font>
  </fonts>
  <fills count="40">
    <fill>
      <patternFill patternType="none"/>
    </fill>
    <fill>
      <patternFill patternType="lightGray"/>
    </fill>
    <fill>
      <patternFill patternType="solid">
        <fgColor rgb="FFFF9900"/>
        <bgColor rgb="FFFF9900"/>
      </patternFill>
    </fill>
    <fill>
      <patternFill patternType="solid">
        <fgColor rgb="FF1A1A2E"/>
        <bgColor rgb="FF1A1A2E"/>
      </patternFill>
    </fill>
    <fill>
      <patternFill patternType="solid">
        <fgColor rgb="FF16213E"/>
        <bgColor rgb="FF16213E"/>
      </patternFill>
    </fill>
    <fill>
      <patternFill patternType="solid">
        <fgColor rgb="FF0F3460"/>
        <bgColor rgb="FF0F3460"/>
      </patternFill>
    </fill>
    <fill>
      <patternFill patternType="solid">
        <fgColor rgb="FF155724"/>
        <bgColor rgb="FF155724"/>
      </patternFill>
    </fill>
    <fill>
      <patternFill patternType="solid">
        <fgColor rgb="FFF8F9FA"/>
        <bgColor rgb="FFF8F9FA"/>
      </patternFill>
    </fill>
    <fill>
      <patternFill patternType="solid">
        <fgColor rgb="FFFFFBEB"/>
        <bgColor rgb="FFFFFBEB"/>
      </patternFill>
    </fill>
    <fill>
      <patternFill patternType="solid">
        <fgColor rgb="FFF0F0F0"/>
        <bgColor rgb="FFF0F0F0"/>
      </patternFill>
    </fill>
    <fill>
      <patternFill patternType="solid">
        <fgColor rgb="FFFEF3C7"/>
        <bgColor rgb="FFFEF3C7"/>
      </patternFill>
    </fill>
    <fill>
      <patternFill patternType="solid">
        <fgColor rgb="FFCCFBF1"/>
        <bgColor rgb="FFCCFBF1"/>
      </patternFill>
    </fill>
    <fill>
      <patternFill patternType="solid">
        <fgColor rgb="FFDBEAFE"/>
        <bgColor rgb="FFDBEAFE"/>
      </patternFill>
    </fill>
    <fill>
      <patternFill patternType="solid">
        <fgColor rgb="FFD9F2E3"/>
        <bgColor rgb="FFD9F2E3"/>
      </patternFill>
    </fill>
    <fill>
      <patternFill patternType="solid">
        <fgColor rgb="FFFFE0E0"/>
        <bgColor rgb="FFFFE0E0"/>
      </patternFill>
    </fill>
    <fill>
      <patternFill patternType="solid">
        <fgColor rgb="FFFFFFFF"/>
        <bgColor rgb="FFFFFFFF"/>
      </patternFill>
    </fill>
    <fill>
      <patternFill patternType="solid">
        <fgColor rgb="FF434343"/>
        <bgColor rgb="FF434343"/>
      </patternFill>
    </fill>
    <fill>
      <patternFill patternType="solid">
        <fgColor rgb="FFA2C4C9"/>
        <bgColor rgb="FFA2C4C9"/>
      </patternFill>
    </fill>
    <fill>
      <patternFill patternType="solid">
        <fgColor rgb="FF76A5AF"/>
        <bgColor rgb="FF76A5AF"/>
      </patternFill>
    </fill>
    <fill>
      <patternFill patternType="solid">
        <fgColor rgb="FF45818E"/>
        <bgColor rgb="FF45818E"/>
      </patternFill>
    </fill>
    <fill>
      <patternFill patternType="solid">
        <fgColor rgb="FF073763"/>
        <bgColor rgb="FF073763"/>
      </patternFill>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F3F3F3"/>
        <bgColor rgb="FFF3F3F3"/>
      </patternFill>
    </fill>
    <fill>
      <patternFill patternType="solid">
        <fgColor theme="7"/>
        <bgColor theme="7"/>
      </patternFill>
    </fill>
    <fill>
      <patternFill patternType="solid">
        <fgColor rgb="FFCCCCCC"/>
        <bgColor rgb="FFCCCCCC"/>
      </patternFill>
    </fill>
    <fill>
      <patternFill patternType="solid">
        <fgColor theme="0"/>
        <bgColor theme="0"/>
      </patternFill>
    </fill>
    <fill>
      <patternFill patternType="solid">
        <fgColor rgb="FFD9D9D9"/>
        <bgColor rgb="FFD9D9D9"/>
      </patternFill>
    </fill>
    <fill>
      <patternFill patternType="solid">
        <fgColor rgb="FFFF0000"/>
        <bgColor rgb="FFFF0000"/>
      </patternFill>
    </fill>
    <fill>
      <patternFill patternType="solid">
        <fgColor rgb="FF00FF00"/>
        <bgColor rgb="FF00FF00"/>
      </patternFill>
    </fill>
    <fill>
      <patternFill patternType="solid">
        <fgColor rgb="FFCC0000"/>
        <bgColor rgb="FFCC0000"/>
      </patternFill>
    </fill>
    <fill>
      <patternFill patternType="solid">
        <fgColor rgb="FFCFE2F3"/>
        <bgColor rgb="FFCFE2F3"/>
      </patternFill>
    </fill>
    <fill>
      <patternFill patternType="solid">
        <fgColor rgb="FFC9DAF8"/>
        <bgColor rgb="FFC9DAF8"/>
      </patternFill>
    </fill>
    <fill>
      <patternFill patternType="solid">
        <fgColor rgb="FFD9EAD3"/>
        <bgColor rgb="FFD9EAD3"/>
      </patternFill>
    </fill>
    <fill>
      <patternFill patternType="solid">
        <fgColor rgb="FFFFF3CD"/>
        <bgColor rgb="FFFFF3CD"/>
      </patternFill>
    </fill>
    <fill>
      <patternFill patternType="solid">
        <fgColor rgb="FFFFF8F8"/>
        <bgColor rgb="FFFFF8F8"/>
      </patternFill>
    </fill>
    <fill>
      <patternFill patternType="solid">
        <fgColor rgb="FFEFF6FF"/>
        <bgColor rgb="FFEFF6FF"/>
      </patternFill>
    </fill>
    <fill>
      <patternFill patternType="solid">
        <fgColor rgb="FFD9D2E9"/>
        <bgColor rgb="FFD9D2E9"/>
      </patternFill>
    </fill>
    <fill>
      <patternFill patternType="solid">
        <fgColor rgb="FF8E7CC3"/>
        <bgColor rgb="FF8E7CC3"/>
      </patternFill>
    </fill>
  </fills>
  <borders count="14">
    <border/>
    <border>
      <bottom style="thin">
        <color rgb="FFDDDDDD"/>
      </bottom>
    </border>
    <border>
      <left style="medium">
        <color rgb="FFCC0000"/>
      </left>
      <top style="medium">
        <color rgb="FFCC0000"/>
      </top>
      <bottom style="medium">
        <color rgb="FFCC0000"/>
      </bottom>
    </border>
    <border>
      <top style="medium">
        <color rgb="FFCC0000"/>
      </top>
      <bottom style="medium">
        <color rgb="FFCC0000"/>
      </bottom>
    </border>
    <border>
      <right style="medium">
        <color rgb="FFCC0000"/>
      </right>
      <top style="medium">
        <color rgb="FFCC0000"/>
      </top>
      <bottom style="medium">
        <color rgb="FFCC0000"/>
      </bottom>
    </border>
    <border>
      <top style="medium">
        <color rgb="FFCC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75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horizontal="left"/>
    </xf>
    <xf borderId="0" fillId="3" fontId="3" numFmtId="0" xfId="0" applyAlignment="1" applyFill="1" applyFont="1">
      <alignment horizontal="center" readingOrder="0" vertical="center"/>
    </xf>
    <xf borderId="0" fillId="4" fontId="3" numFmtId="0" xfId="0" applyAlignment="1" applyFill="1" applyFont="1">
      <alignment horizontal="center" readingOrder="0" vertical="center"/>
    </xf>
    <xf borderId="0" fillId="5" fontId="3" numFmtId="0" xfId="0" applyAlignment="1" applyFill="1" applyFont="1">
      <alignment horizontal="center" readingOrder="0" vertical="center"/>
    </xf>
    <xf borderId="0" fillId="6" fontId="3" numFmtId="0" xfId="0" applyAlignment="1" applyFill="1" applyFont="1">
      <alignment horizontal="center" readingOrder="0" vertical="center"/>
    </xf>
    <xf borderId="0" fillId="3" fontId="4" numFmtId="0" xfId="0" applyAlignment="1" applyFont="1">
      <alignment horizontal="center" vertical="center"/>
    </xf>
    <xf borderId="0" fillId="4" fontId="4" numFmtId="0" xfId="0" applyAlignment="1" applyFont="1">
      <alignment horizontal="center" vertical="center"/>
    </xf>
    <xf borderId="0" fillId="5" fontId="4" numFmtId="0" xfId="0" applyAlignment="1" applyFont="1">
      <alignment horizontal="center" vertical="center"/>
    </xf>
    <xf borderId="0" fillId="6" fontId="4" numFmtId="0" xfId="0" applyAlignment="1" applyFont="1">
      <alignment horizontal="center" vertical="center"/>
    </xf>
    <xf borderId="0" fillId="3" fontId="5" numFmtId="0" xfId="0" applyFont="1"/>
    <xf borderId="0" fillId="4" fontId="5" numFmtId="0" xfId="0" applyFont="1"/>
    <xf borderId="0" fillId="5" fontId="5" numFmtId="0" xfId="0" applyFont="1"/>
    <xf borderId="0" fillId="6" fontId="5" numFmtId="0" xfId="0" applyFont="1"/>
    <xf borderId="0" fillId="7" fontId="6" numFmtId="0" xfId="0" applyAlignment="1" applyFill="1" applyFont="1">
      <alignment horizontal="center" readingOrder="0"/>
    </xf>
    <xf borderId="0" fillId="7" fontId="7" numFmtId="164" xfId="0" applyAlignment="1" applyFont="1" applyNumberFormat="1">
      <alignment horizontal="center"/>
    </xf>
    <xf borderId="1" fillId="0" fontId="5" numFmtId="0" xfId="0" applyBorder="1" applyFont="1"/>
    <xf borderId="0" fillId="0" fontId="8" numFmtId="0" xfId="0" applyAlignment="1" applyFont="1">
      <alignment readingOrder="0"/>
    </xf>
    <xf borderId="0" fillId="2" fontId="9" numFmtId="0" xfId="0" applyAlignment="1" applyFont="1">
      <alignment horizontal="center" readingOrder="0"/>
    </xf>
    <xf borderId="0" fillId="8" fontId="10" numFmtId="0" xfId="0" applyAlignment="1" applyFill="1" applyFont="1">
      <alignment horizontal="center" readingOrder="0" vertical="center"/>
    </xf>
    <xf borderId="0" fillId="9" fontId="11" numFmtId="0" xfId="0" applyAlignment="1" applyFill="1" applyFont="1">
      <alignment readingOrder="0"/>
    </xf>
    <xf borderId="0" fillId="9" fontId="12" numFmtId="0" xfId="0" applyAlignment="1" applyFont="1">
      <alignment horizontal="right"/>
    </xf>
    <xf borderId="0" fillId="9" fontId="12" numFmtId="164" xfId="0" applyAlignment="1" applyFont="1" applyNumberFormat="1">
      <alignment horizontal="right"/>
    </xf>
    <xf borderId="0" fillId="8" fontId="13" numFmtId="0" xfId="0" applyAlignment="1" applyFont="1">
      <alignment horizontal="center" vertical="center"/>
    </xf>
    <xf borderId="0" fillId="10" fontId="10" numFmtId="0" xfId="0" applyAlignment="1" applyFill="1" applyFont="1">
      <alignment readingOrder="0"/>
    </xf>
    <xf borderId="0" fillId="10" fontId="14" numFmtId="0" xfId="0" applyAlignment="1" applyFont="1">
      <alignment horizontal="right"/>
    </xf>
    <xf borderId="0" fillId="10" fontId="14" numFmtId="164" xfId="0" applyAlignment="1" applyFont="1" applyNumberFormat="1">
      <alignment horizontal="right"/>
    </xf>
    <xf borderId="0" fillId="8" fontId="14" numFmtId="0" xfId="0" applyAlignment="1" applyFont="1">
      <alignment horizontal="center" readingOrder="0"/>
    </xf>
    <xf borderId="0" fillId="11" fontId="15" numFmtId="0" xfId="0" applyAlignment="1" applyFill="1" applyFont="1">
      <alignment readingOrder="0"/>
    </xf>
    <xf borderId="0" fillId="11" fontId="16" numFmtId="0" xfId="0" applyAlignment="1" applyFont="1">
      <alignment horizontal="right"/>
    </xf>
    <xf borderId="0" fillId="11" fontId="16" numFmtId="164" xfId="0" applyAlignment="1" applyFont="1" applyNumberFormat="1">
      <alignment horizontal="right"/>
    </xf>
    <xf borderId="0" fillId="10" fontId="17" numFmtId="0" xfId="0" applyAlignment="1" applyFont="1">
      <alignment horizontal="center" readingOrder="0"/>
    </xf>
    <xf borderId="0" fillId="12" fontId="18" numFmtId="0" xfId="0" applyAlignment="1" applyFill="1" applyFont="1">
      <alignment readingOrder="0"/>
    </xf>
    <xf borderId="0" fillId="12" fontId="19" numFmtId="0" xfId="0" applyAlignment="1" applyFont="1">
      <alignment horizontal="right"/>
    </xf>
    <xf borderId="0" fillId="12" fontId="19" numFmtId="164" xfId="0" applyAlignment="1" applyFont="1" applyNumberFormat="1">
      <alignment horizontal="right"/>
    </xf>
    <xf borderId="0" fillId="13" fontId="20" numFmtId="0" xfId="0" applyAlignment="1" applyFill="1" applyFont="1">
      <alignment readingOrder="0"/>
    </xf>
    <xf borderId="0" fillId="13" fontId="21" numFmtId="0" xfId="0" applyAlignment="1" applyFont="1">
      <alignment horizontal="right"/>
    </xf>
    <xf borderId="0" fillId="13" fontId="21" numFmtId="164" xfId="0" applyAlignment="1" applyFont="1" applyNumberFormat="1">
      <alignment horizontal="right"/>
    </xf>
    <xf borderId="0" fillId="7" fontId="2" numFmtId="0" xfId="0" applyAlignment="1" applyFont="1">
      <alignment horizontal="center" readingOrder="0"/>
    </xf>
    <xf borderId="0" fillId="14" fontId="22" numFmtId="0" xfId="0" applyAlignment="1" applyFill="1" applyFont="1">
      <alignment readingOrder="0"/>
    </xf>
    <xf borderId="0" fillId="14" fontId="23" numFmtId="0" xfId="0" applyAlignment="1" applyFont="1">
      <alignment horizontal="right"/>
    </xf>
    <xf borderId="0" fillId="14" fontId="23" numFmtId="164" xfId="0" applyAlignment="1" applyFont="1" applyNumberFormat="1">
      <alignment horizontal="right"/>
    </xf>
    <xf borderId="0" fillId="7" fontId="24" numFmtId="0" xfId="0" applyAlignment="1" applyFont="1">
      <alignment horizontal="center" vertical="center"/>
    </xf>
    <xf borderId="0" fillId="15" fontId="25" numFmtId="0" xfId="0" applyAlignment="1" applyFill="1" applyFont="1">
      <alignment readingOrder="0"/>
    </xf>
    <xf borderId="0" fillId="15" fontId="25" numFmtId="0" xfId="0" applyAlignment="1" applyFont="1">
      <alignment horizontal="center"/>
    </xf>
    <xf borderId="0" fillId="7" fontId="25" numFmtId="0" xfId="0" applyAlignment="1" applyFont="1">
      <alignment readingOrder="0"/>
    </xf>
    <xf borderId="0" fillId="7" fontId="25" numFmtId="0" xfId="0" applyAlignment="1" applyFont="1">
      <alignment horizontal="center"/>
    </xf>
    <xf borderId="0" fillId="3" fontId="9" numFmtId="0" xfId="0" applyAlignment="1" applyFont="1">
      <alignment readingOrder="0"/>
    </xf>
    <xf borderId="0" fillId="3" fontId="9" numFmtId="0" xfId="0" applyAlignment="1" applyFont="1">
      <alignment horizontal="center"/>
    </xf>
    <xf borderId="0" fillId="2" fontId="9" numFmtId="0" xfId="0" applyAlignment="1" applyFont="1">
      <alignment horizontal="center" readingOrder="0" vertical="center"/>
    </xf>
    <xf borderId="0" fillId="16" fontId="9" numFmtId="0" xfId="0" applyAlignment="1" applyFill="1" applyFont="1">
      <alignment horizontal="center" readingOrder="0" shrinkToFit="0" vertical="center" wrapText="1"/>
    </xf>
    <xf borderId="0" fillId="2" fontId="9" numFmtId="0" xfId="0" applyAlignment="1" applyFont="1">
      <alignment horizontal="center" readingOrder="0" shrinkToFit="0" vertical="center" wrapText="0"/>
    </xf>
    <xf borderId="0" fillId="2" fontId="9" numFmtId="0" xfId="0" applyAlignment="1" applyFont="1">
      <alignment horizontal="center" readingOrder="0" shrinkToFit="0" vertical="center" wrapText="1"/>
    </xf>
    <xf borderId="0" fillId="16" fontId="26" numFmtId="0" xfId="0" applyAlignment="1" applyFont="1">
      <alignment horizontal="center" readingOrder="0" shrinkToFit="0" vertical="center" wrapText="1"/>
    </xf>
    <xf borderId="0" fillId="16" fontId="9" numFmtId="0" xfId="0" applyAlignment="1" applyFont="1">
      <alignment horizontal="center" readingOrder="0" vertical="center"/>
    </xf>
    <xf borderId="0" fillId="17" fontId="27" numFmtId="0" xfId="0" applyAlignment="1" applyFill="1" applyFont="1">
      <alignment horizontal="center" readingOrder="0" shrinkToFit="0" vertical="center" wrapText="1"/>
    </xf>
    <xf borderId="0" fillId="18" fontId="27" numFmtId="0" xfId="0" applyAlignment="1" applyFill="1" applyFont="1">
      <alignment horizontal="center" readingOrder="0" shrinkToFit="0" vertical="center" wrapText="1"/>
    </xf>
    <xf borderId="0" fillId="19" fontId="27" numFmtId="0" xfId="0" applyAlignment="1" applyFill="1" applyFont="1">
      <alignment horizontal="center" readingOrder="0" shrinkToFit="0" vertical="center" wrapText="1"/>
    </xf>
    <xf borderId="0" fillId="20" fontId="9" numFmtId="0" xfId="0" applyAlignment="1" applyFill="1" applyFont="1">
      <alignment horizontal="center" readingOrder="0" shrinkToFit="0" vertical="center" wrapText="1"/>
    </xf>
    <xf borderId="2" fillId="15" fontId="28" numFmtId="0" xfId="0" applyAlignment="1" applyBorder="1" applyFont="1">
      <alignment horizontal="center" readingOrder="0" vertical="center"/>
    </xf>
    <xf borderId="3" fillId="0" fontId="5" numFmtId="0" xfId="0" applyAlignment="1" applyBorder="1" applyFont="1">
      <alignment horizontal="center" readingOrder="0" vertical="center"/>
    </xf>
    <xf borderId="3" fillId="0" fontId="29" numFmtId="0" xfId="0" applyAlignment="1" applyBorder="1" applyFont="1">
      <alignment horizontal="center" readingOrder="0" vertical="center"/>
    </xf>
    <xf borderId="3" fillId="0" fontId="30" numFmtId="0" xfId="0" applyAlignment="1" applyBorder="1" applyFont="1">
      <alignment horizontal="center" readingOrder="0" vertical="center"/>
    </xf>
    <xf borderId="3" fillId="0" fontId="31" numFmtId="0" xfId="0" applyAlignment="1" applyBorder="1" applyFont="1">
      <alignment horizontal="center" readingOrder="0" vertical="center"/>
    </xf>
    <xf borderId="3" fillId="0" fontId="5" numFmtId="0" xfId="0" applyAlignment="1" applyBorder="1" applyFont="1">
      <alignment horizontal="center" shrinkToFit="0" vertical="center" wrapText="1"/>
    </xf>
    <xf borderId="3" fillId="15" fontId="5" numFmtId="0" xfId="0" applyAlignment="1" applyBorder="1" applyFont="1">
      <alignment horizontal="center" vertical="center"/>
    </xf>
    <xf borderId="3" fillId="15" fontId="5" numFmtId="0" xfId="0" applyAlignment="1" applyBorder="1" applyFont="1">
      <alignment horizontal="center" readingOrder="0" vertical="center"/>
    </xf>
    <xf borderId="4" fillId="15" fontId="5" numFmtId="0" xfId="0" applyAlignment="1" applyBorder="1" applyFont="1">
      <alignment horizontal="center" readingOrder="0" vertical="center"/>
    </xf>
    <xf borderId="0" fillId="15" fontId="32" numFmtId="0" xfId="0" applyAlignment="1" applyFont="1">
      <alignment horizontal="center" readingOrder="0" vertical="center"/>
    </xf>
    <xf borderId="0" fillId="0" fontId="5" numFmtId="0" xfId="0" applyAlignment="1" applyFont="1">
      <alignment horizontal="center" readingOrder="0" vertical="center"/>
    </xf>
    <xf borderId="0" fillId="0" fontId="33" numFmtId="0" xfId="0" applyAlignment="1" applyFont="1">
      <alignment horizontal="center" readingOrder="0" vertical="center"/>
    </xf>
    <xf borderId="0" fillId="0" fontId="34" numFmtId="0" xfId="0" applyAlignment="1" applyFont="1">
      <alignment horizontal="center" readingOrder="0" vertical="center"/>
    </xf>
    <xf borderId="0" fillId="0" fontId="31" numFmtId="0" xfId="0" applyAlignment="1" applyFont="1">
      <alignment horizontal="center" readingOrder="0" vertical="center"/>
    </xf>
    <xf borderId="0" fillId="0" fontId="5" numFmtId="0" xfId="0" applyAlignment="1" applyFont="1">
      <alignment horizontal="center" readingOrder="0" shrinkToFit="0" vertical="center" wrapText="1"/>
    </xf>
    <xf borderId="0" fillId="15" fontId="5" numFmtId="0" xfId="0" applyAlignment="1" applyFont="1">
      <alignment horizontal="center" vertical="center"/>
    </xf>
    <xf borderId="2" fillId="15" fontId="35" numFmtId="0" xfId="0" applyAlignment="1" applyBorder="1" applyFont="1">
      <alignment horizontal="center" readingOrder="0" vertical="center"/>
    </xf>
    <xf borderId="3" fillId="21" fontId="36" numFmtId="0" xfId="0" applyAlignment="1" applyBorder="1" applyFill="1" applyFont="1">
      <alignment horizontal="center" readingOrder="0" vertical="center"/>
    </xf>
    <xf borderId="3" fillId="21" fontId="36" numFmtId="0" xfId="0" applyAlignment="1" applyBorder="1" applyFont="1">
      <alignment horizontal="center" vertical="center"/>
    </xf>
    <xf borderId="3" fillId="21" fontId="36" numFmtId="0" xfId="0" applyAlignment="1" applyBorder="1" applyFont="1">
      <alignment horizontal="center" readingOrder="0" vertical="center"/>
    </xf>
    <xf borderId="3" fillId="0" fontId="5" numFmtId="0" xfId="0" applyAlignment="1" applyBorder="1" applyFont="1">
      <alignment horizontal="center" readingOrder="0" vertical="center"/>
    </xf>
    <xf borderId="3" fillId="21" fontId="36" numFmtId="0" xfId="0" applyAlignment="1" applyBorder="1" applyFont="1">
      <alignment horizontal="center" readingOrder="0" shrinkToFit="0" vertical="center" wrapText="1"/>
    </xf>
    <xf borderId="4" fillId="15" fontId="5" numFmtId="0" xfId="0" applyAlignment="1" applyBorder="1" applyFont="1">
      <alignment horizontal="center" vertical="center"/>
    </xf>
    <xf borderId="0" fillId="15" fontId="37" numFmtId="0" xfId="0" applyAlignment="1" applyFont="1">
      <alignment shrinkToFit="0" vertical="bottom" wrapText="0"/>
    </xf>
    <xf borderId="0" fillId="0" fontId="31" numFmtId="0" xfId="0" applyAlignment="1" applyFont="1">
      <alignment shrinkToFit="0" vertical="bottom" wrapText="0"/>
    </xf>
    <xf borderId="0" fillId="0" fontId="5" numFmtId="0" xfId="0" applyAlignment="1" applyFont="1">
      <alignment horizontal="center" readingOrder="0" vertical="center"/>
    </xf>
    <xf borderId="0" fillId="0" fontId="38" numFmtId="0" xfId="0" applyAlignment="1" applyFont="1">
      <alignment shrinkToFit="0" vertical="bottom" wrapText="0"/>
    </xf>
    <xf borderId="0" fillId="15" fontId="31" numFmtId="0" xfId="0" applyAlignment="1" applyFont="1">
      <alignment shrinkToFit="0" vertical="bottom" wrapText="0"/>
    </xf>
    <xf borderId="0" fillId="0" fontId="5" numFmtId="0" xfId="0" applyAlignment="1" applyFont="1">
      <alignment horizontal="center" vertical="center"/>
    </xf>
    <xf borderId="0" fillId="0" fontId="39" numFmtId="0" xfId="0" applyAlignment="1" applyFont="1">
      <alignment horizontal="center" readingOrder="0" shrinkToFit="0" vertical="center" wrapText="1"/>
    </xf>
    <xf borderId="2" fillId="15" fontId="5" numFmtId="0" xfId="0" applyAlignment="1" applyBorder="1" applyFont="1">
      <alignment horizontal="center" vertical="center"/>
    </xf>
    <xf borderId="3" fillId="22" fontId="5" numFmtId="0" xfId="0" applyAlignment="1" applyBorder="1" applyFill="1" applyFont="1">
      <alignment horizontal="center" readingOrder="0" vertical="center"/>
    </xf>
    <xf borderId="3" fillId="22" fontId="40" numFmtId="0" xfId="0" applyAlignment="1" applyBorder="1" applyFont="1">
      <alignment horizontal="center" readingOrder="0" vertical="center"/>
    </xf>
    <xf borderId="3" fillId="22" fontId="5" numFmtId="0" xfId="0" applyAlignment="1" applyBorder="1" applyFont="1">
      <alignment horizontal="center" vertical="center"/>
    </xf>
    <xf borderId="3" fillId="22" fontId="5" numFmtId="0" xfId="0" applyAlignment="1" applyBorder="1" applyFont="1">
      <alignment horizontal="center" readingOrder="0" vertical="center"/>
    </xf>
    <xf borderId="3" fillId="22" fontId="41" numFmtId="0" xfId="0" applyAlignment="1" applyBorder="1" applyFont="1">
      <alignment horizontal="center" readingOrder="0" shrinkToFit="0" vertical="center" wrapText="1"/>
    </xf>
    <xf borderId="2" fillId="15" fontId="42" numFmtId="0" xfId="0" applyAlignment="1" applyBorder="1" applyFont="1">
      <alignment horizontal="center" vertical="center"/>
    </xf>
    <xf borderId="3" fillId="23" fontId="5" numFmtId="0" xfId="0" applyAlignment="1" applyBorder="1" applyFill="1" applyFont="1">
      <alignment horizontal="center" readingOrder="0" vertical="center"/>
    </xf>
    <xf borderId="3" fillId="23" fontId="43" numFmtId="0" xfId="0" applyAlignment="1" applyBorder="1" applyFont="1">
      <alignment horizontal="center" readingOrder="0" vertical="center"/>
    </xf>
    <xf borderId="3" fillId="15" fontId="44" numFmtId="0" xfId="0" applyAlignment="1" applyBorder="1" applyFont="1">
      <alignment shrinkToFit="0" vertical="bottom" wrapText="0"/>
    </xf>
    <xf borderId="3" fillId="0" fontId="45" numFmtId="0" xfId="0" applyAlignment="1" applyBorder="1" applyFont="1">
      <alignment vertical="bottom"/>
    </xf>
    <xf borderId="3" fillId="23" fontId="46" numFmtId="0" xfId="0" applyAlignment="1" applyBorder="1" applyFont="1">
      <alignment horizontal="center" readingOrder="0" vertical="center"/>
    </xf>
    <xf borderId="3" fillId="23" fontId="5" numFmtId="0" xfId="0" applyAlignment="1" applyBorder="1" applyFont="1">
      <alignment horizontal="center" shrinkToFit="0" vertical="center" wrapText="1"/>
    </xf>
    <xf borderId="3" fillId="15" fontId="31" numFmtId="0" xfId="0" applyAlignment="1" applyBorder="1" applyFont="1">
      <alignment shrinkToFit="0" vertical="bottom" wrapText="0"/>
    </xf>
    <xf borderId="3" fillId="0" fontId="47" numFmtId="0" xfId="0" applyAlignment="1" applyBorder="1" applyFont="1">
      <alignment shrinkToFit="0" vertical="bottom" wrapText="0"/>
    </xf>
    <xf borderId="3" fillId="0" fontId="5" numFmtId="0" xfId="0" applyAlignment="1" applyBorder="1" applyFont="1">
      <alignment horizontal="center" vertical="center"/>
    </xf>
    <xf borderId="3" fillId="23" fontId="5" numFmtId="0" xfId="0" applyAlignment="1" applyBorder="1" applyFont="1">
      <alignment horizontal="center" readingOrder="0"/>
    </xf>
    <xf borderId="3" fillId="0" fontId="48" numFmtId="0" xfId="0" applyAlignment="1" applyBorder="1" applyFont="1">
      <alignment shrinkToFit="0" vertical="bottom" wrapText="0"/>
    </xf>
    <xf borderId="3" fillId="23" fontId="5" numFmtId="0" xfId="0" applyAlignment="1" applyBorder="1" applyFont="1">
      <alignment horizontal="center" readingOrder="0" shrinkToFit="0" vertical="center" wrapText="1"/>
    </xf>
    <xf borderId="2" fillId="15" fontId="32" numFmtId="0" xfId="0" applyAlignment="1" applyBorder="1" applyFont="1">
      <alignment horizontal="center" readingOrder="0" vertical="center"/>
    </xf>
    <xf borderId="3" fillId="0" fontId="49" numFmtId="0" xfId="0" applyAlignment="1" applyBorder="1" applyFont="1">
      <alignment horizontal="center" readingOrder="0" vertical="center"/>
    </xf>
    <xf borderId="3" fillId="0" fontId="31" numFmtId="0" xfId="0" applyAlignment="1" applyBorder="1" applyFont="1">
      <alignment horizontal="center" readingOrder="0" vertical="center"/>
    </xf>
    <xf borderId="3" fillId="0" fontId="5" numFmtId="0" xfId="0" applyBorder="1" applyFont="1"/>
    <xf borderId="3" fillId="15" fontId="5" numFmtId="165" xfId="0" applyAlignment="1" applyBorder="1" applyFont="1" applyNumberFormat="1">
      <alignment horizontal="center" readingOrder="0" vertical="center"/>
    </xf>
    <xf borderId="4" fillId="15" fontId="5" numFmtId="165" xfId="0" applyAlignment="1" applyBorder="1" applyFont="1" applyNumberFormat="1">
      <alignment horizontal="center" readingOrder="0" vertical="center"/>
    </xf>
    <xf borderId="0" fillId="0" fontId="50" numFmtId="0" xfId="0" applyAlignment="1" applyFont="1">
      <alignment horizontal="center" readingOrder="0" vertical="center"/>
    </xf>
    <xf borderId="0" fillId="0" fontId="5" numFmtId="0" xfId="0" applyAlignment="1" applyFont="1">
      <alignment horizontal="center" shrinkToFit="0" vertical="center" wrapText="1"/>
    </xf>
    <xf borderId="0" fillId="15" fontId="31" numFmtId="0" xfId="0" applyAlignment="1" applyFont="1">
      <alignment shrinkToFit="0" vertical="bottom" wrapText="0"/>
    </xf>
    <xf borderId="0" fillId="15" fontId="28" numFmtId="0" xfId="0" applyAlignment="1" applyFont="1">
      <alignment horizontal="center" readingOrder="0" vertical="center"/>
    </xf>
    <xf borderId="0" fillId="23" fontId="5" numFmtId="0" xfId="0" applyAlignment="1" applyFont="1">
      <alignment horizontal="center" readingOrder="0" vertical="center"/>
    </xf>
    <xf borderId="0" fillId="23" fontId="5" numFmtId="0" xfId="0" applyAlignment="1" applyFont="1">
      <alignment horizontal="center" vertical="center"/>
    </xf>
    <xf borderId="0" fillId="23" fontId="5" numFmtId="0" xfId="0" applyAlignment="1" applyFont="1">
      <alignment horizontal="center" shrinkToFit="0" vertical="center" wrapText="1"/>
    </xf>
    <xf borderId="0" fillId="0" fontId="5" numFmtId="0" xfId="0" applyAlignment="1" applyFont="1">
      <alignment horizontal="center"/>
    </xf>
    <xf borderId="3" fillId="0" fontId="51" numFmtId="0" xfId="0" applyAlignment="1" applyBorder="1" applyFont="1">
      <alignment horizontal="center" readingOrder="0" vertical="center"/>
    </xf>
    <xf borderId="3" fillId="0" fontId="52" numFmtId="0" xfId="0" applyAlignment="1" applyBorder="1" applyFont="1">
      <alignment readingOrder="0" shrinkToFit="0" vertical="bottom" wrapText="0"/>
    </xf>
    <xf borderId="3" fillId="0" fontId="5" numFmtId="0" xfId="0" applyAlignment="1" applyBorder="1" applyFont="1">
      <alignment horizontal="center" readingOrder="0" shrinkToFit="0" vertical="center" wrapText="1"/>
    </xf>
    <xf borderId="3" fillId="0" fontId="36" numFmtId="0" xfId="0" applyAlignment="1" applyBorder="1" applyFont="1">
      <alignment horizontal="center" readingOrder="0" vertical="center"/>
    </xf>
    <xf borderId="3" fillId="0" fontId="53" numFmtId="0" xfId="0" applyAlignment="1" applyBorder="1" applyFont="1">
      <alignment horizontal="center" readingOrder="0" vertical="center"/>
    </xf>
    <xf borderId="0" fillId="0" fontId="31" numFmtId="0" xfId="0" applyAlignment="1" applyFont="1">
      <alignment horizontal="center" readingOrder="0" vertical="center"/>
    </xf>
    <xf borderId="0" fillId="0" fontId="54" numFmtId="0" xfId="0" applyAlignment="1" applyFont="1">
      <alignment horizontal="center" readingOrder="0" vertical="center"/>
    </xf>
    <xf borderId="0" fillId="0" fontId="5" numFmtId="0" xfId="0" applyAlignment="1" applyFont="1">
      <alignment horizontal="center" readingOrder="0" shrinkToFit="0" vertical="center" wrapText="0"/>
    </xf>
    <xf borderId="2" fillId="15" fontId="36" numFmtId="0" xfId="0" applyAlignment="1" applyBorder="1" applyFont="1">
      <alignment horizontal="center" readingOrder="0" vertical="center"/>
    </xf>
    <xf borderId="3" fillId="0" fontId="55" numFmtId="0" xfId="0" applyAlignment="1" applyBorder="1" applyFont="1">
      <alignment horizontal="center" readingOrder="0" vertical="center"/>
    </xf>
    <xf borderId="2" fillId="15" fontId="5" numFmtId="0" xfId="0" applyAlignment="1" applyBorder="1" applyFont="1">
      <alignment horizontal="center" readingOrder="0" vertical="center"/>
    </xf>
    <xf borderId="0" fillId="15" fontId="42" numFmtId="0" xfId="0" applyAlignment="1" applyFont="1">
      <alignment horizontal="center" readingOrder="0" vertical="center"/>
    </xf>
    <xf borderId="3" fillId="0" fontId="31" numFmtId="0" xfId="0" applyAlignment="1" applyBorder="1" applyFont="1">
      <alignment horizontal="center" readingOrder="0" shrinkToFit="0" vertical="center" wrapText="1"/>
    </xf>
    <xf borderId="0" fillId="0" fontId="36" numFmtId="0" xfId="0" applyAlignment="1" applyFont="1">
      <alignment horizontal="center" readingOrder="0" vertical="center"/>
    </xf>
    <xf borderId="0" fillId="0" fontId="56" numFmtId="0" xfId="0" applyAlignment="1" applyFont="1">
      <alignment horizontal="center" readingOrder="0" vertical="center"/>
    </xf>
    <xf borderId="0" fillId="0" fontId="31"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3" fillId="0" fontId="5" numFmtId="0" xfId="0" applyAlignment="1" applyBorder="1" applyFont="1">
      <alignment horizontal="center" readingOrder="0" shrinkToFit="0" vertical="center" wrapText="1"/>
    </xf>
    <xf borderId="3" fillId="0" fontId="31" numFmtId="0" xfId="0" applyAlignment="1" applyBorder="1" applyFont="1">
      <alignment horizontal="center" vertical="center"/>
    </xf>
    <xf borderId="2" fillId="15" fontId="42" numFmtId="0" xfId="0" applyAlignment="1" applyBorder="1" applyFont="1">
      <alignment horizontal="center" readingOrder="0" vertical="center"/>
    </xf>
    <xf borderId="3" fillId="0" fontId="31" numFmtId="0" xfId="0" applyAlignment="1" applyBorder="1" applyFont="1">
      <alignment horizontal="center" readingOrder="0" shrinkToFit="0" vertical="center" wrapText="1"/>
    </xf>
    <xf borderId="0" fillId="15" fontId="5" numFmtId="0" xfId="0" applyAlignment="1" applyFont="1">
      <alignment horizontal="center" readingOrder="0" vertical="center"/>
    </xf>
    <xf borderId="0" fillId="0" fontId="31" numFmtId="0" xfId="0" applyAlignment="1" applyFont="1">
      <alignment horizontal="center" vertical="center"/>
    </xf>
    <xf borderId="0" fillId="15" fontId="31" numFmtId="0" xfId="0" applyAlignment="1" applyFont="1">
      <alignment horizontal="center" readingOrder="0" vertical="center"/>
    </xf>
    <xf borderId="0" fillId="0" fontId="57" numFmtId="0" xfId="0" applyAlignment="1" applyFont="1">
      <alignment horizontal="center" readingOrder="0" vertical="center"/>
    </xf>
    <xf borderId="2" fillId="15" fontId="58" numFmtId="0" xfId="0" applyAlignment="1" applyBorder="1" applyFont="1">
      <alignment horizontal="center" readingOrder="0" vertical="center"/>
    </xf>
    <xf borderId="2" fillId="15" fontId="59" numFmtId="0" xfId="0" applyAlignment="1" applyBorder="1" applyFont="1">
      <alignment horizontal="center" readingOrder="0" vertical="center"/>
    </xf>
    <xf borderId="3" fillId="0" fontId="60" numFmtId="0" xfId="0" applyAlignment="1" applyBorder="1" applyFont="1">
      <alignment horizontal="center" readingOrder="0" vertical="center"/>
    </xf>
    <xf borderId="2" fillId="15" fontId="31" numFmtId="0" xfId="0" applyAlignment="1" applyBorder="1" applyFont="1">
      <alignment horizontal="center" readingOrder="0" vertical="center"/>
    </xf>
    <xf borderId="3" fillId="0" fontId="61" numFmtId="0" xfId="0" applyAlignment="1" applyBorder="1" applyFont="1">
      <alignment horizontal="center" readingOrder="0" shrinkToFit="0" vertical="center" wrapText="1"/>
    </xf>
    <xf borderId="0" fillId="0" fontId="62" numFmtId="0" xfId="0" applyAlignment="1" applyFont="1">
      <alignment horizontal="center" readingOrder="0" vertical="center"/>
    </xf>
    <xf borderId="0" fillId="0" fontId="63" numFmtId="0" xfId="0" applyAlignment="1" applyFont="1">
      <alignment horizontal="center" readingOrder="0" shrinkToFit="0" vertical="center" wrapText="1"/>
    </xf>
    <xf borderId="0" fillId="24" fontId="5" numFmtId="0" xfId="0" applyAlignment="1" applyFill="1" applyFont="1">
      <alignment horizontal="center" readingOrder="0" vertical="center"/>
    </xf>
    <xf borderId="0" fillId="24" fontId="31" numFmtId="0" xfId="0" applyAlignment="1" applyFont="1">
      <alignment horizontal="center" readingOrder="0" vertical="center"/>
    </xf>
    <xf borderId="0" fillId="24" fontId="64" numFmtId="0" xfId="0" applyAlignment="1" applyFont="1">
      <alignment horizontal="center" readingOrder="0" vertical="center"/>
    </xf>
    <xf borderId="0" fillId="24" fontId="5" numFmtId="0" xfId="0" applyAlignment="1" applyFont="1">
      <alignment horizontal="center" readingOrder="0" vertical="center"/>
    </xf>
    <xf borderId="0" fillId="24" fontId="31" numFmtId="0" xfId="0" applyAlignment="1" applyFont="1">
      <alignment horizontal="center" readingOrder="0" vertical="center"/>
    </xf>
    <xf borderId="0" fillId="24" fontId="31" numFmtId="0" xfId="0" applyAlignment="1" applyFont="1">
      <alignment horizontal="center" readingOrder="0" shrinkToFit="0" vertical="center" wrapText="1"/>
    </xf>
    <xf borderId="3" fillId="0" fontId="5" numFmtId="10" xfId="0" applyAlignment="1" applyBorder="1" applyFont="1" applyNumberFormat="1">
      <alignment horizontal="center" readingOrder="0" vertical="center"/>
    </xf>
    <xf borderId="3" fillId="25" fontId="5" numFmtId="0" xfId="0" applyAlignment="1" applyBorder="1" applyFill="1" applyFont="1">
      <alignment horizontal="center" readingOrder="0" vertical="center"/>
    </xf>
    <xf borderId="3" fillId="25" fontId="31" numFmtId="0" xfId="0" applyAlignment="1" applyBorder="1" applyFont="1">
      <alignment horizontal="center" readingOrder="0" vertical="center"/>
    </xf>
    <xf borderId="3" fillId="25" fontId="65" numFmtId="0" xfId="0" applyAlignment="1" applyBorder="1" applyFont="1">
      <alignment horizontal="center" readingOrder="0" vertical="center"/>
    </xf>
    <xf borderId="3" fillId="25" fontId="5" numFmtId="0" xfId="0" applyAlignment="1" applyBorder="1" applyFont="1">
      <alignment horizontal="center" vertical="center"/>
    </xf>
    <xf borderId="3" fillId="0" fontId="31" numFmtId="0" xfId="0" applyAlignment="1" applyBorder="1" applyFont="1">
      <alignment shrinkToFit="0" vertical="bottom" wrapText="0"/>
    </xf>
    <xf borderId="3" fillId="25" fontId="5" numFmtId="0" xfId="0" applyAlignment="1" applyBorder="1" applyFont="1">
      <alignment horizontal="center" readingOrder="0" vertical="center"/>
    </xf>
    <xf borderId="3" fillId="25" fontId="5" numFmtId="0" xfId="0" applyAlignment="1" applyBorder="1" applyFont="1">
      <alignment horizontal="center" readingOrder="0" shrinkToFit="0" vertical="center" wrapText="1"/>
    </xf>
    <xf borderId="3" fillId="23" fontId="31" numFmtId="0" xfId="0" applyAlignment="1" applyBorder="1" applyFont="1">
      <alignment horizontal="center" readingOrder="0" vertical="center"/>
    </xf>
    <xf borderId="3" fillId="23" fontId="5" numFmtId="0" xfId="0" applyAlignment="1" applyBorder="1" applyFont="1">
      <alignment horizontal="center" readingOrder="0" vertical="center"/>
    </xf>
    <xf borderId="3" fillId="23" fontId="5" numFmtId="0" xfId="0" applyAlignment="1" applyBorder="1" applyFont="1">
      <alignment horizontal="center" readingOrder="0" shrinkToFit="0" vertical="center" wrapText="1"/>
    </xf>
    <xf borderId="0" fillId="23" fontId="31" numFmtId="0" xfId="0" applyAlignment="1" applyFont="1">
      <alignment horizontal="center" readingOrder="0" vertical="center"/>
    </xf>
    <xf borderId="0" fillId="23" fontId="5" numFmtId="0" xfId="0" applyAlignment="1" applyFont="1">
      <alignment horizontal="center" readingOrder="0" vertical="center"/>
    </xf>
    <xf borderId="0" fillId="23" fontId="5" numFmtId="0" xfId="0" applyAlignment="1" applyFont="1">
      <alignment horizontal="center" readingOrder="0" shrinkToFit="0" vertical="center" wrapText="1"/>
    </xf>
    <xf borderId="3" fillId="23" fontId="5" numFmtId="0" xfId="0" applyAlignment="1" applyBorder="1" applyFont="1">
      <alignment horizontal="center" vertical="center"/>
    </xf>
    <xf borderId="3" fillId="0" fontId="66" numFmtId="0" xfId="0" applyAlignment="1" applyBorder="1" applyFont="1">
      <alignment horizontal="center" readingOrder="0" shrinkToFit="0" vertical="center" wrapText="1"/>
    </xf>
    <xf borderId="0" fillId="24" fontId="5" numFmtId="0" xfId="0" applyAlignment="1" applyFont="1">
      <alignment horizontal="center" vertical="center"/>
    </xf>
    <xf borderId="0" fillId="24" fontId="67" numFmtId="0" xfId="0" applyAlignment="1" applyFont="1">
      <alignment horizontal="center" readingOrder="0" shrinkToFit="0" vertical="center" wrapText="1"/>
    </xf>
    <xf borderId="0" fillId="23" fontId="68" numFmtId="0" xfId="0" applyAlignment="1" applyFont="1">
      <alignment horizontal="center" readingOrder="0" vertical="center"/>
    </xf>
    <xf borderId="0" fillId="23" fontId="69" numFmtId="0" xfId="0" applyAlignment="1" applyFont="1">
      <alignment horizontal="center" readingOrder="0" shrinkToFit="0" vertical="center" wrapText="1"/>
    </xf>
    <xf borderId="3" fillId="24" fontId="5" numFmtId="0" xfId="0" applyAlignment="1" applyBorder="1" applyFont="1">
      <alignment horizontal="center" readingOrder="0" vertical="center"/>
    </xf>
    <xf borderId="3" fillId="24" fontId="31" numFmtId="0" xfId="0" applyAlignment="1" applyBorder="1" applyFont="1">
      <alignment horizontal="center" readingOrder="0" vertical="center"/>
    </xf>
    <xf borderId="3" fillId="24" fontId="70" numFmtId="0" xfId="0" applyAlignment="1" applyBorder="1" applyFont="1">
      <alignment horizontal="center" readingOrder="0" vertical="center"/>
    </xf>
    <xf borderId="3" fillId="24" fontId="5" numFmtId="0" xfId="0" applyAlignment="1" applyBorder="1" applyFont="1">
      <alignment horizontal="center" readingOrder="0" vertical="center"/>
    </xf>
    <xf borderId="3" fillId="24" fontId="5" numFmtId="0" xfId="0" applyAlignment="1" applyBorder="1" applyFont="1">
      <alignment horizontal="center" readingOrder="0" shrinkToFit="0" vertical="center" wrapText="1"/>
    </xf>
    <xf borderId="3" fillId="23" fontId="71" numFmtId="0" xfId="0" applyAlignment="1" applyBorder="1" applyFont="1">
      <alignment horizontal="center" readingOrder="0" vertical="center"/>
    </xf>
    <xf borderId="3" fillId="23" fontId="72" numFmtId="0" xfId="0" applyAlignment="1" applyBorder="1" applyFont="1">
      <alignment horizontal="center" readingOrder="0" vertical="center"/>
    </xf>
    <xf borderId="3" fillId="23" fontId="73" numFmtId="0" xfId="0" applyAlignment="1" applyBorder="1" applyFont="1">
      <alignment horizontal="center" readingOrder="0" vertical="center"/>
    </xf>
    <xf borderId="3" fillId="23" fontId="71" numFmtId="0" xfId="0" applyAlignment="1" applyBorder="1" applyFont="1">
      <alignment horizontal="center" readingOrder="0" vertical="center"/>
    </xf>
    <xf borderId="3" fillId="23" fontId="71" numFmtId="0" xfId="0" applyAlignment="1" applyBorder="1" applyFont="1">
      <alignment horizontal="center" readingOrder="0" shrinkToFit="0" vertical="center" wrapText="1"/>
    </xf>
    <xf borderId="3" fillId="0" fontId="71" numFmtId="0" xfId="0" applyAlignment="1" applyBorder="1" applyFont="1">
      <alignment horizontal="center" readingOrder="0" vertical="center"/>
    </xf>
    <xf borderId="3" fillId="0" fontId="72" numFmtId="0" xfId="0" applyAlignment="1" applyBorder="1" applyFont="1">
      <alignment horizontal="center" readingOrder="0" vertical="center"/>
    </xf>
    <xf borderId="3" fillId="0" fontId="71" numFmtId="0" xfId="0" applyAlignment="1" applyBorder="1" applyFont="1">
      <alignment horizontal="center" readingOrder="0" vertical="center"/>
    </xf>
    <xf borderId="3" fillId="0" fontId="71" numFmtId="0" xfId="0" applyAlignment="1" applyBorder="1" applyFont="1">
      <alignment horizontal="center" vertical="center"/>
    </xf>
    <xf borderId="3" fillId="0" fontId="74" numFmtId="0" xfId="0" applyAlignment="1" applyBorder="1" applyFont="1">
      <alignment horizontal="center" readingOrder="0" vertical="center"/>
    </xf>
    <xf borderId="3" fillId="0" fontId="71" numFmtId="0" xfId="0" applyAlignment="1" applyBorder="1" applyFont="1">
      <alignment horizontal="center" readingOrder="0" shrinkToFit="0" vertical="center" wrapText="1"/>
    </xf>
    <xf borderId="3" fillId="15" fontId="75" numFmtId="0" xfId="0" applyAlignment="1" applyBorder="1" applyFont="1">
      <alignment readingOrder="0" shrinkToFit="0" vertical="bottom" wrapText="0"/>
    </xf>
    <xf borderId="3" fillId="0" fontId="76" numFmtId="0" xfId="0" applyAlignment="1" applyBorder="1" applyFont="1">
      <alignment horizontal="center" readingOrder="0"/>
    </xf>
    <xf borderId="3" fillId="23" fontId="71" numFmtId="0" xfId="0" applyAlignment="1" applyBorder="1" applyFont="1">
      <alignment horizontal="center" vertical="center"/>
    </xf>
    <xf borderId="3" fillId="23" fontId="77" numFmtId="0" xfId="0" applyAlignment="1" applyBorder="1" applyFont="1">
      <alignment horizontal="center" readingOrder="0" vertical="center"/>
    </xf>
    <xf borderId="3" fillId="12" fontId="78" numFmtId="0" xfId="0" applyAlignment="1" applyBorder="1" applyFont="1">
      <alignment horizontal="center" readingOrder="0" vertical="center"/>
    </xf>
    <xf borderId="3" fillId="23" fontId="79" numFmtId="0" xfId="0" applyAlignment="1" applyBorder="1" applyFont="1">
      <alignment horizontal="center" readingOrder="0" vertical="center"/>
    </xf>
    <xf borderId="3" fillId="25" fontId="71" numFmtId="0" xfId="0" applyAlignment="1" applyBorder="1" applyFont="1">
      <alignment horizontal="center" readingOrder="0" vertical="center"/>
    </xf>
    <xf borderId="3" fillId="26" fontId="5" numFmtId="0" xfId="0" applyAlignment="1" applyBorder="1" applyFill="1" applyFont="1">
      <alignment horizontal="center" readingOrder="0" vertical="center"/>
    </xf>
    <xf borderId="3" fillId="26" fontId="80" numFmtId="0" xfId="0" applyAlignment="1" applyBorder="1" applyFont="1">
      <alignment horizontal="center" readingOrder="0" vertical="center"/>
    </xf>
    <xf borderId="3" fillId="26" fontId="81" numFmtId="0" xfId="0" applyAlignment="1" applyBorder="1" applyFont="1">
      <alignment horizontal="center" readingOrder="0"/>
    </xf>
    <xf borderId="3" fillId="26" fontId="5" numFmtId="0" xfId="0" applyAlignment="1" applyBorder="1" applyFont="1">
      <alignment horizontal="center" vertical="center"/>
    </xf>
    <xf borderId="3" fillId="26" fontId="5" numFmtId="0" xfId="0" applyAlignment="1" applyBorder="1" applyFont="1">
      <alignment horizontal="center" shrinkToFit="0" vertical="center" wrapText="1"/>
    </xf>
    <xf borderId="0" fillId="0" fontId="82" numFmtId="0" xfId="0" applyAlignment="1" applyFont="1">
      <alignment shrinkToFit="0" vertical="bottom" wrapText="0"/>
    </xf>
    <xf borderId="3" fillId="0" fontId="5" numFmtId="0" xfId="0" applyAlignment="1" applyBorder="1" applyFont="1">
      <alignment horizontal="center" readingOrder="0"/>
    </xf>
    <xf borderId="3" fillId="26" fontId="36" numFmtId="0" xfId="0" applyAlignment="1" applyBorder="1" applyFont="1">
      <alignment horizontal="center" readingOrder="0" vertical="center"/>
    </xf>
    <xf borderId="3" fillId="26" fontId="5" numFmtId="0" xfId="0" applyAlignment="1" applyBorder="1" applyFont="1">
      <alignment horizontal="center" readingOrder="0" vertical="center"/>
    </xf>
    <xf borderId="3" fillId="26" fontId="83" numFmtId="0" xfId="0" applyAlignment="1" applyBorder="1" applyFont="1">
      <alignment horizontal="center" readingOrder="0" shrinkToFit="0" vertical="center" wrapText="1"/>
    </xf>
    <xf borderId="0" fillId="0" fontId="84" numFmtId="0" xfId="0" applyAlignment="1" applyFont="1">
      <alignment horizontal="center" readingOrder="0"/>
    </xf>
    <xf borderId="3" fillId="15" fontId="85" numFmtId="0" xfId="0" applyAlignment="1" applyBorder="1" applyFont="1">
      <alignment horizontal="center" readingOrder="0"/>
    </xf>
    <xf borderId="3" fillId="0" fontId="51" numFmtId="0" xfId="0" applyAlignment="1" applyBorder="1" applyFont="1">
      <alignment horizontal="center" readingOrder="0" shrinkToFit="0" vertical="center" wrapText="1"/>
    </xf>
    <xf borderId="0" fillId="0" fontId="5" numFmtId="0" xfId="0" applyAlignment="1" applyFont="1">
      <alignment horizontal="center" readingOrder="0"/>
    </xf>
    <xf borderId="3" fillId="0" fontId="86" numFmtId="0" xfId="0" applyAlignment="1" applyBorder="1" applyFont="1">
      <alignment shrinkToFit="0" vertical="bottom" wrapText="0"/>
    </xf>
    <xf borderId="2" fillId="15" fontId="5" numFmtId="0" xfId="0" applyBorder="1" applyFont="1"/>
    <xf borderId="3" fillId="0" fontId="5" numFmtId="0" xfId="0" applyAlignment="1" applyBorder="1" applyFont="1">
      <alignment horizontal="center"/>
    </xf>
    <xf borderId="3" fillId="0" fontId="51" numFmtId="0" xfId="0" applyAlignment="1" applyBorder="1" applyFont="1">
      <alignment horizontal="center" readingOrder="0" shrinkToFit="0" wrapText="1"/>
    </xf>
    <xf borderId="3" fillId="0" fontId="87" numFmtId="0" xfId="0" applyAlignment="1" applyBorder="1" applyFont="1">
      <alignment horizontal="center" readingOrder="0" shrinkToFit="0" wrapText="1"/>
    </xf>
    <xf borderId="3" fillId="0" fontId="31" numFmtId="0" xfId="0" applyAlignment="1" applyBorder="1" applyFont="1">
      <alignment shrinkToFit="0" vertical="bottom" wrapText="0"/>
    </xf>
    <xf borderId="3" fillId="0" fontId="88" numFmtId="0" xfId="0" applyAlignment="1" applyBorder="1" applyFont="1">
      <alignment horizontal="center" readingOrder="0" shrinkToFit="0" wrapText="1"/>
    </xf>
    <xf borderId="3" fillId="0" fontId="89" numFmtId="0" xfId="0" applyAlignment="1" applyBorder="1" applyFont="1">
      <alignment horizontal="center" readingOrder="0" shrinkToFit="0" wrapText="1"/>
    </xf>
    <xf borderId="3" fillId="15" fontId="5" numFmtId="0" xfId="0" applyAlignment="1" applyBorder="1" applyFont="1">
      <alignment readingOrder="0"/>
    </xf>
    <xf borderId="3" fillId="15" fontId="5" numFmtId="0" xfId="0" applyBorder="1" applyFont="1"/>
    <xf borderId="3" fillId="0" fontId="90" numFmtId="0" xfId="0" applyAlignment="1" applyBorder="1" applyFont="1">
      <alignment readingOrder="0" shrinkToFit="0" vertical="bottom" wrapText="0"/>
    </xf>
    <xf borderId="3" fillId="0" fontId="91" numFmtId="0" xfId="0" applyAlignment="1" applyBorder="1" applyFont="1">
      <alignment horizontal="center" readingOrder="0" shrinkToFit="0" vertical="center" wrapText="1"/>
    </xf>
    <xf borderId="3" fillId="15" fontId="92" numFmtId="0" xfId="0" applyAlignment="1" applyBorder="1" applyFont="1">
      <alignment horizontal="center" readingOrder="0"/>
    </xf>
    <xf borderId="3" fillId="0" fontId="93" numFmtId="0" xfId="0" applyAlignment="1" applyBorder="1" applyFont="1">
      <alignment horizontal="center" readingOrder="0" shrinkToFit="0" vertical="center" wrapText="1"/>
    </xf>
    <xf borderId="3" fillId="15" fontId="42" numFmtId="0" xfId="0" applyAlignment="1" applyBorder="1" applyFont="1">
      <alignment horizontal="center" readingOrder="0" vertical="center"/>
    </xf>
    <xf borderId="2" fillId="15" fontId="71" numFmtId="0" xfId="0" applyAlignment="1" applyBorder="1" applyFont="1">
      <alignment horizontal="center" vertical="center"/>
    </xf>
    <xf borderId="3" fillId="0" fontId="71" numFmtId="0" xfId="0" applyAlignment="1" applyBorder="1" applyFont="1">
      <alignment horizontal="center" shrinkToFit="0" vertical="center" wrapText="1"/>
    </xf>
    <xf borderId="3" fillId="15" fontId="71" numFmtId="0" xfId="0" applyAlignment="1" applyBorder="1" applyFont="1">
      <alignment horizontal="center" vertical="center"/>
    </xf>
    <xf borderId="4" fillId="15" fontId="71" numFmtId="0" xfId="0" applyAlignment="1" applyBorder="1" applyFont="1">
      <alignment horizontal="center" vertical="center"/>
    </xf>
    <xf borderId="3" fillId="0" fontId="71" numFmtId="0" xfId="0" applyAlignment="1" applyBorder="1" applyFont="1">
      <alignment horizontal="center" readingOrder="0" shrinkToFit="0" vertical="center" wrapText="1"/>
    </xf>
    <xf borderId="3" fillId="15" fontId="71" numFmtId="0" xfId="0" applyAlignment="1" applyBorder="1" applyFont="1">
      <alignment horizontal="center" readingOrder="0" vertical="center"/>
    </xf>
    <xf borderId="4" fillId="15" fontId="71" numFmtId="0" xfId="0" applyAlignment="1" applyBorder="1" applyFont="1">
      <alignment horizontal="center" readingOrder="0" vertical="center"/>
    </xf>
    <xf borderId="3" fillId="23" fontId="71" numFmtId="0" xfId="0" applyAlignment="1" applyBorder="1" applyFont="1">
      <alignment horizontal="center" readingOrder="0" shrinkToFit="0" vertical="center" wrapText="1"/>
    </xf>
    <xf borderId="3" fillId="15" fontId="42" numFmtId="0" xfId="0" applyAlignment="1" applyBorder="1" applyFont="1">
      <alignment horizontal="center" vertical="center"/>
    </xf>
    <xf borderId="4" fillId="15" fontId="42" numFmtId="0" xfId="0" applyAlignment="1" applyBorder="1" applyFont="1">
      <alignment horizontal="center" vertical="center"/>
    </xf>
    <xf borderId="3" fillId="15" fontId="94" numFmtId="0" xfId="0" applyAlignment="1" applyBorder="1" applyFont="1">
      <alignment horizontal="center" readingOrder="0"/>
    </xf>
    <xf borderId="3" fillId="23" fontId="94" numFmtId="0" xfId="0" applyAlignment="1" applyBorder="1" applyFont="1">
      <alignment horizontal="center" readingOrder="0"/>
    </xf>
    <xf borderId="3" fillId="0" fontId="95" numFmtId="0" xfId="0" applyAlignment="1" applyBorder="1" applyFont="1">
      <alignment horizontal="center" readingOrder="0" vertical="center"/>
    </xf>
    <xf borderId="3" fillId="23" fontId="96" numFmtId="0" xfId="0" applyAlignment="1" applyBorder="1" applyFont="1">
      <alignment horizontal="center" readingOrder="0"/>
    </xf>
    <xf borderId="3" fillId="23" fontId="97" numFmtId="0" xfId="0" applyAlignment="1" applyBorder="1" applyFont="1">
      <alignment horizontal="center" readingOrder="0" shrinkToFit="0" vertical="center" wrapText="1"/>
    </xf>
    <xf borderId="2" fillId="15" fontId="42" numFmtId="0" xfId="0" applyBorder="1" applyFont="1"/>
    <xf borderId="3" fillId="23" fontId="5" numFmtId="0" xfId="0" applyAlignment="1" applyBorder="1" applyFont="1">
      <alignment horizontal="center"/>
    </xf>
    <xf borderId="3" fillId="15" fontId="42" numFmtId="0" xfId="0" applyAlignment="1" applyBorder="1" applyFont="1">
      <alignment readingOrder="0"/>
    </xf>
    <xf borderId="3" fillId="15" fontId="31" numFmtId="0" xfId="0" applyAlignment="1" applyBorder="1" applyFont="1">
      <alignment shrinkToFit="0" vertical="bottom" wrapText="0"/>
    </xf>
    <xf borderId="3" fillId="23" fontId="51" numFmtId="0" xfId="0" applyAlignment="1" applyBorder="1" applyFont="1">
      <alignment horizontal="center" readingOrder="0"/>
    </xf>
    <xf borderId="3" fillId="27" fontId="98" numFmtId="0" xfId="0" applyAlignment="1" applyBorder="1" applyFill="1" applyFont="1">
      <alignment horizontal="center" readingOrder="0" vertical="center"/>
    </xf>
    <xf borderId="3" fillId="0" fontId="51" numFmtId="0" xfId="0" applyAlignment="1" applyBorder="1" applyFont="1">
      <alignment horizontal="center" readingOrder="0" vertical="center"/>
    </xf>
    <xf borderId="2" fillId="15" fontId="59" numFmtId="0" xfId="0" applyBorder="1" applyFont="1"/>
    <xf borderId="3" fillId="23" fontId="31" numFmtId="0" xfId="0" applyAlignment="1" applyBorder="1" applyFont="1">
      <alignment horizontal="center"/>
    </xf>
    <xf borderId="3" fillId="23" fontId="99" numFmtId="0" xfId="0" applyAlignment="1" applyBorder="1" applyFont="1">
      <alignment horizontal="center" readingOrder="0" vertical="bottom"/>
    </xf>
    <xf borderId="3" fillId="23" fontId="100" numFmtId="0" xfId="0" applyAlignment="1" applyBorder="1" applyFont="1">
      <alignment horizontal="center" readingOrder="0"/>
    </xf>
    <xf borderId="3" fillId="23" fontId="31" numFmtId="0" xfId="0" applyAlignment="1" applyBorder="1" applyFont="1">
      <alignment shrinkToFit="0" wrapText="1"/>
    </xf>
    <xf borderId="3" fillId="15" fontId="59" numFmtId="0" xfId="0" applyAlignment="1" applyBorder="1" applyFont="1">
      <alignment readingOrder="0"/>
    </xf>
    <xf borderId="3" fillId="15" fontId="59" numFmtId="0" xfId="0" applyBorder="1" applyFont="1"/>
    <xf borderId="3" fillId="15" fontId="101" numFmtId="0" xfId="0" applyAlignment="1" applyBorder="1" applyFont="1">
      <alignment horizontal="center" vertical="center"/>
    </xf>
    <xf borderId="4" fillId="15" fontId="102" numFmtId="0" xfId="0" applyAlignment="1" applyBorder="1" applyFont="1">
      <alignment horizontal="center" vertical="center"/>
    </xf>
    <xf borderId="3" fillId="0" fontId="31" numFmtId="0" xfId="0" applyAlignment="1" applyBorder="1" applyFont="1">
      <alignment horizontal="center"/>
    </xf>
    <xf borderId="2" fillId="15" fontId="103" numFmtId="0" xfId="0" applyAlignment="1" applyBorder="1" applyFont="1">
      <alignment horizontal="center" vertical="center"/>
    </xf>
    <xf borderId="3" fillId="28" fontId="5" numFmtId="0" xfId="0" applyAlignment="1" applyBorder="1" applyFill="1" applyFont="1">
      <alignment horizontal="center" readingOrder="0" vertical="center"/>
    </xf>
    <xf borderId="3" fillId="28" fontId="104" numFmtId="0" xfId="0" applyAlignment="1" applyBorder="1" applyFont="1">
      <alignment horizontal="center" readingOrder="0" vertical="center"/>
    </xf>
    <xf borderId="3" fillId="28" fontId="105" numFmtId="0" xfId="0" applyAlignment="1" applyBorder="1" applyFont="1">
      <alignment horizontal="center" readingOrder="0" vertical="center"/>
    </xf>
    <xf borderId="3" fillId="28" fontId="5" numFmtId="0" xfId="0" applyAlignment="1" applyBorder="1" applyFont="1">
      <alignment horizontal="center" vertical="center"/>
    </xf>
    <xf borderId="3" fillId="28" fontId="106" numFmtId="0" xfId="0" applyAlignment="1" applyBorder="1" applyFont="1">
      <alignment horizontal="center" readingOrder="0" shrinkToFit="0" vertical="center" wrapText="1"/>
    </xf>
    <xf borderId="3" fillId="23" fontId="107" numFmtId="0" xfId="0" applyAlignment="1" applyBorder="1" applyFont="1">
      <alignment horizontal="center" readingOrder="0" vertical="center"/>
    </xf>
    <xf borderId="3" fillId="28" fontId="5" numFmtId="0" xfId="0" applyAlignment="1" applyBorder="1" applyFont="1">
      <alignment horizontal="center" shrinkToFit="0" vertical="center" wrapText="1"/>
    </xf>
    <xf borderId="3" fillId="28" fontId="71" numFmtId="0" xfId="0" applyAlignment="1" applyBorder="1" applyFont="1">
      <alignment horizontal="center" readingOrder="0" vertical="center"/>
    </xf>
    <xf borderId="3" fillId="28" fontId="71" numFmtId="0" xfId="0" applyAlignment="1" applyBorder="1" applyFont="1">
      <alignment horizontal="center" readingOrder="0"/>
    </xf>
    <xf borderId="3" fillId="23" fontId="85" numFmtId="0" xfId="0" applyAlignment="1" applyBorder="1" applyFont="1">
      <alignment horizontal="center" readingOrder="0"/>
    </xf>
    <xf borderId="3" fillId="23" fontId="108" numFmtId="0" xfId="0" applyAlignment="1" applyBorder="1" applyFont="1">
      <alignment horizontal="center" readingOrder="0"/>
    </xf>
    <xf borderId="3" fillId="15" fontId="109" numFmtId="0" xfId="0" applyAlignment="1" applyBorder="1" applyFont="1">
      <alignment horizontal="center" readingOrder="0"/>
    </xf>
    <xf borderId="3" fillId="29" fontId="5" numFmtId="0" xfId="0" applyAlignment="1" applyBorder="1" applyFill="1" applyFont="1">
      <alignment horizontal="center" readingOrder="0" vertical="center"/>
    </xf>
    <xf borderId="3" fillId="29" fontId="110" numFmtId="0" xfId="0" applyAlignment="1" applyBorder="1" applyFont="1">
      <alignment horizontal="center" readingOrder="0" vertical="center"/>
    </xf>
    <xf borderId="3" fillId="29" fontId="5" numFmtId="0" xfId="0" applyAlignment="1" applyBorder="1" applyFont="1">
      <alignment horizontal="center" vertical="center"/>
    </xf>
    <xf borderId="3" fillId="29" fontId="5" numFmtId="0" xfId="0" applyAlignment="1" applyBorder="1" applyFont="1">
      <alignment horizontal="center" shrinkToFit="0" vertical="center" wrapText="1"/>
    </xf>
    <xf borderId="3" fillId="0" fontId="5" numFmtId="0" xfId="0" applyAlignment="1" applyBorder="1" applyFont="1">
      <alignment horizontal="center" readingOrder="0"/>
    </xf>
    <xf borderId="3" fillId="0" fontId="31" numFmtId="0" xfId="0" applyBorder="1" applyFont="1"/>
    <xf borderId="3" fillId="0" fontId="111" numFmtId="0" xfId="0" applyAlignment="1" applyBorder="1" applyFont="1">
      <alignment horizontal="center"/>
    </xf>
    <xf borderId="3" fillId="28" fontId="31" numFmtId="0" xfId="0" applyAlignment="1" applyBorder="1" applyFont="1">
      <alignment horizontal="center"/>
    </xf>
    <xf borderId="3" fillId="28" fontId="31" numFmtId="0" xfId="0" applyAlignment="1" applyBorder="1" applyFont="1">
      <alignment horizontal="center" readingOrder="0"/>
    </xf>
    <xf borderId="3" fillId="28" fontId="112" numFmtId="0" xfId="0" applyAlignment="1" applyBorder="1" applyFont="1">
      <alignment horizontal="center" readingOrder="0"/>
    </xf>
    <xf borderId="3" fillId="28" fontId="31" numFmtId="0" xfId="0" applyBorder="1" applyFont="1"/>
    <xf borderId="3" fillId="0" fontId="31" numFmtId="0" xfId="0" applyAlignment="1" applyBorder="1" applyFont="1">
      <alignment horizontal="center" readingOrder="0"/>
    </xf>
    <xf borderId="3" fillId="0" fontId="113" numFmtId="0" xfId="0" applyAlignment="1" applyBorder="1" applyFont="1">
      <alignment horizontal="center" readingOrder="0"/>
    </xf>
    <xf borderId="3" fillId="0" fontId="86" numFmtId="0" xfId="0" applyAlignment="1" applyBorder="1" applyFont="1">
      <alignment horizontal="center"/>
    </xf>
    <xf borderId="0" fillId="0" fontId="31" numFmtId="0" xfId="0" applyAlignment="1" applyFont="1">
      <alignment horizontal="center"/>
    </xf>
    <xf borderId="0" fillId="0" fontId="31" numFmtId="0" xfId="0" applyAlignment="1" applyFont="1">
      <alignment horizontal="center" readingOrder="0"/>
    </xf>
    <xf borderId="0" fillId="0" fontId="114" numFmtId="0" xfId="0" applyAlignment="1" applyFont="1">
      <alignment horizontal="center" readingOrder="0"/>
    </xf>
    <xf borderId="0" fillId="0" fontId="31" numFmtId="0" xfId="0" applyFont="1"/>
    <xf borderId="3" fillId="28" fontId="5" numFmtId="0" xfId="0" applyAlignment="1" applyBorder="1" applyFont="1">
      <alignment horizontal="center" readingOrder="0" shrinkToFit="0" vertical="center" wrapText="1"/>
    </xf>
    <xf borderId="3" fillId="28" fontId="5" numFmtId="0" xfId="0" applyAlignment="1" applyBorder="1" applyFont="1">
      <alignment horizontal="center" readingOrder="0" vertical="center"/>
    </xf>
    <xf borderId="3" fillId="15" fontId="85" numFmtId="0" xfId="0" applyAlignment="1" applyBorder="1" applyFont="1">
      <alignment readingOrder="0"/>
    </xf>
    <xf borderId="3" fillId="0" fontId="86" numFmtId="0" xfId="0" applyAlignment="1" applyBorder="1" applyFont="1">
      <alignment shrinkToFit="0" vertical="bottom" wrapText="0"/>
    </xf>
    <xf borderId="3" fillId="23" fontId="115" numFmtId="0" xfId="0" applyAlignment="1" applyBorder="1" applyFont="1">
      <alignment horizontal="center" readingOrder="0"/>
    </xf>
    <xf borderId="3" fillId="23" fontId="51" numFmtId="0" xfId="0" applyAlignment="1" applyBorder="1" applyFont="1">
      <alignment horizontal="center" readingOrder="0"/>
    </xf>
    <xf borderId="3" fillId="23" fontId="51" numFmtId="0" xfId="0" applyAlignment="1" applyBorder="1" applyFont="1">
      <alignment horizontal="center" readingOrder="0" shrinkToFit="0" vertical="center" wrapText="1"/>
    </xf>
    <xf borderId="3" fillId="15" fontId="116" numFmtId="0" xfId="0" applyAlignment="1" applyBorder="1" applyFont="1">
      <alignment horizontal="center" readingOrder="0"/>
    </xf>
    <xf borderId="0" fillId="15" fontId="117" numFmtId="0" xfId="0" applyAlignment="1" applyFont="1">
      <alignment readingOrder="0"/>
    </xf>
    <xf borderId="0" fillId="0" fontId="118" numFmtId="0" xfId="0" applyAlignment="1" applyFont="1">
      <alignment horizontal="center" readingOrder="0" shrinkToFit="0" vertical="center" wrapText="1"/>
    </xf>
    <xf borderId="3" fillId="2" fontId="5" numFmtId="0" xfId="0" applyAlignment="1" applyBorder="1" applyFont="1">
      <alignment horizontal="center" readingOrder="0" vertical="center"/>
    </xf>
    <xf borderId="3" fillId="2" fontId="119" numFmtId="0" xfId="0" applyAlignment="1" applyBorder="1" applyFont="1">
      <alignment horizontal="center" readingOrder="0" vertical="center"/>
    </xf>
    <xf borderId="3" fillId="2" fontId="5" numFmtId="0" xfId="0" applyAlignment="1" applyBorder="1" applyFont="1">
      <alignment horizontal="center" vertical="center"/>
    </xf>
    <xf borderId="3" fillId="2" fontId="5" numFmtId="0" xfId="0" applyAlignment="1" applyBorder="1" applyFont="1">
      <alignment horizontal="center" shrinkToFit="0" vertical="center" wrapText="1"/>
    </xf>
    <xf borderId="3" fillId="30" fontId="120" numFmtId="0" xfId="0" applyAlignment="1" applyBorder="1" applyFill="1" applyFont="1">
      <alignment shrinkToFit="0" vertical="bottom" wrapText="0"/>
    </xf>
    <xf borderId="3" fillId="23" fontId="121" numFmtId="0" xfId="0" applyAlignment="1" applyBorder="1" applyFont="1">
      <alignment horizontal="center" readingOrder="0"/>
    </xf>
    <xf borderId="3" fillId="23" fontId="51" numFmtId="0" xfId="0" applyAlignment="1" applyBorder="1" applyFont="1">
      <alignment horizontal="center" readingOrder="0" shrinkToFit="0" vertical="center" wrapText="1"/>
    </xf>
    <xf borderId="0" fillId="28" fontId="5" numFmtId="0" xfId="0" applyAlignment="1" applyFont="1">
      <alignment horizontal="center" readingOrder="0" vertical="center"/>
    </xf>
    <xf borderId="0" fillId="28" fontId="5" numFmtId="0" xfId="0" applyAlignment="1" applyFont="1">
      <alignment horizontal="center" vertical="center"/>
    </xf>
    <xf borderId="0" fillId="28" fontId="5" numFmtId="0" xfId="0" applyAlignment="1" applyFont="1">
      <alignment horizontal="center" shrinkToFit="0" vertical="center" wrapText="1"/>
    </xf>
    <xf borderId="2" fillId="15" fontId="31" numFmtId="0" xfId="0" applyBorder="1" applyFont="1"/>
    <xf borderId="3" fillId="0" fontId="31" numFmtId="0" xfId="0" applyAlignment="1" applyBorder="1" applyFont="1">
      <alignment horizontal="center"/>
    </xf>
    <xf borderId="3" fillId="0" fontId="122" numFmtId="0" xfId="0" applyAlignment="1" applyBorder="1" applyFont="1">
      <alignment horizontal="center" vertical="bottom"/>
    </xf>
    <xf borderId="3" fillId="0" fontId="123" numFmtId="0" xfId="0" applyAlignment="1" applyBorder="1" applyFont="1">
      <alignment horizontal="center" shrinkToFit="0" wrapText="1"/>
    </xf>
    <xf borderId="3" fillId="15" fontId="31" numFmtId="0" xfId="0" applyBorder="1" applyFont="1"/>
    <xf borderId="4" fillId="15" fontId="31" numFmtId="0" xfId="0" applyBorder="1" applyFont="1"/>
    <xf borderId="3" fillId="23" fontId="124" numFmtId="0" xfId="0" applyAlignment="1" applyBorder="1" applyFont="1">
      <alignment horizontal="center" readingOrder="0" vertical="center"/>
    </xf>
    <xf borderId="0" fillId="15" fontId="42" numFmtId="0" xfId="0" applyAlignment="1" applyFont="1">
      <alignment horizontal="center" vertical="center"/>
    </xf>
    <xf borderId="0" fillId="23" fontId="5" numFmtId="0" xfId="0" applyAlignment="1" applyFont="1">
      <alignment horizontal="center" readingOrder="0"/>
    </xf>
    <xf borderId="0" fillId="0" fontId="5" numFmtId="0" xfId="0" applyFont="1"/>
    <xf borderId="0" fillId="0" fontId="31" numFmtId="0" xfId="0" applyAlignment="1" applyFont="1">
      <alignment shrinkToFit="0" vertical="bottom" wrapText="0"/>
    </xf>
    <xf borderId="0" fillId="23" fontId="5" numFmtId="0" xfId="0" applyAlignment="1" applyFont="1">
      <alignment horizontal="center" readingOrder="0" shrinkToFit="0" vertical="center" wrapText="1"/>
    </xf>
    <xf borderId="0" fillId="15" fontId="5" numFmtId="165" xfId="0" applyAlignment="1" applyFont="1" applyNumberFormat="1">
      <alignment horizontal="center" readingOrder="0" vertical="center"/>
    </xf>
    <xf borderId="3" fillId="27" fontId="5" numFmtId="0" xfId="0" applyAlignment="1" applyBorder="1" applyFont="1">
      <alignment horizontal="center" readingOrder="0" vertical="center"/>
    </xf>
    <xf borderId="3" fillId="27" fontId="5" numFmtId="0" xfId="0" applyAlignment="1" applyBorder="1" applyFont="1">
      <alignment horizontal="center" vertical="center"/>
    </xf>
    <xf borderId="3" fillId="27" fontId="5" numFmtId="0" xfId="0" applyAlignment="1" applyBorder="1" applyFont="1">
      <alignment horizontal="center" readingOrder="0" shrinkToFit="0" vertical="center" wrapText="1"/>
    </xf>
    <xf borderId="3" fillId="0" fontId="31" numFmtId="0" xfId="0" applyAlignment="1" applyBorder="1" applyFont="1">
      <alignment vertical="bottom"/>
    </xf>
    <xf borderId="3" fillId="15" fontId="85" numFmtId="0" xfId="0" applyAlignment="1" applyBorder="1" applyFont="1">
      <alignment readingOrder="0" shrinkToFit="0" wrapText="1"/>
    </xf>
    <xf borderId="4" fillId="15" fontId="42" numFmtId="0" xfId="0" applyAlignment="1" applyBorder="1" applyFont="1">
      <alignment horizontal="center" readingOrder="0" vertical="center"/>
    </xf>
    <xf borderId="3" fillId="0" fontId="125" numFmtId="0" xfId="0" applyAlignment="1" applyBorder="1" applyFont="1">
      <alignment horizontal="center" readingOrder="0"/>
    </xf>
    <xf borderId="3" fillId="28" fontId="126" numFmtId="0" xfId="0" applyAlignment="1" applyBorder="1" applyFont="1">
      <alignment readingOrder="0"/>
    </xf>
    <xf borderId="3" fillId="23" fontId="127" numFmtId="0" xfId="0" applyAlignment="1" applyBorder="1" applyFont="1">
      <alignment horizontal="center" readingOrder="0"/>
    </xf>
    <xf borderId="3" fillId="23" fontId="128" numFmtId="0" xfId="0" applyAlignment="1" applyBorder="1" applyFont="1">
      <alignment horizontal="center" readingOrder="0" vertical="center"/>
    </xf>
    <xf borderId="3" fillId="23" fontId="129" numFmtId="0" xfId="0" applyAlignment="1" applyBorder="1" applyFont="1">
      <alignment horizontal="center" readingOrder="0"/>
    </xf>
    <xf borderId="3" fillId="23" fontId="116" numFmtId="0" xfId="0" applyAlignment="1" applyBorder="1" applyFont="1">
      <alignment readingOrder="0" shrinkToFit="0" wrapText="1"/>
    </xf>
    <xf borderId="3" fillId="29" fontId="5" numFmtId="0" xfId="0" applyAlignment="1" applyBorder="1" applyFont="1">
      <alignment horizontal="center" readingOrder="0"/>
    </xf>
    <xf borderId="3" fillId="23" fontId="93" numFmtId="0" xfId="0" applyAlignment="1" applyBorder="1" applyFont="1">
      <alignment horizontal="center" readingOrder="0" vertical="center"/>
    </xf>
    <xf borderId="0" fillId="23" fontId="51" numFmtId="0" xfId="0" applyAlignment="1" applyFont="1">
      <alignment horizontal="center" readingOrder="0" vertical="center"/>
    </xf>
    <xf borderId="3" fillId="15" fontId="116" numFmtId="0" xfId="0" applyAlignment="1" applyBorder="1" applyFont="1">
      <alignment readingOrder="0" shrinkToFit="0" wrapText="1"/>
    </xf>
    <xf borderId="3" fillId="15" fontId="130" numFmtId="0" xfId="0" applyAlignment="1" applyBorder="1" applyFont="1">
      <alignment horizontal="center" readingOrder="0"/>
    </xf>
    <xf borderId="3" fillId="29" fontId="131" numFmtId="0" xfId="0" applyAlignment="1" applyBorder="1" applyFont="1">
      <alignment horizontal="center" readingOrder="0"/>
    </xf>
    <xf borderId="3" fillId="29" fontId="51" numFmtId="0" xfId="0" applyAlignment="1" applyBorder="1" applyFont="1">
      <alignment horizontal="center" readingOrder="0"/>
    </xf>
    <xf borderId="3" fillId="0" fontId="132" numFmtId="0" xfId="0" applyAlignment="1" applyBorder="1" applyFont="1">
      <alignment readingOrder="0"/>
    </xf>
    <xf borderId="3" fillId="23" fontId="54" numFmtId="0" xfId="0" applyAlignment="1" applyBorder="1" applyFont="1">
      <alignment horizontal="center" readingOrder="0"/>
    </xf>
    <xf borderId="3" fillId="29" fontId="31" numFmtId="0" xfId="0" applyAlignment="1" applyBorder="1" applyFont="1">
      <alignment horizontal="center"/>
    </xf>
    <xf borderId="3" fillId="29" fontId="5" numFmtId="0" xfId="0" applyAlignment="1" applyBorder="1" applyFont="1">
      <alignment horizontal="center" readingOrder="0" shrinkToFit="0" vertical="center" wrapText="1"/>
    </xf>
    <xf borderId="3" fillId="0" fontId="5" numFmtId="0" xfId="0" applyAlignment="1" applyBorder="1" applyFont="1">
      <alignment readingOrder="0"/>
    </xf>
    <xf borderId="3" fillId="28" fontId="133" numFmtId="0" xfId="0" applyAlignment="1" applyBorder="1" applyFont="1">
      <alignment horizontal="center" readingOrder="0" vertical="center"/>
    </xf>
    <xf borderId="3" fillId="0" fontId="5" numFmtId="0" xfId="0" applyAlignment="1" applyBorder="1" applyFont="1">
      <alignment horizontal="center" vertical="center"/>
    </xf>
    <xf borderId="3" fillId="0" fontId="134" numFmtId="0" xfId="0" applyAlignment="1" applyBorder="1" applyFont="1">
      <alignment vertical="bottom"/>
    </xf>
    <xf borderId="3" fillId="23" fontId="5" numFmtId="0" xfId="0" applyBorder="1" applyFont="1"/>
    <xf borderId="3" fillId="0" fontId="135" numFmtId="0" xfId="0" applyAlignment="1" applyBorder="1" applyFont="1">
      <alignment readingOrder="0" shrinkToFit="0" vertical="bottom" wrapText="0"/>
    </xf>
    <xf borderId="3" fillId="15" fontId="136" numFmtId="0" xfId="0" applyAlignment="1" applyBorder="1" applyFont="1">
      <alignment readingOrder="0" shrinkToFit="0" vertical="bottom" wrapText="0"/>
    </xf>
    <xf borderId="3" fillId="0" fontId="137" numFmtId="0" xfId="0" applyAlignment="1" applyBorder="1" applyFont="1">
      <alignment readingOrder="0" shrinkToFit="0" vertical="bottom" wrapText="0"/>
    </xf>
    <xf borderId="3" fillId="0" fontId="138" numFmtId="0" xfId="0" applyAlignment="1" applyBorder="1" applyFont="1">
      <alignment horizontal="center" readingOrder="0" vertical="center"/>
    </xf>
    <xf borderId="3" fillId="23" fontId="116" numFmtId="0" xfId="0" applyAlignment="1" applyBorder="1" applyFont="1">
      <alignment horizontal="center" readingOrder="0"/>
    </xf>
    <xf borderId="3" fillId="29" fontId="5" numFmtId="0" xfId="0" applyAlignment="1" applyBorder="1" applyFont="1">
      <alignment horizontal="center" readingOrder="0" vertical="center"/>
    </xf>
    <xf borderId="3" fillId="15" fontId="139" numFmtId="0" xfId="0" applyAlignment="1" applyBorder="1" applyFont="1">
      <alignment horizontal="center" readingOrder="0"/>
    </xf>
    <xf borderId="3" fillId="23" fontId="140" numFmtId="0" xfId="0" applyAlignment="1" applyBorder="1" applyFont="1">
      <alignment horizontal="center" readingOrder="0"/>
    </xf>
    <xf borderId="3" fillId="0" fontId="5" numFmtId="49" xfId="0" applyAlignment="1" applyBorder="1" applyFont="1" applyNumberFormat="1">
      <alignment horizontal="center" readingOrder="0" vertical="center"/>
    </xf>
    <xf borderId="3" fillId="0" fontId="141" numFmtId="0" xfId="0" applyAlignment="1" applyBorder="1" applyFont="1">
      <alignment horizontal="center" readingOrder="0" vertical="center"/>
    </xf>
    <xf borderId="3" fillId="0" fontId="5" numFmtId="0" xfId="0" applyAlignment="1" applyBorder="1" applyFont="1">
      <alignment shrinkToFit="0" wrapText="1"/>
    </xf>
    <xf borderId="0" fillId="0" fontId="142" numFmtId="0" xfId="0" applyAlignment="1" applyFont="1">
      <alignment vertical="bottom"/>
    </xf>
    <xf borderId="3" fillId="0" fontId="143" numFmtId="0" xfId="0" applyAlignment="1" applyBorder="1" applyFont="1">
      <alignment horizontal="center" readingOrder="0" shrinkToFit="0" vertical="center" wrapText="0"/>
    </xf>
    <xf borderId="3" fillId="0" fontId="5" numFmtId="0" xfId="0" applyAlignment="1" applyBorder="1" applyFont="1">
      <alignment horizontal="center" readingOrder="0"/>
    </xf>
    <xf borderId="3" fillId="0" fontId="5" numFmtId="0" xfId="0" applyAlignment="1" applyBorder="1" applyFont="1">
      <alignment horizontal="center" shrinkToFit="0" vertical="center" wrapText="0"/>
    </xf>
    <xf borderId="3" fillId="0" fontId="144" numFmtId="0" xfId="0" applyAlignment="1" applyBorder="1" applyFont="1">
      <alignment horizontal="center" readingOrder="0" vertical="center"/>
    </xf>
    <xf borderId="3" fillId="0" fontId="5" numFmtId="0" xfId="0" applyAlignment="1" applyBorder="1" applyFont="1">
      <alignment readingOrder="0" shrinkToFit="0" wrapText="1"/>
    </xf>
    <xf borderId="3" fillId="0" fontId="145" numFmtId="0" xfId="0" applyAlignment="1" applyBorder="1" applyFont="1">
      <alignment horizontal="center" readingOrder="0" shrinkToFit="0" vertical="center" wrapText="1"/>
    </xf>
    <xf borderId="3" fillId="0" fontId="118" numFmtId="0" xfId="0" applyAlignment="1" applyBorder="1" applyFont="1">
      <alignment horizontal="center" vertical="center"/>
    </xf>
    <xf borderId="3" fillId="0" fontId="118" numFmtId="0" xfId="0" applyAlignment="1" applyBorder="1" applyFont="1">
      <alignment horizontal="center" readingOrder="0" vertical="center"/>
    </xf>
    <xf borderId="3" fillId="15" fontId="146" numFmtId="0" xfId="0" applyAlignment="1" applyBorder="1" applyFont="1">
      <alignment horizontal="center" readingOrder="0"/>
    </xf>
    <xf borderId="3" fillId="0" fontId="5" numFmtId="0" xfId="0" applyAlignment="1" applyBorder="1" applyFont="1">
      <alignment horizontal="center" readingOrder="0" shrinkToFit="0" vertical="center" wrapText="0"/>
    </xf>
    <xf borderId="0" fillId="0" fontId="147" numFmtId="0" xfId="0" applyAlignment="1" applyFont="1">
      <alignment horizontal="center" readingOrder="0" shrinkToFit="0" vertical="center" wrapText="0"/>
    </xf>
    <xf quotePrefix="1" borderId="3" fillId="0" fontId="5" numFmtId="0" xfId="0" applyAlignment="1" applyBorder="1" applyFont="1">
      <alignment horizontal="center" readingOrder="0" vertical="center"/>
    </xf>
    <xf borderId="3" fillId="0" fontId="148" numFmtId="0" xfId="0" applyAlignment="1" applyBorder="1" applyFont="1">
      <alignment horizontal="center" readingOrder="0" shrinkToFit="0" wrapText="0"/>
    </xf>
    <xf borderId="3" fillId="15" fontId="149" numFmtId="0" xfId="0" applyAlignment="1" applyBorder="1" applyFont="1">
      <alignment horizontal="center" readingOrder="0" vertical="center"/>
    </xf>
    <xf borderId="3" fillId="15" fontId="5" numFmtId="0" xfId="0" applyAlignment="1" applyBorder="1" applyFont="1">
      <alignment horizontal="center" readingOrder="0" shrinkToFit="0" vertical="center" wrapText="0"/>
    </xf>
    <xf borderId="0" fillId="0" fontId="5" numFmtId="0" xfId="0" applyAlignment="1" applyFont="1">
      <alignment horizontal="center" readingOrder="0"/>
    </xf>
    <xf borderId="0" fillId="0" fontId="5" numFmtId="0" xfId="0" applyAlignment="1" applyFont="1">
      <alignment horizontal="center" shrinkToFit="0" vertical="center" wrapText="0"/>
    </xf>
    <xf borderId="0" fillId="0" fontId="150" numFmtId="0" xfId="0" applyAlignment="1" applyFont="1">
      <alignment horizontal="center" readingOrder="0" shrinkToFit="0" vertical="center" wrapText="0"/>
    </xf>
    <xf borderId="3" fillId="0" fontId="151" numFmtId="0" xfId="0" applyAlignment="1" applyBorder="1" applyFont="1">
      <alignment horizontal="center" readingOrder="0" shrinkToFit="0" vertical="center" wrapText="0"/>
    </xf>
    <xf borderId="3" fillId="11" fontId="31" numFmtId="0" xfId="0" applyBorder="1" applyFont="1"/>
    <xf borderId="3" fillId="11" fontId="152" numFmtId="0" xfId="0" applyAlignment="1" applyBorder="1" applyFont="1">
      <alignment horizontal="center"/>
    </xf>
    <xf borderId="3" fillId="11" fontId="153" numFmtId="0" xfId="0" applyAlignment="1" applyBorder="1" applyFont="1">
      <alignment horizontal="center"/>
    </xf>
    <xf borderId="3" fillId="11" fontId="31" numFmtId="0" xfId="0" applyAlignment="1" applyBorder="1" applyFont="1">
      <alignment vertical="bottom"/>
    </xf>
    <xf borderId="3" fillId="11" fontId="154" numFmtId="0" xfId="0" applyAlignment="1" applyBorder="1" applyFont="1">
      <alignment vertical="bottom"/>
    </xf>
    <xf borderId="3" fillId="11" fontId="155" numFmtId="0" xfId="0" applyAlignment="1" applyBorder="1" applyFont="1">
      <alignment horizontal="center" shrinkToFit="0" wrapText="1"/>
    </xf>
    <xf borderId="3" fillId="15" fontId="31" numFmtId="0" xfId="0" applyAlignment="1" applyBorder="1" applyFont="1">
      <alignment readingOrder="0"/>
    </xf>
    <xf borderId="3" fillId="11" fontId="152" numFmtId="0" xfId="0" applyAlignment="1" applyBorder="1" applyFont="1">
      <alignment horizontal="center" readingOrder="0"/>
    </xf>
    <xf borderId="3" fillId="11" fontId="152" numFmtId="0" xfId="0" applyAlignment="1" applyBorder="1" applyFont="1">
      <alignment vertical="bottom"/>
    </xf>
    <xf borderId="3" fillId="11" fontId="152" numFmtId="0" xfId="0" applyAlignment="1" applyBorder="1" applyFont="1">
      <alignment horizontal="center" readingOrder="0" shrinkToFit="0" wrapText="1"/>
    </xf>
    <xf borderId="3" fillId="11" fontId="156" numFmtId="0" xfId="0" applyAlignment="1" applyBorder="1" applyFont="1">
      <alignment shrinkToFit="0" vertical="bottom" wrapText="0"/>
    </xf>
    <xf borderId="3" fillId="11" fontId="152" numFmtId="0" xfId="0" applyAlignment="1" applyBorder="1" applyFont="1">
      <alignment horizontal="center" shrinkToFit="0" wrapText="1"/>
    </xf>
    <xf borderId="3" fillId="11" fontId="152" numFmtId="0" xfId="0" applyAlignment="1" applyBorder="1" applyFont="1">
      <alignment horizontal="center" vertical="bottom"/>
    </xf>
    <xf borderId="3" fillId="11" fontId="157" numFmtId="0" xfId="0" applyAlignment="1" applyBorder="1" applyFont="1">
      <alignment horizontal="center"/>
    </xf>
    <xf borderId="3" fillId="11" fontId="158" numFmtId="0" xfId="0" applyAlignment="1" applyBorder="1" applyFont="1">
      <alignment horizontal="center" vertical="bottom"/>
    </xf>
    <xf borderId="0" fillId="15" fontId="31" numFmtId="0" xfId="0" applyFont="1"/>
    <xf borderId="0" fillId="11" fontId="31" numFmtId="0" xfId="0" applyFont="1"/>
    <xf borderId="0" fillId="11" fontId="152" numFmtId="0" xfId="0" applyAlignment="1" applyFont="1">
      <alignment horizontal="center"/>
    </xf>
    <xf borderId="0" fillId="11" fontId="159" numFmtId="0" xfId="0" applyAlignment="1" applyFont="1">
      <alignment horizontal="center"/>
    </xf>
    <xf borderId="0" fillId="11" fontId="160" numFmtId="0" xfId="0" applyAlignment="1" applyFont="1">
      <alignment shrinkToFit="0" vertical="bottom" wrapText="0"/>
    </xf>
    <xf borderId="0" fillId="11" fontId="161" numFmtId="0" xfId="0" applyAlignment="1" applyFont="1">
      <alignment vertical="bottom"/>
    </xf>
    <xf borderId="0" fillId="11" fontId="152" numFmtId="0" xfId="0" applyAlignment="1" applyFont="1">
      <alignment horizontal="center" shrinkToFit="0" wrapText="1"/>
    </xf>
    <xf borderId="0" fillId="15" fontId="31" numFmtId="0" xfId="0" applyAlignment="1" applyFont="1">
      <alignment readingOrder="0"/>
    </xf>
    <xf borderId="3" fillId="31" fontId="162" numFmtId="0" xfId="0" applyAlignment="1" applyBorder="1" applyFill="1" applyFont="1">
      <alignment horizontal="center"/>
    </xf>
    <xf borderId="3" fillId="11" fontId="163" numFmtId="0" xfId="0" applyAlignment="1" applyBorder="1" applyFont="1">
      <alignment horizontal="center" shrinkToFit="0" wrapText="0"/>
    </xf>
    <xf quotePrefix="1" borderId="3" fillId="11" fontId="152" numFmtId="0" xfId="0" applyAlignment="1" applyBorder="1" applyFont="1">
      <alignment horizontal="center"/>
    </xf>
    <xf borderId="0" fillId="15" fontId="164" numFmtId="0" xfId="0" applyAlignment="1" applyFont="1">
      <alignment horizontal="center" readingOrder="0"/>
    </xf>
    <xf borderId="0" fillId="15" fontId="164" numFmtId="0" xfId="0" applyFont="1"/>
    <xf borderId="0" fillId="0" fontId="165" numFmtId="0" xfId="0" applyAlignment="1" applyFont="1">
      <alignment horizontal="center" readingOrder="0" shrinkToFit="0" wrapText="0"/>
    </xf>
    <xf borderId="0" fillId="15" fontId="164" numFmtId="0" xfId="0" applyAlignment="1" applyFont="1">
      <alignment horizontal="center"/>
    </xf>
    <xf borderId="0" fillId="15" fontId="166" numFmtId="0" xfId="0" applyAlignment="1" applyFont="1">
      <alignment horizontal="center"/>
    </xf>
    <xf borderId="0" fillId="15" fontId="167" numFmtId="0" xfId="0" applyAlignment="1" applyFont="1">
      <alignment readingOrder="0" shrinkToFit="0" vertical="bottom" wrapText="0"/>
    </xf>
    <xf borderId="0" fillId="15" fontId="164" numFmtId="0" xfId="0" applyAlignment="1" applyFont="1">
      <alignment vertical="bottom"/>
    </xf>
    <xf borderId="0" fillId="15" fontId="164" numFmtId="0" xfId="0" applyAlignment="1" applyFont="1">
      <alignment readingOrder="0"/>
    </xf>
    <xf borderId="0" fillId="15" fontId="51" numFmtId="0" xfId="0" applyAlignment="1" applyFont="1">
      <alignment horizontal="center" vertical="center"/>
    </xf>
    <xf borderId="3" fillId="15" fontId="164" numFmtId="0" xfId="0" applyAlignment="1" applyBorder="1" applyFont="1">
      <alignment horizontal="center" readingOrder="0"/>
    </xf>
    <xf borderId="3" fillId="15" fontId="164" numFmtId="0" xfId="0" applyAlignment="1" applyBorder="1" applyFont="1">
      <alignment readingOrder="0"/>
    </xf>
    <xf borderId="3" fillId="15" fontId="164" numFmtId="0" xfId="0" applyAlignment="1" applyBorder="1" applyFont="1">
      <alignment horizontal="center"/>
    </xf>
    <xf borderId="3" fillId="15" fontId="168" numFmtId="0" xfId="0" applyAlignment="1" applyBorder="1" applyFont="1">
      <alignment horizontal="center"/>
    </xf>
    <xf borderId="3" fillId="15" fontId="169" numFmtId="0" xfId="0" applyAlignment="1" applyBorder="1" applyFont="1">
      <alignment readingOrder="0" shrinkToFit="0" vertical="bottom" wrapText="0"/>
    </xf>
    <xf borderId="3" fillId="15" fontId="164" numFmtId="0" xfId="0" applyAlignment="1" applyBorder="1" applyFont="1">
      <alignment vertical="bottom"/>
    </xf>
    <xf borderId="3" fillId="15" fontId="51" numFmtId="0" xfId="0" applyAlignment="1" applyBorder="1" applyFont="1">
      <alignment horizontal="center" vertical="center"/>
    </xf>
    <xf borderId="3" fillId="15" fontId="164" numFmtId="0" xfId="0" applyBorder="1" applyFont="1"/>
    <xf borderId="3" fillId="15" fontId="170" numFmtId="0" xfId="0" applyAlignment="1" applyBorder="1" applyFont="1">
      <alignment horizontal="center" readingOrder="0"/>
    </xf>
    <xf borderId="0" fillId="15" fontId="171" numFmtId="0" xfId="0" applyAlignment="1" applyFont="1">
      <alignment shrinkToFit="0" vertical="bottom" wrapText="0"/>
    </xf>
    <xf borderId="0" fillId="32" fontId="164" numFmtId="0" xfId="0" applyAlignment="1" applyFill="1" applyFont="1">
      <alignment horizontal="center" vertical="bottom"/>
    </xf>
    <xf borderId="0" fillId="32" fontId="31" numFmtId="0" xfId="0" applyAlignment="1" applyFont="1">
      <alignment horizontal="center" vertical="bottom"/>
    </xf>
    <xf borderId="0" fillId="15" fontId="31" numFmtId="0" xfId="0" applyAlignment="1" applyFont="1">
      <alignment horizontal="center" readingOrder="0"/>
    </xf>
    <xf borderId="0" fillId="15" fontId="172" numFmtId="0" xfId="0" applyAlignment="1" applyFont="1">
      <alignment horizontal="center" readingOrder="0"/>
    </xf>
    <xf borderId="0" fillId="15" fontId="31" numFmtId="0" xfId="0" applyAlignment="1" applyFont="1">
      <alignment readingOrder="0" vertical="bottom"/>
    </xf>
    <xf borderId="2" fillId="7" fontId="164" numFmtId="0" xfId="0" applyBorder="1" applyFont="1"/>
    <xf borderId="3" fillId="7" fontId="164" numFmtId="0" xfId="0" applyAlignment="1" applyBorder="1" applyFont="1">
      <alignment horizontal="center"/>
    </xf>
    <xf borderId="3" fillId="7" fontId="164" numFmtId="0" xfId="0" applyAlignment="1" applyBorder="1" applyFont="1">
      <alignment horizontal="center" readingOrder="0"/>
    </xf>
    <xf borderId="3" fillId="7" fontId="173" numFmtId="0" xfId="0" applyAlignment="1" applyBorder="1" applyFont="1">
      <alignment horizontal="center" readingOrder="0"/>
    </xf>
    <xf borderId="3" fillId="7" fontId="174" numFmtId="0" xfId="0" applyAlignment="1" applyBorder="1" applyFont="1">
      <alignment horizontal="center" readingOrder="0" shrinkToFit="0" vertical="bottom" wrapText="0"/>
    </xf>
    <xf borderId="3" fillId="7" fontId="175" numFmtId="0" xfId="0" applyAlignment="1" applyBorder="1" applyFont="1">
      <alignment horizontal="center" readingOrder="0" vertical="bottom"/>
    </xf>
    <xf borderId="3" fillId="7" fontId="51" numFmtId="0" xfId="0" applyAlignment="1" applyBorder="1" applyFont="1">
      <alignment horizontal="center" vertical="center"/>
    </xf>
    <xf borderId="3" fillId="7" fontId="164" numFmtId="0" xfId="0" applyBorder="1" applyFont="1"/>
    <xf borderId="4" fillId="7" fontId="164" numFmtId="0" xfId="0" applyBorder="1" applyFont="1"/>
    <xf borderId="2" fillId="15" fontId="164" numFmtId="0" xfId="0" applyBorder="1" applyFont="1"/>
    <xf borderId="3" fillId="15" fontId="176" numFmtId="0" xfId="0" applyAlignment="1" applyBorder="1" applyFont="1">
      <alignment horizontal="center" readingOrder="0" vertical="bottom"/>
    </xf>
    <xf borderId="4" fillId="15" fontId="164" numFmtId="0" xfId="0" applyBorder="1" applyFont="1"/>
    <xf borderId="3" fillId="15" fontId="51" numFmtId="0" xfId="0" applyAlignment="1" applyBorder="1" applyFont="1">
      <alignment horizontal="center" readingOrder="0"/>
    </xf>
    <xf borderId="3" fillId="15" fontId="177" numFmtId="0" xfId="0" applyAlignment="1" applyBorder="1" applyFont="1">
      <alignment shrinkToFit="0" vertical="bottom" wrapText="0"/>
    </xf>
    <xf borderId="3" fillId="0" fontId="94" numFmtId="0" xfId="0" applyAlignment="1" applyBorder="1" applyFont="1">
      <alignment horizontal="center" readingOrder="0"/>
    </xf>
    <xf borderId="3" fillId="7" fontId="178" numFmtId="0" xfId="0" applyAlignment="1" applyBorder="1" applyFont="1">
      <alignment horizontal="center" readingOrder="0" vertical="center"/>
    </xf>
    <xf borderId="3" fillId="7" fontId="179" numFmtId="0" xfId="0" applyAlignment="1" applyBorder="1" applyFont="1">
      <alignment horizontal="center"/>
    </xf>
    <xf borderId="3" fillId="7" fontId="164" numFmtId="0" xfId="0" applyAlignment="1" applyBorder="1" applyFont="1">
      <alignment vertical="bottom"/>
    </xf>
    <xf borderId="3" fillId="15" fontId="164" numFmtId="0" xfId="0" applyAlignment="1" applyBorder="1" applyFont="1">
      <alignment horizontal="center" readingOrder="0"/>
    </xf>
    <xf borderId="3" fillId="15" fontId="180" numFmtId="0" xfId="0" applyAlignment="1" applyBorder="1" applyFont="1">
      <alignment horizontal="center" readingOrder="0" shrinkToFit="0" vertical="bottom" wrapText="0"/>
    </xf>
    <xf borderId="3" fillId="15" fontId="31" numFmtId="0" xfId="0" applyAlignment="1" applyBorder="1" applyFont="1">
      <alignment horizontal="center" readingOrder="0" vertical="bottom"/>
    </xf>
    <xf borderId="3" fillId="7" fontId="164" numFmtId="0" xfId="0" applyAlignment="1" applyBorder="1" applyFont="1">
      <alignment horizontal="center" readingOrder="0" vertical="bottom"/>
    </xf>
    <xf borderId="0" fillId="0" fontId="54" numFmtId="0" xfId="0" applyFont="1"/>
    <xf borderId="0" fillId="16" fontId="9" numFmtId="0" xfId="0" applyAlignment="1" applyFont="1">
      <alignment horizontal="center" readingOrder="0" shrinkToFit="0" vertical="center" wrapText="0"/>
    </xf>
    <xf borderId="0" fillId="4" fontId="9" numFmtId="0" xfId="0" applyAlignment="1" applyFont="1">
      <alignment horizontal="center" readingOrder="0" shrinkToFit="0" vertical="center" wrapText="1"/>
    </xf>
    <xf borderId="0" fillId="6" fontId="9" numFmtId="0" xfId="0" applyAlignment="1" applyFont="1">
      <alignment horizontal="center" shrinkToFit="0" vertical="center" wrapText="1"/>
    </xf>
    <xf borderId="2" fillId="15" fontId="181" numFmtId="0" xfId="0" applyAlignment="1" applyBorder="1" applyFont="1">
      <alignment horizontal="center"/>
    </xf>
    <xf borderId="3" fillId="12" fontId="182" numFmtId="0" xfId="0" applyAlignment="1" applyBorder="1" applyFont="1">
      <alignment horizontal="center" readingOrder="0"/>
    </xf>
    <xf borderId="3" fillId="13" fontId="183" numFmtId="0" xfId="0" applyAlignment="1" applyBorder="1" applyFont="1">
      <alignment horizontal="left" readingOrder="0"/>
    </xf>
    <xf borderId="3" fillId="13" fontId="183" numFmtId="0" xfId="0" applyAlignment="1" applyBorder="1" applyFont="1">
      <alignment horizontal="left"/>
    </xf>
    <xf borderId="3" fillId="0" fontId="184" numFmtId="0" xfId="0" applyAlignment="1" applyBorder="1" applyFont="1">
      <alignment horizontal="left" readingOrder="0" shrinkToFit="0" vertical="bottom" wrapText="0"/>
    </xf>
    <xf borderId="3" fillId="0" fontId="185" numFmtId="0" xfId="0" applyAlignment="1" applyBorder="1" applyFont="1">
      <alignment readingOrder="0" shrinkToFit="0" vertical="bottom" wrapText="0"/>
    </xf>
    <xf borderId="3" fillId="13" fontId="31" numFmtId="0" xfId="0" applyAlignment="1" applyBorder="1" applyFont="1">
      <alignment shrinkToFit="0" vertical="bottom" wrapText="0"/>
    </xf>
    <xf borderId="3" fillId="0" fontId="184" numFmtId="0" xfId="0" applyAlignment="1" applyBorder="1" applyFont="1">
      <alignment readingOrder="0" shrinkToFit="0" vertical="bottom" wrapText="0"/>
    </xf>
    <xf borderId="3" fillId="13" fontId="183" numFmtId="0" xfId="0" applyAlignment="1" applyBorder="1" applyFont="1">
      <alignment horizontal="center" shrinkToFit="0" wrapText="1"/>
    </xf>
    <xf borderId="3" fillId="15" fontId="31" numFmtId="0" xfId="0" applyAlignment="1" applyBorder="1" applyFont="1">
      <alignment horizontal="center" readingOrder="0"/>
    </xf>
    <xf borderId="3" fillId="15" fontId="31" numFmtId="165" xfId="0" applyAlignment="1" applyBorder="1" applyFont="1" applyNumberFormat="1">
      <alignment horizontal="center"/>
    </xf>
    <xf borderId="3" fillId="15" fontId="31" numFmtId="0" xfId="0" applyBorder="1" applyFont="1"/>
    <xf borderId="3" fillId="15" fontId="31" numFmtId="165" xfId="0" applyBorder="1" applyFont="1" applyNumberFormat="1"/>
    <xf borderId="4" fillId="0" fontId="5" numFmtId="0" xfId="0" applyBorder="1" applyFont="1"/>
    <xf borderId="5" fillId="13" fontId="183" numFmtId="0" xfId="0" applyAlignment="1" applyBorder="1" applyFont="1">
      <alignment horizontal="left"/>
    </xf>
    <xf borderId="3" fillId="13" fontId="186" numFmtId="0" xfId="0" applyAlignment="1" applyBorder="1" applyFont="1">
      <alignment shrinkToFit="0" vertical="bottom" wrapText="0"/>
    </xf>
    <xf borderId="3" fillId="13" fontId="31" numFmtId="0" xfId="0" applyBorder="1" applyFont="1"/>
    <xf borderId="3" fillId="13" fontId="187" numFmtId="0" xfId="0" applyAlignment="1" applyBorder="1" applyFont="1">
      <alignment horizontal="center" shrinkToFit="0" wrapText="1"/>
    </xf>
    <xf borderId="3" fillId="13" fontId="31" numFmtId="0" xfId="0" applyAlignment="1" applyBorder="1" applyFont="1">
      <alignment shrinkToFit="0" wrapText="0"/>
    </xf>
    <xf borderId="3" fillId="21" fontId="31" numFmtId="0" xfId="0" applyBorder="1" applyFont="1"/>
    <xf borderId="3" fillId="21" fontId="31" numFmtId="0" xfId="0" applyAlignment="1" applyBorder="1" applyFont="1">
      <alignment horizontal="center" readingOrder="0"/>
    </xf>
    <xf borderId="3" fillId="21" fontId="31" numFmtId="165" xfId="0" applyAlignment="1" applyBorder="1" applyFont="1" applyNumberFormat="1">
      <alignment horizontal="center"/>
    </xf>
    <xf borderId="3" fillId="21" fontId="5" numFmtId="0" xfId="0" applyAlignment="1" applyBorder="1" applyFont="1">
      <alignment horizontal="center" vertical="center"/>
    </xf>
    <xf borderId="3" fillId="21" fontId="5" numFmtId="0" xfId="0" applyBorder="1" applyFont="1"/>
    <xf borderId="3" fillId="21" fontId="31" numFmtId="0" xfId="0" applyBorder="1" applyFont="1"/>
    <xf borderId="3" fillId="21" fontId="31" numFmtId="165" xfId="0" applyBorder="1" applyFont="1" applyNumberFormat="1"/>
    <xf borderId="4" fillId="21" fontId="5" numFmtId="0" xfId="0" applyBorder="1" applyFont="1"/>
    <xf borderId="2" fillId="0" fontId="188" numFmtId="0" xfId="0" applyAlignment="1" applyBorder="1" applyFont="1">
      <alignment horizontal="center"/>
    </xf>
    <xf borderId="3" fillId="12" fontId="182" numFmtId="0" xfId="0" applyAlignment="1" applyBorder="1" applyFont="1">
      <alignment horizontal="left"/>
    </xf>
    <xf borderId="3" fillId="12" fontId="189" numFmtId="0" xfId="0" applyAlignment="1" applyBorder="1" applyFont="1">
      <alignment shrinkToFit="0" vertical="bottom" wrapText="0"/>
    </xf>
    <xf borderId="3" fillId="12" fontId="31" numFmtId="0" xfId="0" applyBorder="1" applyFont="1"/>
    <xf borderId="3" fillId="15" fontId="31" numFmtId="0" xfId="0" applyAlignment="1" applyBorder="1" applyFont="1">
      <alignment horizontal="center"/>
    </xf>
    <xf borderId="4" fillId="15" fontId="31" numFmtId="165" xfId="0" applyBorder="1" applyFont="1" applyNumberFormat="1"/>
    <xf borderId="3" fillId="12" fontId="182" numFmtId="0" xfId="0" applyAlignment="1" applyBorder="1" applyFont="1">
      <alignment horizontal="center" shrinkToFit="0" wrapText="1"/>
    </xf>
    <xf borderId="3" fillId="12" fontId="31" numFmtId="0" xfId="0" applyAlignment="1" applyBorder="1" applyFont="1">
      <alignment vertical="bottom"/>
    </xf>
    <xf borderId="3" fillId="12" fontId="190" numFmtId="0" xfId="0" applyAlignment="1" applyBorder="1" applyFont="1">
      <alignment horizontal="left" vertical="bottom"/>
    </xf>
    <xf borderId="3" fillId="21" fontId="184" numFmtId="0" xfId="0" applyAlignment="1" applyBorder="1" applyFont="1">
      <alignment readingOrder="0" shrinkToFit="0" vertical="bottom" wrapText="0"/>
    </xf>
    <xf borderId="3" fillId="21" fontId="31" numFmtId="0" xfId="0" applyAlignment="1" applyBorder="1" applyFont="1">
      <alignment horizontal="center"/>
    </xf>
    <xf borderId="4" fillId="21" fontId="31" numFmtId="165" xfId="0" applyBorder="1" applyFont="1" applyNumberFormat="1"/>
    <xf borderId="3" fillId="12" fontId="182" numFmtId="0" xfId="0" applyAlignment="1" applyBorder="1" applyFont="1">
      <alignment horizontal="left" vertical="bottom"/>
    </xf>
    <xf borderId="3" fillId="12" fontId="191" numFmtId="0" xfId="0" applyAlignment="1" applyBorder="1" applyFont="1">
      <alignment horizontal="center" shrinkToFit="0" vertical="bottom" wrapText="1"/>
    </xf>
    <xf borderId="3" fillId="12" fontId="192" numFmtId="0" xfId="0" applyAlignment="1" applyBorder="1" applyFont="1">
      <alignment horizontal="center" shrinkToFit="0" wrapText="1"/>
    </xf>
    <xf borderId="3" fillId="21" fontId="183" numFmtId="0" xfId="0" applyAlignment="1" applyBorder="1" applyFont="1">
      <alignment horizontal="left" readingOrder="0"/>
    </xf>
    <xf borderId="3" fillId="21" fontId="182" numFmtId="0" xfId="0" applyAlignment="1" applyBorder="1" applyFont="1">
      <alignment horizontal="left"/>
    </xf>
    <xf borderId="3" fillId="21" fontId="184" numFmtId="0" xfId="0" applyAlignment="1" applyBorder="1" applyFont="1">
      <alignment horizontal="left" readingOrder="0" shrinkToFit="0" vertical="bottom" wrapText="0"/>
    </xf>
    <xf borderId="3" fillId="21" fontId="193" numFmtId="0" xfId="0" applyAlignment="1" applyBorder="1" applyFont="1">
      <alignment readingOrder="0" shrinkToFit="0" vertical="bottom" wrapText="0"/>
    </xf>
    <xf borderId="3" fillId="21" fontId="194" numFmtId="0" xfId="0" applyAlignment="1" applyBorder="1" applyFont="1">
      <alignment shrinkToFit="0" vertical="bottom" wrapText="0"/>
    </xf>
    <xf borderId="3" fillId="21" fontId="31" numFmtId="0" xfId="0" applyAlignment="1" applyBorder="1" applyFont="1">
      <alignment readingOrder="0"/>
    </xf>
    <xf borderId="3" fillId="12" fontId="195" numFmtId="0" xfId="0" applyAlignment="1" applyBorder="1" applyFont="1">
      <alignment horizontal="center"/>
    </xf>
    <xf borderId="3" fillId="21" fontId="31" numFmtId="0" xfId="0" applyAlignment="1" applyBorder="1" applyFont="1">
      <alignment vertical="bottom"/>
    </xf>
    <xf borderId="3" fillId="21" fontId="196" numFmtId="0" xfId="0" applyAlignment="1" applyBorder="1" applyFont="1">
      <alignment horizontal="center" shrinkToFit="0" wrapText="1"/>
    </xf>
    <xf borderId="4" fillId="15" fontId="31" numFmtId="0" xfId="0" applyAlignment="1" applyBorder="1" applyFont="1">
      <alignment horizontal="center"/>
    </xf>
    <xf borderId="2" fillId="7" fontId="51" numFmtId="0" xfId="0" applyAlignment="1" applyBorder="1" applyFont="1">
      <alignment horizontal="center"/>
    </xf>
    <xf borderId="3" fillId="7" fontId="164" numFmtId="0" xfId="0" applyAlignment="1" applyBorder="1" applyFont="1">
      <alignment vertical="bottom"/>
    </xf>
    <xf borderId="3" fillId="7" fontId="164" numFmtId="0" xfId="0" applyAlignment="1" applyBorder="1" applyFont="1">
      <alignment horizontal="left"/>
    </xf>
    <xf borderId="3" fillId="23" fontId="197" numFmtId="0" xfId="0" applyAlignment="1" applyBorder="1" applyFont="1">
      <alignment shrinkToFit="0" vertical="bottom" wrapText="0"/>
    </xf>
    <xf borderId="3" fillId="23" fontId="31" numFmtId="0" xfId="0" applyAlignment="1" applyBorder="1" applyFont="1">
      <alignment vertical="bottom"/>
    </xf>
    <xf borderId="3" fillId="7" fontId="164" numFmtId="0" xfId="0" applyAlignment="1" applyBorder="1" applyFont="1">
      <alignment horizontal="center" shrinkToFit="0" wrapText="1"/>
    </xf>
    <xf borderId="3" fillId="7" fontId="164" numFmtId="0" xfId="0" applyAlignment="1" applyBorder="1" applyFont="1">
      <alignment readingOrder="0"/>
    </xf>
    <xf borderId="3" fillId="7" fontId="164" numFmtId="165" xfId="0" applyAlignment="1" applyBorder="1" applyFont="1" applyNumberFormat="1">
      <alignment horizontal="center"/>
    </xf>
    <xf borderId="3" fillId="7" fontId="164" numFmtId="165" xfId="0" applyBorder="1" applyFont="1" applyNumberFormat="1"/>
    <xf borderId="4" fillId="7" fontId="164" numFmtId="165" xfId="0" applyBorder="1" applyFont="1" applyNumberFormat="1"/>
    <xf borderId="3" fillId="23" fontId="31" numFmtId="0" xfId="0" applyAlignment="1" applyBorder="1" applyFont="1">
      <alignment vertical="bottom"/>
    </xf>
    <xf borderId="3" fillId="33" fontId="31" numFmtId="0" xfId="0" applyAlignment="1" applyBorder="1" applyFill="1" applyFont="1">
      <alignment horizontal="center"/>
    </xf>
    <xf borderId="3" fillId="33" fontId="31" numFmtId="0" xfId="0" applyAlignment="1" applyBorder="1" applyFont="1">
      <alignment horizontal="center" readingOrder="0"/>
    </xf>
    <xf borderId="3" fillId="33" fontId="164" numFmtId="0" xfId="0" applyAlignment="1" applyBorder="1" applyFont="1">
      <alignment horizontal="center" readingOrder="0"/>
    </xf>
    <xf borderId="3" fillId="33" fontId="164" numFmtId="0" xfId="0" applyAlignment="1" applyBorder="1" applyFont="1">
      <alignment horizontal="center" readingOrder="0" vertical="bottom"/>
    </xf>
    <xf borderId="3" fillId="33" fontId="31" numFmtId="0" xfId="0" applyAlignment="1" applyBorder="1" applyFont="1">
      <alignment readingOrder="0"/>
    </xf>
    <xf borderId="3" fillId="33" fontId="31" numFmtId="165" xfId="0" applyAlignment="1" applyBorder="1" applyFont="1" applyNumberFormat="1">
      <alignment horizontal="center"/>
    </xf>
    <xf borderId="3" fillId="33" fontId="31" numFmtId="165" xfId="0" applyBorder="1" applyFont="1" applyNumberFormat="1"/>
    <xf borderId="4" fillId="33" fontId="31" numFmtId="165" xfId="0" applyBorder="1" applyFont="1" applyNumberFormat="1"/>
    <xf borderId="3" fillId="0" fontId="31" numFmtId="0" xfId="0" applyAlignment="1" applyBorder="1" applyFont="1">
      <alignment vertical="bottom"/>
    </xf>
    <xf borderId="3" fillId="7" fontId="164" numFmtId="0" xfId="0" applyAlignment="1" applyBorder="1" applyFont="1">
      <alignment readingOrder="0" vertical="bottom"/>
    </xf>
    <xf borderId="3" fillId="0" fontId="31" numFmtId="0" xfId="0" applyAlignment="1" applyBorder="1" applyFont="1">
      <alignment readingOrder="0" vertical="bottom"/>
    </xf>
    <xf borderId="0" fillId="0" fontId="188" numFmtId="0" xfId="0" applyAlignment="1" applyFont="1">
      <alignment horizontal="center"/>
    </xf>
    <xf borderId="0" fillId="12" fontId="182" numFmtId="0" xfId="0" applyAlignment="1" applyFont="1">
      <alignment horizontal="center" readingOrder="0"/>
    </xf>
    <xf borderId="0" fillId="13" fontId="183" numFmtId="0" xfId="0" applyAlignment="1" applyFont="1">
      <alignment horizontal="left" readingOrder="0"/>
    </xf>
    <xf borderId="0" fillId="12" fontId="182" numFmtId="0" xfId="0" applyAlignment="1" applyFont="1">
      <alignment horizontal="left"/>
    </xf>
    <xf borderId="0" fillId="12" fontId="198" numFmtId="0" xfId="0" applyAlignment="1" applyFont="1">
      <alignment shrinkToFit="0" vertical="bottom" wrapText="0"/>
    </xf>
    <xf borderId="0" fillId="12" fontId="31" numFmtId="0" xfId="0" applyAlignment="1" applyFont="1">
      <alignment vertical="bottom"/>
    </xf>
    <xf borderId="0" fillId="12" fontId="31" numFmtId="0" xfId="0" applyFont="1"/>
    <xf borderId="0" fillId="15" fontId="31" numFmtId="0" xfId="0" applyAlignment="1" applyFont="1">
      <alignment horizontal="center"/>
    </xf>
    <xf borderId="0" fillId="15" fontId="31" numFmtId="0" xfId="0" applyAlignment="1" applyFont="1">
      <alignment horizontal="center" readingOrder="0"/>
    </xf>
    <xf borderId="0" fillId="7" fontId="164" numFmtId="0" xfId="0" applyAlignment="1" applyFont="1">
      <alignment horizontal="center" readingOrder="0" vertical="bottom"/>
    </xf>
    <xf borderId="0" fillId="15" fontId="31" numFmtId="165" xfId="0" applyFont="1" applyNumberFormat="1"/>
    <xf borderId="0" fillId="15" fontId="31" numFmtId="165" xfId="0" applyAlignment="1" applyFont="1" applyNumberFormat="1">
      <alignment horizontal="center"/>
    </xf>
    <xf borderId="0" fillId="12" fontId="199" numFmtId="0" xfId="0" applyAlignment="1" applyFont="1">
      <alignment horizontal="center" shrinkToFit="0" wrapText="1"/>
    </xf>
    <xf borderId="0" fillId="12" fontId="182" numFmtId="0" xfId="0" applyAlignment="1" applyFont="1">
      <alignment horizontal="left" vertical="bottom"/>
    </xf>
    <xf borderId="0" fillId="12" fontId="31" numFmtId="0" xfId="0" applyAlignment="1" applyFont="1">
      <alignment shrinkToFit="0" vertical="bottom" wrapText="0"/>
    </xf>
    <xf borderId="0" fillId="12" fontId="31" numFmtId="0" xfId="0" applyAlignment="1" applyFont="1">
      <alignment horizontal="left"/>
    </xf>
    <xf borderId="0" fillId="12" fontId="182" numFmtId="0" xfId="0" applyAlignment="1" applyFont="1">
      <alignment horizontal="center" shrinkToFit="0" wrapText="1"/>
    </xf>
    <xf borderId="0" fillId="12" fontId="31" numFmtId="0" xfId="0" applyAlignment="1" applyFont="1">
      <alignment shrinkToFit="0" wrapText="0"/>
    </xf>
    <xf borderId="0" fillId="12" fontId="200" numFmtId="0" xfId="0" applyAlignment="1" applyFont="1">
      <alignment horizontal="center" shrinkToFit="0" wrapText="0"/>
    </xf>
    <xf borderId="0" fillId="11" fontId="152" numFmtId="0" xfId="0" applyAlignment="1" applyFont="1">
      <alignment horizontal="left" vertical="bottom"/>
    </xf>
    <xf borderId="0" fillId="11" fontId="152" numFmtId="0" xfId="0" applyAlignment="1" applyFont="1">
      <alignment horizontal="left"/>
    </xf>
    <xf borderId="0" fillId="11" fontId="201" numFmtId="0" xfId="0" applyAlignment="1" applyFont="1">
      <alignment horizontal="center" shrinkToFit="0" wrapText="0"/>
    </xf>
    <xf borderId="0" fillId="11" fontId="202" numFmtId="0" xfId="0" applyAlignment="1" applyFont="1">
      <alignment horizontal="center" shrinkToFit="0" vertical="bottom" wrapText="0"/>
    </xf>
    <xf borderId="0" fillId="11" fontId="152" numFmtId="0" xfId="0" applyAlignment="1" applyFont="1">
      <alignment horizontal="left" shrinkToFit="0" wrapText="0"/>
    </xf>
    <xf borderId="0" fillId="11" fontId="31" numFmtId="0" xfId="0" applyAlignment="1" applyFont="1">
      <alignment shrinkToFit="0" wrapText="0"/>
    </xf>
    <xf borderId="0" fillId="11" fontId="203" numFmtId="0" xfId="0" applyAlignment="1" applyFont="1">
      <alignment horizontal="left" shrinkToFit="0" vertical="bottom" wrapText="0"/>
    </xf>
    <xf borderId="0" fillId="11" fontId="31" numFmtId="0" xfId="0" applyAlignment="1" applyFont="1">
      <alignment shrinkToFit="0" vertical="bottom" wrapText="0"/>
    </xf>
    <xf borderId="0" fillId="11" fontId="152" numFmtId="0" xfId="0" applyAlignment="1" applyFont="1">
      <alignment horizontal="left" shrinkToFit="0" vertical="bottom" wrapText="0"/>
    </xf>
    <xf borderId="0" fillId="11" fontId="204" numFmtId="0" xfId="0" applyAlignment="1" applyFont="1">
      <alignment horizontal="center" shrinkToFit="0" vertical="bottom" wrapText="1"/>
    </xf>
    <xf borderId="0" fillId="11" fontId="31" numFmtId="0" xfId="0" applyAlignment="1" applyFont="1">
      <alignment vertical="bottom"/>
    </xf>
    <xf borderId="0" fillId="11" fontId="152" numFmtId="0" xfId="0" applyAlignment="1" applyFont="1">
      <alignment horizontal="center" shrinkToFit="0" vertical="bottom" wrapText="0"/>
    </xf>
    <xf borderId="0" fillId="11" fontId="31" numFmtId="0" xfId="0" applyAlignment="1" applyFont="1">
      <alignment horizontal="left" shrinkToFit="0" vertical="bottom" wrapText="0"/>
    </xf>
    <xf borderId="0" fillId="11" fontId="152" numFmtId="0" xfId="0" applyAlignment="1" applyFont="1">
      <alignment horizontal="center" shrinkToFit="0" vertical="bottom" wrapText="1"/>
    </xf>
    <xf borderId="0" fillId="11" fontId="205" numFmtId="0" xfId="0" applyAlignment="1" applyFont="1">
      <alignment horizontal="center" shrinkToFit="0" vertical="bottom" wrapText="0"/>
    </xf>
    <xf borderId="0" fillId="11" fontId="31" numFmtId="0" xfId="0" applyAlignment="1" applyFont="1">
      <alignment horizontal="left" vertical="bottom"/>
    </xf>
    <xf borderId="0" fillId="31" fontId="206" numFmtId="0" xfId="0" applyAlignment="1" applyFont="1">
      <alignment horizontal="left" vertical="bottom"/>
    </xf>
    <xf borderId="0" fillId="0" fontId="5" numFmtId="0" xfId="0" applyAlignment="1" applyFont="1">
      <alignment horizontal="left"/>
    </xf>
    <xf borderId="0" fillId="0" fontId="5" numFmtId="0" xfId="0" applyAlignment="1" applyFont="1">
      <alignment shrinkToFit="0" wrapText="0"/>
    </xf>
    <xf borderId="0" fillId="0" fontId="5" numFmtId="0" xfId="0" applyAlignment="1" applyFont="1">
      <alignment horizontal="left" shrinkToFit="0" wrapText="0"/>
    </xf>
    <xf borderId="0" fillId="15" fontId="181" numFmtId="0" xfId="0" applyAlignment="1" applyFont="1">
      <alignment horizontal="center"/>
    </xf>
    <xf borderId="0" fillId="13" fontId="207" numFmtId="0" xfId="0" applyAlignment="1" applyFont="1">
      <alignment horizontal="center"/>
    </xf>
    <xf borderId="0" fillId="13" fontId="31" numFmtId="0" xfId="0" applyFont="1"/>
    <xf borderId="0" fillId="23" fontId="183" numFmtId="0" xfId="0" applyAlignment="1" applyFont="1">
      <alignment horizontal="left" shrinkToFit="0" wrapText="1"/>
    </xf>
    <xf borderId="0" fillId="23" fontId="183" numFmtId="0" xfId="0" applyAlignment="1" applyFont="1">
      <alignment horizontal="left"/>
    </xf>
    <xf borderId="0" fillId="23" fontId="208" numFmtId="0" xfId="0" applyAlignment="1" applyFont="1">
      <alignment horizontal="center"/>
    </xf>
    <xf borderId="0" fillId="23" fontId="183" numFmtId="0" xfId="0" applyAlignment="1" applyFont="1">
      <alignment horizontal="center"/>
    </xf>
    <xf borderId="0" fillId="23" fontId="209" numFmtId="0" xfId="0" applyAlignment="1" applyFont="1">
      <alignment shrinkToFit="0" vertical="bottom" wrapText="0"/>
    </xf>
    <xf borderId="0" fillId="23" fontId="31" numFmtId="0" xfId="0" applyAlignment="1" applyFont="1">
      <alignment shrinkToFit="0" vertical="bottom" wrapText="0"/>
    </xf>
    <xf borderId="0" fillId="23" fontId="31" numFmtId="0" xfId="0" applyAlignment="1" applyFont="1">
      <alignment horizontal="center" shrinkToFit="0" wrapText="0"/>
    </xf>
    <xf borderId="0" fillId="23" fontId="183" numFmtId="0" xfId="0" applyAlignment="1" applyFont="1">
      <alignment horizontal="center" shrinkToFit="0" wrapText="1"/>
    </xf>
    <xf borderId="0" fillId="23" fontId="5" numFmtId="0" xfId="0" applyAlignment="1" applyFont="1">
      <alignment horizontal="center"/>
    </xf>
    <xf borderId="0" fillId="23" fontId="5" numFmtId="0" xfId="0" applyFont="1"/>
    <xf borderId="0" fillId="23" fontId="31" numFmtId="0" xfId="0" applyAlignment="1" applyFont="1">
      <alignment horizontal="center"/>
    </xf>
    <xf borderId="0" fillId="23" fontId="5" numFmtId="165" xfId="0" applyAlignment="1" applyFont="1" applyNumberFormat="1">
      <alignment horizontal="center"/>
    </xf>
    <xf borderId="0" fillId="23" fontId="31" numFmtId="0" xfId="0" applyAlignment="1" applyFont="1">
      <alignment horizontal="center"/>
    </xf>
    <xf borderId="0" fillId="23" fontId="31" numFmtId="0" xfId="0" applyAlignment="1" applyFont="1">
      <alignment horizontal="center" readingOrder="0"/>
    </xf>
    <xf borderId="0" fillId="23" fontId="31" numFmtId="0" xfId="0" applyFont="1"/>
    <xf borderId="0" fillId="23" fontId="210" numFmtId="0" xfId="0" applyAlignment="1" applyFont="1">
      <alignment horizontal="center" shrinkToFit="0" wrapText="1"/>
    </xf>
    <xf borderId="3" fillId="13" fontId="207" numFmtId="0" xfId="0" applyAlignment="1" applyBorder="1" applyFont="1">
      <alignment horizontal="center"/>
    </xf>
    <xf borderId="3" fillId="23" fontId="183" numFmtId="0" xfId="0" applyAlignment="1" applyBorder="1" applyFont="1">
      <alignment horizontal="left" shrinkToFit="0" wrapText="1"/>
    </xf>
    <xf borderId="3" fillId="23" fontId="183" numFmtId="0" xfId="0" applyAlignment="1" applyBorder="1" applyFont="1">
      <alignment horizontal="left"/>
    </xf>
    <xf borderId="3" fillId="23" fontId="211" numFmtId="0" xfId="0" applyAlignment="1" applyBorder="1" applyFont="1">
      <alignment horizontal="center"/>
    </xf>
    <xf borderId="3" fillId="23" fontId="183" numFmtId="0" xfId="0" applyAlignment="1" applyBorder="1" applyFont="1">
      <alignment horizontal="center"/>
    </xf>
    <xf borderId="3" fillId="23" fontId="31" numFmtId="0" xfId="0" applyBorder="1" applyFont="1"/>
    <xf borderId="3" fillId="23" fontId="212" numFmtId="0" xfId="0" applyAlignment="1" applyBorder="1" applyFont="1">
      <alignment horizontal="center" shrinkToFit="0" wrapText="0"/>
    </xf>
    <xf borderId="3" fillId="23" fontId="31" numFmtId="0" xfId="0" applyAlignment="1" applyBorder="1" applyFont="1">
      <alignment shrinkToFit="0" wrapText="0"/>
    </xf>
    <xf borderId="3" fillId="23" fontId="31" numFmtId="0" xfId="0" applyAlignment="1" applyBorder="1" applyFont="1">
      <alignment horizontal="center" shrinkToFit="0" wrapText="0"/>
    </xf>
    <xf borderId="3" fillId="23" fontId="213" numFmtId="0" xfId="0" applyAlignment="1" applyBorder="1" applyFont="1">
      <alignment horizontal="center" shrinkToFit="0" wrapText="1"/>
    </xf>
    <xf borderId="3" fillId="23" fontId="5" numFmtId="165" xfId="0" applyAlignment="1" applyBorder="1" applyFont="1" applyNumberFormat="1">
      <alignment horizontal="center"/>
    </xf>
    <xf borderId="3" fillId="23" fontId="31" numFmtId="0" xfId="0" applyAlignment="1" applyBorder="1" applyFont="1">
      <alignment horizontal="center"/>
    </xf>
    <xf borderId="3" fillId="23" fontId="31" numFmtId="0" xfId="0" applyAlignment="1" applyBorder="1" applyFont="1">
      <alignment horizontal="center" readingOrder="0"/>
    </xf>
    <xf borderId="0" fillId="23" fontId="214" numFmtId="0" xfId="0" applyAlignment="1" applyFont="1">
      <alignment horizontal="center" shrinkToFit="0" wrapText="0"/>
    </xf>
    <xf borderId="0" fillId="23" fontId="183" numFmtId="0" xfId="0" applyAlignment="1" applyFont="1">
      <alignment horizontal="left" vertical="bottom"/>
    </xf>
    <xf borderId="0" fillId="23" fontId="183" numFmtId="0" xfId="0" applyAlignment="1" applyFont="1">
      <alignment horizontal="center" shrinkToFit="0" wrapText="0"/>
    </xf>
    <xf borderId="3" fillId="12" fontId="182" numFmtId="0" xfId="0" applyAlignment="1" applyBorder="1" applyFont="1">
      <alignment horizontal="center"/>
    </xf>
    <xf borderId="3" fillId="12" fontId="182" numFmtId="0" xfId="0" applyAlignment="1" applyBorder="1" applyFont="1">
      <alignment horizontal="left" shrinkToFit="0" wrapText="1"/>
    </xf>
    <xf borderId="3" fillId="15" fontId="31" numFmtId="0" xfId="0" applyAlignment="1" applyBorder="1" applyFont="1">
      <alignment horizontal="center"/>
    </xf>
    <xf borderId="3" fillId="15" fontId="31" numFmtId="165" xfId="0" applyAlignment="1" applyBorder="1" applyFont="1" applyNumberFormat="1">
      <alignment horizontal="center" readingOrder="0"/>
    </xf>
    <xf borderId="0" fillId="12" fontId="182" numFmtId="0" xfId="0" applyAlignment="1" applyFont="1">
      <alignment horizontal="center"/>
    </xf>
    <xf borderId="0" fillId="12" fontId="182" numFmtId="0" xfId="0" applyAlignment="1" applyFont="1">
      <alignment horizontal="left" shrinkToFit="0" wrapText="1"/>
    </xf>
    <xf borderId="0" fillId="12" fontId="215" numFmtId="0" xfId="0" applyAlignment="1" applyFont="1">
      <alignment horizontal="center"/>
    </xf>
    <xf borderId="0" fillId="12" fontId="31" numFmtId="0" xfId="0" applyAlignment="1" applyFont="1">
      <alignment horizontal="center"/>
    </xf>
    <xf borderId="0" fillId="0" fontId="31" numFmtId="0" xfId="0" applyAlignment="1" applyFont="1">
      <alignment vertical="bottom"/>
    </xf>
    <xf borderId="3" fillId="31" fontId="206" numFmtId="0" xfId="0" applyAlignment="1" applyBorder="1" applyFont="1">
      <alignment horizontal="left"/>
    </xf>
    <xf borderId="3" fillId="12" fontId="182" numFmtId="0" xfId="0" applyAlignment="1" applyBorder="1" applyFont="1">
      <alignment horizontal="left" shrinkToFit="0" vertical="bottom" wrapText="1"/>
    </xf>
    <xf borderId="3" fillId="12" fontId="216" numFmtId="0" xfId="0" applyAlignment="1" applyBorder="1" applyFont="1">
      <alignment horizontal="center" vertical="bottom"/>
    </xf>
    <xf borderId="3" fillId="12" fontId="182" numFmtId="0" xfId="0" applyAlignment="1" applyBorder="1" applyFont="1">
      <alignment horizontal="center" vertical="bottom"/>
    </xf>
    <xf borderId="3" fillId="12" fontId="182" numFmtId="0" xfId="0" applyAlignment="1" applyBorder="1" applyFont="1">
      <alignment horizontal="center" shrinkToFit="0" vertical="bottom" wrapText="1"/>
    </xf>
    <xf borderId="3" fillId="12" fontId="217" numFmtId="0" xfId="0" applyAlignment="1" applyBorder="1" applyFont="1">
      <alignment horizontal="left" vertical="bottom"/>
    </xf>
    <xf borderId="3" fillId="15" fontId="59" numFmtId="0" xfId="0" applyAlignment="1" applyBorder="1" applyFont="1">
      <alignment horizontal="center"/>
    </xf>
    <xf borderId="0" fillId="12" fontId="217" numFmtId="0" xfId="0" applyAlignment="1" applyFont="1">
      <alignment horizontal="left" vertical="bottom"/>
    </xf>
    <xf borderId="0" fillId="12" fontId="218" numFmtId="0" xfId="0" applyAlignment="1" applyFont="1">
      <alignment horizontal="center" vertical="bottom"/>
    </xf>
    <xf borderId="0" fillId="12" fontId="31" numFmtId="0" xfId="0" applyAlignment="1" applyFont="1">
      <alignment horizontal="center" vertical="bottom"/>
    </xf>
    <xf borderId="0" fillId="12" fontId="182" numFmtId="0" xfId="0" applyAlignment="1" applyFont="1">
      <alignment horizontal="left" shrinkToFit="0" vertical="bottom" wrapText="1"/>
    </xf>
    <xf borderId="0" fillId="12" fontId="219" numFmtId="0" xfId="0" applyAlignment="1" applyFont="1">
      <alignment horizontal="left" vertical="bottom"/>
    </xf>
    <xf borderId="0" fillId="15" fontId="59" numFmtId="0" xfId="0" applyAlignment="1" applyFont="1">
      <alignment horizontal="center"/>
    </xf>
    <xf borderId="3" fillId="12" fontId="190" numFmtId="0" xfId="0" applyAlignment="1" applyBorder="1" applyFont="1">
      <alignment horizontal="center" vertical="bottom"/>
    </xf>
    <xf borderId="0" fillId="12" fontId="182" numFmtId="0" xfId="0" applyAlignment="1" applyFont="1">
      <alignment horizontal="center" vertical="bottom"/>
    </xf>
    <xf borderId="0" fillId="31" fontId="206" numFmtId="0" xfId="0" applyAlignment="1" applyFont="1">
      <alignment horizontal="left"/>
    </xf>
    <xf borderId="3" fillId="12" fontId="220" numFmtId="0" xfId="0" applyAlignment="1" applyBorder="1" applyFont="1">
      <alignment horizontal="center" vertical="bottom"/>
    </xf>
    <xf borderId="0" fillId="12" fontId="221" numFmtId="0" xfId="0" applyAlignment="1" applyFont="1">
      <alignment horizontal="left"/>
    </xf>
    <xf borderId="3" fillId="12" fontId="31" numFmtId="0" xfId="0" applyAlignment="1" applyBorder="1" applyFont="1">
      <alignment horizontal="left" readingOrder="0" shrinkToFit="0" wrapText="1"/>
    </xf>
    <xf borderId="3" fillId="12" fontId="219" numFmtId="0" xfId="0" applyAlignment="1" applyBorder="1" applyFont="1">
      <alignment horizontal="left" vertical="bottom"/>
    </xf>
    <xf borderId="3" fillId="12" fontId="222" numFmtId="0" xfId="0" applyAlignment="1" applyBorder="1" applyFont="1">
      <alignment horizontal="center"/>
    </xf>
    <xf borderId="3" fillId="12" fontId="223" numFmtId="0" xfId="0" applyAlignment="1" applyBorder="1" applyFont="1">
      <alignment horizontal="center" vertical="bottom"/>
    </xf>
    <xf borderId="3" fillId="12" fontId="224" numFmtId="0" xfId="0" applyAlignment="1" applyBorder="1" applyFont="1">
      <alignment horizontal="center" vertical="bottom"/>
    </xf>
    <xf borderId="3" fillId="12" fontId="31" numFmtId="0" xfId="0" applyAlignment="1" applyBorder="1" applyFont="1">
      <alignment horizontal="left"/>
    </xf>
    <xf borderId="3" fillId="12" fontId="225" numFmtId="0" xfId="0" applyAlignment="1" applyBorder="1" applyFont="1">
      <alignment horizontal="center" shrinkToFit="0" wrapText="0"/>
    </xf>
    <xf borderId="3" fillId="11" fontId="152" numFmtId="0" xfId="0" applyAlignment="1" applyBorder="1" applyFont="1">
      <alignment horizontal="left" shrinkToFit="0" wrapText="1"/>
    </xf>
    <xf borderId="3" fillId="11" fontId="152" numFmtId="0" xfId="0" applyAlignment="1" applyBorder="1" applyFont="1">
      <alignment horizontal="left" vertical="bottom"/>
    </xf>
    <xf borderId="3" fillId="11" fontId="152" numFmtId="0" xfId="0" applyAlignment="1" applyBorder="1" applyFont="1">
      <alignment horizontal="left"/>
    </xf>
    <xf borderId="3" fillId="11" fontId="226" numFmtId="0" xfId="0" applyAlignment="1" applyBorder="1" applyFont="1">
      <alignment horizontal="center" shrinkToFit="0" vertical="bottom" wrapText="0"/>
    </xf>
    <xf borderId="3" fillId="11" fontId="152" numFmtId="0" xfId="0" applyAlignment="1" applyBorder="1" applyFont="1">
      <alignment horizontal="center" shrinkToFit="0" wrapText="0"/>
    </xf>
    <xf borderId="3" fillId="0" fontId="5" numFmtId="165" xfId="0" applyAlignment="1" applyBorder="1" applyFont="1" applyNumberFormat="1">
      <alignment horizontal="center"/>
    </xf>
    <xf borderId="3" fillId="11" fontId="31" numFmtId="0" xfId="0" applyAlignment="1" applyBorder="1" applyFont="1">
      <alignment shrinkToFit="0" wrapText="0"/>
    </xf>
    <xf borderId="0" fillId="11" fontId="152" numFmtId="0" xfId="0" applyAlignment="1" applyFont="1">
      <alignment horizontal="left" shrinkToFit="0" wrapText="1"/>
    </xf>
    <xf borderId="0" fillId="11" fontId="152" numFmtId="0" xfId="0" applyAlignment="1" applyFont="1">
      <alignment horizontal="center" shrinkToFit="0" wrapText="0"/>
    </xf>
    <xf borderId="0" fillId="0" fontId="5" numFmtId="165" xfId="0" applyAlignment="1" applyFont="1" applyNumberFormat="1">
      <alignment horizontal="center"/>
    </xf>
    <xf borderId="3" fillId="11" fontId="227" numFmtId="0" xfId="0" applyAlignment="1" applyBorder="1" applyFont="1">
      <alignment horizontal="center" readingOrder="0" shrinkToFit="0" wrapText="0"/>
    </xf>
    <xf borderId="3" fillId="21" fontId="152" numFmtId="0" xfId="0" applyAlignment="1" applyBorder="1" applyFont="1">
      <alignment horizontal="left" shrinkToFit="0" wrapText="1"/>
    </xf>
    <xf borderId="3" fillId="21" fontId="152" numFmtId="0" xfId="0" applyAlignment="1" applyBorder="1" applyFont="1">
      <alignment horizontal="left"/>
    </xf>
    <xf borderId="3" fillId="21" fontId="228" numFmtId="0" xfId="0" applyAlignment="1" applyBorder="1" applyFont="1">
      <alignment horizontal="center"/>
    </xf>
    <xf borderId="3" fillId="21" fontId="152" numFmtId="0" xfId="0" applyAlignment="1" applyBorder="1" applyFont="1">
      <alignment horizontal="center"/>
    </xf>
    <xf borderId="3" fillId="21" fontId="229" numFmtId="0" xfId="0" applyAlignment="1" applyBorder="1" applyFont="1">
      <alignment horizontal="center" shrinkToFit="0" wrapText="0"/>
    </xf>
    <xf borderId="3" fillId="21" fontId="31" numFmtId="0" xfId="0" applyAlignment="1" applyBorder="1" applyFont="1">
      <alignment shrinkToFit="0" wrapText="0"/>
    </xf>
    <xf borderId="3" fillId="21" fontId="152" numFmtId="0" xfId="0" applyAlignment="1" applyBorder="1" applyFont="1">
      <alignment horizontal="center" shrinkToFit="0" wrapText="0"/>
    </xf>
    <xf borderId="3" fillId="21" fontId="5" numFmtId="165" xfId="0" applyAlignment="1" applyBorder="1" applyFont="1" applyNumberFormat="1">
      <alignment horizontal="center"/>
    </xf>
    <xf borderId="4" fillId="0" fontId="5" numFmtId="0" xfId="0" applyAlignment="1" applyBorder="1" applyFont="1">
      <alignment readingOrder="0"/>
    </xf>
    <xf borderId="3" fillId="11" fontId="152" numFmtId="0" xfId="0" applyAlignment="1" applyBorder="1" applyFont="1">
      <alignment horizontal="left" shrinkToFit="0" vertical="bottom" wrapText="1"/>
    </xf>
    <xf borderId="3" fillId="11" fontId="31" numFmtId="0" xfId="0" applyAlignment="1" applyBorder="1" applyFont="1">
      <alignment shrinkToFit="0" vertical="bottom" wrapText="0"/>
    </xf>
    <xf borderId="3" fillId="11" fontId="230" numFmtId="0" xfId="0" applyAlignment="1" applyBorder="1" applyFont="1">
      <alignment readingOrder="0" shrinkToFit="0" vertical="bottom" wrapText="0"/>
    </xf>
    <xf borderId="3" fillId="11" fontId="152" numFmtId="0" xfId="0" applyAlignment="1" applyBorder="1" applyFont="1">
      <alignment horizontal="center" shrinkToFit="0" vertical="bottom" wrapText="0"/>
    </xf>
    <xf borderId="3" fillId="11" fontId="231" numFmtId="0" xfId="0" applyAlignment="1" applyBorder="1" applyFont="1">
      <alignment horizontal="center" shrinkToFit="0" vertical="bottom" wrapText="1"/>
    </xf>
    <xf borderId="3" fillId="11" fontId="152" numFmtId="0" xfId="0" applyAlignment="1" applyBorder="1" applyFont="1">
      <alignment horizontal="left" readingOrder="0" shrinkToFit="0" vertical="bottom" wrapText="1"/>
    </xf>
    <xf borderId="0" fillId="11" fontId="152" numFmtId="0" xfId="0" applyAlignment="1" applyFont="1">
      <alignment horizontal="left" shrinkToFit="0" vertical="bottom" wrapText="1"/>
    </xf>
    <xf borderId="0" fillId="11" fontId="232" numFmtId="0" xfId="0" applyAlignment="1" applyFont="1">
      <alignment horizontal="center" vertical="bottom"/>
    </xf>
    <xf borderId="0" fillId="11" fontId="152" numFmtId="0" xfId="0" applyAlignment="1" applyFont="1">
      <alignment horizontal="center" vertical="bottom"/>
    </xf>
    <xf borderId="0" fillId="11" fontId="31" numFmtId="0" xfId="0" applyAlignment="1" applyFont="1">
      <alignment horizontal="center" shrinkToFit="0" vertical="bottom" wrapText="0"/>
    </xf>
    <xf borderId="3" fillId="11" fontId="233" numFmtId="0" xfId="0" applyAlignment="1" applyBorder="1" applyFont="1">
      <alignment horizontal="center" shrinkToFit="0" vertical="bottom" wrapText="0"/>
    </xf>
    <xf borderId="3" fillId="11" fontId="31" numFmtId="0" xfId="0" applyAlignment="1" applyBorder="1" applyFont="1">
      <alignment horizontal="center" shrinkToFit="0" vertical="bottom" wrapText="0"/>
    </xf>
    <xf borderId="3" fillId="11" fontId="152" numFmtId="0" xfId="0" applyAlignment="1" applyBorder="1" applyFont="1">
      <alignment horizontal="center" shrinkToFit="0" vertical="bottom" wrapText="1"/>
    </xf>
    <xf borderId="3" fillId="11" fontId="234" numFmtId="0" xfId="0" applyAlignment="1" applyBorder="1" applyFont="1">
      <alignment horizontal="center" readingOrder="0" shrinkToFit="0" vertical="bottom" wrapText="0"/>
    </xf>
    <xf quotePrefix="1" borderId="0" fillId="11" fontId="152" numFmtId="0" xfId="0" applyAlignment="1" applyFont="1">
      <alignment horizontal="center" vertical="bottom"/>
    </xf>
    <xf borderId="0" fillId="0" fontId="5" numFmtId="0" xfId="0" applyAlignment="1" applyFont="1">
      <alignment readingOrder="0"/>
    </xf>
    <xf borderId="0" fillId="0" fontId="36" numFmtId="0" xfId="0" applyAlignment="1" applyFont="1">
      <alignment horizontal="left" readingOrder="0" shrinkToFit="0" wrapText="1"/>
    </xf>
    <xf borderId="0" fillId="0" fontId="5" numFmtId="0" xfId="0" applyAlignment="1" applyFont="1">
      <alignment horizontal="center" shrinkToFit="0" wrapText="0"/>
    </xf>
    <xf borderId="0" fillId="0" fontId="5" numFmtId="165" xfId="0" applyAlignment="1" applyFont="1" applyNumberFormat="1">
      <alignment horizontal="center" readingOrder="0"/>
    </xf>
    <xf borderId="0" fillId="0" fontId="5" numFmtId="0" xfId="0" applyAlignment="1" applyFont="1">
      <alignment horizontal="left" readingOrder="0" shrinkToFit="0" wrapText="1"/>
    </xf>
    <xf borderId="0" fillId="0" fontId="5" numFmtId="0" xfId="0" applyAlignment="1" applyFont="1">
      <alignment horizontal="left" readingOrder="0"/>
    </xf>
    <xf borderId="0" fillId="15" fontId="235" numFmtId="0" xfId="0" applyAlignment="1" applyFont="1">
      <alignment horizontal="left" readingOrder="0" shrinkToFit="0" wrapText="0"/>
    </xf>
    <xf borderId="0" fillId="15" fontId="164" numFmtId="0" xfId="0" applyAlignment="1" applyFont="1">
      <alignment horizontal="left"/>
    </xf>
    <xf borderId="0" fillId="15" fontId="236" numFmtId="0" xfId="0" applyAlignment="1" applyFont="1">
      <alignment horizontal="left"/>
    </xf>
    <xf borderId="0" fillId="15" fontId="237" numFmtId="0" xfId="0" applyAlignment="1" applyFont="1">
      <alignment horizontal="left" readingOrder="0" shrinkToFit="0" vertical="bottom" wrapText="0"/>
    </xf>
    <xf borderId="0" fillId="15" fontId="164" numFmtId="0" xfId="0" applyAlignment="1" applyFont="1">
      <alignment horizontal="left" vertical="bottom"/>
    </xf>
    <xf borderId="0" fillId="0" fontId="5" numFmtId="0" xfId="0" applyAlignment="1" applyFont="1">
      <alignment horizontal="left" shrinkToFit="0" wrapText="1"/>
    </xf>
    <xf borderId="0" fillId="0" fontId="5" numFmtId="0" xfId="0" applyAlignment="1" applyFont="1">
      <alignment horizontal="center" readingOrder="0" shrinkToFit="0" wrapText="0"/>
    </xf>
    <xf borderId="0" fillId="21" fontId="36" numFmtId="0" xfId="0" applyAlignment="1" applyFont="1">
      <alignment horizontal="center" readingOrder="0" vertical="center"/>
    </xf>
    <xf borderId="0" fillId="0" fontId="5" numFmtId="0" xfId="0" applyAlignment="1" applyFont="1">
      <alignment horizontal="center" readingOrder="0" shrinkToFit="0" wrapText="0"/>
    </xf>
    <xf borderId="0" fillId="15" fontId="51" numFmtId="0" xfId="0" applyAlignment="1" applyFont="1">
      <alignment horizontal="center" readingOrder="0" shrinkToFit="0" wrapText="0"/>
    </xf>
    <xf borderId="0" fillId="21" fontId="51" numFmtId="0" xfId="0" applyAlignment="1" applyFont="1">
      <alignment horizontal="center" readingOrder="0" shrinkToFit="0" wrapText="0"/>
    </xf>
    <xf borderId="0" fillId="21" fontId="51" numFmtId="0" xfId="0" applyAlignment="1" applyFont="1">
      <alignment horizontal="center" shrinkToFit="0" wrapText="0"/>
    </xf>
    <xf borderId="0" fillId="21" fontId="238" numFmtId="0" xfId="0" applyAlignment="1" applyFont="1">
      <alignment horizontal="center" readingOrder="0" shrinkToFit="0" wrapText="0"/>
    </xf>
    <xf borderId="0" fillId="15" fontId="164" numFmtId="0" xfId="0" applyAlignment="1" applyFont="1">
      <alignment horizontal="center" shrinkToFit="0" vertical="bottom" wrapText="1"/>
    </xf>
    <xf borderId="0" fillId="15" fontId="164" numFmtId="0" xfId="0" applyAlignment="1" applyFont="1">
      <alignment horizontal="center" vertical="bottom"/>
    </xf>
    <xf borderId="0" fillId="0" fontId="51" numFmtId="0" xfId="0" applyAlignment="1" applyFont="1">
      <alignment horizontal="center" shrinkToFit="0" wrapText="0"/>
    </xf>
    <xf borderId="0" fillId="15" fontId="164" numFmtId="0" xfId="0" applyAlignment="1" applyFont="1">
      <alignment horizontal="center" shrinkToFit="0" vertical="bottom" wrapText="0"/>
    </xf>
    <xf borderId="0" fillId="0" fontId="51" numFmtId="0" xfId="0" applyAlignment="1" applyFont="1">
      <alignment horizontal="center" readingOrder="0" shrinkToFit="0" wrapText="0"/>
    </xf>
    <xf borderId="0" fillId="21" fontId="164" numFmtId="0" xfId="0" applyAlignment="1" applyFont="1">
      <alignment horizontal="center" shrinkToFit="0" vertical="bottom" wrapText="1"/>
    </xf>
    <xf borderId="0" fillId="21" fontId="164" numFmtId="0" xfId="0" applyAlignment="1" applyFont="1">
      <alignment horizontal="center" vertical="bottom"/>
    </xf>
    <xf borderId="0" fillId="21" fontId="164" numFmtId="0" xfId="0" applyAlignment="1" applyFont="1">
      <alignment horizontal="center" shrinkToFit="0" vertical="bottom" wrapText="0"/>
    </xf>
    <xf borderId="0" fillId="15" fontId="164" numFmtId="0" xfId="0" applyAlignment="1" applyFont="1">
      <alignment horizontal="center" vertical="bottom"/>
    </xf>
    <xf borderId="0" fillId="7" fontId="51" numFmtId="0" xfId="0" applyAlignment="1" applyFont="1">
      <alignment horizontal="center" readingOrder="0" shrinkToFit="0" wrapText="0"/>
    </xf>
    <xf borderId="0" fillId="7" fontId="239" numFmtId="0" xfId="0" applyAlignment="1" applyFont="1">
      <alignment horizontal="center" readingOrder="0" shrinkToFit="0" wrapText="0"/>
    </xf>
    <xf borderId="0" fillId="7" fontId="51" numFmtId="0" xfId="0" applyAlignment="1" applyFont="1">
      <alignment horizontal="center" shrinkToFit="0" wrapText="0"/>
    </xf>
    <xf borderId="0" fillId="0" fontId="36" numFmtId="0" xfId="0" applyAlignment="1" applyFont="1">
      <alignment readingOrder="0"/>
    </xf>
    <xf borderId="0" fillId="0" fontId="36" numFmtId="0" xfId="0" applyAlignment="1" applyFont="1">
      <alignment horizontal="left" shrinkToFit="0" wrapText="1"/>
    </xf>
    <xf borderId="0" fillId="0" fontId="36" numFmtId="0" xfId="0" applyFont="1"/>
    <xf borderId="0" fillId="23" fontId="240" numFmtId="0" xfId="0" applyAlignment="1" applyFont="1">
      <alignment horizontal="center" readingOrder="0" vertical="center"/>
    </xf>
    <xf borderId="0" fillId="34" fontId="240" numFmtId="0" xfId="0" applyAlignment="1" applyFill="1" applyFont="1">
      <alignment horizontal="center" readingOrder="0" vertical="center"/>
    </xf>
    <xf borderId="6" fillId="0" fontId="241" numFmtId="0" xfId="0" applyAlignment="1" applyBorder="1" applyFont="1">
      <alignment readingOrder="0"/>
    </xf>
    <xf borderId="7" fillId="0" fontId="242" numFmtId="0" xfId="0" applyBorder="1" applyFont="1"/>
    <xf borderId="8" fillId="0" fontId="242" numFmtId="0" xfId="0" applyBorder="1" applyFont="1"/>
    <xf borderId="9" fillId="0" fontId="242" numFmtId="0" xfId="0" applyBorder="1" applyFont="1"/>
    <xf borderId="10" fillId="0" fontId="242" numFmtId="0" xfId="0" applyBorder="1" applyFont="1"/>
    <xf borderId="11" fillId="0" fontId="242" numFmtId="0" xfId="0" applyBorder="1" applyFont="1"/>
    <xf borderId="12" fillId="0" fontId="242" numFmtId="0" xfId="0" applyBorder="1" applyFont="1"/>
    <xf borderId="13" fillId="0" fontId="242" numFmtId="0" xfId="0" applyBorder="1" applyFont="1"/>
    <xf borderId="6" fillId="0" fontId="243" numFmtId="0" xfId="0" applyAlignment="1" applyBorder="1" applyFont="1">
      <alignment readingOrder="0" vertical="center"/>
    </xf>
    <xf borderId="6" fillId="34" fontId="240" numFmtId="0" xfId="0" applyAlignment="1" applyBorder="1" applyFont="1">
      <alignment horizontal="center" readingOrder="0" vertical="center"/>
    </xf>
    <xf borderId="6" fillId="32" fontId="240" numFmtId="0" xfId="0" applyAlignment="1" applyBorder="1" applyFont="1">
      <alignment horizontal="center" readingOrder="0" vertical="center"/>
    </xf>
    <xf borderId="0" fillId="0" fontId="5" numFmtId="0" xfId="0" applyAlignment="1" applyFont="1">
      <alignment readingOrder="0" shrinkToFit="0" vertical="top" wrapText="1"/>
    </xf>
    <xf borderId="0" fillId="0" fontId="244" numFmtId="0" xfId="0" applyAlignment="1" applyFont="1">
      <alignment readingOrder="0"/>
    </xf>
    <xf borderId="0" fillId="3" fontId="245" numFmtId="0" xfId="0" applyAlignment="1" applyFont="1">
      <alignment readingOrder="0"/>
    </xf>
    <xf borderId="0" fillId="35" fontId="246" numFmtId="0" xfId="0" applyAlignment="1" applyFill="1" applyFont="1">
      <alignment readingOrder="0" shrinkToFit="0" wrapText="1"/>
    </xf>
    <xf borderId="0" fillId="3" fontId="162" numFmtId="0" xfId="0" applyAlignment="1" applyFont="1">
      <alignment readingOrder="0"/>
    </xf>
    <xf borderId="0" fillId="14" fontId="247" numFmtId="0" xfId="0" applyAlignment="1" applyFont="1">
      <alignment readingOrder="0"/>
    </xf>
    <xf borderId="0" fillId="36" fontId="5" numFmtId="0" xfId="0" applyFill="1" applyFont="1"/>
    <xf borderId="0" fillId="14" fontId="248" numFmtId="0" xfId="0" applyAlignment="1" applyFont="1">
      <alignment readingOrder="0"/>
    </xf>
    <xf borderId="0" fillId="0" fontId="249" numFmtId="0" xfId="0" applyAlignment="1" applyFont="1">
      <alignment readingOrder="0" shrinkToFit="0" vertical="bottom" wrapText="0"/>
    </xf>
    <xf borderId="0" fillId="0" fontId="99" numFmtId="0" xfId="0" applyAlignment="1" applyFont="1">
      <alignment readingOrder="0" shrinkToFit="0" vertical="bottom" wrapText="0"/>
    </xf>
    <xf borderId="0" fillId="0" fontId="250" numFmtId="0" xfId="0" applyAlignment="1" applyFont="1">
      <alignment readingOrder="0" shrinkToFit="0" vertical="bottom" wrapText="0"/>
    </xf>
    <xf borderId="0" fillId="0" fontId="249" numFmtId="0" xfId="0" applyAlignment="1" applyFont="1">
      <alignment shrinkToFit="0" vertical="bottom" wrapText="0"/>
    </xf>
    <xf borderId="0" fillId="2" fontId="251" numFmtId="0" xfId="0" applyAlignment="1" applyFont="1">
      <alignment readingOrder="0"/>
    </xf>
    <xf borderId="0" fillId="7" fontId="252" numFmtId="0" xfId="0" applyAlignment="1" applyFont="1">
      <alignment readingOrder="0"/>
    </xf>
    <xf borderId="0" fillId="7" fontId="25" numFmtId="0" xfId="0" applyAlignment="1" applyFont="1">
      <alignment readingOrder="0" shrinkToFit="0" wrapText="1"/>
    </xf>
    <xf borderId="0" fillId="3" fontId="253" numFmtId="0" xfId="0" applyAlignment="1" applyFont="1">
      <alignment readingOrder="0"/>
    </xf>
    <xf borderId="0" fillId="37" fontId="19" numFmtId="0" xfId="0" applyAlignment="1" applyFill="1" applyFont="1">
      <alignment readingOrder="0" shrinkToFit="0" wrapText="1"/>
    </xf>
    <xf borderId="0" fillId="24" fontId="36" numFmtId="0" xfId="0" applyAlignment="1" applyFont="1">
      <alignment horizontal="center" readingOrder="0" vertical="center"/>
    </xf>
    <xf borderId="0" fillId="38" fontId="36" numFmtId="0" xfId="0" applyAlignment="1" applyFill="1" applyFont="1">
      <alignment horizontal="center" vertical="center"/>
    </xf>
    <xf borderId="0" fillId="38" fontId="36" numFmtId="0" xfId="0" applyAlignment="1" applyFont="1">
      <alignment horizontal="left" shrinkToFit="0" vertical="center" wrapText="0"/>
    </xf>
    <xf borderId="0" fillId="39" fontId="9" numFmtId="0" xfId="0" applyAlignment="1" applyFill="1" applyFont="1">
      <alignment horizontal="center" readingOrder="0" vertical="center"/>
    </xf>
    <xf borderId="0" fillId="24" fontId="5" numFmtId="0" xfId="0" applyAlignment="1" applyFont="1">
      <alignment horizontal="center"/>
    </xf>
    <xf borderId="0" fillId="0" fontId="5" numFmtId="0" xfId="0" applyAlignment="1" applyFont="1">
      <alignment horizontal="left" shrinkToFit="0" wrapText="0"/>
    </xf>
    <xf borderId="0" fillId="0" fontId="5" numFmtId="0" xfId="0" applyAlignment="1" applyFont="1">
      <alignment shrinkToFit="0" wrapText="0"/>
    </xf>
    <xf borderId="0" fillId="3" fontId="253" numFmtId="0" xfId="0" applyAlignment="1" applyFont="1">
      <alignment horizontal="center" readingOrder="0" vertical="center"/>
    </xf>
    <xf borderId="0" fillId="37" fontId="19" numFmtId="0" xfId="0" applyAlignment="1" applyFont="1">
      <alignment horizontal="center" readingOrder="0" shrinkToFit="0" vertical="center" wrapText="1"/>
    </xf>
    <xf borderId="0" fillId="0" fontId="5" numFmtId="166" xfId="0" applyFont="1" applyNumberFormat="1"/>
    <xf borderId="0" fillId="0" fontId="254" numFmtId="0" xfId="0" applyFont="1"/>
    <xf borderId="0" fillId="0" fontId="5" numFmtId="0" xfId="0" applyAlignment="1" applyFont="1">
      <alignment horizontal="center" readingOrder="0" vertical="bottom"/>
    </xf>
  </cellXfs>
  <cellStyles count="1">
    <cellStyle xfId="0" name="Normal" builtinId="0"/>
  </cellStyles>
  <dxfs count="14">
    <dxf>
      <font>
        <color rgb="FF000000"/>
      </font>
      <fill>
        <patternFill patternType="solid">
          <fgColor rgb="FFFFFFFF"/>
          <bgColor rgb="FFFFFFFF"/>
        </patternFill>
      </fill>
      <border/>
    </dxf>
    <dxf>
      <font>
        <b/>
        <color rgb="FFFFFFFF"/>
      </font>
      <fill>
        <patternFill patternType="solid">
          <fgColor rgb="FFCC0000"/>
          <bgColor rgb="FFCC0000"/>
        </patternFill>
      </fill>
      <border/>
    </dxf>
    <dxf>
      <font>
        <color rgb="FF92400E"/>
      </font>
      <fill>
        <patternFill patternType="solid">
          <fgColor rgb="FFFEF3C7"/>
          <bgColor rgb="FFFEF3C7"/>
        </patternFill>
      </fill>
      <border/>
    </dxf>
    <dxf>
      <font>
        <color rgb="FF0D7559"/>
      </font>
      <fill>
        <patternFill patternType="solid">
          <fgColor rgb="FFCCFBF1"/>
          <bgColor rgb="FFCCFBF1"/>
        </patternFill>
      </fill>
      <border/>
    </dxf>
    <dxf>
      <font>
        <color rgb="FF1E40AF"/>
      </font>
      <fill>
        <patternFill patternType="solid">
          <fgColor rgb="FFDBEAFE"/>
          <bgColor rgb="FFDBEAFE"/>
        </patternFill>
      </fill>
      <border/>
    </dxf>
    <dxf>
      <font>
        <b/>
        <color rgb="FF1E7A45"/>
      </font>
      <fill>
        <patternFill patternType="solid">
          <fgColor rgb="FFD9F2E3"/>
          <bgColor rgb="FFD9F2E3"/>
        </patternFill>
      </fill>
      <border/>
    </dxf>
    <dxf>
      <font>
        <color rgb="FFCC0000"/>
      </font>
      <fill>
        <patternFill patternType="solid">
          <fgColor rgb="FFFFE0E0"/>
          <bgColor rgb="FFFFE0E0"/>
        </patternFill>
      </fill>
      <border/>
    </dxf>
    <dxf>
      <font>
        <color rgb="FF666666"/>
      </font>
      <fill>
        <patternFill patternType="solid">
          <fgColor rgb="FFF0F0F0"/>
          <bgColor rgb="FFF0F0F0"/>
        </patternFill>
      </fill>
      <border/>
    </dxf>
    <dxf>
      <font>
        <color rgb="FF660000"/>
      </font>
      <fill>
        <patternFill patternType="solid">
          <fgColor rgb="FFF4CCCC"/>
          <bgColor rgb="FFF4CCCC"/>
        </patternFill>
      </fill>
      <border/>
    </dxf>
    <dxf>
      <font>
        <color rgb="FF073763"/>
      </font>
      <fill>
        <patternFill patternType="solid">
          <fgColor rgb="FFCFE2F3"/>
          <bgColor rgb="FFCFE2F3"/>
        </patternFill>
      </fill>
      <border/>
    </dxf>
    <dxf>
      <font>
        <color rgb="FF274E13"/>
      </font>
      <fill>
        <patternFill patternType="solid">
          <fgColor rgb="FFD9EAD3"/>
          <bgColor rgb="FFD9EAD3"/>
        </patternFill>
      </fill>
      <border/>
    </dxf>
    <dxf>
      <font>
        <color rgb="FF666666"/>
      </font>
      <fill>
        <patternFill patternType="solid">
          <fgColor rgb="FFEFEFEF"/>
          <bgColor rgb="FFEFEFEF"/>
        </patternFill>
      </fill>
      <border/>
    </dxf>
    <dxf>
      <font>
        <color rgb="FF0C343D"/>
      </font>
      <fill>
        <patternFill patternType="solid">
          <fgColor rgb="FFD9EAD3"/>
          <bgColor rgb="FFD9EAD3"/>
        </patternFill>
      </fill>
      <border/>
    </dxf>
    <dxf>
      <font/>
      <fill>
        <patternFill patternType="solid">
          <fgColor rgb="FFFFF9C4"/>
          <bgColor rgb="FFFFF9C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litt.ly/ainow?fbclid=PAZXh0bgNhZW0CMTEAAaeJC-NCoyW0-CXqv4D06S-6vlZ84gahq5UmZU5bfsrbe9uZBExzk2GG16P0sA_aem_G5sMczrWNw5QOm2oo5ld7g" TargetMode="External"/><Relationship Id="rId391" Type="http://schemas.openxmlformats.org/officeDocument/2006/relationships/hyperlink" Target="https://www.instagram.com/ai_dori_/" TargetMode="External"/><Relationship Id="rId390" Type="http://schemas.openxmlformats.org/officeDocument/2006/relationships/hyperlink" Target="https://www.youtube.com/@Ai-dori?app=desktop" TargetMode="External"/><Relationship Id="rId1" Type="http://schemas.openxmlformats.org/officeDocument/2006/relationships/comments" Target="../comments1.xml"/><Relationship Id="rId2" Type="http://schemas.openxmlformats.org/officeDocument/2006/relationships/hyperlink" Target="https://www.youtube.com/watch?v=G6cGTwMHq-U" TargetMode="External"/><Relationship Id="rId3" Type="http://schemas.openxmlformats.org/officeDocument/2006/relationships/hyperlink" Target="https://www.youtube.com/@%EB%B6%80%EC%9E%90%EA%BF%88%ED%8B%80" TargetMode="External"/><Relationship Id="rId4" Type="http://schemas.openxmlformats.org/officeDocument/2006/relationships/hyperlink" Target="https://www.instagram.com/booggum/" TargetMode="External"/><Relationship Id="rId2180" Type="http://schemas.openxmlformats.org/officeDocument/2006/relationships/hyperlink" Target="https://www.youtube.com/@AImongsang" TargetMode="External"/><Relationship Id="rId2181" Type="http://schemas.openxmlformats.org/officeDocument/2006/relationships/hyperlink" Target="https://www.youtube.com/@professoryou" TargetMode="External"/><Relationship Id="rId2182" Type="http://schemas.openxmlformats.org/officeDocument/2006/relationships/hyperlink" Target="https://www.youtube.com/@professoryou" TargetMode="External"/><Relationship Id="rId2183" Type="http://schemas.openxmlformats.org/officeDocument/2006/relationships/hyperlink" Target="https://www.instagram.com/graymuse.official/" TargetMode="External"/><Relationship Id="rId9" Type="http://schemas.openxmlformats.org/officeDocument/2006/relationships/hyperlink" Target="https://youtu.be/D-beesDeTC8?si=OHlvnOAFr9DLPQPS" TargetMode="External"/><Relationship Id="rId385" Type="http://schemas.openxmlformats.org/officeDocument/2006/relationships/hyperlink" Target="https://www.instagram.com/ai_leading/" TargetMode="External"/><Relationship Id="rId2184" Type="http://schemas.openxmlformats.org/officeDocument/2006/relationships/hyperlink" Target="https://geru.kr/ln/35050" TargetMode="External"/><Relationship Id="rId384" Type="http://schemas.openxmlformats.org/officeDocument/2006/relationships/hyperlink" Target="https://www.youtube.com/@%ED%99%8D%EC%95%84%EB%A6%B0AI%EB%94%94%EC%9E%90%EC%9D%B8%EB%9E%A9" TargetMode="External"/><Relationship Id="rId2185" Type="http://schemas.openxmlformats.org/officeDocument/2006/relationships/hyperlink" Target="https://litt.ly/tired.dum" TargetMode="External"/><Relationship Id="rId383" Type="http://schemas.openxmlformats.org/officeDocument/2006/relationships/hyperlink" Target="https://branderkey.notion.site/AI-3-1e2835c9591a80b4bb9fe0416baaccf9" TargetMode="External"/><Relationship Id="rId2186" Type="http://schemas.openxmlformats.org/officeDocument/2006/relationships/hyperlink" Target="https://tired-dum-class.liveklass.com/classes/273210" TargetMode="External"/><Relationship Id="rId382" Type="http://schemas.openxmlformats.org/officeDocument/2006/relationships/hyperlink" Target="https://www.youtube.com/@%ED%99%8D%EC%95%84%EB%A6%B0AI%EB%94%94%EC%9E%90%EC%9D%B8%EB%9E%A9" TargetMode="External"/><Relationship Id="rId2187" Type="http://schemas.openxmlformats.org/officeDocument/2006/relationships/hyperlink" Target="https://youtube.com/channel/UCkpXLQ62-uUAfYa2-mdpcZg?si=-Fa1Kb3rmohUjCxR" TargetMode="External"/><Relationship Id="rId5" Type="http://schemas.openxmlformats.org/officeDocument/2006/relationships/hyperlink" Target="https://cafe.naver.com/wwwxodls77/505655" TargetMode="External"/><Relationship Id="rId389" Type="http://schemas.openxmlformats.org/officeDocument/2006/relationships/hyperlink" Target="https://litt.ly/ai.dori.design?fbclid=PAZXh0bgNhZW0CMTEAAac27CIrEsf8yVn6znqkCU-IvSlSsTGIc_J8trPTYE9wJjo4bqtvcUVEcIsW_A_aem_DidgHCW4LxasdlgRFC1Kew" TargetMode="External"/><Relationship Id="rId2188" Type="http://schemas.openxmlformats.org/officeDocument/2006/relationships/hyperlink" Target="https://www.instagram.com/tired.dum/" TargetMode="External"/><Relationship Id="rId6" Type="http://schemas.openxmlformats.org/officeDocument/2006/relationships/hyperlink" Target="https://www.youtube.com/@simgilhu" TargetMode="External"/><Relationship Id="rId388" Type="http://schemas.openxmlformats.org/officeDocument/2006/relationships/hyperlink" Target="https://www.instagram.com/brain_plus82/" TargetMode="External"/><Relationship Id="rId2189" Type="http://schemas.openxmlformats.org/officeDocument/2006/relationships/hyperlink" Target="https://litt.ly/ooo_rora?fbclid=PAZXh0bgNhZW0CMTEAAaeV-aBlo2vNO_U4m2C0AdzSITQRIHGyY-c1o-FVNY6-0hfSeEQBUJJgYT7wSA_aem_0NhqceI0m3QGQYJf_7Gw6w" TargetMode="External"/><Relationship Id="rId7" Type="http://schemas.openxmlformats.org/officeDocument/2006/relationships/hyperlink" Target="https://www.instagram.com/simgilhu/" TargetMode="External"/><Relationship Id="rId387" Type="http://schemas.openxmlformats.org/officeDocument/2006/relationships/hyperlink" Target="https://www.youtube.com/@brainplus" TargetMode="External"/><Relationship Id="rId8" Type="http://schemas.openxmlformats.org/officeDocument/2006/relationships/hyperlink" Target="https://mkt.taling.me/mkt-vod/reels_1?utm_source=onsight&amp;utm_medium=organic&amp;utm_campaign=reels_purchase&amp;utm_content=homebanner&amp;utm_term=%7Bquery%7D&amp;fbclid=PAY2xjawHR75hleHRuA2FlbQIxMAABpjgESBrwT5IueDKHl99Tf8PGbD_BOSSV71p5Jgi_phe872WvO0GwtV7qQg_aem_K2jZnB_9XzqIpIVsZSjnHw" TargetMode="External"/><Relationship Id="rId386" Type="http://schemas.openxmlformats.org/officeDocument/2006/relationships/hyperlink" Target="https://open.kakao.com/o/sbx4MMeg" TargetMode="External"/><Relationship Id="rId381" Type="http://schemas.openxmlformats.org/officeDocument/2006/relationships/hyperlink" Target="https://www.instagram.com/chungdam_candy/" TargetMode="External"/><Relationship Id="rId380" Type="http://schemas.openxmlformats.org/officeDocument/2006/relationships/hyperlink" Target="https://www.youtube.com/@chungdam_candy" TargetMode="External"/><Relationship Id="rId379" Type="http://schemas.openxmlformats.org/officeDocument/2006/relationships/hyperlink" Target="https://www.tpschool.co.kr/classes/259003" TargetMode="External"/><Relationship Id="rId2170" Type="http://schemas.openxmlformats.org/officeDocument/2006/relationships/hyperlink" Target="https://www.youtube.com/@%EB%A8%B8%EB%8B%88%EB%9E%A9%EC%8A%A4" TargetMode="External"/><Relationship Id="rId2171" Type="http://schemas.openxmlformats.org/officeDocument/2006/relationships/hyperlink" Target="https://www.youtube.com/@visiolab23/videos" TargetMode="External"/><Relationship Id="rId2172" Type="http://schemas.openxmlformats.org/officeDocument/2006/relationships/hyperlink" Target="https://www.youtube.com/@visiolab23/videos" TargetMode="External"/><Relationship Id="rId374" Type="http://schemas.openxmlformats.org/officeDocument/2006/relationships/hyperlink" Target="https://www.tpschool.co.kr/classes/237439" TargetMode="External"/><Relationship Id="rId2173" Type="http://schemas.openxmlformats.org/officeDocument/2006/relationships/hyperlink" Target="https://www.youtube.com/@donbeollabs/featured" TargetMode="External"/><Relationship Id="rId373" Type="http://schemas.openxmlformats.org/officeDocument/2006/relationships/hyperlink" Target="https://www.instagram.com/youstarts?igsh=MXZncmRrcGh5eW1udw==" TargetMode="External"/><Relationship Id="rId2174" Type="http://schemas.openxmlformats.org/officeDocument/2006/relationships/hyperlink" Target="https://donbeollabs.super.site/" TargetMode="External"/><Relationship Id="rId372" Type="http://schemas.openxmlformats.org/officeDocument/2006/relationships/hyperlink" Target="https://www.youtube.com/@%EC%9C%A0%ED%8A%9C%EB%B8%8C%EC%8B%A0%EC%8C%A4" TargetMode="External"/><Relationship Id="rId2175" Type="http://schemas.openxmlformats.org/officeDocument/2006/relationships/hyperlink" Target="https://www.youtube.com/@donbeollabs/featured" TargetMode="External"/><Relationship Id="rId371" Type="http://schemas.openxmlformats.org/officeDocument/2006/relationships/hyperlink" Target="https://www.ebs.co.kr/pass/serviceinfo/notice/30004178929?p=Yy5wYWdlPTEmYy5wYWdlU2l6ZT0xNSZzZWFyY2hLZXl3b3JkPSZzZWFyY2hDb25kaXRpb249" TargetMode="External"/><Relationship Id="rId2176" Type="http://schemas.openxmlformats.org/officeDocument/2006/relationships/hyperlink" Target="mailto:donbeollabs@gmail.com" TargetMode="External"/><Relationship Id="rId378" Type="http://schemas.openxmlformats.org/officeDocument/2006/relationships/hyperlink" Target="https://www.tpschool.co.kr/classes/259003" TargetMode="External"/><Relationship Id="rId2177" Type="http://schemas.openxmlformats.org/officeDocument/2006/relationships/hyperlink" Target="https://www.youtube.com/@%EB%A8%B8%EB%8B%88%EC%95%8C%EA%B3%A0%EB%A6%AC%EC%A6%98" TargetMode="External"/><Relationship Id="rId377" Type="http://schemas.openxmlformats.org/officeDocument/2006/relationships/hyperlink" Target="https://www.instagram.com/indianz_cmo/" TargetMode="External"/><Relationship Id="rId2178" Type="http://schemas.openxmlformats.org/officeDocument/2006/relationships/hyperlink" Target="https://www.youtube.com/@%EB%A8%B8%EB%8B%88%EC%95%8C%EA%B3%A0%EB%A6%AC%EC%A6%98" TargetMode="External"/><Relationship Id="rId376" Type="http://schemas.openxmlformats.org/officeDocument/2006/relationships/hyperlink" Target="https://www.youtube.com/@09.allrounder/shorts" TargetMode="External"/><Relationship Id="rId2179" Type="http://schemas.openxmlformats.org/officeDocument/2006/relationships/hyperlink" Target="https://www.youtube.com/@AImongsang" TargetMode="External"/><Relationship Id="rId375" Type="http://schemas.openxmlformats.org/officeDocument/2006/relationships/hyperlink" Target="https://www.tpschool.co.kr/classes/237439" TargetMode="External"/><Relationship Id="rId2190" Type="http://schemas.openxmlformats.org/officeDocument/2006/relationships/hyperlink" Target="https://blog.naver.com/PostView.naver?blogId=daonism_&amp;logNo=224015428005&amp;categoryNo=25&amp;parentCategoryNo=25&amp;from=thumbnailList" TargetMode="External"/><Relationship Id="rId2191" Type="http://schemas.openxmlformats.org/officeDocument/2006/relationships/hyperlink" Target="https://www.youtube.com/@ooo_rora/shorts" TargetMode="External"/><Relationship Id="rId2192" Type="http://schemas.openxmlformats.org/officeDocument/2006/relationships/hyperlink" Target="https://www.instagram.com/ooo_rora/" TargetMode="External"/><Relationship Id="rId2193" Type="http://schemas.openxmlformats.org/officeDocument/2006/relationships/hyperlink" Target="https://www.youtube.com/watch?v=F3ulZ7VT0sU" TargetMode="External"/><Relationship Id="rId2194" Type="http://schemas.openxmlformats.org/officeDocument/2006/relationships/hyperlink" Target="https://smartstore.naver.com/miracle2m/products/11478043962" TargetMode="External"/><Relationship Id="rId396" Type="http://schemas.openxmlformats.org/officeDocument/2006/relationships/hyperlink" Target="https://www.youtube.com/@donlinee/videos" TargetMode="External"/><Relationship Id="rId2195" Type="http://schemas.openxmlformats.org/officeDocument/2006/relationships/hyperlink" Target="https://www.youtube.com/@KoreanMiracle" TargetMode="External"/><Relationship Id="rId395" Type="http://schemas.openxmlformats.org/officeDocument/2006/relationships/hyperlink" Target="https://www.youtube.com/@donlinee/videos" TargetMode="External"/><Relationship Id="rId2196" Type="http://schemas.openxmlformats.org/officeDocument/2006/relationships/hyperlink" Target="https://www.instagram.com/miraclekorean_koreanteacher" TargetMode="External"/><Relationship Id="rId394" Type="http://schemas.openxmlformats.org/officeDocument/2006/relationships/hyperlink" Target="https://www.instagram.com/ai.yeongseon/" TargetMode="External"/><Relationship Id="rId2197" Type="http://schemas.openxmlformats.org/officeDocument/2006/relationships/hyperlink" Target="mailto:miraclekorean77@gmail.com" TargetMode="External"/><Relationship Id="rId393" Type="http://schemas.openxmlformats.org/officeDocument/2006/relationships/hyperlink" Target="https://tally.so/r/w27zDp?utm_source=insta&amp;utm_medium=ceoshin_&amp;utm_campaign=ai&amp;utm_term=landing&amp;utm_content=tally" TargetMode="External"/><Relationship Id="rId2198" Type="http://schemas.openxmlformats.org/officeDocument/2006/relationships/hyperlink" Target="https://www.youtube.com/@dapernam" TargetMode="External"/><Relationship Id="rId2199" Type="http://schemas.openxmlformats.org/officeDocument/2006/relationships/hyperlink" Target="https://www.classu.co.kr/class/classDetail/1013033" TargetMode="External"/><Relationship Id="rId399" Type="http://schemas.openxmlformats.org/officeDocument/2006/relationships/hyperlink" Target="https://www.youtube.com/@%EB%A0%88%EB%B2%A8%EC%97%85%ED%81%B4%EB%9D%BC%EC%8A%A4" TargetMode="External"/><Relationship Id="rId398" Type="http://schemas.openxmlformats.org/officeDocument/2006/relationships/hyperlink" Target="https://blog.naver.com/donlinee1" TargetMode="External"/><Relationship Id="rId397" Type="http://schemas.openxmlformats.org/officeDocument/2006/relationships/hyperlink" Target="http://instagram.com/donlinee1" TargetMode="External"/><Relationship Id="rId1730" Type="http://schemas.openxmlformats.org/officeDocument/2006/relationships/hyperlink" Target="https://www.youtube.com/@GAYUN-AI" TargetMode="External"/><Relationship Id="rId1731" Type="http://schemas.openxmlformats.org/officeDocument/2006/relationships/hyperlink" Target="https://www.youtube.com/@GAYUN-AI" TargetMode="External"/><Relationship Id="rId1732" Type="http://schemas.openxmlformats.org/officeDocument/2006/relationships/hyperlink" Target="https://www.youtube.com/@issuepicker.official/shorts" TargetMode="External"/><Relationship Id="rId1733" Type="http://schemas.openxmlformats.org/officeDocument/2006/relationships/hyperlink" Target="https://www.youtube.com/@issuepicker.official/shorts" TargetMode="External"/><Relationship Id="rId1734" Type="http://schemas.openxmlformats.org/officeDocument/2006/relationships/hyperlink" Target="http://instagram.com/issue__picker" TargetMode="External"/><Relationship Id="rId1735" Type="http://schemas.openxmlformats.org/officeDocument/2006/relationships/hyperlink" Target="https://www.youtube.com/@harmlessnohsu/videos" TargetMode="External"/><Relationship Id="rId1736" Type="http://schemas.openxmlformats.org/officeDocument/2006/relationships/hyperlink" Target="https://www.youtube.com/watch?v=rItP6iCXpvc" TargetMode="External"/><Relationship Id="rId1737" Type="http://schemas.openxmlformats.org/officeDocument/2006/relationships/hyperlink" Target="https://script.google.com/macros/s/AKfycbyRgMwdCPOZG5D4qPBYhHfn7peQvAn-qnyvJW5e3pyGPtb_eG3StWi1WdnwLRFncoQg/exec?page=e&amp;camp=collabo" TargetMode="External"/><Relationship Id="rId1738" Type="http://schemas.openxmlformats.org/officeDocument/2006/relationships/hyperlink" Target="https://www.instagram.com/happy.uen?igsh=MWZsejFsNWc0OXVlbQ==" TargetMode="External"/><Relationship Id="rId1739" Type="http://schemas.openxmlformats.org/officeDocument/2006/relationships/hyperlink" Target="https://www.youtube.com/@happy_uen" TargetMode="External"/><Relationship Id="rId1720" Type="http://schemas.openxmlformats.org/officeDocument/2006/relationships/hyperlink" Target="https://docs.google.com/forms/d/e/1FAIpQLSdAkavhaqEiRRB5_yhupqNZwjqbmCLJFvWp6rAICE12RcC7zw/viewform" TargetMode="External"/><Relationship Id="rId1721" Type="http://schemas.openxmlformats.org/officeDocument/2006/relationships/hyperlink" Target="https://www.youtube.com/@SSHOWPANG" TargetMode="External"/><Relationship Id="rId1722" Type="http://schemas.openxmlformats.org/officeDocument/2006/relationships/hyperlink" Target="https://www.youtube.com/@%EB%8C%80%EB%AA%A8%EC%82%B0%EA%B0%9C%EB%B0%9C%EB%8B%A8/videos" TargetMode="External"/><Relationship Id="rId1723" Type="http://schemas.openxmlformats.org/officeDocument/2006/relationships/hyperlink" Target="https://www.youtube.com/@%EB%8C%80%EB%AA%A8%EC%82%B0%EA%B0%9C%EB%B0%9C%EB%8B%A8/videos" TargetMode="External"/><Relationship Id="rId1724" Type="http://schemas.openxmlformats.org/officeDocument/2006/relationships/hyperlink" Target="https://www.youtube.com/@%EB%A0%88%EB%B2%A8%EC%97%85%ED%81%B4%EB%9D%BC%EC%8A%A4/videos" TargetMode="External"/><Relationship Id="rId1725" Type="http://schemas.openxmlformats.org/officeDocument/2006/relationships/hyperlink" Target="https://www.youtube.com/@%EB%A0%88%EB%B2%A8%EC%97%85%ED%81%B4%EB%9D%BC%EC%8A%A4/videos" TargetMode="External"/><Relationship Id="rId1726" Type="http://schemas.openxmlformats.org/officeDocument/2006/relationships/hyperlink" Target="https://www.youtube.com/@%EB%8F%88%EB%B2%84%EB%8A%94%EC%97%84%EB%A7%88%EC%85%80%EB%9F%AC" TargetMode="External"/><Relationship Id="rId1727" Type="http://schemas.openxmlformats.org/officeDocument/2006/relationships/hyperlink" Target="https://www.youtube.com/@%EB%8F%88%EB%B2%84%EB%8A%94%EC%97%84%EB%A7%88%EC%85%80%EB%9F%AC" TargetMode="External"/><Relationship Id="rId1728" Type="http://schemas.openxmlformats.org/officeDocument/2006/relationships/hyperlink" Target="https://www.youtube.com/@AIPARKPRO/shorts" TargetMode="External"/><Relationship Id="rId1729" Type="http://schemas.openxmlformats.org/officeDocument/2006/relationships/hyperlink" Target="https://www.youtube.com/@AIPARKPRO/shorts" TargetMode="External"/><Relationship Id="rId1752" Type="http://schemas.openxmlformats.org/officeDocument/2006/relationships/hyperlink" Target="https://www.youtube.com/@spoop-v7v" TargetMode="External"/><Relationship Id="rId1753" Type="http://schemas.openxmlformats.org/officeDocument/2006/relationships/hyperlink" Target="https://www.youtube.com/@spoop-v7v" TargetMode="External"/><Relationship Id="rId1754" Type="http://schemas.openxmlformats.org/officeDocument/2006/relationships/hyperlink" Target="https://www.instagram.com/ai_extreme/" TargetMode="External"/><Relationship Id="rId1755" Type="http://schemas.openxmlformats.org/officeDocument/2006/relationships/hyperlink" Target="https://youtu.be/Z1unCYK1qGY?si=5EDcxVe20kuisxpq" TargetMode="External"/><Relationship Id="rId1756" Type="http://schemas.openxmlformats.org/officeDocument/2006/relationships/hyperlink" Target="https://www.instagram.com/bambaksu_?igsh=MXJjdGJncWZqeGdiNQ==" TargetMode="External"/><Relationship Id="rId1757" Type="http://schemas.openxmlformats.org/officeDocument/2006/relationships/hyperlink" Target="https://www.instagram.com/bambaksu_?igsh=MXJjdGJncWZqeGdiNQ==" TargetMode="External"/><Relationship Id="rId1758" Type="http://schemas.openxmlformats.org/officeDocument/2006/relationships/hyperlink" Target="https://story.pay.naver.com/content/1515_3_C2?fbclid=PAZXh0bgNhZW0CMTEAAadNH9RZ8LHrFjkMZlAUVGicF_M-55eqMifRg5gpg1EnrcSBB7OOIupERGs7qA_aem_fHA-t0lvAH3SM7C2xAyaXg" TargetMode="External"/><Relationship Id="rId1759" Type="http://schemas.openxmlformats.org/officeDocument/2006/relationships/hyperlink" Target="https://www.youtube.com/@%EA%B0%84%EB%8B%A8%EA%B2%BD%EC%A0%9C%ED%95%99" TargetMode="External"/><Relationship Id="rId808" Type="http://schemas.openxmlformats.org/officeDocument/2006/relationships/hyperlink" Target="https://ocmd.me/" TargetMode="External"/><Relationship Id="rId807" Type="http://schemas.openxmlformats.org/officeDocument/2006/relationships/hyperlink" Target="https://www.youtube.com/watch?v=fHuxxaLg2JY" TargetMode="External"/><Relationship Id="rId806" Type="http://schemas.openxmlformats.org/officeDocument/2006/relationships/hyperlink" Target="https://www.youtube.com/@kihome15" TargetMode="External"/><Relationship Id="rId805" Type="http://schemas.openxmlformats.org/officeDocument/2006/relationships/hyperlink" Target="https://m.cafe.naver.com/ca-fe/web/cafes/chatgptcomm/articles/166?useCafeId=false&amp;tc" TargetMode="External"/><Relationship Id="rId809" Type="http://schemas.openxmlformats.org/officeDocument/2006/relationships/hyperlink" Target="https://www.youtube.com/@omd_eunhwan" TargetMode="External"/><Relationship Id="rId800" Type="http://schemas.openxmlformats.org/officeDocument/2006/relationships/hyperlink" Target="https://www.instagram.com/vision.mkt_lucas/" TargetMode="External"/><Relationship Id="rId804" Type="http://schemas.openxmlformats.org/officeDocument/2006/relationships/hyperlink" Target="https://www.youtube.com/watch?v=0qKaC-de0Bc" TargetMode="External"/><Relationship Id="rId803" Type="http://schemas.openxmlformats.org/officeDocument/2006/relationships/hyperlink" Target="https://www.youtube.com/@%EC%A4%91%ED%8A%9C%EB%B8%8C%EC%96%91%EC%8C%A4" TargetMode="External"/><Relationship Id="rId802" Type="http://schemas.openxmlformats.org/officeDocument/2006/relationships/hyperlink" Target="https://open.kakao.com/o/sw7sHuth" TargetMode="External"/><Relationship Id="rId801" Type="http://schemas.openxmlformats.org/officeDocument/2006/relationships/hyperlink" Target="https://www.youtube.com/@%EC%A4%91%ED%8A%9C%EB%B8%8C%EC%96%91%EC%8C%A4" TargetMode="External"/><Relationship Id="rId1750" Type="http://schemas.openxmlformats.org/officeDocument/2006/relationships/hyperlink" Target="https://www.youtube.com/@%EB%A9%94%EC%9D%B4%ED%81%AC%ED%8C%A8%EB%B0%80%EB%A6%AC" TargetMode="External"/><Relationship Id="rId1751" Type="http://schemas.openxmlformats.org/officeDocument/2006/relationships/hyperlink" Target="https://www.instagram.com/makefamily_/?hl=ko" TargetMode="External"/><Relationship Id="rId1741" Type="http://schemas.openxmlformats.org/officeDocument/2006/relationships/hyperlink" Target="https://www.instagram.com/mmo_home_/" TargetMode="External"/><Relationship Id="rId1742" Type="http://schemas.openxmlformats.org/officeDocument/2006/relationships/hyperlink" Target="https://mmohome.shop.blogpay.co.kr/good/product_view?goodNum=2185695" TargetMode="External"/><Relationship Id="rId1743" Type="http://schemas.openxmlformats.org/officeDocument/2006/relationships/hyperlink" Target="https://www.youtube.com/@mmohome" TargetMode="External"/><Relationship Id="rId1744" Type="http://schemas.openxmlformats.org/officeDocument/2006/relationships/hyperlink" Target="https://www.youtube.com/@younowlab" TargetMode="External"/><Relationship Id="rId1745" Type="http://schemas.openxmlformats.org/officeDocument/2006/relationships/hyperlink" Target="https://younowlab.imweb.me/class/?idx=9" TargetMode="External"/><Relationship Id="rId1746" Type="http://schemas.openxmlformats.org/officeDocument/2006/relationships/hyperlink" Target="https://www.youtube.com/@younowlab" TargetMode="External"/><Relationship Id="rId1747" Type="http://schemas.openxmlformats.org/officeDocument/2006/relationships/hyperlink" Target="https://www.instagram.com/younow_lab/" TargetMode="External"/><Relationship Id="rId1748" Type="http://schemas.openxmlformats.org/officeDocument/2006/relationships/hyperlink" Target="https://www.threads.com/@__3ceo?xmt=AQF0IkpHFEmDXow5FcAUPEOazDVnR6Jj_kjpKZN-Erc5uN4" TargetMode="External"/><Relationship Id="rId1749" Type="http://schemas.openxmlformats.org/officeDocument/2006/relationships/hyperlink" Target="https://makehobby0707.cafe24.com/index.html" TargetMode="External"/><Relationship Id="rId1740" Type="http://schemas.openxmlformats.org/officeDocument/2006/relationships/hyperlink" Target="https://www.instagram.com/happy.uen?igsh=MWZsejFsNWc0OXVlbQ==" TargetMode="External"/><Relationship Id="rId1710" Type="http://schemas.openxmlformats.org/officeDocument/2006/relationships/hyperlink" Target="https://www.youtube.com/@davosaischool" TargetMode="External"/><Relationship Id="rId1711" Type="http://schemas.openxmlformats.org/officeDocument/2006/relationships/hyperlink" Target="https://www.youtube.com/@AI_Coda" TargetMode="External"/><Relationship Id="rId1712" Type="http://schemas.openxmlformats.org/officeDocument/2006/relationships/hyperlink" Target="https://www.youtube.com/@AI_Coda" TargetMode="External"/><Relationship Id="rId1713" Type="http://schemas.openxmlformats.org/officeDocument/2006/relationships/hyperlink" Target="https://www.youtube.com/@310-ty4ml" TargetMode="External"/><Relationship Id="rId1714" Type="http://schemas.openxmlformats.org/officeDocument/2006/relationships/hyperlink" Target="https://learningannex.kr/shop/item.php?it_id=1745811731&amp;utm_source=youtube&amp;utm_medium=strategy&amp;utm_campaign=exposure&amp;utm_content=cg000" TargetMode="External"/><Relationship Id="rId1715" Type="http://schemas.openxmlformats.org/officeDocument/2006/relationships/hyperlink" Target="https://www.youtube.com/@310-ty4ml" TargetMode="External"/><Relationship Id="rId1716" Type="http://schemas.openxmlformats.org/officeDocument/2006/relationships/hyperlink" Target="https://www.youtube.com/@%EC%97%84%EB%A7%88%EB%8A%94%EC%B0%A8%EB%8C%80%ED%91%9C" TargetMode="External"/><Relationship Id="rId1717" Type="http://schemas.openxmlformats.org/officeDocument/2006/relationships/hyperlink" Target="https://blog.naver.com/ceomommom/224117272459" TargetMode="External"/><Relationship Id="rId1718" Type="http://schemas.openxmlformats.org/officeDocument/2006/relationships/hyperlink" Target="https://www.youtube.com/@%EC%97%84%EB%A7%88%EB%8A%94%EC%B0%A8%EB%8C%80%ED%91%9C" TargetMode="External"/><Relationship Id="rId1719" Type="http://schemas.openxmlformats.org/officeDocument/2006/relationships/hyperlink" Target="https://www.youtube.com/@SSHOWPANG" TargetMode="External"/><Relationship Id="rId1700" Type="http://schemas.openxmlformats.org/officeDocument/2006/relationships/hyperlink" Target="https://www.instagram.com/ddalgak.d" TargetMode="External"/><Relationship Id="rId1701" Type="http://schemas.openxmlformats.org/officeDocument/2006/relationships/hyperlink" Target="https://www.youtube.com/@%EB%85%B8%EA%B0%80%EB%8B%A4%EA%BE%BC_%EA%B9%80%EC%8A%B9%ED%99%98/featured" TargetMode="External"/><Relationship Id="rId1702" Type="http://schemas.openxmlformats.org/officeDocument/2006/relationships/hyperlink" Target="https://docs.google.com/forms/d/e/1FAIpQLSeSxfNgZHwpLDpjSEdi6iLXNLwE6MvmF3Aoz4RFXahlRCOnDQ/viewform" TargetMode="External"/><Relationship Id="rId1703" Type="http://schemas.openxmlformats.org/officeDocument/2006/relationships/hyperlink" Target="https://www.youtube.com/@%EB%85%B8%EA%B0%80%EB%8B%A4%EA%BE%BC_%EA%B9%80%EC%8A%B9%ED%99%98/featured" TargetMode="External"/><Relationship Id="rId1704" Type="http://schemas.openxmlformats.org/officeDocument/2006/relationships/hyperlink" Target="https://www.youtube.com/@%EC%82%AC%EA%B5%AD%EA%B0%95%EC%9D%98%EC%9D%B4%EC%BB%A4%EB%A8%B8%EC%8A%A4" TargetMode="External"/><Relationship Id="rId1705" Type="http://schemas.openxmlformats.org/officeDocument/2006/relationships/hyperlink" Target="https://docs.google.com/forms/d/e/1FAIpQLSfCjvadPTEUxtWaDdFfhGNPtI5uo_zXDhROqoFfbxHSlRpruw/viewform" TargetMode="External"/><Relationship Id="rId1706" Type="http://schemas.openxmlformats.org/officeDocument/2006/relationships/hyperlink" Target="https://www.youtube.com/@%EC%82%AC%EA%B5%AD%EA%B0%95%EC%9D%98%EC%9D%B4%EC%BB%A4%EB%A8%B8%EC%8A%A4" TargetMode="External"/><Relationship Id="rId1707" Type="http://schemas.openxmlformats.org/officeDocument/2006/relationships/hyperlink" Target="https://www.youtube.com/@DF_ACA?app=desktop" TargetMode="External"/><Relationship Id="rId1708" Type="http://schemas.openxmlformats.org/officeDocument/2006/relationships/hyperlink" Target="https://kmong.com/gig/700013?selfMarketingCode=3Ow1yJLFPb" TargetMode="External"/><Relationship Id="rId1709" Type="http://schemas.openxmlformats.org/officeDocument/2006/relationships/hyperlink" Target="https://www.youtube.com/@davosaischool" TargetMode="External"/><Relationship Id="rId40" Type="http://schemas.openxmlformats.org/officeDocument/2006/relationships/hyperlink" Target="https://millmus.com/lecture/detail/129" TargetMode="External"/><Relationship Id="rId1334" Type="http://schemas.openxmlformats.org/officeDocument/2006/relationships/hyperlink" Target="https://www.youtube.com/@%EC%98%A8%EB%9D%BC%EC%9D%B8%EC%82%AC%EC%9E%A5" TargetMode="External"/><Relationship Id="rId1335" Type="http://schemas.openxmlformats.org/officeDocument/2006/relationships/hyperlink" Target="https://class101.net/ko/products/6877c79d0a9cc6e14bd64d5c" TargetMode="External"/><Relationship Id="rId42" Type="http://schemas.openxmlformats.org/officeDocument/2006/relationships/hyperlink" Target="https://www.instagram.com/_yurimage/" TargetMode="External"/><Relationship Id="rId1336" Type="http://schemas.openxmlformats.org/officeDocument/2006/relationships/hyperlink" Target="https://www.youtube.com/@%EC%98%A8%EB%9D%BC%EC%9D%B8%EC%82%AC%EC%9E%A5" TargetMode="External"/><Relationship Id="rId41" Type="http://schemas.openxmlformats.org/officeDocument/2006/relationships/hyperlink" Target="https://www.youtube.com/channel/UC2RZ_UZQ_FmYCR78i0HuMaQ" TargetMode="External"/><Relationship Id="rId1337" Type="http://schemas.openxmlformats.org/officeDocument/2006/relationships/hyperlink" Target="https://www.youtube.com/@mamapop" TargetMode="External"/><Relationship Id="rId44" Type="http://schemas.openxmlformats.org/officeDocument/2006/relationships/hyperlink" Target="https://www.youtube.com/@TV-kc6ue" TargetMode="External"/><Relationship Id="rId1338" Type="http://schemas.openxmlformats.org/officeDocument/2006/relationships/hyperlink" Target="https://www.youtube.com/@mamapop" TargetMode="External"/><Relationship Id="rId43" Type="http://schemas.openxmlformats.org/officeDocument/2006/relationships/hyperlink" Target="https://youtu.be/eVSkY_cd0D8?si=MfREs5Z55theFrzd" TargetMode="External"/><Relationship Id="rId1339" Type="http://schemas.openxmlformats.org/officeDocument/2006/relationships/hyperlink" Target="https://www.instagram.com/mamapop_3/" TargetMode="External"/><Relationship Id="rId46" Type="http://schemas.openxmlformats.org/officeDocument/2006/relationships/hyperlink" Target="https://youtu.be/cd9eRQGjfqo?si=wR_LhTKqwja7m9wF" TargetMode="External"/><Relationship Id="rId45" Type="http://schemas.openxmlformats.org/officeDocument/2006/relationships/hyperlink" Target="https://www.instagram.com/donboknam_real/?hl=ko" TargetMode="External"/><Relationship Id="rId745" Type="http://schemas.openxmlformats.org/officeDocument/2006/relationships/hyperlink" Target="http://litt.ly/0sajang" TargetMode="External"/><Relationship Id="rId744" Type="http://schemas.openxmlformats.org/officeDocument/2006/relationships/hyperlink" Target="https://www.youtube.com/@moneywork7" TargetMode="External"/><Relationship Id="rId743" Type="http://schemas.openxmlformats.org/officeDocument/2006/relationships/hyperlink" Target="https://www.youtube.com/watch?v=SljNWkdUDBI" TargetMode="External"/><Relationship Id="rId742" Type="http://schemas.openxmlformats.org/officeDocument/2006/relationships/hyperlink" Target="http://www.youtube.com/@%EC%9C%A0%ED%8A%9C%EB%B8%8C%EC%8B%A0%EC%8C%A4" TargetMode="External"/><Relationship Id="rId749" Type="http://schemas.openxmlformats.org/officeDocument/2006/relationships/hyperlink" Target="https://www.classu.co.kr/class/classDetail/14596" TargetMode="External"/><Relationship Id="rId748" Type="http://schemas.openxmlformats.org/officeDocument/2006/relationships/hyperlink" Target="https://www.instagram.com/ukwaehan_0sajang" TargetMode="External"/><Relationship Id="rId747" Type="http://schemas.openxmlformats.org/officeDocument/2006/relationships/hyperlink" Target="https://www.youtube.com/@%EA%B3%B5%EC%82%AC%EC%9E%A5-w1p/shorts" TargetMode="External"/><Relationship Id="rId746" Type="http://schemas.openxmlformats.org/officeDocument/2006/relationships/hyperlink" Target="https://www.inflearn.com/course/sns%EC%B4%88%EA%B3%A0%EC%86%8D-%EC%84%B1%EC%9E%A5-%EC%88%98%EC%9D%B5%ED%99%94" TargetMode="External"/><Relationship Id="rId48" Type="http://schemas.openxmlformats.org/officeDocument/2006/relationships/hyperlink" Target="https://onemorething9196.imweb.me/home" TargetMode="External"/><Relationship Id="rId47" Type="http://schemas.openxmlformats.org/officeDocument/2006/relationships/hyperlink" Target="https://www.youtube.com/channel/UCSiBYGuWPLiuqLneE6iAtdg" TargetMode="External"/><Relationship Id="rId49" Type="http://schemas.openxmlformats.org/officeDocument/2006/relationships/hyperlink" Target="https://www.youtube.com/@homejobman" TargetMode="External"/><Relationship Id="rId741" Type="http://schemas.openxmlformats.org/officeDocument/2006/relationships/hyperlink" Target="http://www.youtube.com/@%EC%9C%A0%ED%8A%9C%EB%B8%8C%EC%8B%A0%EC%8C%A4" TargetMode="External"/><Relationship Id="rId1330" Type="http://schemas.openxmlformats.org/officeDocument/2006/relationships/hyperlink" Target="https://www.youtube.com/@elegant_lee" TargetMode="External"/><Relationship Id="rId740" Type="http://schemas.openxmlformats.org/officeDocument/2006/relationships/hyperlink" Target="https://www.instagram.com/adventure__dori/" TargetMode="External"/><Relationship Id="rId1331" Type="http://schemas.openxmlformats.org/officeDocument/2006/relationships/hyperlink" Target="https://www.wadiz.kr/web/campaign/detail/228459?path=makerprofile&amp;status=done" TargetMode="External"/><Relationship Id="rId1332" Type="http://schemas.openxmlformats.org/officeDocument/2006/relationships/hyperlink" Target="https://www.youtube.com/@elegant_lee" TargetMode="External"/><Relationship Id="rId1333" Type="http://schemas.openxmlformats.org/officeDocument/2006/relationships/hyperlink" Target="https://www.instagram.com/ljy_ceo/" TargetMode="External"/><Relationship Id="rId1323" Type="http://schemas.openxmlformats.org/officeDocument/2006/relationships/hyperlink" Target="https://cafe.naver.com/sats10000" TargetMode="External"/><Relationship Id="rId1324" Type="http://schemas.openxmlformats.org/officeDocument/2006/relationships/hyperlink" Target="https://www.youtube.com/@%EC%9D%B4%EC%83%81%ED%95%9C%EC%83%9D%EB%AC%BC%EB%8F%84%EA%B0%90" TargetMode="External"/><Relationship Id="rId31" Type="http://schemas.openxmlformats.org/officeDocument/2006/relationships/hyperlink" Target="https://www.youtube.com/@EasyDesign_ED/videos" TargetMode="External"/><Relationship Id="rId1325" Type="http://schemas.openxmlformats.org/officeDocument/2006/relationships/hyperlink" Target="https://www.instagram.com/sats_shorts/" TargetMode="External"/><Relationship Id="rId30" Type="http://schemas.openxmlformats.org/officeDocument/2006/relationships/hyperlink" Target="https://fastcampus.co.kr/dgn_online_figma" TargetMode="External"/><Relationship Id="rId1326" Type="http://schemas.openxmlformats.org/officeDocument/2006/relationships/hyperlink" Target="https://litt.ly/ggoommadang?utm_source=ig&amp;utm_medium=social&amp;utm_content=link_in_bio&amp;fbclid=PAZXh0bgNhZW0CMTEAc3J0YwZhcHBfaWQMMjU2MjgxMDQwNTU4AAGnpmIqs9BT8vBrl10zVLZvzExFr1v5XkK1dClz63v2Vm0au1D3mbJE8K1H_Ok_aem_qNjL2NA7h3Gce_sc_qi_8Q" TargetMode="External"/><Relationship Id="rId33" Type="http://schemas.openxmlformats.org/officeDocument/2006/relationships/hyperlink" Target="https://class101.net/ko/products/5dcd2c1f0bdefc4e498af73e" TargetMode="External"/><Relationship Id="rId1327" Type="http://schemas.openxmlformats.org/officeDocument/2006/relationships/hyperlink" Target="https://curious-500.com/study/2337" TargetMode="External"/><Relationship Id="rId32" Type="http://schemas.openxmlformats.org/officeDocument/2006/relationships/hyperlink" Target="https://www.instagram.com/easy_design.ed/" TargetMode="External"/><Relationship Id="rId1328" Type="http://schemas.openxmlformats.org/officeDocument/2006/relationships/hyperlink" Target="https://www.youtube.com/@%EC%85%80%EB%9F%BD%ED%8C%90%EB%8B%A4" TargetMode="External"/><Relationship Id="rId35" Type="http://schemas.openxmlformats.org/officeDocument/2006/relationships/hyperlink" Target="https://www.instagram.com/reviewyojung/" TargetMode="External"/><Relationship Id="rId1329" Type="http://schemas.openxmlformats.org/officeDocument/2006/relationships/hyperlink" Target="https://www.instagram.com/ggoommadang/" TargetMode="External"/><Relationship Id="rId34" Type="http://schemas.openxmlformats.org/officeDocument/2006/relationships/hyperlink" Target="https://www.youtube.com/channel/UCRx7_s9Mvw9j2mLSaj6X70g" TargetMode="External"/><Relationship Id="rId739" Type="http://schemas.openxmlformats.org/officeDocument/2006/relationships/hyperlink" Target="https://www.wadiz.kr/web/campaign/detail/374683" TargetMode="External"/><Relationship Id="rId734" Type="http://schemas.openxmlformats.org/officeDocument/2006/relationships/hyperlink" Target="https://www.instagram.com/tiktokman1111111/" TargetMode="External"/><Relationship Id="rId733" Type="http://schemas.openxmlformats.org/officeDocument/2006/relationships/hyperlink" Target="https://www.youtube.com/@TikTokman11" TargetMode="External"/><Relationship Id="rId732" Type="http://schemas.openxmlformats.org/officeDocument/2006/relationships/hyperlink" Target="https://cafe.naver.com/f-e/cafes/30819883/articles/9185?menuid=23&amp;referrerAllArticles=false&amp;page=4" TargetMode="External"/><Relationship Id="rId731" Type="http://schemas.openxmlformats.org/officeDocument/2006/relationships/hyperlink" Target="https://www.instagram.com/tiktokman1111111/" TargetMode="External"/><Relationship Id="rId738" Type="http://schemas.openxmlformats.org/officeDocument/2006/relationships/hyperlink" Target="https://www.instagram.com/remin_y_short/" TargetMode="External"/><Relationship Id="rId737" Type="http://schemas.openxmlformats.org/officeDocument/2006/relationships/hyperlink" Target="https://www.youtube.com/@%EC%87%BC%EC%B8%A0%EC%88%98%EC%9D%B5%ED%99%94/videos" TargetMode="External"/><Relationship Id="rId736" Type="http://schemas.openxmlformats.org/officeDocument/2006/relationships/hyperlink" Target="https://cafe.naver.com/f-e/cafes/30819883/articles/5075?menuid=23&amp;referrerAllArticles=false&amp;page=4" TargetMode="External"/><Relationship Id="rId735" Type="http://schemas.openxmlformats.org/officeDocument/2006/relationships/hyperlink" Target="https://cafe.naver.com/jimihand" TargetMode="External"/><Relationship Id="rId37" Type="http://schemas.openxmlformats.org/officeDocument/2006/relationships/hyperlink" Target="https://www.youtube.com/@reels_hacker_/videos" TargetMode="External"/><Relationship Id="rId36" Type="http://schemas.openxmlformats.org/officeDocument/2006/relationships/hyperlink" Target="https://www.reelshacker.co.kr/" TargetMode="External"/><Relationship Id="rId39" Type="http://schemas.openxmlformats.org/officeDocument/2006/relationships/hyperlink" Target="https://www.youtube.com/@morgan-c1c" TargetMode="External"/><Relationship Id="rId38" Type="http://schemas.openxmlformats.org/officeDocument/2006/relationships/hyperlink" Target="https://www.instagram.com/reels___hacker/" TargetMode="External"/><Relationship Id="rId730" Type="http://schemas.openxmlformats.org/officeDocument/2006/relationships/hyperlink" Target="https://www.instagram.com/pro_one.page/" TargetMode="External"/><Relationship Id="rId1320" Type="http://schemas.openxmlformats.org/officeDocument/2006/relationships/hyperlink" Target="https://www.threads.com/@shortform_market" TargetMode="External"/><Relationship Id="rId1321" Type="http://schemas.openxmlformats.org/officeDocument/2006/relationships/hyperlink" Target="https://www.instagram.com/shortform_market/" TargetMode="External"/><Relationship Id="rId1322" Type="http://schemas.openxmlformats.org/officeDocument/2006/relationships/hyperlink" Target="https://www.threads.com/@sats_shorts" TargetMode="External"/><Relationship Id="rId1356" Type="http://schemas.openxmlformats.org/officeDocument/2006/relationships/hyperlink" Target="https://youtube.com/shorts/FWAJG_Kkhpc?si=XxfmQKbsYgasiIdH" TargetMode="External"/><Relationship Id="rId2203" Type="http://schemas.openxmlformats.org/officeDocument/2006/relationships/hyperlink" Target="https://www.wadiz.kr/web/campaign/detail/373546" TargetMode="External"/><Relationship Id="rId1357" Type="http://schemas.openxmlformats.org/officeDocument/2006/relationships/hyperlink" Target="https://www.youtube.com/@%EA%B5%AC%EB%8F%85%EC%9D%80%ED%96%89%EB%B3%B5%ED%95%98%EB%8B%A4%EB%A9%8D%EB%83%A5/shorts" TargetMode="External"/><Relationship Id="rId2204" Type="http://schemas.openxmlformats.org/officeDocument/2006/relationships/hyperlink" Target="https://www.youtube.com/@AI%EB%A7%88%EC%8A%A4%ED%84%B0_%EC%84%B8%EC%9D%B8%ED%88%AC" TargetMode="External"/><Relationship Id="rId20" Type="http://schemas.openxmlformats.org/officeDocument/2006/relationships/hyperlink" Target="https://www.youtube.com/@page_booster/videos" TargetMode="External"/><Relationship Id="rId1358" Type="http://schemas.openxmlformats.org/officeDocument/2006/relationships/hyperlink" Target="https://www.youtube.com/shorts/vC5kGrAgtrQ" TargetMode="External"/><Relationship Id="rId2205" Type="http://schemas.openxmlformats.org/officeDocument/2006/relationships/hyperlink" Target="https://www.instagram.com/sein_invest.ai?igsh=MThlNDlwamtyM3Uzeg==" TargetMode="External"/><Relationship Id="rId1359" Type="http://schemas.openxmlformats.org/officeDocument/2006/relationships/hyperlink" Target="https://www.youtube.com/@%EC%82%AC%EC%95%A0%EB%A7%8C" TargetMode="External"/><Relationship Id="rId2206" Type="http://schemas.openxmlformats.org/officeDocument/2006/relationships/hyperlink" Target="https://open.kakao.com/o/sqGw8Rne" TargetMode="External"/><Relationship Id="rId22" Type="http://schemas.openxmlformats.org/officeDocument/2006/relationships/hyperlink" Target="https://blog.naver.com/jee_writer/224029842955" TargetMode="External"/><Relationship Id="rId2207" Type="http://schemas.openxmlformats.org/officeDocument/2006/relationships/hyperlink" Target="https://blog.naver.com/rusia4678" TargetMode="External"/><Relationship Id="rId21" Type="http://schemas.openxmlformats.org/officeDocument/2006/relationships/hyperlink" Target="mailto:pagebooster@naver.com" TargetMode="External"/><Relationship Id="rId2208" Type="http://schemas.openxmlformats.org/officeDocument/2006/relationships/hyperlink" Target="https://www.youtube.com/@%EB%8F%88%EB%B2%8C%EC%9E%90%EB%A7%A4/videos" TargetMode="External"/><Relationship Id="rId24" Type="http://schemas.openxmlformats.org/officeDocument/2006/relationships/hyperlink" Target="https://www.instagram.com/jee_writer?igsh=bHppbnV6dGwybm05" TargetMode="External"/><Relationship Id="rId2209" Type="http://schemas.openxmlformats.org/officeDocument/2006/relationships/hyperlink" Target="https://www.youtube.com/@%EB%8F%88%EB%B2%8C%EC%9E%90%EB%A7%A4/videos" TargetMode="External"/><Relationship Id="rId23" Type="http://schemas.openxmlformats.org/officeDocument/2006/relationships/hyperlink" Target="http://www.youtube.com/@%EC%A7%80%EC%9D%B8%EC%98%A5" TargetMode="External"/><Relationship Id="rId767" Type="http://schemas.openxmlformats.org/officeDocument/2006/relationships/hyperlink" Target="https://www.instagram.com/dylee_marketer?utm_source=ig_web_button_share_sheet&amp;igsh=ZDNlZDc0MzIxNw==" TargetMode="External"/><Relationship Id="rId766" Type="http://schemas.openxmlformats.org/officeDocument/2006/relationships/hyperlink" Target="https://link.inpock.co.kr/yesreels?fbclid=PAZXh0bgNhZW0CMTEAAacgLfGh1qa-FcBRbsyrqBaLxDpklmCZ9aDpIuybm__riHvuA-ptt6skjIOYzA_aem_Mt50t3g9tdGBzc9fSgFSDw" TargetMode="External"/><Relationship Id="rId765" Type="http://schemas.openxmlformats.org/officeDocument/2006/relationships/hyperlink" Target="https://www.instagram.com/dylee_marketer?utm_source=ig_web_button_share_sheet&amp;igsh=ZDNlZDc0MzIxNw==" TargetMode="External"/><Relationship Id="rId764" Type="http://schemas.openxmlformats.org/officeDocument/2006/relationships/hyperlink" Target="https://www.youtube.com/@dylee_marketer_ceo/" TargetMode="External"/><Relationship Id="rId769" Type="http://schemas.openxmlformats.org/officeDocument/2006/relationships/hyperlink" Target="https://weolbu.com/product/3476" TargetMode="External"/><Relationship Id="rId768" Type="http://schemas.openxmlformats.org/officeDocument/2006/relationships/hyperlink" Target="https://www.youtube.com/@amazonseller_asell/videos" TargetMode="External"/><Relationship Id="rId26" Type="http://schemas.openxmlformats.org/officeDocument/2006/relationships/hyperlink" Target="https://www.instagram.com/j_only8?utm_source=ig_web_button_share_sheet&amp;igsh=cTJwMG9yZGpoMDh0" TargetMode="External"/><Relationship Id="rId25" Type="http://schemas.openxmlformats.org/officeDocument/2006/relationships/hyperlink" Target="https://jeeinok.com/ai-youtube-landing" TargetMode="External"/><Relationship Id="rId28" Type="http://schemas.openxmlformats.org/officeDocument/2006/relationships/hyperlink" Target="https://www.instagram.com/j_only8?utm_source=ig_web_button_share_sheet&amp;igsh=cTJwMG9yZGpoMDh0" TargetMode="External"/><Relationship Id="rId1350" Type="http://schemas.openxmlformats.org/officeDocument/2006/relationships/hyperlink" Target="https://cafe.naver.com/shortschool?iframe_url=/MyCafeIntro.nhn%3Fclubid=31335253" TargetMode="External"/><Relationship Id="rId27" Type="http://schemas.openxmlformats.org/officeDocument/2006/relationships/hyperlink" Target="https://link.inpock.co.kr/j_only8?fbclid=PAZXh0bgNhZW0CMTEAAacCtsyDAEKpkpKMhAWbsml6Vrpn4tbgIipJP_qs0mIuRpq2yzVfnNXBG5MHYw_aem_TmDpcX5kibtTCrxsuj2SMA" TargetMode="External"/><Relationship Id="rId1351" Type="http://schemas.openxmlformats.org/officeDocument/2006/relationships/hyperlink" Target="https://www.youtube.com/@%EC%87%BC%EC%B8%A0%EC%84%A0%EC%83%9D%EC%87%BC%EC%B2%98" TargetMode="External"/><Relationship Id="rId763" Type="http://schemas.openxmlformats.org/officeDocument/2006/relationships/hyperlink" Target="https://abit.ly/rekck5" TargetMode="External"/><Relationship Id="rId1352" Type="http://schemas.openxmlformats.org/officeDocument/2006/relationships/hyperlink" Target="https://www.threads.com/@wonka_design_" TargetMode="External"/><Relationship Id="rId29" Type="http://schemas.openxmlformats.org/officeDocument/2006/relationships/hyperlink" Target="https://www.youtube.com/@EasyDesign_ED/videos" TargetMode="External"/><Relationship Id="rId762" Type="http://schemas.openxmlformats.org/officeDocument/2006/relationships/hyperlink" Target="https://abit.ly/rekck5" TargetMode="External"/><Relationship Id="rId1353" Type="http://schemas.openxmlformats.org/officeDocument/2006/relationships/hyperlink" Target="https://www.instagram.com/wonka_design_?igsh=MThhdnN1Z3RmZDhqaQ%3D%3D" TargetMode="External"/><Relationship Id="rId2200" Type="http://schemas.openxmlformats.org/officeDocument/2006/relationships/hyperlink" Target="https://www.youtube.com/@dapernam" TargetMode="External"/><Relationship Id="rId761" Type="http://schemas.openxmlformats.org/officeDocument/2006/relationships/hyperlink" Target="http://instagram.com/yocyo_1023" TargetMode="External"/><Relationship Id="rId1354" Type="http://schemas.openxmlformats.org/officeDocument/2006/relationships/hyperlink" Target="https://www.youtube.com/shorts/RWf_oyv6BIk" TargetMode="External"/><Relationship Id="rId2201" Type="http://schemas.openxmlformats.org/officeDocument/2006/relationships/hyperlink" Target="https://www.instagram.com/dapernam_79/" TargetMode="External"/><Relationship Id="rId760" Type="http://schemas.openxmlformats.org/officeDocument/2006/relationships/hyperlink" Target="http://www.youtube.com/@Yocyo" TargetMode="External"/><Relationship Id="rId1355" Type="http://schemas.openxmlformats.org/officeDocument/2006/relationships/hyperlink" Target="https://www.youtube.com/@youngbossidea/shorts" TargetMode="External"/><Relationship Id="rId2202" Type="http://schemas.openxmlformats.org/officeDocument/2006/relationships/hyperlink" Target="https://www.youtube.com/watch?v=Nic2gNOGHkk" TargetMode="External"/><Relationship Id="rId1345" Type="http://schemas.openxmlformats.org/officeDocument/2006/relationships/hyperlink" Target="https://www.instagram.com/p/DQQ6iUEkabb/" TargetMode="External"/><Relationship Id="rId1346" Type="http://schemas.openxmlformats.org/officeDocument/2006/relationships/hyperlink" Target="https://litt.ly/reels_hwan/sale/uQ79hlNlMSq00k4vIJ9OuCESbxbZJsDH" TargetMode="External"/><Relationship Id="rId1347" Type="http://schemas.openxmlformats.org/officeDocument/2006/relationships/hyperlink" Target="https://www.youtube.com/@reels_hwan/featured" TargetMode="External"/><Relationship Id="rId1348" Type="http://schemas.openxmlformats.org/officeDocument/2006/relationships/hyperlink" Target="https://www.instagram.com/reels_hwan/" TargetMode="External"/><Relationship Id="rId11" Type="http://schemas.openxmlformats.org/officeDocument/2006/relationships/hyperlink" Target="https://www.youtube.com/watch?v=elhxzHXqGRw" TargetMode="External"/><Relationship Id="rId1349" Type="http://schemas.openxmlformats.org/officeDocument/2006/relationships/hyperlink" Target="https://www.threads.com/@zanmang_humor" TargetMode="External"/><Relationship Id="rId10" Type="http://schemas.openxmlformats.org/officeDocument/2006/relationships/hyperlink" Target="https://www.instagram.com/ggultip_longj?igsh=cjU4YzIxN20wczl5" TargetMode="External"/><Relationship Id="rId13" Type="http://schemas.openxmlformats.org/officeDocument/2006/relationships/hyperlink" Target="https://class101.net/ko/products/61f68f1cf3a2e1000d780fda" TargetMode="External"/><Relationship Id="rId12" Type="http://schemas.openxmlformats.org/officeDocument/2006/relationships/hyperlink" Target="https://www.youtube.com/@hotdd2030/shorts" TargetMode="External"/><Relationship Id="rId756" Type="http://schemas.openxmlformats.org/officeDocument/2006/relationships/hyperlink" Target="https://www.wadiz.kr/web/campaign/detail/374683" TargetMode="External"/><Relationship Id="rId755" Type="http://schemas.openxmlformats.org/officeDocument/2006/relationships/hyperlink" Target="https://www.wadiz.kr/web/campaign/detail/374683" TargetMode="External"/><Relationship Id="rId754" Type="http://schemas.openxmlformats.org/officeDocument/2006/relationships/hyperlink" Target="https://www.instagram.com/kkomi_talks/" TargetMode="External"/><Relationship Id="rId753" Type="http://schemas.openxmlformats.org/officeDocument/2006/relationships/hyperlink" Target="https://www.instagram.com/kkomi_talks/" TargetMode="External"/><Relationship Id="rId759" Type="http://schemas.openxmlformats.org/officeDocument/2006/relationships/hyperlink" Target="https://www.yocyo.com/channels/L2NoYW5uZWxzLzE4OTc2/pages/editors-2" TargetMode="External"/><Relationship Id="rId758" Type="http://schemas.openxmlformats.org/officeDocument/2006/relationships/hyperlink" Target="https://www.yocyo.com/channels/L2NoYW5uZWxzLzE4OTc2/pages/editors-2" TargetMode="External"/><Relationship Id="rId757" Type="http://schemas.openxmlformats.org/officeDocument/2006/relationships/hyperlink" Target="https://www.youtube.com/@adventure_dori" TargetMode="External"/><Relationship Id="rId15" Type="http://schemas.openxmlformats.org/officeDocument/2006/relationships/hyperlink" Target="https://www.instagram.com/positiverich_organic?igsh=MXQwcmx4NDhmc2FhZQ==" TargetMode="External"/><Relationship Id="rId14" Type="http://schemas.openxmlformats.org/officeDocument/2006/relationships/hyperlink" Target="https://youtube.com/channel/UChIn7_WTuf2NcRBCvXgv2EA?si=HbthIS3jUHZtK_kV" TargetMode="External"/><Relationship Id="rId17" Type="http://schemas.openxmlformats.org/officeDocument/2006/relationships/hyperlink" Target="https://www.youtube.com/@%EB%94%94%EC%84%A0%EC%A0%9C%EC%95%95" TargetMode="External"/><Relationship Id="rId16" Type="http://schemas.openxmlformats.org/officeDocument/2006/relationships/hyperlink" Target="https://weolbu.com/product?displaySeq=1002&amp;utm_source=creator&amp;utm_medium=affiliate&amp;utm_campaign=class_organic&amp;utm_content=traffic_creator_24&amp;utm_term=youtube&amp;fbclid=PAY2xjawHdzNVleHRuA2FlbQIxMAABppHOhAX0rOzfKK5kSFLSzIEFFXYHUBaYSTLJ-TOgoP6cQLcCGS8H_a_Igg_aem_-T_zv0UGunC1YUFbHudqEg" TargetMode="External"/><Relationship Id="rId1340" Type="http://schemas.openxmlformats.org/officeDocument/2006/relationships/hyperlink" Target="https://www.youtube.com/@jakdanglabs/videos" TargetMode="External"/><Relationship Id="rId19" Type="http://schemas.openxmlformats.org/officeDocument/2006/relationships/hyperlink" Target="https://www.youtube.com/@page_booster/videos" TargetMode="External"/><Relationship Id="rId752" Type="http://schemas.openxmlformats.org/officeDocument/2006/relationships/hyperlink" Target="https://www.instagram.com/luvme.gyeom" TargetMode="External"/><Relationship Id="rId1341" Type="http://schemas.openxmlformats.org/officeDocument/2006/relationships/hyperlink" Target="https://www.youtube.com/@jakdanglabs/videos" TargetMode="External"/><Relationship Id="rId18" Type="http://schemas.openxmlformats.org/officeDocument/2006/relationships/hyperlink" Target="http://open.kakao.com/o/gWMf3K3g" TargetMode="External"/><Relationship Id="rId751" Type="http://schemas.openxmlformats.org/officeDocument/2006/relationships/hyperlink" Target="https://www.youtube.com/@luvme_gyeom" TargetMode="External"/><Relationship Id="rId1342" Type="http://schemas.openxmlformats.org/officeDocument/2006/relationships/hyperlink" Target="https://www.youtube.com/@9smile" TargetMode="External"/><Relationship Id="rId750" Type="http://schemas.openxmlformats.org/officeDocument/2006/relationships/hyperlink" Target="https://www.classu.co.kr/class/classDetail/14596" TargetMode="External"/><Relationship Id="rId1343" Type="http://schemas.openxmlformats.org/officeDocument/2006/relationships/hyperlink" Target="https://class101.net/ko/products/5e5fce886911c277acee753b" TargetMode="External"/><Relationship Id="rId1344" Type="http://schemas.openxmlformats.org/officeDocument/2006/relationships/hyperlink" Target="https://www.youtube.com/@9smile" TargetMode="External"/><Relationship Id="rId84" Type="http://schemas.openxmlformats.org/officeDocument/2006/relationships/hyperlink" Target="https://fastcampus.co.kr/dgn_online_cd" TargetMode="External"/><Relationship Id="rId1774" Type="http://schemas.openxmlformats.org/officeDocument/2006/relationships/hyperlink" Target="https://www.youtube.com/@worktravelceo" TargetMode="External"/><Relationship Id="rId83" Type="http://schemas.openxmlformats.org/officeDocument/2006/relationships/hyperlink" Target="https://fastcampus.co.kr/dgn_online_cd" TargetMode="External"/><Relationship Id="rId1775" Type="http://schemas.openxmlformats.org/officeDocument/2006/relationships/hyperlink" Target="https://www.instagram.com/travelceo_xeno" TargetMode="External"/><Relationship Id="rId86" Type="http://schemas.openxmlformats.org/officeDocument/2006/relationships/hyperlink" Target="https://linaedu.modoo.at/" TargetMode="External"/><Relationship Id="rId1776" Type="http://schemas.openxmlformats.org/officeDocument/2006/relationships/hyperlink" Target="https://www.youtube.com/@CONNECT-AI-LAB/videos" TargetMode="External"/><Relationship Id="rId85" Type="http://schemas.openxmlformats.org/officeDocument/2006/relationships/hyperlink" Target="https://www.instagram.com/sogeumtoon/" TargetMode="External"/><Relationship Id="rId1777" Type="http://schemas.openxmlformats.org/officeDocument/2006/relationships/hyperlink" Target="https://www.aicitybuilders.com/" TargetMode="External"/><Relationship Id="rId88" Type="http://schemas.openxmlformats.org/officeDocument/2006/relationships/hyperlink" Target="https://www.youtube.com/@lina_only_one" TargetMode="External"/><Relationship Id="rId1778" Type="http://schemas.openxmlformats.org/officeDocument/2006/relationships/hyperlink" Target="https://www.youtube.com/@CONNECT-AI-LAB/videos" TargetMode="External"/><Relationship Id="rId87" Type="http://schemas.openxmlformats.org/officeDocument/2006/relationships/hyperlink" Target="https://linaedu.modoo.at/" TargetMode="External"/><Relationship Id="rId1779" Type="http://schemas.openxmlformats.org/officeDocument/2006/relationships/hyperlink" Target="https://www.ezerai.xyz/" TargetMode="External"/><Relationship Id="rId89" Type="http://schemas.openxmlformats.org/officeDocument/2006/relationships/hyperlink" Target="https://www.instagram.com/lina_only_one/" TargetMode="External"/><Relationship Id="rId709" Type="http://schemas.openxmlformats.org/officeDocument/2006/relationships/hyperlink" Target="https://www.youtube.com/@wol10uk/videos" TargetMode="External"/><Relationship Id="rId708" Type="http://schemas.openxmlformats.org/officeDocument/2006/relationships/hyperlink" Target="https://www.youtube.com/@winter-writer/videos" TargetMode="External"/><Relationship Id="rId707" Type="http://schemas.openxmlformats.org/officeDocument/2006/relationships/hyperlink" Target="https://www.youtube.com/@winter-writer/videos" TargetMode="External"/><Relationship Id="rId706" Type="http://schemas.openxmlformats.org/officeDocument/2006/relationships/hyperlink" Target="https://www.youtube.com/@moenytrack" TargetMode="External"/><Relationship Id="rId80" Type="http://schemas.openxmlformats.org/officeDocument/2006/relationships/hyperlink" Target="https://m.cafe.naver.com/ca-fe/web/cafes/gimpophone/articles/10574?useCafeId=false&amp;tc" TargetMode="External"/><Relationship Id="rId82" Type="http://schemas.openxmlformats.org/officeDocument/2006/relationships/hyperlink" Target="https://www.instagram.com/makingmoneyhippo?igsh=ZDhqNWRzNXFqeDMz" TargetMode="External"/><Relationship Id="rId81" Type="http://schemas.openxmlformats.org/officeDocument/2006/relationships/hyperlink" Target="https://youtube.com/@makingmoneyhippo?si=9JaabwWaGZiO5kFS" TargetMode="External"/><Relationship Id="rId701" Type="http://schemas.openxmlformats.org/officeDocument/2006/relationships/hyperlink" Target="https://www.youtube.com/@Curator_Danbi/videos" TargetMode="External"/><Relationship Id="rId700" Type="http://schemas.openxmlformats.org/officeDocument/2006/relationships/hyperlink" Target="https://www.youtube.com/watch?v=3t9cEzsgNqM" TargetMode="External"/><Relationship Id="rId705" Type="http://schemas.openxmlformats.org/officeDocument/2006/relationships/hyperlink" Target="https://www.youtube.com/@moenytrack" TargetMode="External"/><Relationship Id="rId704" Type="http://schemas.openxmlformats.org/officeDocument/2006/relationships/hyperlink" Target="https://kmong.com/knowhow/gig/619713" TargetMode="External"/><Relationship Id="rId703" Type="http://schemas.openxmlformats.org/officeDocument/2006/relationships/hyperlink" Target="https://www.youtube.com/@Paddy%ED%8C%A8%EB%94%94PD" TargetMode="External"/><Relationship Id="rId702" Type="http://schemas.openxmlformats.org/officeDocument/2006/relationships/hyperlink" Target="https://www.youtube.com/watch?v=xTj1TnQmPjI" TargetMode="External"/><Relationship Id="rId1770" Type="http://schemas.openxmlformats.org/officeDocument/2006/relationships/hyperlink" Target="https://cafe.naver.com/9daepo" TargetMode="External"/><Relationship Id="rId1771" Type="http://schemas.openxmlformats.org/officeDocument/2006/relationships/hyperlink" Target="https://www.youtube.com/@9daepyo" TargetMode="External"/><Relationship Id="rId1772" Type="http://schemas.openxmlformats.org/officeDocument/2006/relationships/hyperlink" Target="https://www.instagram.com/travelceo_xeno" TargetMode="External"/><Relationship Id="rId1773" Type="http://schemas.openxmlformats.org/officeDocument/2006/relationships/hyperlink" Target="https://class101.net/ko/products/687a3cb3ae918ac92dc46686?utm_campaign=pdp_share&amp;utm_content=share_feature&amp;utm_medium=referral&amp;utm_source=link_share_share&amp;utm_term=687a3cb3ae918ac92dc46686&amp;airbridge_referrer=airbridge%3Dtrue%26client_id%3D24bd78b2-b396-4b1f-b210-b3c63b5934df%26event_uuid%3D9c57c70c-31a2-4bf9-bb56-b378a0e48275%26referrer_timestamp%3D1770777140337%26short_id%3Do2w0xx%26channel%3Dclass101%26tracking_template_id%3D1b93f8566ef8c80db301162dc783e7f9%26og_tag_id%3D204572384%26routing_short_id%3Dgwvw5x" TargetMode="External"/><Relationship Id="rId73" Type="http://schemas.openxmlformats.org/officeDocument/2006/relationships/hyperlink" Target="https://ai-start-club.oopy.io/?utm_source=littly&amp;utm_medium=referral&amp;utm_campaign=n_littly" TargetMode="External"/><Relationship Id="rId1763" Type="http://schemas.openxmlformats.org/officeDocument/2006/relationships/hyperlink" Target="https://docs.google.com/forms/d/1Fjh72YUK89YW1Cpr7yAEAlJQt0T-zqj6q1wMxrvwCc0/viewform?edit_requested=true" TargetMode="External"/><Relationship Id="rId72" Type="http://schemas.openxmlformats.org/officeDocument/2006/relationships/hyperlink" Target="https://www.instagram.com/naminsoo_ai/?utm_source=ig_web_button_share_sheet&amp;igsh=ZDNlZDc0MzIxNw%3D%3D" TargetMode="External"/><Relationship Id="rId1764" Type="http://schemas.openxmlformats.org/officeDocument/2006/relationships/hyperlink" Target="https://www.instagram.com/hellothisiskim?igsh=MTkxaDR6ZTBrZXptcQ==" TargetMode="External"/><Relationship Id="rId75" Type="http://schemas.openxmlformats.org/officeDocument/2006/relationships/hyperlink" Target="https://www.youtube.com/@JUSTACTION50/videos" TargetMode="External"/><Relationship Id="rId1765" Type="http://schemas.openxmlformats.org/officeDocument/2006/relationships/hyperlink" Target="https://www.instagram.com/hellothisiskim?igsh=MTkxaDR6ZTBrZXptcQ==" TargetMode="External"/><Relationship Id="rId74" Type="http://schemas.openxmlformats.org/officeDocument/2006/relationships/hyperlink" Target="https://www.instagram.com/yoonkwon_ai/?igsh=dmN0NjBlaGppamts" TargetMode="External"/><Relationship Id="rId1766" Type="http://schemas.openxmlformats.org/officeDocument/2006/relationships/hyperlink" Target="https://litt.ly/regle.kim.studio" TargetMode="External"/><Relationship Id="rId77" Type="http://schemas.openxmlformats.org/officeDocument/2006/relationships/hyperlink" Target="https://www.youtube.com/@JUSTACTION50/videos" TargetMode="External"/><Relationship Id="rId1767" Type="http://schemas.openxmlformats.org/officeDocument/2006/relationships/hyperlink" Target="https://www.wadiz.kr/web/maker/detail/1922144/makerInfo" TargetMode="External"/><Relationship Id="rId76" Type="http://schemas.openxmlformats.org/officeDocument/2006/relationships/hyperlink" Target="https://justaction.liveklass.com/" TargetMode="External"/><Relationship Id="rId1768" Type="http://schemas.openxmlformats.org/officeDocument/2006/relationships/hyperlink" Target="https://pdfstore.kr/about" TargetMode="External"/><Relationship Id="rId79" Type="http://schemas.openxmlformats.org/officeDocument/2006/relationships/hyperlink" Target="https://youtube.com/@innerlead?si=UcrMAF02k0R8nNbP" TargetMode="External"/><Relationship Id="rId1769" Type="http://schemas.openxmlformats.org/officeDocument/2006/relationships/hyperlink" Target="https://www.youtube.com/watch?v=mj4aV6CKzxA" TargetMode="External"/><Relationship Id="rId78" Type="http://schemas.openxmlformats.org/officeDocument/2006/relationships/hyperlink" Target="https://litt.ly/infj_aibro" TargetMode="External"/><Relationship Id="rId71" Type="http://schemas.openxmlformats.org/officeDocument/2006/relationships/hyperlink" Target="https://flat-beach-bd4.notion.site/173160d16d8e807bab0df486ddb5a108" TargetMode="External"/><Relationship Id="rId70" Type="http://schemas.openxmlformats.org/officeDocument/2006/relationships/hyperlink" Target="https://www.instagram.com/buchugj/" TargetMode="External"/><Relationship Id="rId1760" Type="http://schemas.openxmlformats.org/officeDocument/2006/relationships/hyperlink" Target="https://www.youtube.com/@%EA%B0%84%EB%8B%A8%EA%B2%BD%EC%A0%9C%ED%95%99" TargetMode="External"/><Relationship Id="rId1761" Type="http://schemas.openxmlformats.org/officeDocument/2006/relationships/hyperlink" Target="https://youtu.be/DEu4-Zi5N2o?si=zJd85nGCNC7VaA7o" TargetMode="External"/><Relationship Id="rId1762" Type="http://schemas.openxmlformats.org/officeDocument/2006/relationships/hyperlink" Target="https://www.youtube.com/@%EB%B6%80%EC%97%85%EC%9D%BC%EA%B8%B0-c8u" TargetMode="External"/><Relationship Id="rId62" Type="http://schemas.openxmlformats.org/officeDocument/2006/relationships/hyperlink" Target="https://youtu.be/ddqetdI4RYI?si=wz3e688OmUp7U4Xb" TargetMode="External"/><Relationship Id="rId1312" Type="http://schemas.openxmlformats.org/officeDocument/2006/relationships/hyperlink" Target="https://www.youtube.com/@toemalbu" TargetMode="External"/><Relationship Id="rId1796" Type="http://schemas.openxmlformats.org/officeDocument/2006/relationships/hyperlink" Target="https://class101.net/ko/pages/aimusic-68d12540ea48f3c696c7d9b6?utm_source=youtube&amp;utm_medium=partnership&amp;utm_campaign=%EB%82%A8%EC%83%81%EC%9B%90&amp;utm_content=bdc&amp;utm_term=marketerj&amp;airbridge_referrer=airbridge%3Dtrue%26client_id%3D3bc0cc44-0d91-41c2-a8a8-ff77f94343a8%26event_uuid%3D7457a43e-0f6b-4927-9f09-a8753518e16c%26referrer_timestamp%3D1772583456372%26short_id%3D94s2oi%26channel%3Dbdc%26tracking_template_id%3D8888c149f146f3cf15d5903045bb43cf%26og_tag_id%3D382786747%26routing_short_id%3D94s2oi" TargetMode="External"/><Relationship Id="rId61" Type="http://schemas.openxmlformats.org/officeDocument/2006/relationships/hyperlink" Target="https://www.youtube.com/@%EC%BB%A4%EB%B0%8D%EC%8F%9C" TargetMode="External"/><Relationship Id="rId1313" Type="http://schemas.openxmlformats.org/officeDocument/2006/relationships/hyperlink" Target="https://www.youtube.com/@SEO%EC%95%84%EB%A0%88%EB%82%98" TargetMode="External"/><Relationship Id="rId1797" Type="http://schemas.openxmlformats.org/officeDocument/2006/relationships/hyperlink" Target="https://youtu.be/Kfv-sypYsWw" TargetMode="External"/><Relationship Id="rId64" Type="http://schemas.openxmlformats.org/officeDocument/2006/relationships/hyperlink" Target="https://youtube.com/channel/UCssMAfwEpQF0GZ8V0a57vuQ?si=koHplR_ofsIRDdk9" TargetMode="External"/><Relationship Id="rId1314" Type="http://schemas.openxmlformats.org/officeDocument/2006/relationships/hyperlink" Target="https://class.seoarenakr.com/classes/232817" TargetMode="External"/><Relationship Id="rId1798" Type="http://schemas.openxmlformats.org/officeDocument/2006/relationships/hyperlink" Target="https://fastcampus.co.kr/biz_online_aippt" TargetMode="External"/><Relationship Id="rId63" Type="http://schemas.openxmlformats.org/officeDocument/2006/relationships/hyperlink" Target="https://booup1234.co.kr/" TargetMode="External"/><Relationship Id="rId1315" Type="http://schemas.openxmlformats.org/officeDocument/2006/relationships/hyperlink" Target="https://www.youtube.com/@SEO%EC%95%84%EB%A0%88%EB%82%98" TargetMode="External"/><Relationship Id="rId1799" Type="http://schemas.openxmlformats.org/officeDocument/2006/relationships/hyperlink" Target="https://www.youtube.com/@%ED%8E%98%EC%9D%B4%ED%8D%BC%EB%A1%9C%EC%A7%80" TargetMode="External"/><Relationship Id="rId66" Type="http://schemas.openxmlformats.org/officeDocument/2006/relationships/hyperlink" Target="http://bit.ly/3ImW20a" TargetMode="External"/><Relationship Id="rId1316" Type="http://schemas.openxmlformats.org/officeDocument/2006/relationships/hyperlink" Target="https://www.youtube.com/@%EC%87%BC%EC%B8%A0%EB%9D%BC%EC%9D%B4%ED%8A%B8-r3y" TargetMode="External"/><Relationship Id="rId65" Type="http://schemas.openxmlformats.org/officeDocument/2006/relationships/hyperlink" Target="https://youtu.be/UFTP-Yl2vuc?si=KmnzMpvd89P0hYP-" TargetMode="External"/><Relationship Id="rId1317" Type="http://schemas.openxmlformats.org/officeDocument/2006/relationships/hyperlink" Target="https://www.youtube.com/@greenkokki" TargetMode="External"/><Relationship Id="rId68" Type="http://schemas.openxmlformats.org/officeDocument/2006/relationships/hyperlink" Target="https://blog.naver.com/darmvit/223690255157" TargetMode="External"/><Relationship Id="rId1318" Type="http://schemas.openxmlformats.org/officeDocument/2006/relationships/hyperlink" Target="https://greenkokki.com/" TargetMode="External"/><Relationship Id="rId67" Type="http://schemas.openxmlformats.org/officeDocument/2006/relationships/hyperlink" Target="https://youtube.com/channel/UCbO7ae8WmgGuK9-d6OkQ6JQ?si=89eby5Tl0EFdDSTn" TargetMode="External"/><Relationship Id="rId1319" Type="http://schemas.openxmlformats.org/officeDocument/2006/relationships/hyperlink" Target="https://www.youtube.com/@greenkokki" TargetMode="External"/><Relationship Id="rId729" Type="http://schemas.openxmlformats.org/officeDocument/2006/relationships/hyperlink" Target="https://litt.ly/pro_one.page?fbclid=PAZXh0bgNhZW0CMTEAAaeeY7gbhw80zATKOKo2WBX3qyl3qnhseQLHbpt609OC-hoenAQ4qrP-5v9zhQ_aem_np7MCqfa4JATkofS0XJY6g" TargetMode="External"/><Relationship Id="rId728" Type="http://schemas.openxmlformats.org/officeDocument/2006/relationships/hyperlink" Target="https://www.instagram.com/pro_one.page/" TargetMode="External"/><Relationship Id="rId60" Type="http://schemas.openxmlformats.org/officeDocument/2006/relationships/hyperlink" Target="https://psmakers.liveklass.com/classes/218286" TargetMode="External"/><Relationship Id="rId723" Type="http://schemas.openxmlformats.org/officeDocument/2006/relationships/hyperlink" Target="https://www.instagram.com/hedy.with?utm_source=ig_web_button_share_sheet&amp;igsh=bGg5cWZ5MDA5aHJr" TargetMode="External"/><Relationship Id="rId722" Type="http://schemas.openxmlformats.org/officeDocument/2006/relationships/hyperlink" Target="https://litt.ly/sian_web.ceo?fbclid=PAZXh0bgNhZW0CMTEAAadfamF4RIcGQa6kgoVLd8l_ampEPqcoElVwudSVlgKxNXGpgmk2jkq3kPeg8g_aem_ncRHQYCXg5jfMZq9j7ZLmQ" TargetMode="External"/><Relationship Id="rId721" Type="http://schemas.openxmlformats.org/officeDocument/2006/relationships/hyperlink" Target="https://www.instagram.com/hedy.with?utm_source=ig_web_button_share_sheet&amp;igsh=bGg5cWZ5MDA5aHJr" TargetMode="External"/><Relationship Id="rId720" Type="http://schemas.openxmlformats.org/officeDocument/2006/relationships/hyperlink" Target="https://www.instagram.com/anreto_?utm_source=ig_web_button_share_sheet&amp;igsh=MTFhcDhuNXhqMG9mNg==" TargetMode="External"/><Relationship Id="rId727" Type="http://schemas.openxmlformats.org/officeDocument/2006/relationships/hyperlink" Target="https://www.senews.kr/17697" TargetMode="External"/><Relationship Id="rId726" Type="http://schemas.openxmlformats.org/officeDocument/2006/relationships/hyperlink" Target="https://www.youtube.com/@AI%EC%8C%89%ED%8C%8C%EC%8D%A8%EB%B8%94/videos" TargetMode="External"/><Relationship Id="rId725" Type="http://schemas.openxmlformats.org/officeDocument/2006/relationships/hyperlink" Target="https://aigeeclass.com/" TargetMode="External"/><Relationship Id="rId724" Type="http://schemas.openxmlformats.org/officeDocument/2006/relationships/hyperlink" Target="https://www.youtube.com/@AI%EC%8C%89%ED%8C%8C%EC%8D%A8%EB%B8%94/videos" TargetMode="External"/><Relationship Id="rId69" Type="http://schemas.openxmlformats.org/officeDocument/2006/relationships/hyperlink" Target="https://www.youtube.com/channel/UCsXCQkVgOZMwlaXqVr3rpjQ" TargetMode="External"/><Relationship Id="rId1790" Type="http://schemas.openxmlformats.org/officeDocument/2006/relationships/hyperlink" Target="https://www.youtube.com/@AI%EB%A8%B8%EB%8B%88" TargetMode="External"/><Relationship Id="rId1791" Type="http://schemas.openxmlformats.org/officeDocument/2006/relationships/hyperlink" Target="https://www.youtube.com/watch?v=AHdvW7EpSUA" TargetMode="External"/><Relationship Id="rId1792" Type="http://schemas.openxmlformats.org/officeDocument/2006/relationships/hyperlink" Target="https://www.youtube.com/@nomore_manual" TargetMode="External"/><Relationship Id="rId1793" Type="http://schemas.openxmlformats.org/officeDocument/2006/relationships/hyperlink" Target="https://www.youtube.com/@AIAstra0/videos" TargetMode="External"/><Relationship Id="rId1310" Type="http://schemas.openxmlformats.org/officeDocument/2006/relationships/hyperlink" Target="https://www.youtube.com/@%EA%B2%8C%EC%9C%BC%EB%A5%B8%EC%9C%A0%ED%8A%9C%EB%B2%84/videos" TargetMode="External"/><Relationship Id="rId1794" Type="http://schemas.openxmlformats.org/officeDocument/2006/relationships/hyperlink" Target="https://www.youtube.com/@AIAstra0/videos" TargetMode="External"/><Relationship Id="rId1311" Type="http://schemas.openxmlformats.org/officeDocument/2006/relationships/hyperlink" Target="https://www.youtube.com/@toemalbu" TargetMode="External"/><Relationship Id="rId1795" Type="http://schemas.openxmlformats.org/officeDocument/2006/relationships/hyperlink" Target="https://class101.net/ko/pages/aimusic-68d12540ea48f3c696c7d9b6?utm_source=youtube&amp;utm_medium=partnership&amp;utm_campaign=%EB%82%A8%EC%83%81%EC%9B%90&amp;utm_content=bdc&amp;utm_term=marketerj&amp;airbridge_referrer=airbridge%3Dtrue%26client_id%3D3bc0cc44-0d91-41c2-a8a8-ff77f94343a8%26event_uuid%3D7457a43e-0f6b-4927-9f09-a8753518e16c%26referrer_timestamp%3D1772583456372%26short_id%3D94s2oi%26channel%3Dbdc%26tracking_template_id%3D8888c149f146f3cf15d5903045bb43cf%26og_tag_id%3D382786747%26routing_short_id%3D94s2oi" TargetMode="External"/><Relationship Id="rId51" Type="http://schemas.openxmlformats.org/officeDocument/2006/relationships/hyperlink" Target="https://www.instagram.com/tiffany_story__" TargetMode="External"/><Relationship Id="rId1301" Type="http://schemas.openxmlformats.org/officeDocument/2006/relationships/hyperlink" Target="https://www.connexionai.kr/" TargetMode="External"/><Relationship Id="rId1785" Type="http://schemas.openxmlformats.org/officeDocument/2006/relationships/hyperlink" Target="https://richschool.co.kr/product/%EA%B2%BD%EC%9E%A5%EC%9D%B8-%EC%A0%95%EA%B7%9C-%ED%8F%89%EC%83%9D%ED%9A%8C%EC%9B%90-%EC%98%A4%ED%94%84%EB%9D%BC%EC%9D%B8-7%EC%A3%BC%EA%B3%BC%EC%A0%95%EC%B4%88%EC%8B%AC-%EC%A4%91%EA%B8%89/17/category/44/display/1/" TargetMode="External"/><Relationship Id="rId50" Type="http://schemas.openxmlformats.org/officeDocument/2006/relationships/hyperlink" Target="https://www.youtube.com/@chatgpt.114/videos" TargetMode="External"/><Relationship Id="rId1302" Type="http://schemas.openxmlformats.org/officeDocument/2006/relationships/hyperlink" Target="https://www.aicitybuilders.com/chatgpt-agent-beginner" TargetMode="External"/><Relationship Id="rId1786" Type="http://schemas.openxmlformats.org/officeDocument/2006/relationships/hyperlink" Target="https://www.wadiz.kr/web/campaign/detail/219936?path=makerprofile&amp;status=done" TargetMode="External"/><Relationship Id="rId53" Type="http://schemas.openxmlformats.org/officeDocument/2006/relationships/hyperlink" Target="https://justgo.liveklass.com/" TargetMode="External"/><Relationship Id="rId1303" Type="http://schemas.openxmlformats.org/officeDocument/2006/relationships/hyperlink" Target="https://www.youtube.com/@CONNECT-AI-LAB/videos" TargetMode="External"/><Relationship Id="rId1787" Type="http://schemas.openxmlformats.org/officeDocument/2006/relationships/hyperlink" Target="https://www.wadiz.kr/web/campaign/detail/378224?path=makerprofile&amp;status=ing" TargetMode="External"/><Relationship Id="rId52" Type="http://schemas.openxmlformats.org/officeDocument/2006/relationships/hyperlink" Target="http://www.youtube.com/@justgo7994" TargetMode="External"/><Relationship Id="rId1304" Type="http://schemas.openxmlformats.org/officeDocument/2006/relationships/hyperlink" Target="https://infobangzoo.notion.site/3-7-2b2d37aae34680379a9ae1cbd5e59a08" TargetMode="External"/><Relationship Id="rId1788" Type="http://schemas.openxmlformats.org/officeDocument/2006/relationships/hyperlink" Target="https://www.youtube.com/@AI%EB%A8%B8%EB%8B%88" TargetMode="External"/><Relationship Id="rId55" Type="http://schemas.openxmlformats.org/officeDocument/2006/relationships/hyperlink" Target="http://instagram.com/justgo_kms" TargetMode="External"/><Relationship Id="rId1305" Type="http://schemas.openxmlformats.org/officeDocument/2006/relationships/hyperlink" Target="https://bangzoo.co.kr/" TargetMode="External"/><Relationship Id="rId1789" Type="http://schemas.openxmlformats.org/officeDocument/2006/relationships/hyperlink" Target="https://ytstart.liveklass.com/classes/270172" TargetMode="External"/><Relationship Id="rId54" Type="http://schemas.openxmlformats.org/officeDocument/2006/relationships/hyperlink" Target="http://www.youtube.com/@justgo7994" TargetMode="External"/><Relationship Id="rId1306" Type="http://schemas.openxmlformats.org/officeDocument/2006/relationships/hyperlink" Target="https://www.youtube.com/@BANGZOOZIGI" TargetMode="External"/><Relationship Id="rId57" Type="http://schemas.openxmlformats.org/officeDocument/2006/relationships/hyperlink" Target="https://bit.ly/3NT9R93" TargetMode="External"/><Relationship Id="rId1307" Type="http://schemas.openxmlformats.org/officeDocument/2006/relationships/hyperlink" Target="https://www.youtube.com/@davosaischool/" TargetMode="External"/><Relationship Id="rId56" Type="http://schemas.openxmlformats.org/officeDocument/2006/relationships/hyperlink" Target="https://www.youtube.com/watch?v=y6Eng4FKyU0" TargetMode="External"/><Relationship Id="rId1308" Type="http://schemas.openxmlformats.org/officeDocument/2006/relationships/hyperlink" Target="https://www.youtube.com/@davosaischool" TargetMode="External"/><Relationship Id="rId1309" Type="http://schemas.openxmlformats.org/officeDocument/2006/relationships/hyperlink" Target="https://www.youtube.com/@%EA%B2%8C%EC%9C%BC%EB%A5%B8%EC%9C%A0%ED%8A%9C%EB%B2%84/videos" TargetMode="External"/><Relationship Id="rId719" Type="http://schemas.openxmlformats.org/officeDocument/2006/relationships/hyperlink" Target="https://youtube.com/@webmaker_anreto?si=99XQyDD9lr-77SYS" TargetMode="External"/><Relationship Id="rId718" Type="http://schemas.openxmlformats.org/officeDocument/2006/relationships/hyperlink" Target="https://litt.ly/anreto" TargetMode="External"/><Relationship Id="rId717" Type="http://schemas.openxmlformats.org/officeDocument/2006/relationships/hyperlink" Target="https://www.youtube.com/@%EC%9C%A0%EB%8F%88%EB%85%B8/featured" TargetMode="External"/><Relationship Id="rId712" Type="http://schemas.openxmlformats.org/officeDocument/2006/relationships/hyperlink" Target="https://youtu.be/XvPEgpf56Vg?si=L6h0WyqEfwHoedZE" TargetMode="External"/><Relationship Id="rId711" Type="http://schemas.openxmlformats.org/officeDocument/2006/relationships/hyperlink" Target="https://www.youtube.com/@wol10uk/videos" TargetMode="External"/><Relationship Id="rId710" Type="http://schemas.openxmlformats.org/officeDocument/2006/relationships/hyperlink" Target="https://gananai.imweb.me/landing-saas" TargetMode="External"/><Relationship Id="rId716" Type="http://schemas.openxmlformats.org/officeDocument/2006/relationships/hyperlink" Target="https://www.youtube.com/@%EC%9C%A0%EB%8F%88%EB%85%B8/posts" TargetMode="External"/><Relationship Id="rId715" Type="http://schemas.openxmlformats.org/officeDocument/2006/relationships/hyperlink" Target="https://www.youtube.com/watch?v=_6J4gVpKYRQ" TargetMode="External"/><Relationship Id="rId714" Type="http://schemas.openxmlformats.org/officeDocument/2006/relationships/hyperlink" Target="https://www.youtube.com/@moneyoctopus/videos" TargetMode="External"/><Relationship Id="rId713" Type="http://schemas.openxmlformats.org/officeDocument/2006/relationships/hyperlink" Target="https://cafe.naver.com/coudae/50719" TargetMode="External"/><Relationship Id="rId59" Type="http://schemas.openxmlformats.org/officeDocument/2006/relationships/hyperlink" Target="https://www.youtube.com/watch?v=kuUlab1qHEc" TargetMode="External"/><Relationship Id="rId58" Type="http://schemas.openxmlformats.org/officeDocument/2006/relationships/hyperlink" Target="http://www.youtube.com/@ndaqtrader" TargetMode="External"/><Relationship Id="rId1780" Type="http://schemas.openxmlformats.org/officeDocument/2006/relationships/hyperlink" Target="https://www.instagram.com/happykelly_/3." TargetMode="External"/><Relationship Id="rId1781" Type="http://schemas.openxmlformats.org/officeDocument/2006/relationships/hyperlink" Target="https://smartstore.naver.com/happy_kelly/products/11003076525" TargetMode="External"/><Relationship Id="rId1782" Type="http://schemas.openxmlformats.org/officeDocument/2006/relationships/hyperlink" Target="https://www.youtube.com/@PurionAI" TargetMode="External"/><Relationship Id="rId1783" Type="http://schemas.openxmlformats.org/officeDocument/2006/relationships/hyperlink" Target="https://www.youtube.com/@PurionAI" TargetMode="External"/><Relationship Id="rId1300" Type="http://schemas.openxmlformats.org/officeDocument/2006/relationships/hyperlink" Target="https://www.youtube.com/@qjc_qjc" TargetMode="External"/><Relationship Id="rId1784" Type="http://schemas.openxmlformats.org/officeDocument/2006/relationships/hyperlink" Target="https://www.youtube.com/watch?v=0J-zrpDT5Ic" TargetMode="External"/><Relationship Id="rId349" Type="http://schemas.openxmlformats.org/officeDocument/2006/relationships/hyperlink" Target="mailto:artist8012@naver.com" TargetMode="External"/><Relationship Id="rId348" Type="http://schemas.openxmlformats.org/officeDocument/2006/relationships/hyperlink" Target="https://www.instagram.com/dondi_ai_/" TargetMode="External"/><Relationship Id="rId347" Type="http://schemas.openxmlformats.org/officeDocument/2006/relationships/hyperlink" Target="https://www.youtube.com/@%EB%8F%88%EB%94%94AI" TargetMode="External"/><Relationship Id="rId346" Type="http://schemas.openxmlformats.org/officeDocument/2006/relationships/hyperlink" Target="https://blog.naver.com/dondi_" TargetMode="External"/><Relationship Id="rId341" Type="http://schemas.openxmlformats.org/officeDocument/2006/relationships/hyperlink" Target="https://www.youtube.com/@CreatorProfitLabKR/shorts" TargetMode="External"/><Relationship Id="rId340" Type="http://schemas.openxmlformats.org/officeDocument/2006/relationships/hyperlink" Target="mailto:ailifeinnovation@gmail.com" TargetMode="External"/><Relationship Id="rId345" Type="http://schemas.openxmlformats.org/officeDocument/2006/relationships/hyperlink" Target="https://www.instagram.com/wonder_roy_world/" TargetMode="External"/><Relationship Id="rId344" Type="http://schemas.openxmlformats.org/officeDocument/2006/relationships/hyperlink" Target="https://cafe.naver.com/wonderroutine" TargetMode="External"/><Relationship Id="rId343" Type="http://schemas.openxmlformats.org/officeDocument/2006/relationships/hyperlink" Target="http://instagram.com/adaisy.click24" TargetMode="External"/><Relationship Id="rId342" Type="http://schemas.openxmlformats.org/officeDocument/2006/relationships/hyperlink" Target="https://www.youtube.com/@CreatorProfitLabKR/shorts" TargetMode="External"/><Relationship Id="rId338" Type="http://schemas.openxmlformats.org/officeDocument/2006/relationships/hyperlink" Target="http://instagram.com/ailifeinnovation" TargetMode="External"/><Relationship Id="rId337" Type="http://schemas.openxmlformats.org/officeDocument/2006/relationships/hyperlink" Target="https://www.youtube.com/@ailifeinnovation" TargetMode="External"/><Relationship Id="rId336" Type="http://schemas.openxmlformats.org/officeDocument/2006/relationships/hyperlink" Target="https://www.alinn.co.kr/channels/L2NoYW5uZWxzLzE4Mjc0/pages/home" TargetMode="External"/><Relationship Id="rId335" Type="http://schemas.openxmlformats.org/officeDocument/2006/relationships/hyperlink" Target="https://www.youtube.com/@ailifeinnovation" TargetMode="External"/><Relationship Id="rId339" Type="http://schemas.openxmlformats.org/officeDocument/2006/relationships/hyperlink" Target="mailto:ailifeinnovation@gmail.com" TargetMode="External"/><Relationship Id="rId330" Type="http://schemas.openxmlformats.org/officeDocument/2006/relationships/hyperlink" Target="https://www.uppage.com/fhteo3/vv" TargetMode="External"/><Relationship Id="rId2250" Type="http://schemas.openxmlformats.org/officeDocument/2006/relationships/hyperlink" Target="https://www.youtube.com/channel/UCH2qOrH73ekbxEDJqD8pnvA?view_as=subscriber" TargetMode="External"/><Relationship Id="rId2251" Type="http://schemas.openxmlformats.org/officeDocument/2006/relationships/drawing" Target="../drawings/drawing2.xml"/><Relationship Id="rId2252" Type="http://schemas.openxmlformats.org/officeDocument/2006/relationships/vmlDrawing" Target="../drawings/vmlDrawing1.vml"/><Relationship Id="rId334" Type="http://schemas.openxmlformats.org/officeDocument/2006/relationships/hyperlink" Target="https://cafe.naver.com/dino870" TargetMode="External"/><Relationship Id="rId333" Type="http://schemas.openxmlformats.org/officeDocument/2006/relationships/hyperlink" Target="https://www.youtube.com/channel/UC3iyduO41XsWKZsYkE5FNyQ/join" TargetMode="External"/><Relationship Id="rId332" Type="http://schemas.openxmlformats.org/officeDocument/2006/relationships/hyperlink" Target="https://www.youtube.com/channel/UC3iyduO41XsWKZsYkE5FNyQ/join" TargetMode="External"/><Relationship Id="rId331" Type="http://schemas.openxmlformats.org/officeDocument/2006/relationships/hyperlink" Target="https://www.youtube.com/@%EC%9C%A0%EC%88%98%EC%97%B0s" TargetMode="External"/><Relationship Id="rId370" Type="http://schemas.openxmlformats.org/officeDocument/2006/relationships/hyperlink" Target="https://smartstore.naver.com/youtubestarts/products/10972449523" TargetMode="External"/><Relationship Id="rId369" Type="http://schemas.openxmlformats.org/officeDocument/2006/relationships/hyperlink" Target="https://www.instagram.com/aros_100?igsh=MTdzemk4bHNzaHEydQ==" TargetMode="External"/><Relationship Id="rId368" Type="http://schemas.openxmlformats.org/officeDocument/2006/relationships/hyperlink" Target="https://www.youtube.com/@%EC%95%84%EB%A1%9C%EC%8A%A4" TargetMode="External"/><Relationship Id="rId363" Type="http://schemas.openxmlformats.org/officeDocument/2006/relationships/hyperlink" Target="https://www.instagram.com/biggie_ai?utm_source=ig_web_button_share_sheet&amp;igsh=dzR2cjU1MXhncjBx" TargetMode="External"/><Relationship Id="rId362" Type="http://schemas.openxmlformats.org/officeDocument/2006/relationships/hyperlink" Target="https://link.inpock.co.kr/biggie_ai?fbclid=PAZXh0bgNhZW0CMTEAAafTdqOPveh6eI4KBa9c3MRC6jLgiCRZVxtmdX6X5qe_-0tyHPK-0JNJZOIstw_aem_zqDm-_JLvO6VUcLC6L_gbA" TargetMode="External"/><Relationship Id="rId361" Type="http://schemas.openxmlformats.org/officeDocument/2006/relationships/hyperlink" Target="https://www.instagram.com/biggie_ai?utm_source=ig_web_button_share_sheet&amp;igsh=dzR2cjU1MXhncjBx" TargetMode="External"/><Relationship Id="rId360" Type="http://schemas.openxmlformats.org/officeDocument/2006/relationships/hyperlink" Target="https://www.instagram.com/limonsparkk/" TargetMode="External"/><Relationship Id="rId367" Type="http://schemas.openxmlformats.org/officeDocument/2006/relationships/hyperlink" Target="https://aros100.com/freebooks?utm_source=youtube&amp;utm_medium=main&amp;utm_campaign=freebooks&amp;utm_term=" TargetMode="External"/><Relationship Id="rId366" Type="http://schemas.openxmlformats.org/officeDocument/2006/relationships/hyperlink" Target="https://blog.naver.com/gksksla9/222437683120" TargetMode="External"/><Relationship Id="rId365" Type="http://schemas.openxmlformats.org/officeDocument/2006/relationships/hyperlink" Target="https://www.youtube.com/@home_showmethemoney" TargetMode="External"/><Relationship Id="rId364" Type="http://schemas.openxmlformats.org/officeDocument/2006/relationships/hyperlink" Target="https://www.youtube.com/@home_showmethemoney" TargetMode="External"/><Relationship Id="rId95" Type="http://schemas.openxmlformats.org/officeDocument/2006/relationships/hyperlink" Target="https://blog.naver.com/hyeda_im/223719051795" TargetMode="External"/><Relationship Id="rId94" Type="http://schemas.openxmlformats.org/officeDocument/2006/relationships/hyperlink" Target="https://litt.ly/hyeda" TargetMode="External"/><Relationship Id="rId97" Type="http://schemas.openxmlformats.org/officeDocument/2006/relationships/hyperlink" Target="https://www.instagram.com/hyeda.nada/" TargetMode="External"/><Relationship Id="rId96" Type="http://schemas.openxmlformats.org/officeDocument/2006/relationships/hyperlink" Target="https://www.youtube.com/@%EB%A1%9C%EA%B3%A0%EC%82%AC%EC%97%85%EA%B0%80%ED%98%9C%EB%8B%A4" TargetMode="External"/><Relationship Id="rId99" Type="http://schemas.openxmlformats.org/officeDocument/2006/relationships/hyperlink" Target="https://www.youtube.com/@nookitokki" TargetMode="External"/><Relationship Id="rId98" Type="http://schemas.openxmlformats.org/officeDocument/2006/relationships/hyperlink" Target="https://nookitokki.co.kr/" TargetMode="External"/><Relationship Id="rId91" Type="http://schemas.openxmlformats.org/officeDocument/2006/relationships/hyperlink" Target="https://cafe.naver.com/cellaravengers/30491" TargetMode="External"/><Relationship Id="rId90" Type="http://schemas.openxmlformats.org/officeDocument/2006/relationships/hyperlink" Target="https://cafe.naver.com/cellaravengers/30491" TargetMode="External"/><Relationship Id="rId93" Type="http://schemas.openxmlformats.org/officeDocument/2006/relationships/hyperlink" Target="https://www.instagram.com/sellvengers_rora/" TargetMode="External"/><Relationship Id="rId92" Type="http://schemas.openxmlformats.org/officeDocument/2006/relationships/hyperlink" Target="https://www.youtube.com/@sell_vengers/community" TargetMode="External"/><Relationship Id="rId359" Type="http://schemas.openxmlformats.org/officeDocument/2006/relationships/hyperlink" Target="https://www.youtube.com/@limonsparkk" TargetMode="External"/><Relationship Id="rId358" Type="http://schemas.openxmlformats.org/officeDocument/2006/relationships/hyperlink" Target="https://litt.ly/limonsparkk?fbclid=PAZXh0bgNhZW0CMTEAAafS5sfoRDE7w3exdl5SsmE823TOrhB1YiKaAN7--kIrxebF3K7AM-_6u6-OeA_aem_--jV8fzbn6wvYnhc2YqPNg" TargetMode="External"/><Relationship Id="rId357" Type="http://schemas.openxmlformats.org/officeDocument/2006/relationships/hyperlink" Target="https://www.instagram.com/limonsparkk/" TargetMode="External"/><Relationship Id="rId352" Type="http://schemas.openxmlformats.org/officeDocument/2006/relationships/hyperlink" Target="https://www.instagram.com/slow_life_kr/" TargetMode="External"/><Relationship Id="rId351" Type="http://schemas.openxmlformats.org/officeDocument/2006/relationships/hyperlink" Target="https://litt.ly/cheonkkum?fbclid=PAZXh0bgNhZW0CMTEAAaeT9RVHqG91YMxUAEFy61Rck0j2zq3IdurKVCwnzJe3eX-r7VtoeOULBtWZZA_aem_Pn_u5xJH1yq3WKYJyu6aLg" TargetMode="External"/><Relationship Id="rId350" Type="http://schemas.openxmlformats.org/officeDocument/2006/relationships/hyperlink" Target="https://www.instagram.com/slow_life_kr/" TargetMode="External"/><Relationship Id="rId356" Type="http://schemas.openxmlformats.org/officeDocument/2006/relationships/hyperlink" Target="https://litt.ly/ssaengcho?fbclid=PAZXh0bgNhZW0CMTEAAacCn6hK9WKoGS9pjQjaxYstbTz4y8wSzY2QdncsHy9HyYTiPi2oUOL1PQiugA_aem_Y00zhe15OaHEfWKWodVa3A" TargetMode="External"/><Relationship Id="rId355" Type="http://schemas.openxmlformats.org/officeDocument/2006/relationships/hyperlink" Target="https://www.instagram.com/ssaengcho/" TargetMode="External"/><Relationship Id="rId354" Type="http://schemas.openxmlformats.org/officeDocument/2006/relationships/hyperlink" Target="https://www.latpeed.com/products/rGYjN" TargetMode="External"/><Relationship Id="rId353" Type="http://schemas.openxmlformats.org/officeDocument/2006/relationships/hyperlink" Target="https://www.instagram.com/ssaengcho/" TargetMode="External"/><Relationship Id="rId1378" Type="http://schemas.openxmlformats.org/officeDocument/2006/relationships/hyperlink" Target="https://www.youtube.com/@%EC%A1%B0%ED%98%84%EC%A0%95%EC%9D%98AI%EC%8B%A4%ED%97%98%EC%8B%A4/featured" TargetMode="External"/><Relationship Id="rId2225" Type="http://schemas.openxmlformats.org/officeDocument/2006/relationships/hyperlink" Target="https://www.youtube.com/@gasinai" TargetMode="External"/><Relationship Id="rId1379" Type="http://schemas.openxmlformats.org/officeDocument/2006/relationships/hyperlink" Target="https://www.cho-ai.com/business" TargetMode="External"/><Relationship Id="rId2226" Type="http://schemas.openxmlformats.org/officeDocument/2006/relationships/hyperlink" Target="https://www.youtube.com/@gasinai" TargetMode="External"/><Relationship Id="rId2227" Type="http://schemas.openxmlformats.org/officeDocument/2006/relationships/hyperlink" Target="https://cafe.naver.com/skybluerhsrh/91" TargetMode="External"/><Relationship Id="rId2228" Type="http://schemas.openxmlformats.org/officeDocument/2006/relationships/hyperlink" Target="https://litt.ly/madshop" TargetMode="External"/><Relationship Id="rId2229" Type="http://schemas.openxmlformats.org/officeDocument/2006/relationships/hyperlink" Target="https://www.youtube.com/@madmatthew" TargetMode="External"/><Relationship Id="rId305" Type="http://schemas.openxmlformats.org/officeDocument/2006/relationships/hyperlink" Target="https://cafe.naver.com/f-e/cafes/31470461/articles/3?boardtype=L&amp;menuid=10&amp;referrerAllArticles=false" TargetMode="External"/><Relationship Id="rId789" Type="http://schemas.openxmlformats.org/officeDocument/2006/relationships/hyperlink" Target="https://www.youtube.com/@AInspire_kr" TargetMode="External"/><Relationship Id="rId304" Type="http://schemas.openxmlformats.org/officeDocument/2006/relationships/hyperlink" Target="https://www.youtube.com/@%EB%B0%98%ED%86%A0%EB%A7%89AI" TargetMode="External"/><Relationship Id="rId788" Type="http://schemas.openxmlformats.org/officeDocument/2006/relationships/hyperlink" Target="https://www.ainspire.co.kr/" TargetMode="External"/><Relationship Id="rId303" Type="http://schemas.openxmlformats.org/officeDocument/2006/relationships/hyperlink" Target="mailto:kleinfuch@naver.com" TargetMode="External"/><Relationship Id="rId787" Type="http://schemas.openxmlformats.org/officeDocument/2006/relationships/hyperlink" Target="https://litt.ly/slit" TargetMode="External"/><Relationship Id="rId302" Type="http://schemas.openxmlformats.org/officeDocument/2006/relationships/hyperlink" Target="https://www.youtube.com/@%EB%85%B8%EB%A7%88%EB%93%9C%ED%81%AC%EB%A6%AC%EC%8A%A4/videos" TargetMode="External"/><Relationship Id="rId786" Type="http://schemas.openxmlformats.org/officeDocument/2006/relationships/hyperlink" Target="https://www.youtube.com/@%ED%8A%9C%EB%B8%8C%EB%A0%8C%EC%A6%88" TargetMode="External"/><Relationship Id="rId309" Type="http://schemas.openxmlformats.org/officeDocument/2006/relationships/hyperlink" Target="https://www.youtube.com/@%EC%9E%98%ED%8C%8C%EB%8A%94%EC%B2%AD%EB%85%84" TargetMode="External"/><Relationship Id="rId308" Type="http://schemas.openxmlformats.org/officeDocument/2006/relationships/hyperlink" Target="https://andgivemarketing.com/" TargetMode="External"/><Relationship Id="rId307" Type="http://schemas.openxmlformats.org/officeDocument/2006/relationships/hyperlink" Target="https://www.instagram.com/halfcut_ai/" TargetMode="External"/><Relationship Id="rId306" Type="http://schemas.openxmlformats.org/officeDocument/2006/relationships/hyperlink" Target="https://www.youtube.com/@%EB%B0%98%ED%86%A0%EB%A7%89AI" TargetMode="External"/><Relationship Id="rId781" Type="http://schemas.openxmlformats.org/officeDocument/2006/relationships/hyperlink" Target="https://great-mascara-4bc.notion.site/N-2-57-1c92a9b9f89a8016be99fe4834450546" TargetMode="External"/><Relationship Id="rId1370" Type="http://schemas.openxmlformats.org/officeDocument/2006/relationships/hyperlink" Target="https://www.youtube.com/@choigangho999" TargetMode="External"/><Relationship Id="rId780" Type="http://schemas.openxmlformats.org/officeDocument/2006/relationships/hyperlink" Target="https://www.youtube.com/@N%EC%9E%A1%ED%95%99%EA%B5%90" TargetMode="External"/><Relationship Id="rId1371" Type="http://schemas.openxmlformats.org/officeDocument/2006/relationships/hyperlink" Target="https://www.instagram.com/favorite_gangho/" TargetMode="External"/><Relationship Id="rId1372" Type="http://schemas.openxmlformats.org/officeDocument/2006/relationships/hyperlink" Target="https://www.youtube.com/watch?v=HZmPJJDYTwE" TargetMode="External"/><Relationship Id="rId1373" Type="http://schemas.openxmlformats.org/officeDocument/2006/relationships/hyperlink" Target="https://link.inpock.co.kr/tf_trendfinder" TargetMode="External"/><Relationship Id="rId2220" Type="http://schemas.openxmlformats.org/officeDocument/2006/relationships/hyperlink" Target="https://docs.google.com/forms/d/e/1FAIpQLScGieol4UTEyzmPqcPv-LjLO3X1sPDkyB31IsEhNbzO23nLfA/viewform" TargetMode="External"/><Relationship Id="rId301" Type="http://schemas.openxmlformats.org/officeDocument/2006/relationships/hyperlink" Target="https://www.lvupmate.kr/" TargetMode="External"/><Relationship Id="rId785" Type="http://schemas.openxmlformats.org/officeDocument/2006/relationships/hyperlink" Target="https://www.tubelens.kr/" TargetMode="External"/><Relationship Id="rId1374" Type="http://schemas.openxmlformats.org/officeDocument/2006/relationships/hyperlink" Target="https://www.youtube.com/@%ED%8A%B8%ED%8C%8CTrendFinder" TargetMode="External"/><Relationship Id="rId2221" Type="http://schemas.openxmlformats.org/officeDocument/2006/relationships/hyperlink" Target="https://www.youtube.com/@%EC%87%BC%EC%82%BC%EB%B0%B1/videos" TargetMode="External"/><Relationship Id="rId300" Type="http://schemas.openxmlformats.org/officeDocument/2006/relationships/hyperlink" Target="https://www.youtube.com/@%EB%85%B8%EB%A7%88%EB%93%9C%ED%81%AC%EB%A6%AC%EC%8A%A4/videos" TargetMode="External"/><Relationship Id="rId784" Type="http://schemas.openxmlformats.org/officeDocument/2006/relationships/hyperlink" Target="https://www.instagram.com/ai.m.art" TargetMode="External"/><Relationship Id="rId1375" Type="http://schemas.openxmlformats.org/officeDocument/2006/relationships/hyperlink" Target="https://www.youtube.com/watch?v=nsMqhYQX4Xg" TargetMode="External"/><Relationship Id="rId2222" Type="http://schemas.openxmlformats.org/officeDocument/2006/relationships/hyperlink" Target="http://instagram.com/showsambaek" TargetMode="External"/><Relationship Id="rId783" Type="http://schemas.openxmlformats.org/officeDocument/2006/relationships/hyperlink" Target="https://www.youtube.com/@AI%EB%A7%88%ED%8A%B8/featured" TargetMode="External"/><Relationship Id="rId1376" Type="http://schemas.openxmlformats.org/officeDocument/2006/relationships/hyperlink" Target="https://terai.kr/" TargetMode="External"/><Relationship Id="rId2223" Type="http://schemas.openxmlformats.org/officeDocument/2006/relationships/hyperlink" Target="https://www.instagram.com/reel/DWD2rLjhpSz/?utm_source=ig_web_copy_link&amp;igsh=MzRlODBiNWFlZA==" TargetMode="External"/><Relationship Id="rId782" Type="http://schemas.openxmlformats.org/officeDocument/2006/relationships/hyperlink" Target="https://www.youtube.com/@AI%EB%A7%88%ED%8A%B8/featured" TargetMode="External"/><Relationship Id="rId1377" Type="http://schemas.openxmlformats.org/officeDocument/2006/relationships/hyperlink" Target="https://www.youtube.com/@%ED%85%8C%EB%9D%BC%EC%95%84%EC%9D%B4/featured" TargetMode="External"/><Relationship Id="rId2224" Type="http://schemas.openxmlformats.org/officeDocument/2006/relationships/hyperlink" Target="https://www.instagram.com/rich._.ready/" TargetMode="External"/><Relationship Id="rId1367" Type="http://schemas.openxmlformats.org/officeDocument/2006/relationships/hyperlink" Target="https://www.youtube.com/@AI_Patissier" TargetMode="External"/><Relationship Id="rId2214" Type="http://schemas.openxmlformats.org/officeDocument/2006/relationships/hyperlink" Target="https://illusionists.co.kr/" TargetMode="External"/><Relationship Id="rId1368" Type="http://schemas.openxmlformats.org/officeDocument/2006/relationships/hyperlink" Target="https://www.instagram.com/ai_patissier/" TargetMode="External"/><Relationship Id="rId2215" Type="http://schemas.openxmlformats.org/officeDocument/2006/relationships/hyperlink" Target="https://www.youtube.com/@%EC%BF%A0%ED%8C%8C%EC%8A%A4%EB%A7%88%EC%8A%A4%ED%84%B0" TargetMode="External"/><Relationship Id="rId1369" Type="http://schemas.openxmlformats.org/officeDocument/2006/relationships/hyperlink" Target="https://www.youtube.com/watch?v=s1aGxx2osn8" TargetMode="External"/><Relationship Id="rId2216" Type="http://schemas.openxmlformats.org/officeDocument/2006/relationships/hyperlink" Target="https://class101.net/ko/products/691aa58a14c069685b65bf99" TargetMode="External"/><Relationship Id="rId2217" Type="http://schemas.openxmlformats.org/officeDocument/2006/relationships/hyperlink" Target="https://www.youtube.com/@%EC%BF%A0%ED%8C%8C%EC%8A%A4%EB%A7%88%EC%8A%A4%ED%84%B0" TargetMode="External"/><Relationship Id="rId2218" Type="http://schemas.openxmlformats.org/officeDocument/2006/relationships/hyperlink" Target="https://www.instagram.com/__cpmaster__/" TargetMode="External"/><Relationship Id="rId2219" Type="http://schemas.openxmlformats.org/officeDocument/2006/relationships/hyperlink" Target="https://www.youtube.com/@%EC%87%BC%EC%82%BC%EB%B0%B1/videos" TargetMode="External"/><Relationship Id="rId778" Type="http://schemas.openxmlformats.org/officeDocument/2006/relationships/hyperlink" Target="https://www.youtube.com/watch?v=fbgHHV0zk4I" TargetMode="External"/><Relationship Id="rId777" Type="http://schemas.openxmlformats.org/officeDocument/2006/relationships/hyperlink" Target="http://instagram.com/marketing__beauty1" TargetMode="External"/><Relationship Id="rId776" Type="http://schemas.openxmlformats.org/officeDocument/2006/relationships/hyperlink" Target="https://www.youtube.com/@marketing_beauty1/featured" TargetMode="External"/><Relationship Id="rId775" Type="http://schemas.openxmlformats.org/officeDocument/2006/relationships/hyperlink" Target="https://marketingbeauty.co.kr/surl/P/17" TargetMode="External"/><Relationship Id="rId779" Type="http://schemas.openxmlformats.org/officeDocument/2006/relationships/hyperlink" Target="http://pf.kakao.com/_mCKIG" TargetMode="External"/><Relationship Id="rId770" Type="http://schemas.openxmlformats.org/officeDocument/2006/relationships/hyperlink" Target="https://www.youtube.com/@amazonseller_asell/videos" TargetMode="External"/><Relationship Id="rId1360" Type="http://schemas.openxmlformats.org/officeDocument/2006/relationships/hyperlink" Target="https://www.youtube.com/shorts/xOD4XLtAUAc" TargetMode="External"/><Relationship Id="rId1361" Type="http://schemas.openxmlformats.org/officeDocument/2006/relationships/hyperlink" Target="https://www.youtube.com/@%EA%B9%80%EB%BD%80%EC%86%A1-z3y/shorts" TargetMode="External"/><Relationship Id="rId1362" Type="http://schemas.openxmlformats.org/officeDocument/2006/relationships/hyperlink" Target="https://www.instagram.com/k_pposong_/" TargetMode="External"/><Relationship Id="rId774" Type="http://schemas.openxmlformats.org/officeDocument/2006/relationships/hyperlink" Target="https://www.youtube.com/watch?v=umvWTk9nhd4" TargetMode="External"/><Relationship Id="rId1363" Type="http://schemas.openxmlformats.org/officeDocument/2006/relationships/hyperlink" Target="https://www.instagram.com/withsun_shorts/" TargetMode="External"/><Relationship Id="rId2210" Type="http://schemas.openxmlformats.org/officeDocument/2006/relationships/hyperlink" Target="https://www.youtube.com/@yuniquekr" TargetMode="External"/><Relationship Id="rId773" Type="http://schemas.openxmlformats.org/officeDocument/2006/relationships/hyperlink" Target="https://www.instagram.com/woojoo_kimdawn/" TargetMode="External"/><Relationship Id="rId1364" Type="http://schemas.openxmlformats.org/officeDocument/2006/relationships/hyperlink" Target="https://www.instagram.com/withsun_shorts/" TargetMode="External"/><Relationship Id="rId2211" Type="http://schemas.openxmlformats.org/officeDocument/2006/relationships/hyperlink" Target="https://coloso.co.kr/products/ai-aisolutioncompany" TargetMode="External"/><Relationship Id="rId772" Type="http://schemas.openxmlformats.org/officeDocument/2006/relationships/hyperlink" Target="https://sparta.ezcampus.me/" TargetMode="External"/><Relationship Id="rId1365" Type="http://schemas.openxmlformats.org/officeDocument/2006/relationships/hyperlink" Target="https://aipatissierdreamworkshop.framer.website/" TargetMode="External"/><Relationship Id="rId2212" Type="http://schemas.openxmlformats.org/officeDocument/2006/relationships/hyperlink" Target="https://www.youtube.com/@ILLUSIONISTStv" TargetMode="External"/><Relationship Id="rId771" Type="http://schemas.openxmlformats.org/officeDocument/2006/relationships/hyperlink" Target="https://www.youtube.com/watch?v=A8b-FVqBQ-o&amp;t=99s" TargetMode="External"/><Relationship Id="rId1366" Type="http://schemas.openxmlformats.org/officeDocument/2006/relationships/hyperlink" Target="https://aipatissierdreamworkshop.framer.website/program/ai-%ED%8C%8C%ED%8B%B0%EC%89%90-%EB%AC%B4%EB%A3%8C%ED%8A%B9%EA%B0%95%EC%9D%80-%EB%A7%A4%EB%8B%AC-2%ED%9A%8C-%EC%A0%95%EA%B8%B0%EC%A0%81%EC%9C%BC%EB%A1%9C-%EC%97%B4%EB%A6%BD%EB%8B%88%EB%8B%A4" TargetMode="External"/><Relationship Id="rId2213" Type="http://schemas.openxmlformats.org/officeDocument/2006/relationships/hyperlink" Target="https://www.instagram.com/start.song" TargetMode="External"/><Relationship Id="rId2247" Type="http://schemas.openxmlformats.org/officeDocument/2006/relationships/hyperlink" Target="https://cafe.naver.com/gogoplan/2833" TargetMode="External"/><Relationship Id="rId2248" Type="http://schemas.openxmlformats.org/officeDocument/2006/relationships/hyperlink" Target="https://www.youtube.com/channel/UCH2qOrH73ekbxEDJqD8pnvA?view_as=subscriber" TargetMode="External"/><Relationship Id="rId2249" Type="http://schemas.openxmlformats.org/officeDocument/2006/relationships/hyperlink" Target="https://class101.net/ko/products/695631887f63cc74402fed59" TargetMode="External"/><Relationship Id="rId327" Type="http://schemas.openxmlformats.org/officeDocument/2006/relationships/hyperlink" Target="https://www.youtube.com/@AION%EB%8F%88%EB%B2%84%EB%8A%94%EB%B2%95" TargetMode="External"/><Relationship Id="rId326" Type="http://schemas.openxmlformats.org/officeDocument/2006/relationships/hyperlink" Target="https://www.youtube.com/@AION%EB%8F%88%EB%B2%84%EB%8A%94%EB%B2%95" TargetMode="External"/><Relationship Id="rId325" Type="http://schemas.openxmlformats.org/officeDocument/2006/relationships/hyperlink" Target="https://www.youtube.com/@growthyoungduk" TargetMode="External"/><Relationship Id="rId324" Type="http://schemas.openxmlformats.org/officeDocument/2006/relationships/hyperlink" Target="https://litt.ly/onemorething9196/sale/ypfT8xy" TargetMode="External"/><Relationship Id="rId329" Type="http://schemas.openxmlformats.org/officeDocument/2006/relationships/hyperlink" Target="https://www.youtube.com/@%EC%9C%A0%EC%88%98%EC%97%B0s" TargetMode="External"/><Relationship Id="rId1390" Type="http://schemas.openxmlformats.org/officeDocument/2006/relationships/hyperlink" Target="https://coloso.co.kr/products/asset-losajang" TargetMode="External"/><Relationship Id="rId328" Type="http://schemas.openxmlformats.org/officeDocument/2006/relationships/hyperlink" Target="https://blog.naver.com/aion_ai_/223925517789" TargetMode="External"/><Relationship Id="rId1391" Type="http://schemas.openxmlformats.org/officeDocument/2006/relationships/hyperlink" Target="https://www.instagram.com/lo_sajang_" TargetMode="External"/><Relationship Id="rId1392" Type="http://schemas.openxmlformats.org/officeDocument/2006/relationships/hyperlink" Target="https://www.youtube.com/@%ED%85%8C%EB%9D%BC%EC%95%84%EC%9D%B4/videos" TargetMode="External"/><Relationship Id="rId1393" Type="http://schemas.openxmlformats.org/officeDocument/2006/relationships/hyperlink" Target="https://terai.kr/webinar/ref/6/" TargetMode="External"/><Relationship Id="rId2240" Type="http://schemas.openxmlformats.org/officeDocument/2006/relationships/hyperlink" Target="https://www.youtube.com/@%EB%B8%94%ED%87%B4%EA%B8%B0" TargetMode="External"/><Relationship Id="rId1394" Type="http://schemas.openxmlformats.org/officeDocument/2006/relationships/hyperlink" Target="https://www.youtube.com/@%ED%85%8C%EB%9D%BC%EC%95%84%EC%9D%B4/videos" TargetMode="External"/><Relationship Id="rId2241" Type="http://schemas.openxmlformats.org/officeDocument/2006/relationships/hyperlink" Target="http://www.youtube.com/@gifttoyou" TargetMode="External"/><Relationship Id="rId1395" Type="http://schemas.openxmlformats.org/officeDocument/2006/relationships/hyperlink" Target="https://www.youtube.com/@success_wiki/videos" TargetMode="External"/><Relationship Id="rId2242" Type="http://schemas.openxmlformats.org/officeDocument/2006/relationships/hyperlink" Target="http://www.youtube.com/@gifttoyou" TargetMode="External"/><Relationship Id="rId323" Type="http://schemas.openxmlformats.org/officeDocument/2006/relationships/hyperlink" Target="https://www.youtube.com/watch?v=EHygfc4HaAU" TargetMode="External"/><Relationship Id="rId1396" Type="http://schemas.openxmlformats.org/officeDocument/2006/relationships/hyperlink" Target="https://www.youtube.com/@success_wiki/videos" TargetMode="External"/><Relationship Id="rId2243" Type="http://schemas.openxmlformats.org/officeDocument/2006/relationships/hyperlink" Target="https://www.youtube.com/@%EC%95%84%EC%9E%84%ED%94%8C%EB%9E%98%EB%84%88" TargetMode="External"/><Relationship Id="rId322" Type="http://schemas.openxmlformats.org/officeDocument/2006/relationships/hyperlink" Target="https://www.instagram.com/superbot_origin/?igsh=OGQ5ZDc2ODk2ZA%3D%3D&amp;utm_source=qr" TargetMode="External"/><Relationship Id="rId1397" Type="http://schemas.openxmlformats.org/officeDocument/2006/relationships/hyperlink" Target="https://www.youtube.com/@OrcMovieToon" TargetMode="External"/><Relationship Id="rId2244" Type="http://schemas.openxmlformats.org/officeDocument/2006/relationships/hyperlink" Target="https://litt.ly/meyou27" TargetMode="External"/><Relationship Id="rId321" Type="http://schemas.openxmlformats.org/officeDocument/2006/relationships/hyperlink" Target="https://www.youtube.com/@_Superbot_" TargetMode="External"/><Relationship Id="rId1398" Type="http://schemas.openxmlformats.org/officeDocument/2006/relationships/hyperlink" Target="https://class101.net/ko/products/6884a9e2ce14772a5c517d44?from=home" TargetMode="External"/><Relationship Id="rId2245" Type="http://schemas.openxmlformats.org/officeDocument/2006/relationships/hyperlink" Target="https://www.youtube.com/@%EC%95%84%EC%9E%84%ED%94%8C%EB%9E%98%EB%84%88" TargetMode="External"/><Relationship Id="rId320" Type="http://schemas.openxmlformats.org/officeDocument/2006/relationships/hyperlink" Target="https://class101.net/ko/products/681334225e6044e36f08c1e3?utm_campaign=pdp_share&amp;utm_content=share_feature&amp;utm_medium=referral&amp;utm_source=link_share_share&amp;utm_term=681334225e6044e36f08c1e3" TargetMode="External"/><Relationship Id="rId1399" Type="http://schemas.openxmlformats.org/officeDocument/2006/relationships/hyperlink" Target="https://www.youtube.com/@OrcMovieToon" TargetMode="External"/><Relationship Id="rId2246" Type="http://schemas.openxmlformats.org/officeDocument/2006/relationships/hyperlink" Target="mailto:meyou27@naver.com" TargetMode="External"/><Relationship Id="rId1389" Type="http://schemas.openxmlformats.org/officeDocument/2006/relationships/hyperlink" Target="https://coloso.co.kr/products/asset-losajang" TargetMode="External"/><Relationship Id="rId2236" Type="http://schemas.openxmlformats.org/officeDocument/2006/relationships/hyperlink" Target="http://bit.ly/4s5I2MB" TargetMode="External"/><Relationship Id="rId2237" Type="http://schemas.openxmlformats.org/officeDocument/2006/relationships/hyperlink" Target="https://www.youtube.com/@%EA%B3%BC%EC%9D%BC%EC%9C%84%ED%83%81%ED%8C%90%EB%A7%A4%EC%A0%84%EB%AC%B8/videos" TargetMode="External"/><Relationship Id="rId2238" Type="http://schemas.openxmlformats.org/officeDocument/2006/relationships/hyperlink" Target="https://www.youtube.com/@%EB%B8%94%ED%87%B4%EA%B8%B0" TargetMode="External"/><Relationship Id="rId2239" Type="http://schemas.openxmlformats.org/officeDocument/2006/relationships/hyperlink" Target="https://tally.so/r/Pdpq20" TargetMode="External"/><Relationship Id="rId316" Type="http://schemas.openxmlformats.org/officeDocument/2006/relationships/hyperlink" Target="https://www.youtube.com/@itdabang" TargetMode="External"/><Relationship Id="rId315" Type="http://schemas.openxmlformats.org/officeDocument/2006/relationships/hyperlink" Target="https://form.naver.com/response/giIVaIaGP-_T3KOP2HnJ-Q" TargetMode="External"/><Relationship Id="rId799" Type="http://schemas.openxmlformats.org/officeDocument/2006/relationships/hyperlink" Target="https://www.youtube.com/@%EB%B9%84%EC%A0%84%EB%A7%88%EC%BC%80%ED%84%B0_%EB%A3%A8%EC%B9%B4%EC%8A%A4/featured" TargetMode="External"/><Relationship Id="rId314" Type="http://schemas.openxmlformats.org/officeDocument/2006/relationships/hyperlink" Target="https://cafe.naver.com/dinohighclass/37332" TargetMode="External"/><Relationship Id="rId798" Type="http://schemas.openxmlformats.org/officeDocument/2006/relationships/hyperlink" Target="https://visionmktlucas.imweb.me/?utm_medium=littly&amp;utm_source=littly&amp;utm_campaign=littly" TargetMode="External"/><Relationship Id="rId313" Type="http://schemas.openxmlformats.org/officeDocument/2006/relationships/hyperlink" Target="https://www.instagram.com/ini_unnie/" TargetMode="External"/><Relationship Id="rId797" Type="http://schemas.openxmlformats.org/officeDocument/2006/relationships/hyperlink" Target="https://www.youtube.com/@%EB%B9%84%EC%A0%84%EB%A7%88%EC%BC%80%ED%84%B0_%EB%A3%A8%EC%B9%B4%EC%8A%A4/featured" TargetMode="External"/><Relationship Id="rId319" Type="http://schemas.openxmlformats.org/officeDocument/2006/relationships/hyperlink" Target="https://www.youtube.com/watch?v=YH3ypz7k-ys&amp;t=1s" TargetMode="External"/><Relationship Id="rId318" Type="http://schemas.openxmlformats.org/officeDocument/2006/relationships/hyperlink" Target="https://www.youtube.com/@%EC%95%BC%EC%98%B9%EB%A9%8DYaongMeong" TargetMode="External"/><Relationship Id="rId317" Type="http://schemas.openxmlformats.org/officeDocument/2006/relationships/hyperlink" Target="https://www.tiktok.com/@yaoongmeong" TargetMode="External"/><Relationship Id="rId1380" Type="http://schemas.openxmlformats.org/officeDocument/2006/relationships/hyperlink" Target="https://www.youtube.com/@%EC%A1%B0%ED%98%84%EC%A0%95%EC%9D%98AI%EC%8B%A4%ED%97%98%EC%8B%A4/featured" TargetMode="External"/><Relationship Id="rId792" Type="http://schemas.openxmlformats.org/officeDocument/2006/relationships/hyperlink" Target="https://www.donssulmee.com/" TargetMode="External"/><Relationship Id="rId1381" Type="http://schemas.openxmlformats.org/officeDocument/2006/relationships/hyperlink" Target="https://www.instagram.com/cho_ai_lab/" TargetMode="External"/><Relationship Id="rId791" Type="http://schemas.openxmlformats.org/officeDocument/2006/relationships/hyperlink" Target="https://www.youtube.com/@donssulmee" TargetMode="External"/><Relationship Id="rId1382" Type="http://schemas.openxmlformats.org/officeDocument/2006/relationships/hyperlink" Target="https://www.youtube.com/@%EC%9C%A0%ED%8A%9C%EB%B8%8C%EB%A7%88%EC%8A%A4%ED%84%B0%ED%82%A4-UMK-k6k" TargetMode="External"/><Relationship Id="rId790" Type="http://schemas.openxmlformats.org/officeDocument/2006/relationships/hyperlink" Target="https://www.instagram.com/ainspire_kr" TargetMode="External"/><Relationship Id="rId1383" Type="http://schemas.openxmlformats.org/officeDocument/2006/relationships/hyperlink" Target="https://seouluedu.com/class?index=77" TargetMode="External"/><Relationship Id="rId2230" Type="http://schemas.openxmlformats.org/officeDocument/2006/relationships/hyperlink" Target="http://www.youtube.com/@avycobain" TargetMode="External"/><Relationship Id="rId1384" Type="http://schemas.openxmlformats.org/officeDocument/2006/relationships/hyperlink" Target="https://www.youtube.com/@%EC%9C%A0%ED%8A%9C%EB%B8%8C%EB%A7%88%EC%8A%A4%ED%84%B0%ED%82%A4-UMK-k6k" TargetMode="External"/><Relationship Id="rId2231" Type="http://schemas.openxmlformats.org/officeDocument/2006/relationships/hyperlink" Target="http://www.youtube.com/@avycobain" TargetMode="External"/><Relationship Id="rId312" Type="http://schemas.openxmlformats.org/officeDocument/2006/relationships/hyperlink" Target="https://www.youtube.com/@ini_unnie" TargetMode="External"/><Relationship Id="rId796" Type="http://schemas.openxmlformats.org/officeDocument/2006/relationships/hyperlink" Target="https://www.youtube.com/@itbe467/videos" TargetMode="External"/><Relationship Id="rId1385" Type="http://schemas.openxmlformats.org/officeDocument/2006/relationships/hyperlink" Target="https://www.classu.co.kr/class/classDetail/1019120" TargetMode="External"/><Relationship Id="rId2232" Type="http://schemas.openxmlformats.org/officeDocument/2006/relationships/hyperlink" Target="http://instagram.com/avycobain" TargetMode="External"/><Relationship Id="rId311" Type="http://schemas.openxmlformats.org/officeDocument/2006/relationships/hyperlink" Target="https://www.youtube.com/@%EC%A7%80%ED%98%9C%EC%9A%B0%EB%AC%BC" TargetMode="External"/><Relationship Id="rId795" Type="http://schemas.openxmlformats.org/officeDocument/2006/relationships/hyperlink" Target="https://itbe.kr/" TargetMode="External"/><Relationship Id="rId1386" Type="http://schemas.openxmlformats.org/officeDocument/2006/relationships/hyperlink" Target="https://coloso.co.kr/products/ai-yeoseungho?utm_source=lecture-openchat&amp;utm_medium=organic&amp;utm_campaign=ai-yeoseungho_auto_all&amp;utm_content=aiprogramming_ai-yeoseungho_lecture-openchat-referrals-250512&amp;fbclid=PAZXh0bgNhZW0CMTEAAafx1mza56OWuWHkzasMLncLkv2WCZuKSy9S1sJom22kYtxH5KmJzsUbAE0cqQ_aem_5tVeOJrkujWwzsnn2IOJxw" TargetMode="External"/><Relationship Id="rId2233" Type="http://schemas.openxmlformats.org/officeDocument/2006/relationships/hyperlink" Target="https://www.youtube.com/@%EC%A0%95%EB%B3%B4%EB%B9%84%ED%83%80%EB%AF%BC/shorts" TargetMode="External"/><Relationship Id="rId310" Type="http://schemas.openxmlformats.org/officeDocument/2006/relationships/hyperlink" Target="https://www.instagram.com/jalpachung?utm_source=ig_web_button_share_sheet&amp;igsh=MWF4bHRrMTlnOTFyNQ==" TargetMode="External"/><Relationship Id="rId794" Type="http://schemas.openxmlformats.org/officeDocument/2006/relationships/hyperlink" Target="https://www.youtube.com/@itbe467/videos" TargetMode="External"/><Relationship Id="rId1387" Type="http://schemas.openxmlformats.org/officeDocument/2006/relationships/hyperlink" Target="https://www.youtube.com/@AIartistLab/featured" TargetMode="External"/><Relationship Id="rId2234" Type="http://schemas.openxmlformats.org/officeDocument/2006/relationships/hyperlink" Target="https://www.youtube.com/@%EC%A0%95%EB%B3%B4%EB%B9%84%ED%83%80%EB%AF%BC/shorts" TargetMode="External"/><Relationship Id="rId793" Type="http://schemas.openxmlformats.org/officeDocument/2006/relationships/hyperlink" Target="https://www.youtube.com/@donssulmee" TargetMode="External"/><Relationship Id="rId1388" Type="http://schemas.openxmlformats.org/officeDocument/2006/relationships/hyperlink" Target="http://instagram.com/seungho__yeo" TargetMode="External"/><Relationship Id="rId2235" Type="http://schemas.openxmlformats.org/officeDocument/2006/relationships/hyperlink" Target="https://www.youtube.com/watch?v=OUfo8xeLHBc" TargetMode="External"/><Relationship Id="rId297" Type="http://schemas.openxmlformats.org/officeDocument/2006/relationships/hyperlink" Target="https://www.youtube.com/@%ED%97%88%EB%8B%88%EB%B8%94%EB%A7%81/videos" TargetMode="External"/><Relationship Id="rId296" Type="http://schemas.openxmlformats.org/officeDocument/2006/relationships/hyperlink" Target="https://www.youtube.com/@noodon/videos" TargetMode="External"/><Relationship Id="rId295" Type="http://schemas.openxmlformats.org/officeDocument/2006/relationships/hyperlink" Target="https://www.youtube.com/@AI___Money" TargetMode="External"/><Relationship Id="rId294" Type="http://schemas.openxmlformats.org/officeDocument/2006/relationships/hyperlink" Target="https://blog.naver.com/aimoney489/223615983289" TargetMode="External"/><Relationship Id="rId299" Type="http://schemas.openxmlformats.org/officeDocument/2006/relationships/hyperlink" Target="mailto:koreavagabonders@gmail.com" TargetMode="External"/><Relationship Id="rId298" Type="http://schemas.openxmlformats.org/officeDocument/2006/relationships/hyperlink" Target="https://www.instagram.com/noodone/" TargetMode="External"/><Relationship Id="rId271" Type="http://schemas.openxmlformats.org/officeDocument/2006/relationships/hyperlink" Target="https://www.youtube.com/@marketing_beauty1/shorts" TargetMode="External"/><Relationship Id="rId270" Type="http://schemas.openxmlformats.org/officeDocument/2006/relationships/hyperlink" Target="https://www.instagram.com/gotjinju/" TargetMode="External"/><Relationship Id="rId269" Type="http://schemas.openxmlformats.org/officeDocument/2006/relationships/hyperlink" Target="https://www.youtube.com/@%EA%B0%93%EC%A7%84%EC%A3%BC" TargetMode="External"/><Relationship Id="rId264" Type="http://schemas.openxmlformats.org/officeDocument/2006/relationships/hyperlink" Target="https://www.instagram.com/alzalstudio/" TargetMode="External"/><Relationship Id="rId263" Type="http://schemas.openxmlformats.org/officeDocument/2006/relationships/hyperlink" Target="https://www.youtube.com/@alzalstudio" TargetMode="External"/><Relationship Id="rId262" Type="http://schemas.openxmlformats.org/officeDocument/2006/relationships/hyperlink" Target="https://www.wadiz.kr/web/wcomingsoon/rwd/355799" TargetMode="External"/><Relationship Id="rId261" Type="http://schemas.openxmlformats.org/officeDocument/2006/relationships/hyperlink" Target="https://www.youtube.com/watch?v=BMuusqmBxDA&amp;t=277s" TargetMode="External"/><Relationship Id="rId268" Type="http://schemas.openxmlformats.org/officeDocument/2006/relationships/hyperlink" Target="https://blog.naver.com/gptlabs" TargetMode="External"/><Relationship Id="rId267" Type="http://schemas.openxmlformats.org/officeDocument/2006/relationships/hyperlink" Target="https://www.instagram.com/core_talent/" TargetMode="External"/><Relationship Id="rId266" Type="http://schemas.openxmlformats.org/officeDocument/2006/relationships/hyperlink" Target="https://www.youtube.com/@core-talent" TargetMode="External"/><Relationship Id="rId265" Type="http://schemas.openxmlformats.org/officeDocument/2006/relationships/hyperlink" Target="https://blog.naver.com/core-talent" TargetMode="External"/><Relationship Id="rId260" Type="http://schemas.openxmlformats.org/officeDocument/2006/relationships/hyperlink" Target="https://www.wadiz.kr/web/campaign/detail/266687" TargetMode="External"/><Relationship Id="rId259" Type="http://schemas.openxmlformats.org/officeDocument/2006/relationships/hyperlink" Target="https://www.instagram.com/ebook_hampro/?hl=ko" TargetMode="External"/><Relationship Id="rId258" Type="http://schemas.openxmlformats.org/officeDocument/2006/relationships/hyperlink" Target="https://www.taling.me/talent/59200" TargetMode="External"/><Relationship Id="rId253" Type="http://schemas.openxmlformats.org/officeDocument/2006/relationships/hyperlink" Target="https://cafe.naver.com/money10jo" TargetMode="External"/><Relationship Id="rId252" Type="http://schemas.openxmlformats.org/officeDocument/2006/relationships/hyperlink" Target="https://www.youtube.com/@%EB%A8%B8%EB%8B%88%EB%AA%AC%EC%8A%A4%ED%84%B0" TargetMode="External"/><Relationship Id="rId251" Type="http://schemas.openxmlformats.org/officeDocument/2006/relationships/hyperlink" Target="https://www.invader.co.kr/free-courses/c334549b-8e79-4c41-a91b-cfc59870c6da" TargetMode="External"/><Relationship Id="rId250" Type="http://schemas.openxmlformats.org/officeDocument/2006/relationships/hyperlink" Target="https://www.youtube.com/@%EB%B0%A9%EC%B6%A9%EB%A7%9D%EB%8C%80%EC%9E%A5" TargetMode="External"/><Relationship Id="rId257" Type="http://schemas.openxmlformats.org/officeDocument/2006/relationships/hyperlink" Target="https://www.youtube.com/@%ED%93%A8%EC%96%B4%EB%A7%A8%EC%BD%94%EB%A6%AC%EC%95%84" TargetMode="External"/><Relationship Id="rId256" Type="http://schemas.openxmlformats.org/officeDocument/2006/relationships/hyperlink" Target="https://www.youtube.com/watch?v=2tEPpte5MTs&amp;t=104s" TargetMode="External"/><Relationship Id="rId255" Type="http://schemas.openxmlformats.org/officeDocument/2006/relationships/hyperlink" Target="https://www.youtube.com/@%EB%8F%88%EA%B0%95/featured" TargetMode="External"/><Relationship Id="rId254" Type="http://schemas.openxmlformats.org/officeDocument/2006/relationships/hyperlink" Target="https://kmong.com/gig/548888?selfMarketingCode=XHBYcTy6Sn" TargetMode="External"/><Relationship Id="rId293" Type="http://schemas.openxmlformats.org/officeDocument/2006/relationships/hyperlink" Target="https://www.youtube.com/@AI___Money" TargetMode="External"/><Relationship Id="rId292" Type="http://schemas.openxmlformats.org/officeDocument/2006/relationships/hyperlink" Target="https://www.instagram.com/banjisang/" TargetMode="External"/><Relationship Id="rId291" Type="http://schemas.openxmlformats.org/officeDocument/2006/relationships/hyperlink" Target="https://youtube.com/@banjisang?si=dNF0SaOQ22tZ3ALz" TargetMode="External"/><Relationship Id="rId290" Type="http://schemas.openxmlformats.org/officeDocument/2006/relationships/hyperlink" Target="https://www.banjisang.com/" TargetMode="External"/><Relationship Id="rId286" Type="http://schemas.openxmlformats.org/officeDocument/2006/relationships/hyperlink" Target="https://www.youtube.com/@AI___Money/videos" TargetMode="External"/><Relationship Id="rId285" Type="http://schemas.openxmlformats.org/officeDocument/2006/relationships/hyperlink" Target="https://blog.naver.com/aimoney489/223615983289" TargetMode="External"/><Relationship Id="rId284" Type="http://schemas.openxmlformats.org/officeDocument/2006/relationships/hyperlink" Target="https://blog.naver.com/aimoney489" TargetMode="External"/><Relationship Id="rId283" Type="http://schemas.openxmlformats.org/officeDocument/2006/relationships/hyperlink" Target="https://www.youtube.com/@MorningLeader/featured" TargetMode="External"/><Relationship Id="rId289" Type="http://schemas.openxmlformats.org/officeDocument/2006/relationships/hyperlink" Target="https://www.banjisang.com/" TargetMode="External"/><Relationship Id="rId288" Type="http://schemas.openxmlformats.org/officeDocument/2006/relationships/hyperlink" Target="https://www.instagram.com/passion_pd_/" TargetMode="External"/><Relationship Id="rId287" Type="http://schemas.openxmlformats.org/officeDocument/2006/relationships/hyperlink" Target="https://litt.ly/passion_pd" TargetMode="External"/><Relationship Id="rId282" Type="http://schemas.openxmlformats.org/officeDocument/2006/relationships/hyperlink" Target="https://donsa.co.kr/product/vod-%EB%84%A4%EC%9D%B4%EB%B2%84-%ED%99%A9%EA%B8%88-%EB%B8%94%EB%A1%9C%EA%B7%B8%EB%A1%9C-%ED%8F%89%EC%83%9D-%EC%9B%94-100%EB%A7%8C%EC%9B%90-%EC%88%98%EC%9D%B5-%EB%A7%8C%EB%93%A4%EA%B8%B0/23/category/1/display/3/" TargetMode="External"/><Relationship Id="rId281" Type="http://schemas.openxmlformats.org/officeDocument/2006/relationships/hyperlink" Target="https://blog.naver.com/flythfk2" TargetMode="External"/><Relationship Id="rId280" Type="http://schemas.openxmlformats.org/officeDocument/2006/relationships/hyperlink" Target="https://www.instagram.com/papa.juns_?igsh=MXV4aTZwdGhwNTVxaQ==" TargetMode="External"/><Relationship Id="rId275" Type="http://schemas.openxmlformats.org/officeDocument/2006/relationships/hyperlink" Target="https://www.youtube.com/@AI%EC%95%8C%EB%A0%A4%EC%A3%BC%EB%8A%94%EB%82%A8%EC%9E%90-%EB%8D%B0%EB%B8%8C%EB%82%A8/videos" TargetMode="External"/><Relationship Id="rId274" Type="http://schemas.openxmlformats.org/officeDocument/2006/relationships/hyperlink" Target="https://www.youtube.com/@AI%EC%95%8C%EB%A0%A4%EC%A3%BC%EB%8A%94%EB%82%A8%EC%9E%90-%EB%8D%B0%EB%B8%8C%EB%82%A8/videos" TargetMode="External"/><Relationship Id="rId273" Type="http://schemas.openxmlformats.org/officeDocument/2006/relationships/hyperlink" Target="https://www.instagram.com/marketing__beauty1/reels/" TargetMode="External"/><Relationship Id="rId272" Type="http://schemas.openxmlformats.org/officeDocument/2006/relationships/hyperlink" Target="https://www.youtube.com/@marketing_beauty1/shorts" TargetMode="External"/><Relationship Id="rId279" Type="http://schemas.openxmlformats.org/officeDocument/2006/relationships/hyperlink" Target="https://www.youtube.com/redirect?event=channel_description&amp;redir_token=QUFFLUhqbUotX0l0SjRtbWszNnc3N21kV1l5MHJxRGxMQXxBQ3Jtc0tsS3dWalB6SzViRnhPTzlmM3hVb1VBYV9JUkVxQXFIelV3VmMzMXBvR2c2NWpIMDFqN3pBOHBlM3o4YU1TdGEycV9ycW83X2RZSGpNQVFmay1YT19XMFdZRm91cFRwc1hlY2FNSHhkNzItZHJCZ3h2WQ&amp;q=https%3A%2F%2Fwww.instagram.com%2Fmarketerjjj" TargetMode="External"/><Relationship Id="rId278" Type="http://schemas.openxmlformats.org/officeDocument/2006/relationships/hyperlink" Target="https://www.youtube.com/@%EB%A7%88%EC%BC%80%ED%84%B0%EC%A0%9C%EC%9D%B4J" TargetMode="External"/><Relationship Id="rId277" Type="http://schemas.openxmlformats.org/officeDocument/2006/relationships/hyperlink" Target="https://cafe.naver.com/dinohighclass/67135" TargetMode="External"/><Relationship Id="rId276" Type="http://schemas.openxmlformats.org/officeDocument/2006/relationships/hyperlink" Target="https://www.instagram.com/ai.devman" TargetMode="External"/><Relationship Id="rId1851" Type="http://schemas.openxmlformats.org/officeDocument/2006/relationships/hyperlink" Target="https://www.youtube.com/watch?v=v1bUb2lV1o8" TargetMode="External"/><Relationship Id="rId1852" Type="http://schemas.openxmlformats.org/officeDocument/2006/relationships/hyperlink" Target="https://vo.la/bpQiVk" TargetMode="External"/><Relationship Id="rId1853" Type="http://schemas.openxmlformats.org/officeDocument/2006/relationships/hyperlink" Target="https://www.youtube.com/@%EC%9C%A0%EC%83%9D%EC%97%AD%EC%A0%84" TargetMode="External"/><Relationship Id="rId1854" Type="http://schemas.openxmlformats.org/officeDocument/2006/relationships/hyperlink" Target="https://www.youtube.com/@MooDify.Ai." TargetMode="External"/><Relationship Id="rId1855" Type="http://schemas.openxmlformats.org/officeDocument/2006/relationships/hyperlink" Target="https://www.youtube.com/@MooDify.Ai." TargetMode="External"/><Relationship Id="rId1856" Type="http://schemas.openxmlformats.org/officeDocument/2006/relationships/hyperlink" Target="https://www.youtube.com/@kimjun7076" TargetMode="External"/><Relationship Id="rId1857" Type="http://schemas.openxmlformats.org/officeDocument/2006/relationships/hyperlink" Target="https://www.youtube.com/@kimjun7076" TargetMode="External"/><Relationship Id="rId1858" Type="http://schemas.openxmlformats.org/officeDocument/2006/relationships/hyperlink" Target="https://www.instagram.com/kimjun7076/" TargetMode="External"/><Relationship Id="rId1859" Type="http://schemas.openxmlformats.org/officeDocument/2006/relationships/hyperlink" Target="https://www.youtube.com/@A-ConLab-b1m" TargetMode="External"/><Relationship Id="rId1850" Type="http://schemas.openxmlformats.org/officeDocument/2006/relationships/hyperlink" Target="http://instagram.com/jseed_money" TargetMode="External"/><Relationship Id="rId1840" Type="http://schemas.openxmlformats.org/officeDocument/2006/relationships/hyperlink" Target="https://www.youtube.com/@YunCanva_Officail/featured" TargetMode="External"/><Relationship Id="rId1841" Type="http://schemas.openxmlformats.org/officeDocument/2006/relationships/hyperlink" Target="https://www.youtube.com/@YunCanva_Officail/featured" TargetMode="External"/><Relationship Id="rId1842" Type="http://schemas.openxmlformats.org/officeDocument/2006/relationships/hyperlink" Target="https://www.youtube.com/@YunCanva_Officail/featured" TargetMode="External"/><Relationship Id="rId1843" Type="http://schemas.openxmlformats.org/officeDocument/2006/relationships/hyperlink" Target="https://www.instagram.com/yunjjang.canva.midjourney_77/" TargetMode="External"/><Relationship Id="rId1844" Type="http://schemas.openxmlformats.org/officeDocument/2006/relationships/hyperlink" Target="https://www.youtube.com/@consengconsa" TargetMode="External"/><Relationship Id="rId1845" Type="http://schemas.openxmlformats.org/officeDocument/2006/relationships/hyperlink" Target="https://www.youtube.com/@consengconsa" TargetMode="External"/><Relationship Id="rId1846" Type="http://schemas.openxmlformats.org/officeDocument/2006/relationships/hyperlink" Target="https://www.instagram.com/mungdi_/" TargetMode="External"/><Relationship Id="rId1847" Type="http://schemas.openxmlformats.org/officeDocument/2006/relationships/hyperlink" Target="https://www.youtube.com/watch?v=Isstheg2DMI" TargetMode="External"/><Relationship Id="rId1848" Type="http://schemas.openxmlformats.org/officeDocument/2006/relationships/hyperlink" Target="https://www.trenders.info/free-courses/4918e502-d6c8-4028-8587-1e8e067a2f34?code=w406g9&amp;channel=influencer&amp;media=naI3PI" TargetMode="External"/><Relationship Id="rId1849" Type="http://schemas.openxmlformats.org/officeDocument/2006/relationships/hyperlink" Target="https://www.youtube.com/@jseed_money" TargetMode="External"/><Relationship Id="rId1873" Type="http://schemas.openxmlformats.org/officeDocument/2006/relationships/hyperlink" Target="https://kmong.com/gig/727195" TargetMode="External"/><Relationship Id="rId1874" Type="http://schemas.openxmlformats.org/officeDocument/2006/relationships/hyperlink" Target="https://www.youtube.com/@LJH_93" TargetMode="External"/><Relationship Id="rId1875" Type="http://schemas.openxmlformats.org/officeDocument/2006/relationships/hyperlink" Target="https://www.youtube.com/@xler_invest" TargetMode="External"/><Relationship Id="rId1876" Type="http://schemas.openxmlformats.org/officeDocument/2006/relationships/hyperlink" Target="https://biz.themango.co.kr/Class/classItem?product_no=745" TargetMode="External"/><Relationship Id="rId1877" Type="http://schemas.openxmlformats.org/officeDocument/2006/relationships/hyperlink" Target="https://www.youtube.com/@xler_invest" TargetMode="External"/><Relationship Id="rId1878" Type="http://schemas.openxmlformats.org/officeDocument/2006/relationships/hyperlink" Target="https://www.threads.com/@room.farmer?hl=ko" TargetMode="External"/><Relationship Id="rId1879" Type="http://schemas.openxmlformats.org/officeDocument/2006/relationships/hyperlink" Target="https://www.cojooboo.co.kr/free-courses/4b6f2eb0-bbcc-4da4-8fb4-824f8b30847b" TargetMode="External"/><Relationship Id="rId1870" Type="http://schemas.openxmlformats.org/officeDocument/2006/relationships/hyperlink" Target="https://portfolio.aisyncclub.com/" TargetMode="External"/><Relationship Id="rId1871" Type="http://schemas.openxmlformats.org/officeDocument/2006/relationships/hyperlink" Target="https://www.youtube.com/@AISyncClub" TargetMode="External"/><Relationship Id="rId1872" Type="http://schemas.openxmlformats.org/officeDocument/2006/relationships/hyperlink" Target="mailto:aisyncclub@gmail.com" TargetMode="External"/><Relationship Id="rId1862" Type="http://schemas.openxmlformats.org/officeDocument/2006/relationships/hyperlink" Target="https://presslearn.co.kr/class?lectureId=145" TargetMode="External"/><Relationship Id="rId1863" Type="http://schemas.openxmlformats.org/officeDocument/2006/relationships/hyperlink" Target="https://www.youtube.com/@%EB%A1%9C%EC%A7%81%EC%95%8C%EB%A0%A4%EC%A3%BC%EB%8A%94%EB%82%A8%EC%9E%90" TargetMode="External"/><Relationship Id="rId1864" Type="http://schemas.openxmlformats.org/officeDocument/2006/relationships/hyperlink" Target="https://www.instagram.com/seniorkyj" TargetMode="External"/><Relationship Id="rId1865" Type="http://schemas.openxmlformats.org/officeDocument/2006/relationships/hyperlink" Target="https://www.threads.com/@composer_jj?hl=ko" TargetMode="External"/><Relationship Id="rId1866" Type="http://schemas.openxmlformats.org/officeDocument/2006/relationships/hyperlink" Target="https://www.instagram.com/composer_jj/" TargetMode="External"/><Relationship Id="rId1867" Type="http://schemas.openxmlformats.org/officeDocument/2006/relationships/hyperlink" Target="https://www.youtube.com/@hey_james_ai/videos" TargetMode="External"/><Relationship Id="rId1868" Type="http://schemas.openxmlformats.org/officeDocument/2006/relationships/hyperlink" Target="https://www.youtube.com/@hey_james_ai/videos" TargetMode="External"/><Relationship Id="rId1869" Type="http://schemas.openxmlformats.org/officeDocument/2006/relationships/hyperlink" Target="mailto:james@heyjames.ai" TargetMode="External"/><Relationship Id="rId1860" Type="http://schemas.openxmlformats.org/officeDocument/2006/relationships/hyperlink" Target="https://www.youtube.com/@A-ConLab-b1m" TargetMode="External"/><Relationship Id="rId1861" Type="http://schemas.openxmlformats.org/officeDocument/2006/relationships/hyperlink" Target="https://www.youtube.com/@%EB%A1%9C%EC%A7%81%EC%95%8C%EB%A0%A4%EC%A3%BC%EB%8A%94%EB%82%A8%EC%9E%90" TargetMode="External"/><Relationship Id="rId1810" Type="http://schemas.openxmlformats.org/officeDocument/2006/relationships/hyperlink" Target="https://www.youtube.com/@LUXNWORK/videos" TargetMode="External"/><Relationship Id="rId1811" Type="http://schemas.openxmlformats.org/officeDocument/2006/relationships/hyperlink" Target="https://www.youtube.com/watch?v=Iurayba-wW8" TargetMode="External"/><Relationship Id="rId1812" Type="http://schemas.openxmlformats.org/officeDocument/2006/relationships/hyperlink" Target="https://ninemusic.co.kr/" TargetMode="External"/><Relationship Id="rId1813" Type="http://schemas.openxmlformats.org/officeDocument/2006/relationships/hyperlink" Target="https://www.youtube.com/@NiNE_MUSIC/videos" TargetMode="External"/><Relationship Id="rId1814" Type="http://schemas.openxmlformats.org/officeDocument/2006/relationships/hyperlink" Target="https://www.youtube.com/watch?v=m9MxtYYegjM&amp;t=772s" TargetMode="External"/><Relationship Id="rId1815" Type="http://schemas.openxmlformats.org/officeDocument/2006/relationships/hyperlink" Target="https://www.youtube.com/@%EC%98%81%EC%83%81%EB%8F%85%ED%95%99/videos" TargetMode="External"/><Relationship Id="rId1816" Type="http://schemas.openxmlformats.org/officeDocument/2006/relationships/hyperlink" Target="https://www.instagram.com/woongfilm_" TargetMode="External"/><Relationship Id="rId1817" Type="http://schemas.openxmlformats.org/officeDocument/2006/relationships/hyperlink" Target="https://youtu.be/HjUx21dkbe4?si=QfufASHeyAVBhimK" TargetMode="External"/><Relationship Id="rId1818" Type="http://schemas.openxmlformats.org/officeDocument/2006/relationships/hyperlink" Target="https://booking.naver.com/booking/5/bizes/580519" TargetMode="External"/><Relationship Id="rId1819" Type="http://schemas.openxmlformats.org/officeDocument/2006/relationships/hyperlink" Target="https://www.youtube.com/@%EC%A7%80%EC%A0%81%ED%98%B8%EA%B8%B0%EC%8B%AC" TargetMode="External"/><Relationship Id="rId1800" Type="http://schemas.openxmlformats.org/officeDocument/2006/relationships/hyperlink" Target="https://www.instagram.com/paperlogy_life/" TargetMode="External"/><Relationship Id="rId1801" Type="http://schemas.openxmlformats.org/officeDocument/2006/relationships/hyperlink" Target="https://studypie.co/course/a/shopee?from=course-list" TargetMode="External"/><Relationship Id="rId1802" Type="http://schemas.openxmlformats.org/officeDocument/2006/relationships/hyperlink" Target="https://studypie.co/" TargetMode="External"/><Relationship Id="rId1803" Type="http://schemas.openxmlformats.org/officeDocument/2006/relationships/hyperlink" Target="https://www.youtube.com/watch?v=gJcuPOGktNk" TargetMode="External"/><Relationship Id="rId1804" Type="http://schemas.openxmlformats.org/officeDocument/2006/relationships/hyperlink" Target="https://kmong.com/@%EC%A1%B0MD" TargetMode="External"/><Relationship Id="rId1805" Type="http://schemas.openxmlformats.org/officeDocument/2006/relationships/hyperlink" Target="https://fastcampus.co.kr/biz_online_itemkitsmartstore" TargetMode="External"/><Relationship Id="rId1806" Type="http://schemas.openxmlformats.org/officeDocument/2006/relationships/hyperlink" Target="https://www.instagram.com/green__egg/" TargetMode="External"/><Relationship Id="rId1807" Type="http://schemas.openxmlformats.org/officeDocument/2006/relationships/hyperlink" Target="https://green-egg.kr/" TargetMode="External"/><Relationship Id="rId1808" Type="http://schemas.openxmlformats.org/officeDocument/2006/relationships/hyperlink" Target="https://www.youtube.com/@LUXNWORK/videos" TargetMode="External"/><Relationship Id="rId1809" Type="http://schemas.openxmlformats.org/officeDocument/2006/relationships/hyperlink" Target="https://form.naver.com/response/vhd0H9kZHfIcFKQ4yyLKOA" TargetMode="External"/><Relationship Id="rId1830" Type="http://schemas.openxmlformats.org/officeDocument/2006/relationships/hyperlink" Target="https://www.youtube.com/@ai_choidaepyo/videos" TargetMode="External"/><Relationship Id="rId1831" Type="http://schemas.openxmlformats.org/officeDocument/2006/relationships/hyperlink" Target="https://www.youtube.com/watch?v=eRbdDIELSMs" TargetMode="External"/><Relationship Id="rId1832" Type="http://schemas.openxmlformats.org/officeDocument/2006/relationships/hyperlink" Target="https://www.youtube.com/@cocojuantv/videos" TargetMode="External"/><Relationship Id="rId1833" Type="http://schemas.openxmlformats.org/officeDocument/2006/relationships/hyperlink" Target="http://www.youtube.com/@blabla_lizzypark" TargetMode="External"/><Relationship Id="rId1834" Type="http://schemas.openxmlformats.org/officeDocument/2006/relationships/hyperlink" Target="http://www.youtube.com/@blabla_lizzypark" TargetMode="External"/><Relationship Id="rId1835" Type="http://schemas.openxmlformats.org/officeDocument/2006/relationships/hyperlink" Target="http://instagram.com/blabla_lizzypark" TargetMode="External"/><Relationship Id="rId1836" Type="http://schemas.openxmlformats.org/officeDocument/2006/relationships/hyperlink" Target="https://www.youtube.com/@Nommaddavid" TargetMode="External"/><Relationship Id="rId1837" Type="http://schemas.openxmlformats.org/officeDocument/2006/relationships/hyperlink" Target="https://www.classu.co.kr/class/classDetail/18559" TargetMode="External"/><Relationship Id="rId1838" Type="http://schemas.openxmlformats.org/officeDocument/2006/relationships/hyperlink" Target="https://www.youtube.com/@Nommaddavid" TargetMode="External"/><Relationship Id="rId1839" Type="http://schemas.openxmlformats.org/officeDocument/2006/relationships/hyperlink" Target="https://www.instagram.com/nmd__david/" TargetMode="External"/><Relationship Id="rId1820" Type="http://schemas.openxmlformats.org/officeDocument/2006/relationships/hyperlink" Target="https://www.youtube.com/@%EC%A0%9C%EC%9D%B4%EB%A1%9C%EB%93%9C3" TargetMode="External"/><Relationship Id="rId1821" Type="http://schemas.openxmlformats.org/officeDocument/2006/relationships/hyperlink" Target="https://www.youtube.com/@%EC%A0%9C%EC%9D%B4%EB%A1%9C%EB%93%9C3" TargetMode="External"/><Relationship Id="rId1822" Type="http://schemas.openxmlformats.org/officeDocument/2006/relationships/hyperlink" Target="https://www.youtube.com/@%EB%A1%9C%ED%8C%90%EC%9E%A5TV" TargetMode="External"/><Relationship Id="rId1823" Type="http://schemas.openxmlformats.org/officeDocument/2006/relationships/hyperlink" Target="https://cafe.naver.com/logosalesmaster" TargetMode="External"/><Relationship Id="rId1824" Type="http://schemas.openxmlformats.org/officeDocument/2006/relationships/hyperlink" Target="https://www.youtube.com/@%EB%A1%9C%ED%8C%90%EC%9E%A5TV" TargetMode="External"/><Relationship Id="rId1825" Type="http://schemas.openxmlformats.org/officeDocument/2006/relationships/hyperlink" Target="https://stevemarketingletter.stibee.com/" TargetMode="External"/><Relationship Id="rId1826" Type="http://schemas.openxmlformats.org/officeDocument/2006/relationships/hyperlink" Target="https://fastcampus.co.kr/dgn_online_antigravity" TargetMode="External"/><Relationship Id="rId1827" Type="http://schemas.openxmlformats.org/officeDocument/2006/relationships/hyperlink" Target="http://www.youtube.com/@Marketing_Truman" TargetMode="External"/><Relationship Id="rId1828" Type="http://schemas.openxmlformats.org/officeDocument/2006/relationships/hyperlink" Target="https://www.youtube.com/@ai_choidaepyo/videos" TargetMode="External"/><Relationship Id="rId1829" Type="http://schemas.openxmlformats.org/officeDocument/2006/relationships/hyperlink" Target="https://gananai.imweb.me/landing-SAAS" TargetMode="External"/><Relationship Id="rId1455" Type="http://schemas.openxmlformats.org/officeDocument/2006/relationships/hyperlink" Target="https://www.youtube.com/@%EB%B6%80%EC%97%85%EC%95%8C%EB%A0%A4%EC%A3%BC%EB%8A%94%EB%B9%84%EC%BB%AC" TargetMode="External"/><Relationship Id="rId1456" Type="http://schemas.openxmlformats.org/officeDocument/2006/relationships/hyperlink" Target="https://class101.net/ko/products/63bbb6c347958f000e9651ed" TargetMode="External"/><Relationship Id="rId1457" Type="http://schemas.openxmlformats.org/officeDocument/2006/relationships/hyperlink" Target="https://www.youtube.com/@%EB%B6%80%EC%97%85%EC%95%8C%EB%A0%A4%EC%A3%BC%EB%8A%94%EB%B9%84%EC%BB%AC" TargetMode="External"/><Relationship Id="rId1458" Type="http://schemas.openxmlformats.org/officeDocument/2006/relationships/hyperlink" Target="https://www.youtube.com/@nomad.notes80/videos" TargetMode="External"/><Relationship Id="rId1459" Type="http://schemas.openxmlformats.org/officeDocument/2006/relationships/hyperlink" Target="https://www.youtube.com/@nomad.notes80/videos" TargetMode="External"/><Relationship Id="rId629" Type="http://schemas.openxmlformats.org/officeDocument/2006/relationships/hyperlink" Target="https://www.youtube.com/@%EB%82%A8%EC%8B%9C%EC%96%B8%EC%BD%98%ED%85%90%EC%B8%A0%EB%9E%A9/videos" TargetMode="External"/><Relationship Id="rId624" Type="http://schemas.openxmlformats.org/officeDocument/2006/relationships/hyperlink" Target="https://www.instagram.com/mingbbang_/" TargetMode="External"/><Relationship Id="rId623" Type="http://schemas.openxmlformats.org/officeDocument/2006/relationships/hyperlink" Target="https://www.taling.me/talent/60453" TargetMode="External"/><Relationship Id="rId622" Type="http://schemas.openxmlformats.org/officeDocument/2006/relationships/hyperlink" Target="https://blog.naver.com/ahsehfl74/223306544807" TargetMode="External"/><Relationship Id="rId621" Type="http://schemas.openxmlformats.org/officeDocument/2006/relationships/hyperlink" Target="https://www.youtube.com/@calarygirl" TargetMode="External"/><Relationship Id="rId628" Type="http://schemas.openxmlformats.org/officeDocument/2006/relationships/hyperlink" Target="https://namsieon.com/" TargetMode="External"/><Relationship Id="rId627" Type="http://schemas.openxmlformats.org/officeDocument/2006/relationships/hyperlink" Target="https://www.youtube.com/@%EB%82%A8%EC%8B%9C%EC%96%B8%EC%BD%98%ED%85%90%EC%B8%A0%EB%9E%A9/videos" TargetMode="External"/><Relationship Id="rId626" Type="http://schemas.openxmlformats.org/officeDocument/2006/relationships/hyperlink" Target="https://www.youtube.com/@%EC%98%A8%EC%84%A0/videos" TargetMode="External"/><Relationship Id="rId625" Type="http://schemas.openxmlformats.org/officeDocument/2006/relationships/hyperlink" Target="https://www.youtube.com/@%EC%98%A8%EC%84%A0/videos" TargetMode="External"/><Relationship Id="rId1450" Type="http://schemas.openxmlformats.org/officeDocument/2006/relationships/hyperlink" Target="https://www.youtube.com/watch?v=6Vr782pyQek" TargetMode="External"/><Relationship Id="rId620" Type="http://schemas.openxmlformats.org/officeDocument/2006/relationships/hyperlink" Target="https://www.taling.me/talent/61285" TargetMode="External"/><Relationship Id="rId1451" Type="http://schemas.openxmlformats.org/officeDocument/2006/relationships/hyperlink" Target="http://www.youtube.com/@automation-holic" TargetMode="External"/><Relationship Id="rId1452" Type="http://schemas.openxmlformats.org/officeDocument/2006/relationships/hyperlink" Target="https://www.instagram.com/reel/DR1NBeJk-BD/?utm_source=ig_web_copy_link" TargetMode="External"/><Relationship Id="rId1453" Type="http://schemas.openxmlformats.org/officeDocument/2006/relationships/hyperlink" Target="https://www.instagram.com/godsaeng_daddy?igsh=Nm80ZW5naHQ0ZHp2" TargetMode="External"/><Relationship Id="rId1454" Type="http://schemas.openxmlformats.org/officeDocument/2006/relationships/hyperlink" Target="https://www.youtube.com/shorts/Yo_MRjNeP_k" TargetMode="External"/><Relationship Id="rId1444" Type="http://schemas.openxmlformats.org/officeDocument/2006/relationships/hyperlink" Target="https://class101.net/ko/products/680601b41d8631f426e2c212" TargetMode="External"/><Relationship Id="rId1445" Type="http://schemas.openxmlformats.org/officeDocument/2006/relationships/hyperlink" Target="https://www.youtube.com/@rpumkey" TargetMode="External"/><Relationship Id="rId1446" Type="http://schemas.openxmlformats.org/officeDocument/2006/relationships/hyperlink" Target="http://instagram.com/rpumkey/" TargetMode="External"/><Relationship Id="rId1447" Type="http://schemas.openxmlformats.org/officeDocument/2006/relationships/hyperlink" Target="https://www.soylab.ai/" TargetMode="External"/><Relationship Id="rId1448" Type="http://schemas.openxmlformats.org/officeDocument/2006/relationships/hyperlink" Target="https://fastcampus.co.kr/data_online_kontext" TargetMode="External"/><Relationship Id="rId1449" Type="http://schemas.openxmlformats.org/officeDocument/2006/relationships/hyperlink" Target="http://www.youtube.com/@soy_lab" TargetMode="External"/><Relationship Id="rId619" Type="http://schemas.openxmlformats.org/officeDocument/2006/relationships/hyperlink" Target="https://www.youtube.com/@calarygirl" TargetMode="External"/><Relationship Id="rId618" Type="http://schemas.openxmlformats.org/officeDocument/2006/relationships/hyperlink" Target="https://www.youtube.com/@%EB%8F%88%EA%B0%95/videos" TargetMode="External"/><Relationship Id="rId613" Type="http://schemas.openxmlformats.org/officeDocument/2006/relationships/hyperlink" Target="https://www.youtube.com/@captain_ai/videos" TargetMode="External"/><Relationship Id="rId612" Type="http://schemas.openxmlformats.org/officeDocument/2006/relationships/hyperlink" Target="https://captainai.framer.website/" TargetMode="External"/><Relationship Id="rId611" Type="http://schemas.openxmlformats.org/officeDocument/2006/relationships/hyperlink" Target="https://www.youtube.com/@captain_ai/videos" TargetMode="External"/><Relationship Id="rId610" Type="http://schemas.openxmlformats.org/officeDocument/2006/relationships/hyperlink" Target="https://www.youtube.com/@%EA%B0%90%EA%B2%A9AI" TargetMode="External"/><Relationship Id="rId617" Type="http://schemas.openxmlformats.org/officeDocument/2006/relationships/hyperlink" Target="https://www.youtube.com/@%EB%8F%88%EA%B0%95/videos" TargetMode="External"/><Relationship Id="rId616" Type="http://schemas.openxmlformats.org/officeDocument/2006/relationships/hyperlink" Target="https://www.youtube.com/@AI-LOLLAB" TargetMode="External"/><Relationship Id="rId615" Type="http://schemas.openxmlformats.org/officeDocument/2006/relationships/hyperlink" Target="https://docs.google.com/forms/d/e/1FAIpQLSdoQqOcRhZTlJcrWNAzJ7mvU1y35DujssdGzrTbWnMOYfVE6w/viewform" TargetMode="External"/><Relationship Id="rId614" Type="http://schemas.openxmlformats.org/officeDocument/2006/relationships/hyperlink" Target="https://www.youtube.com/@AI-LOLLAB" TargetMode="External"/><Relationship Id="rId1440" Type="http://schemas.openxmlformats.org/officeDocument/2006/relationships/hyperlink" Target="https://blog.naver.com/learner_100" TargetMode="External"/><Relationship Id="rId1441" Type="http://schemas.openxmlformats.org/officeDocument/2006/relationships/hyperlink" Target="https://www.youtube.com/@%EC%98%A4%EB%9D%BC%EC%9D%B81998" TargetMode="External"/><Relationship Id="rId1442" Type="http://schemas.openxmlformats.org/officeDocument/2006/relationships/hyperlink" Target="https://www.youtube.com/redirect?event=channel_description&amp;redir_token=QUFFLUhqbjN0czQtU04weFFXQzNaTElHMUE1RU9vWU5fQXxBQ3Jtc0tscFBMaFlxVFVCNkNQQ1RvdERRUFJjRGJUS2staGdRZnB5WVVLMkZFYjVNaXBkZUJfMU9XbVloenBDRHJXakpGMlpwUU5WQlU0ZzBZVFJjeDI5ek9Lb2M0RkJTODNMTmdzUkZGMjdMU09jemFsUHEzVQ&amp;q=ohline1998%40gmail.com" TargetMode="External"/><Relationship Id="rId1443" Type="http://schemas.openxmlformats.org/officeDocument/2006/relationships/hyperlink" Target="https://match.dropshot.io/profile/dryNvF7jbhlcM2SOZoO7" TargetMode="External"/><Relationship Id="rId1477" Type="http://schemas.openxmlformats.org/officeDocument/2006/relationships/hyperlink" Target="http://aibridge.co.kr/" TargetMode="External"/><Relationship Id="rId1478" Type="http://schemas.openxmlformats.org/officeDocument/2006/relationships/hyperlink" Target="https://www.youtube.com/watch?v=CuFKzJ5IKWQ" TargetMode="External"/><Relationship Id="rId1479" Type="http://schemas.openxmlformats.org/officeDocument/2006/relationships/hyperlink" Target="http://www.youtube.com/@jys-jinyongsung" TargetMode="External"/><Relationship Id="rId646" Type="http://schemas.openxmlformats.org/officeDocument/2006/relationships/hyperlink" Target="https://kmong.com/gig/473358?selfMarketingCode=Ptr8dPwdxJ" TargetMode="External"/><Relationship Id="rId645" Type="http://schemas.openxmlformats.org/officeDocument/2006/relationships/hyperlink" Target="https://www.youtube.com/@%EA%B7%B8%EB%A1%9C%EC%9A%B0mi/shorts" TargetMode="External"/><Relationship Id="rId644" Type="http://schemas.openxmlformats.org/officeDocument/2006/relationships/hyperlink" Target="https://www.instagram.com/breezemood_/" TargetMode="External"/><Relationship Id="rId643" Type="http://schemas.openxmlformats.org/officeDocument/2006/relationships/hyperlink" Target="https://www.youtube.com/@BreezeMood" TargetMode="External"/><Relationship Id="rId649" Type="http://schemas.openxmlformats.org/officeDocument/2006/relationships/hyperlink" Target="https://warmtalentschool.com/" TargetMode="External"/><Relationship Id="rId648" Type="http://schemas.openxmlformats.org/officeDocument/2006/relationships/hyperlink" Target="https://www.youtube.com/@warmtalent" TargetMode="External"/><Relationship Id="rId647" Type="http://schemas.openxmlformats.org/officeDocument/2006/relationships/hyperlink" Target="https://www.youtube.com/@%EA%B7%B8%EB%A1%9C%EC%9A%B0mi/shorts" TargetMode="External"/><Relationship Id="rId1470" Type="http://schemas.openxmlformats.org/officeDocument/2006/relationships/hyperlink" Target="https://www.youtube.com/@%EB%A7%89%EB%82%B4%ED%98%80%EB%88%84" TargetMode="External"/><Relationship Id="rId1471" Type="http://schemas.openxmlformats.org/officeDocument/2006/relationships/hyperlink" Target="https://www.youtube.com/@%EB%A7%89%EB%82%B4%ED%98%80%EB%88%84" TargetMode="External"/><Relationship Id="rId1472" Type="http://schemas.openxmlformats.org/officeDocument/2006/relationships/hyperlink" Target="https://www.youtube.com/@%EB%8F%88%EB%B2%84%EB%8A%94%EC%97%84%EB%A7%88%EC%85%80%EB%9F%AC" TargetMode="External"/><Relationship Id="rId642" Type="http://schemas.openxmlformats.org/officeDocument/2006/relationships/hyperlink" Target="https://www.youtube.com/@BreezeMood" TargetMode="External"/><Relationship Id="rId1473" Type="http://schemas.openxmlformats.org/officeDocument/2006/relationships/hyperlink" Target="http://youtube.com/redirect?event=comments&amp;redir_token=QUFFLUhqbXJuRmRfbTdoZHNuZlQ2cTd5SC10amNtRC1OUXxBQ3Jtc0ttSXBGenoxem9MM1pXZzV0QjcyNFVSdjQ3LTJWazlxY2N5N2o0V2F5Z2ZTWV9NRFg0ZUhTSmJwUGY3d0xtekNISEpudmhRdmNrQlZ0UW5KaEcwZWgweVhFVm1ubTVORmNuTThNVEp6LXBYSUxOVmd5NA&amp;q=https%3A%2F%2Fbit.ly%2F4griipC" TargetMode="External"/><Relationship Id="rId641" Type="http://schemas.openxmlformats.org/officeDocument/2006/relationships/hyperlink" Target="https://www.youtube.com/@AI_Tool_Dog" TargetMode="External"/><Relationship Id="rId1474" Type="http://schemas.openxmlformats.org/officeDocument/2006/relationships/hyperlink" Target="https://www.youtube.com/watch?v=iHBnmsmX62c" TargetMode="External"/><Relationship Id="rId640" Type="http://schemas.openxmlformats.org/officeDocument/2006/relationships/hyperlink" Target="https://kmong.com/gig/608474?selfMarketingCode=ouuIOxHUk7" TargetMode="External"/><Relationship Id="rId1475" Type="http://schemas.openxmlformats.org/officeDocument/2006/relationships/hyperlink" Target="https://www.bsdclass.co.kr/33" TargetMode="External"/><Relationship Id="rId1476" Type="http://schemas.openxmlformats.org/officeDocument/2006/relationships/hyperlink" Target="https://www.youtube.com/watch?v=iHBnmsmX62c" TargetMode="External"/><Relationship Id="rId1466" Type="http://schemas.openxmlformats.org/officeDocument/2006/relationships/hyperlink" Target="https://docs.google.com/forms/d/e/1FAIpQLSfltf7UWNHCTmh6qT_I1bgpeLjUAEZJdjMGcy4ZUELF4pr4Vw/viewform?usp=send_form" TargetMode="External"/><Relationship Id="rId1467" Type="http://schemas.openxmlformats.org/officeDocument/2006/relationships/hyperlink" Target="https://www.youtube.com/@%EC%A1%B0%ED%8C%80%EC%9E%A5%EC%9D%98AI%EA%B3%B5%EB%9E%B5%EC%A7%91" TargetMode="External"/><Relationship Id="rId1468" Type="http://schemas.openxmlformats.org/officeDocument/2006/relationships/hyperlink" Target="https://www.youtube.com/@AI%EC%9D%BC%EB%B3%B8%EC%9C%A0%ED%8A%9C%EB%B8%8C" TargetMode="External"/><Relationship Id="rId1469" Type="http://schemas.openxmlformats.org/officeDocument/2006/relationships/hyperlink" Target="https://www.youtube.com/@AI%EC%9D%BC%EB%B3%B8%EC%9C%A0%ED%8A%9C%EB%B8%8C" TargetMode="External"/><Relationship Id="rId635" Type="http://schemas.openxmlformats.org/officeDocument/2006/relationships/hyperlink" Target="https://www.youtube.com/@%EA%B9%80%EC%9D%B4%EC%86%9D%EC%9D%98AI%EA%B0%80%EC%9D%B4%EB%93%9C/videos" TargetMode="External"/><Relationship Id="rId634" Type="http://schemas.openxmlformats.org/officeDocument/2006/relationships/hyperlink" Target="https://www.youtube.com/@%EA%B9%80%EC%9D%B4%EC%86%9D%EC%9D%98AI%EA%B0%80%EC%9D%B4%EB%93%9C/videos" TargetMode="External"/><Relationship Id="rId633" Type="http://schemas.openxmlformats.org/officeDocument/2006/relationships/hyperlink" Target="https://www.learningannex.kr/shop/item.php?it_id=1702956191&amp;utm_source=youtube&amp;utm_medium=strategy&amp;utm_campaign=exposure&amp;utm_content=000" TargetMode="External"/><Relationship Id="rId632" Type="http://schemas.openxmlformats.org/officeDocument/2006/relationships/hyperlink" Target="https://www.youtube.com/@310-ty4ml/videos" TargetMode="External"/><Relationship Id="rId639" Type="http://schemas.openxmlformats.org/officeDocument/2006/relationships/hyperlink" Target="https://www.youtube.com/@AI_Tool_Dog" TargetMode="External"/><Relationship Id="rId638" Type="http://schemas.openxmlformats.org/officeDocument/2006/relationships/hyperlink" Target="https://www.threads.com/@autovee_ai" TargetMode="External"/><Relationship Id="rId637" Type="http://schemas.openxmlformats.org/officeDocument/2006/relationships/hyperlink" Target="https://www.threads.com/@autovee_ai" TargetMode="External"/><Relationship Id="rId636" Type="http://schemas.openxmlformats.org/officeDocument/2006/relationships/hyperlink" Target="https://www.instagram.com/aiguideaesop/" TargetMode="External"/><Relationship Id="rId1460" Type="http://schemas.openxmlformats.org/officeDocument/2006/relationships/hyperlink" Target="https://www.inflearn.com/course/%EC%88%98%EC%9D%B5%ED%98%95-ai-agent-n8n-%EC%A0%84%EB%AC%B8%EA%B0%80" TargetMode="External"/><Relationship Id="rId1461" Type="http://schemas.openxmlformats.org/officeDocument/2006/relationships/hyperlink" Target="https://blog.naver.com/nkj2001" TargetMode="External"/><Relationship Id="rId631" Type="http://schemas.openxmlformats.org/officeDocument/2006/relationships/hyperlink" Target="https://learningannex.kr/shop/item.php?it_id=1745811731&amp;utm_source=youtube&amp;utm_medium=strategy&amp;utm_campaign=exposure&amp;utm_content=cg250827" TargetMode="External"/><Relationship Id="rId1462" Type="http://schemas.openxmlformats.org/officeDocument/2006/relationships/hyperlink" Target="https://www.youtube.com/channel/UCV2447slbPVMl1vP1QT-hiQ" TargetMode="External"/><Relationship Id="rId630" Type="http://schemas.openxmlformats.org/officeDocument/2006/relationships/hyperlink" Target="https://www.youtube.com/@310-ty4ml" TargetMode="External"/><Relationship Id="rId1463" Type="http://schemas.openxmlformats.org/officeDocument/2006/relationships/hyperlink" Target="https://www.inflearn.com/course/%EB%B9%84%EA%B0%9C%EB%B0%9C%EC%9E%90-4%EC%A3%BC%EB%A7%8C%EC%97%90-%EC%88%98%EC%9D%B5%ED%99%94-%EC%84%9C%EB%B9%84%EC%8A%A4-%EB%A7%8C%EB%93%A4" TargetMode="External"/><Relationship Id="rId1464" Type="http://schemas.openxmlformats.org/officeDocument/2006/relationships/hyperlink" Target="https://www.youtube.com/@%EB%94%A9%EC%BD%94%EB%94%A9%EC%BD%94" TargetMode="External"/><Relationship Id="rId1465" Type="http://schemas.openxmlformats.org/officeDocument/2006/relationships/hyperlink" Target="https://www.youtube.com/@%EC%A1%B0%ED%8C%80%EC%9E%A5%EC%9D%98AI%EA%B3%B5%EB%9E%B5%EC%A7%91" TargetMode="External"/><Relationship Id="rId1411" Type="http://schemas.openxmlformats.org/officeDocument/2006/relationships/hyperlink" Target="http://www.youtube.com/@%ED%85%8D%EC%8A%A4%ED%8A%B8%EC%BD%94%EB%AF%B9" TargetMode="External"/><Relationship Id="rId1895" Type="http://schemas.openxmlformats.org/officeDocument/2006/relationships/hyperlink" Target="https://prefic.co.kr/" TargetMode="External"/><Relationship Id="rId1412" Type="http://schemas.openxmlformats.org/officeDocument/2006/relationships/hyperlink" Target="https://tundra-liver-7f7.notion.site/92e71e91e0f342efb0e5d21be05121d1" TargetMode="External"/><Relationship Id="rId1896" Type="http://schemas.openxmlformats.org/officeDocument/2006/relationships/hyperlink" Target="https://shosunsaeng.imweb.me/" TargetMode="External"/><Relationship Id="rId1413" Type="http://schemas.openxmlformats.org/officeDocument/2006/relationships/hyperlink" Target="https://www.taling.me/talent/61619" TargetMode="External"/><Relationship Id="rId1897" Type="http://schemas.openxmlformats.org/officeDocument/2006/relationships/hyperlink" Target="https://shosunsaeng.imweb.me/" TargetMode="External"/><Relationship Id="rId1414" Type="http://schemas.openxmlformats.org/officeDocument/2006/relationships/hyperlink" Target="https://www.youtube.com/@editkim_video" TargetMode="External"/><Relationship Id="rId1898" Type="http://schemas.openxmlformats.org/officeDocument/2006/relationships/hyperlink" Target="https://www.youtube.com/@%EC%99%84%EC%86%8C%EC%82%AC%EC%86%8C%EB%8C%80%ED%91%9C/featured" TargetMode="External"/><Relationship Id="rId1415" Type="http://schemas.openxmlformats.org/officeDocument/2006/relationships/hyperlink" Target="http://instagram.com/_edit.kim/" TargetMode="External"/><Relationship Id="rId1899" Type="http://schemas.openxmlformats.org/officeDocument/2006/relationships/hyperlink" Target="https://www.youtube.com/channel/UCOtBaQG3u5OkPDF9qez8HdQ" TargetMode="External"/><Relationship Id="rId1416" Type="http://schemas.openxmlformats.org/officeDocument/2006/relationships/hyperlink" Target="https://www.youtube.com/@%EC%BA%A1%ED%8B%B4%EC%BF%A0%ED%8C%A1-%EB%A1%9C%EC%BC%93%EA%B7%B8%EB%A1%9C%EC%8A%A4" TargetMode="External"/><Relationship Id="rId1417" Type="http://schemas.openxmlformats.org/officeDocument/2006/relationships/hyperlink" Target="https://cafe.naver.com/captaincoupang/4" TargetMode="External"/><Relationship Id="rId1418" Type="http://schemas.openxmlformats.org/officeDocument/2006/relationships/hyperlink" Target="https://www.youtube.com/@%EC%BA%A1%ED%8B%B4%EC%BF%A0%ED%8C%A1-%EB%A1%9C%EC%BC%93%EA%B7%B8%EB%A1%9C%EC%8A%A4" TargetMode="External"/><Relationship Id="rId1419" Type="http://schemas.openxmlformats.org/officeDocument/2006/relationships/hyperlink" Target="https://www.youtube.com/channel/UCqZEEbX8I1B6Sl5rZoYpr_g" TargetMode="External"/><Relationship Id="rId1890" Type="http://schemas.openxmlformats.org/officeDocument/2006/relationships/hyperlink" Target="https://www.youtube.com/@%EB%93%80%EC%96%BC%EC%9D%B8%EC%BB%B4/videos" TargetMode="External"/><Relationship Id="rId1891" Type="http://schemas.openxmlformats.org/officeDocument/2006/relationships/hyperlink" Target="https://www.youtube.com/@%EB%93%80%EC%96%BC%EC%9D%B8%EC%BB%B4/videos" TargetMode="External"/><Relationship Id="rId1892" Type="http://schemas.openxmlformats.org/officeDocument/2006/relationships/hyperlink" Target="https://www.threads.com/@chae_hustle" TargetMode="External"/><Relationship Id="rId1893" Type="http://schemas.openxmlformats.org/officeDocument/2006/relationships/hyperlink" Target="https://www.mabschool.kr/courses/92f21f6d-2038-4fac-a29a-4a90d55abd83" TargetMode="External"/><Relationship Id="rId1410" Type="http://schemas.openxmlformats.org/officeDocument/2006/relationships/hyperlink" Target="https://www.wadiz.kr/web/campaign/detail/335441" TargetMode="External"/><Relationship Id="rId1894" Type="http://schemas.openxmlformats.org/officeDocument/2006/relationships/hyperlink" Target="https://www.instagram.com/chae_hustle/" TargetMode="External"/><Relationship Id="rId1400" Type="http://schemas.openxmlformats.org/officeDocument/2006/relationships/hyperlink" Target="https://www.youtube.com/@huahua_diary" TargetMode="External"/><Relationship Id="rId1884" Type="http://schemas.openxmlformats.org/officeDocument/2006/relationships/hyperlink" Target="https://www.instagram.com/online_marketer_wj?igsh=b2lmMXo5aXNnODRi" TargetMode="External"/><Relationship Id="rId1401" Type="http://schemas.openxmlformats.org/officeDocument/2006/relationships/hyperlink" Target="https://class101.net/ko/products/6884a9e2ce14772a5c517d44?from=home" TargetMode="External"/><Relationship Id="rId1885" Type="http://schemas.openxmlformats.org/officeDocument/2006/relationships/hyperlink" Target="https://www.youtube.com/watch?v=NbSvtRktgg4" TargetMode="External"/><Relationship Id="rId1402" Type="http://schemas.openxmlformats.org/officeDocument/2006/relationships/hyperlink" Target="https://www.youtube.com/@huahua_diary" TargetMode="External"/><Relationship Id="rId1886" Type="http://schemas.openxmlformats.org/officeDocument/2006/relationships/hyperlink" Target="https://www.youtube.com/@AI%EC%88%98%ED%98%B8" TargetMode="External"/><Relationship Id="rId1403" Type="http://schemas.openxmlformats.org/officeDocument/2006/relationships/hyperlink" Target="https://www.instagram.com/huahua_diary/" TargetMode="External"/><Relationship Id="rId1887" Type="http://schemas.openxmlformats.org/officeDocument/2006/relationships/hyperlink" Target="http://www.youtube.com/@twotrack584" TargetMode="External"/><Relationship Id="rId1404" Type="http://schemas.openxmlformats.org/officeDocument/2006/relationships/hyperlink" Target="https://www.wadiz.kr/web/campaign/detail/374812?path=makerprofile&amp;status=done" TargetMode="External"/><Relationship Id="rId1888" Type="http://schemas.openxmlformats.org/officeDocument/2006/relationships/hyperlink" Target="http://www.youtube.com/@twotrack584" TargetMode="External"/><Relationship Id="rId1405" Type="http://schemas.openxmlformats.org/officeDocument/2006/relationships/hyperlink" Target="https://www.wadiz.kr/web/campaign/detail/221445" TargetMode="External"/><Relationship Id="rId1889" Type="http://schemas.openxmlformats.org/officeDocument/2006/relationships/hyperlink" Target="https://kmong.com/gig/661980" TargetMode="External"/><Relationship Id="rId1406" Type="http://schemas.openxmlformats.org/officeDocument/2006/relationships/hyperlink" Target="https://www.youtube.com/@HappyDanDongTV" TargetMode="External"/><Relationship Id="rId1407" Type="http://schemas.openxmlformats.org/officeDocument/2006/relationships/hyperlink" Target="https://www.classu.co.kr/class/classDetail/1004201" TargetMode="External"/><Relationship Id="rId1408" Type="http://schemas.openxmlformats.org/officeDocument/2006/relationships/hyperlink" Target="https://www.youtube.com/@HappyDanDongTV" TargetMode="External"/><Relationship Id="rId1409" Type="http://schemas.openxmlformats.org/officeDocument/2006/relationships/hyperlink" Target="https://www.tiktok.com/@textstory_18?is_from_webapp=1&amp;sender_device=pc" TargetMode="External"/><Relationship Id="rId1880" Type="http://schemas.openxmlformats.org/officeDocument/2006/relationships/hyperlink" Target="https://www.instagram.com/room.farmer/" TargetMode="External"/><Relationship Id="rId1881" Type="http://schemas.openxmlformats.org/officeDocument/2006/relationships/hyperlink" Target="https://www.instagram.com/online_marketer_wj?igsh=b2lmMXo5aXNnODRi" TargetMode="External"/><Relationship Id="rId1882" Type="http://schemas.openxmlformats.org/officeDocument/2006/relationships/hyperlink" Target="https://dashboard.xn--3j1b74x8mfjtk.com/new-landing?referrer=appmetrica_tracking_id%3D173691180578517814%26ym_tracking_id%3D15168582729905419945" TargetMode="External"/><Relationship Id="rId1883" Type="http://schemas.openxmlformats.org/officeDocument/2006/relationships/hyperlink" Target="https://www.youtube.com/@janggatube" TargetMode="External"/><Relationship Id="rId1433" Type="http://schemas.openxmlformats.org/officeDocument/2006/relationships/hyperlink" Target="https://www.youtube.com/@TEAM_CREATUS/shorts" TargetMode="External"/><Relationship Id="rId1434" Type="http://schemas.openxmlformats.org/officeDocument/2006/relationships/hyperlink" Target="http://instagram.com/crea__tus" TargetMode="External"/><Relationship Id="rId1435" Type="http://schemas.openxmlformats.org/officeDocument/2006/relationships/hyperlink" Target="https://www.youtube.com/@2025CUTEAI" TargetMode="External"/><Relationship Id="rId1436" Type="http://schemas.openxmlformats.org/officeDocument/2006/relationships/hyperlink" Target="https://www.youtube.com/@2025CUTEAI" TargetMode="External"/><Relationship Id="rId1437" Type="http://schemas.openxmlformats.org/officeDocument/2006/relationships/hyperlink" Target="https://cafe.naver.com/dmoneyroute" TargetMode="External"/><Relationship Id="rId1438" Type="http://schemas.openxmlformats.org/officeDocument/2006/relationships/hyperlink" Target="https://youtube.com/channel/UCWM_s-Qyc0C-q4At9Fz3npQ?si=SulfqWyVUq5k7glG" TargetMode="External"/><Relationship Id="rId1439" Type="http://schemas.openxmlformats.org/officeDocument/2006/relationships/hyperlink" Target="https://youtube.com/channel/UCWM_s-Qyc0C-q4At9Fz3npQ?si=SulfqWyVUq5k7glG" TargetMode="External"/><Relationship Id="rId609" Type="http://schemas.openxmlformats.org/officeDocument/2006/relationships/hyperlink" Target="https://docs.google.com/forms/d/e/1FAIpQLSePMcFuf_ekZpS0dAwMZ8yQdb3PK0YbFaPe5tciNElGE52ZPA/viewform" TargetMode="External"/><Relationship Id="rId608" Type="http://schemas.openxmlformats.org/officeDocument/2006/relationships/hyperlink" Target="https://www.youtube.com/@%EA%B0%90%EA%B2%A9AI" TargetMode="External"/><Relationship Id="rId607" Type="http://schemas.openxmlformats.org/officeDocument/2006/relationships/hyperlink" Target="https://www.youtube.com/@figmaleon/featured" TargetMode="External"/><Relationship Id="rId602" Type="http://schemas.openxmlformats.org/officeDocument/2006/relationships/hyperlink" Target="https://www.youtube.com/@%EC%87%BC%EC%B8%A0%EC%88%98%EC%9D%B5%ED%99%94/featured" TargetMode="External"/><Relationship Id="rId601" Type="http://schemas.openxmlformats.org/officeDocument/2006/relationships/hyperlink" Target="https://cafe.naver.com/jimihand" TargetMode="External"/><Relationship Id="rId600" Type="http://schemas.openxmlformats.org/officeDocument/2006/relationships/hyperlink" Target="https://www.youtube.com/@%EC%87%BC%EC%B8%A0%EC%88%98%EC%9D%B5%ED%99%94/featured" TargetMode="External"/><Relationship Id="rId606" Type="http://schemas.openxmlformats.org/officeDocument/2006/relationships/hyperlink" Target="https://www.youtube.com/@figmaleon/featured" TargetMode="External"/><Relationship Id="rId605" Type="http://schemas.openxmlformats.org/officeDocument/2006/relationships/hyperlink" Target="https://www.instagram.com/reelsm.pro/" TargetMode="External"/><Relationship Id="rId604" Type="http://schemas.openxmlformats.org/officeDocument/2006/relationships/hyperlink" Target="https://www.instagram.com/reelsm.pro/" TargetMode="External"/><Relationship Id="rId603" Type="http://schemas.openxmlformats.org/officeDocument/2006/relationships/hyperlink" Target="http://pf.kakao.com/_DXcPG" TargetMode="External"/><Relationship Id="rId1430" Type="http://schemas.openxmlformats.org/officeDocument/2006/relationships/hyperlink" Target="https://www.youtube.com/channel/UCh6-ZIBlxZsRhbFcuxFJkdg" TargetMode="External"/><Relationship Id="rId1431" Type="http://schemas.openxmlformats.org/officeDocument/2006/relationships/hyperlink" Target="https://www.youtube.com/@TEAM_CREATUS/shorts" TargetMode="External"/><Relationship Id="rId1432" Type="http://schemas.openxmlformats.org/officeDocument/2006/relationships/hyperlink" Target="https://www.creatus.kr/classes/169541" TargetMode="External"/><Relationship Id="rId1422" Type="http://schemas.openxmlformats.org/officeDocument/2006/relationships/hyperlink" Target="https://www.youtube.com/@design_secret" TargetMode="External"/><Relationship Id="rId1423" Type="http://schemas.openxmlformats.org/officeDocument/2006/relationships/hyperlink" Target="https://www.youtube.com/@design_secret" TargetMode="External"/><Relationship Id="rId1424" Type="http://schemas.openxmlformats.org/officeDocument/2006/relationships/hyperlink" Target="https://www.youtube.com/@ai_grant_truecampus/videos" TargetMode="External"/><Relationship Id="rId1425" Type="http://schemas.openxmlformats.org/officeDocument/2006/relationships/hyperlink" Target="https://www.youtube.com/@ai_grant_truecampus/videos" TargetMode="External"/><Relationship Id="rId1426" Type="http://schemas.openxmlformats.org/officeDocument/2006/relationships/hyperlink" Target="https://www.fun-coding.org/" TargetMode="External"/><Relationship Id="rId1427" Type="http://schemas.openxmlformats.org/officeDocument/2006/relationships/hyperlink" Target="https://www.classu.co.kr/class/classDetail/1019058" TargetMode="External"/><Relationship Id="rId1428" Type="http://schemas.openxmlformats.org/officeDocument/2006/relationships/hyperlink" Target="https://www.classu.co.kr/class/classDetail/1019235" TargetMode="External"/><Relationship Id="rId1429" Type="http://schemas.openxmlformats.org/officeDocument/2006/relationships/hyperlink" Target="https://www.classu.co.kr/class/classDetail/1019235" TargetMode="External"/><Relationship Id="rId1420" Type="http://schemas.openxmlformats.org/officeDocument/2006/relationships/hyperlink" Target="https://cafe.naver.com/shaun1/4690" TargetMode="External"/><Relationship Id="rId1421" Type="http://schemas.openxmlformats.org/officeDocument/2006/relationships/hyperlink" Target="https://www.youtube.com/channel/UCqZEEbX8I1B6Sl5rZoYpr_g" TargetMode="External"/><Relationship Id="rId1059" Type="http://schemas.openxmlformats.org/officeDocument/2006/relationships/hyperlink" Target="https://www.youtube.com/@%EC%9B%94%EC%B2%9C%EC%95%8C%EA%B3%A0%EB%A6%AC%EC%A6%98" TargetMode="External"/><Relationship Id="rId228" Type="http://schemas.openxmlformats.org/officeDocument/2006/relationships/hyperlink" Target="https://www.instagram.com/challenge_dojun?utm_source=ig_web_button_share_sheet&amp;igsh=OG1vYjNpeXRkM3cx" TargetMode="External"/><Relationship Id="rId227" Type="http://schemas.openxmlformats.org/officeDocument/2006/relationships/hyperlink" Target="https://www.youtube.com/channel/UCqwCkUGth3fxt6bL_0wtWTg" TargetMode="External"/><Relationship Id="rId226" Type="http://schemas.openxmlformats.org/officeDocument/2006/relationships/hyperlink" Target="https://www.instagram.com/challenge_dojun?utm_source=ig_web_button_share_sheet&amp;igsh=OG1vYjNpeXRkM3cx" TargetMode="External"/><Relationship Id="rId225" Type="http://schemas.openxmlformats.org/officeDocument/2006/relationships/hyperlink" Target="https://www.youtube.com/@%EC%82%AC%EC%9D%B4%EB%93%9C%ED%80%98%EC%8A%A4%ED%8A%B8/videos" TargetMode="External"/><Relationship Id="rId229" Type="http://schemas.openxmlformats.org/officeDocument/2006/relationships/hyperlink" Target="https://www.youtube.com/@onein-z8x" TargetMode="External"/><Relationship Id="rId1050" Type="http://schemas.openxmlformats.org/officeDocument/2006/relationships/hyperlink" Target="http://instagram.com/joogoon.it" TargetMode="External"/><Relationship Id="rId220" Type="http://schemas.openxmlformats.org/officeDocument/2006/relationships/hyperlink" Target="https://www.ydmcn.com/course/course_view.jsp?id=182186&amp;cid=117609" TargetMode="External"/><Relationship Id="rId1051" Type="http://schemas.openxmlformats.org/officeDocument/2006/relationships/hyperlink" Target="http://litt.ly/mugunghwa_ssam" TargetMode="External"/><Relationship Id="rId1052" Type="http://schemas.openxmlformats.org/officeDocument/2006/relationships/hyperlink" Target="https://www.youtube.com/watch?v=c5IoFs0E-_w" TargetMode="External"/><Relationship Id="rId1053" Type="http://schemas.openxmlformats.org/officeDocument/2006/relationships/hyperlink" Target="https://blog.naver.com/geun307" TargetMode="External"/><Relationship Id="rId1054" Type="http://schemas.openxmlformats.org/officeDocument/2006/relationships/hyperlink" Target="https://www.youtube.com/@%EB%AC%B4%EA%B6%81%ED%99%94%EC%8C%A4/videos" TargetMode="External"/><Relationship Id="rId224" Type="http://schemas.openxmlformats.org/officeDocument/2006/relationships/hyperlink" Target="https://www.youtube.com/watch?v=zpJwJwIORNU" TargetMode="External"/><Relationship Id="rId1055" Type="http://schemas.openxmlformats.org/officeDocument/2006/relationships/hyperlink" Target="https://www.instagram.com/mugunghwa_ssam/" TargetMode="External"/><Relationship Id="rId223" Type="http://schemas.openxmlformats.org/officeDocument/2006/relationships/hyperlink" Target="https://weolbu.com/product/4218?utm_source=creator&amp;utm_medium=selfmkt&amp;utm_campaign=wb_class_class_money_newgukburon&amp;utm_content=4218_main_all_creator&amp;utm_term=creator_250408" TargetMode="External"/><Relationship Id="rId1056" Type="http://schemas.openxmlformats.org/officeDocument/2006/relationships/hyperlink" Target="https://www.youtube.com/watch?v=vQGGN-SbVj0" TargetMode="External"/><Relationship Id="rId222" Type="http://schemas.openxmlformats.org/officeDocument/2006/relationships/hyperlink" Target="https://www.youtube.com/watch?v=x8K7t74pOMk&amp;list=TLGG64s_JtkzMCUwOTA3MjAyNQ&amp;t=69s" TargetMode="External"/><Relationship Id="rId1057" Type="http://schemas.openxmlformats.org/officeDocument/2006/relationships/hyperlink" Target="https://thincademy.com/" TargetMode="External"/><Relationship Id="rId221" Type="http://schemas.openxmlformats.org/officeDocument/2006/relationships/hyperlink" Target="https://www.youtube.com/watch?v=RXFsbddQdO4" TargetMode="External"/><Relationship Id="rId1058" Type="http://schemas.openxmlformats.org/officeDocument/2006/relationships/hyperlink" Target="https://www.youtube.com/@Thincademy/featured" TargetMode="External"/><Relationship Id="rId1048" Type="http://schemas.openxmlformats.org/officeDocument/2006/relationships/hyperlink" Target="https://www.youtube.com/watch?v=PCH_WgVP-pU" TargetMode="External"/><Relationship Id="rId1049" Type="http://schemas.openxmlformats.org/officeDocument/2006/relationships/hyperlink" Target="https://www.youtube.com/@joogoon_it" TargetMode="External"/><Relationship Id="rId217" Type="http://schemas.openxmlformats.org/officeDocument/2006/relationships/hyperlink" Target="https://cafe.naver.com/f-e/cafes/30819883/articles/46333?menuid=23&amp;referrerAllArticles=false&amp;inCafeSearch=true&amp;query=%ED%85%8C%EC%9D%BC%EB%9F%AC&amp;art=aW50ZXJuYWwtY2FmZS1hcnRpY2xlLXJlYWQtaW5DYWZlLXNlYXJjaC1saXN0.eyJ0eXAiOiJKV1QiLCJhbGciOiJIUzI1NiJ9.eyJjYWZlVHlwZSI6IkNBRkVfSUQiLCJhcnRpY2xlSWQiOjQ2MzMzLCJpc3N1ZWRBdCI6MTc1MjA0NTY2MzIyOSwiY2FmZUlkIjozMDgxOTg4M30.iaJoI3MnczOgIVZmkJN7Mro225rGFflbXeyka3JSiWg&amp;page=1" TargetMode="External"/><Relationship Id="rId216" Type="http://schemas.openxmlformats.org/officeDocument/2006/relationships/hyperlink" Target="https://youtu.be/SHq_W_9rsPA?si=R-F297dgLz5N0Zeo" TargetMode="External"/><Relationship Id="rId215" Type="http://schemas.openxmlformats.org/officeDocument/2006/relationships/hyperlink" Target="https://cafe.naver.com/f-e/cafes/30819883/articles/67135?menuid=23&amp;referrerAllArticles=false&amp;inCafeSearch=true&amp;query=%EC%BC%80%EB%A1%9C%EB%A1%9C&amp;art=aW50ZXJuYWwtY2FmZS1hcnRpY2xlLXJlYWQtaW5DYWZlLXNlYXJjaC1saXN0.eyJ0eXAiOiJKV1QiLCJhbGciOiJIUzI1NiJ9.eyJjYWZlVHlwZSI6IkNBRkVfSUQiLCJhcnRpY2xlSWQiOjY3MTM1LCJpc3N1ZWRBdCI6MTc1MjA0NTczMDA2NywiY2FmZUlkIjozMDgxOTg4M30.QPbXNsFTcPjGlIa2JJiu3pG9WOaS6JzeKJbLl3kuZFA&amp;page=1" TargetMode="External"/><Relationship Id="rId699" Type="http://schemas.openxmlformats.org/officeDocument/2006/relationships/hyperlink" Target="https://www.youtube.com/@%EB%A8%B8%EB%8B%88%ED%95%9C%EC%9E%94" TargetMode="External"/><Relationship Id="rId214" Type="http://schemas.openxmlformats.org/officeDocument/2006/relationships/hyperlink" Target="https://www.youtube.com/channel/UClP2hW295JL_o-lESiMY0fg/join" TargetMode="External"/><Relationship Id="rId698" Type="http://schemas.openxmlformats.org/officeDocument/2006/relationships/hyperlink" Target="https://www.youtube.com/@%EB%A8%B8%EB%8B%88%ED%95%9C%EC%9E%94" TargetMode="External"/><Relationship Id="rId219" Type="http://schemas.openxmlformats.org/officeDocument/2006/relationships/hyperlink" Target="https://www.youtube.com/watch?v=sZNS1Psz8Rk" TargetMode="External"/><Relationship Id="rId218" Type="http://schemas.openxmlformats.org/officeDocument/2006/relationships/hyperlink" Target="https://youtu.be/HPPi3RsvEBc?si=y_P8bwcwtgZ28u94" TargetMode="External"/><Relationship Id="rId693" Type="http://schemas.openxmlformats.org/officeDocument/2006/relationships/hyperlink" Target="https://www.instagram.com/dreamlikeai_/" TargetMode="External"/><Relationship Id="rId1040" Type="http://schemas.openxmlformats.org/officeDocument/2006/relationships/hyperlink" Target="https://cafe.naver.com/emshow/116" TargetMode="External"/><Relationship Id="rId692" Type="http://schemas.openxmlformats.org/officeDocument/2006/relationships/hyperlink" Target="https://www.youtube.com/@DreamlikeAI-l6d/shorts" TargetMode="External"/><Relationship Id="rId1041" Type="http://schemas.openxmlformats.org/officeDocument/2006/relationships/hyperlink" Target="https://www.youtube.com/channel/UCEL3lJo0n8w22b4QAQeUVuw/about" TargetMode="External"/><Relationship Id="rId691" Type="http://schemas.openxmlformats.org/officeDocument/2006/relationships/hyperlink" Target="https://www.youtube.com/@DreamlikeAI-l6d/shorts" TargetMode="External"/><Relationship Id="rId1042" Type="http://schemas.openxmlformats.org/officeDocument/2006/relationships/hyperlink" Target="https://www.yoorang.kr/" TargetMode="External"/><Relationship Id="rId690" Type="http://schemas.openxmlformats.org/officeDocument/2006/relationships/hyperlink" Target="https://www.youtube.com/@100junsa/videos" TargetMode="External"/><Relationship Id="rId1043" Type="http://schemas.openxmlformats.org/officeDocument/2006/relationships/hyperlink" Target="https://cafe.naver.com/dinohighclass/108591" TargetMode="External"/><Relationship Id="rId213" Type="http://schemas.openxmlformats.org/officeDocument/2006/relationships/hyperlink" Target="https://blog.naver.com/thisis_money/223790767710" TargetMode="External"/><Relationship Id="rId697" Type="http://schemas.openxmlformats.org/officeDocument/2006/relationships/hyperlink" Target="https://www.youtube.com/@AI%EA%B9%80%EB%B0%95%EC%82%AC" TargetMode="External"/><Relationship Id="rId1044" Type="http://schemas.openxmlformats.org/officeDocument/2006/relationships/hyperlink" Target="https://www.youtube.com/@%EC%9C%A0%EB%9E%91%EC%9C%A0%ED%8A%9C%EB%B8%8C" TargetMode="External"/><Relationship Id="rId212" Type="http://schemas.openxmlformats.org/officeDocument/2006/relationships/hyperlink" Target="https://www.instagram.com/ihlen_online_business_coach/" TargetMode="External"/><Relationship Id="rId696" Type="http://schemas.openxmlformats.org/officeDocument/2006/relationships/hyperlink" Target="https://www.youtube.com/@AI%EA%B9%80%EB%B0%95%EC%82%AC" TargetMode="External"/><Relationship Id="rId1045" Type="http://schemas.openxmlformats.org/officeDocument/2006/relationships/hyperlink" Target="https://www.instagram.com/you.rang.ki/" TargetMode="External"/><Relationship Id="rId211" Type="http://schemas.openxmlformats.org/officeDocument/2006/relationships/hyperlink" Target="https://www.youtube.com/@ihlen_tv" TargetMode="External"/><Relationship Id="rId695" Type="http://schemas.openxmlformats.org/officeDocument/2006/relationships/hyperlink" Target="https://www.instagram.com/_gaebalza/" TargetMode="External"/><Relationship Id="rId1046" Type="http://schemas.openxmlformats.org/officeDocument/2006/relationships/hyperlink" Target="http://open.kakao.com/o/gQhMYkRh" TargetMode="External"/><Relationship Id="rId210" Type="http://schemas.openxmlformats.org/officeDocument/2006/relationships/hyperlink" Target="https://cafe.naver.com/ihlen/430" TargetMode="External"/><Relationship Id="rId694" Type="http://schemas.openxmlformats.org/officeDocument/2006/relationships/hyperlink" Target="https://www.instagram.com/_gaebalza/" TargetMode="External"/><Relationship Id="rId1047" Type="http://schemas.openxmlformats.org/officeDocument/2006/relationships/hyperlink" Target="https://www.tiktok.com/@joogoon.it?is_from_webapp=1&amp;sender_device=pc" TargetMode="External"/><Relationship Id="rId249" Type="http://schemas.openxmlformats.org/officeDocument/2006/relationships/hyperlink" Target="https://www.youtube.com/watch?v=syKkqhPF21s&amp;t=76s" TargetMode="External"/><Relationship Id="rId248" Type="http://schemas.openxmlformats.org/officeDocument/2006/relationships/hyperlink" Target="https://www.youtube.com/@irum_hahn/videos" TargetMode="External"/><Relationship Id="rId247" Type="http://schemas.openxmlformats.org/officeDocument/2006/relationships/hyperlink" Target="https://fastcampus.co.kr/ent_online_smartai" TargetMode="External"/><Relationship Id="rId1070" Type="http://schemas.openxmlformats.org/officeDocument/2006/relationships/hyperlink" Target="https://www.youtube.com/@joya_creator/videos" TargetMode="External"/><Relationship Id="rId1071" Type="http://schemas.openxmlformats.org/officeDocument/2006/relationships/hyperlink" Target="https://class101.net/ko/products/6336a4956f856300156c0c23" TargetMode="External"/><Relationship Id="rId1072" Type="http://schemas.openxmlformats.org/officeDocument/2006/relationships/hyperlink" Target="https://www.youtube.com/@joya_creator/videos" TargetMode="External"/><Relationship Id="rId242" Type="http://schemas.openxmlformats.org/officeDocument/2006/relationships/hyperlink" Target="https://www.latpeed.com/products/5ev8E" TargetMode="External"/><Relationship Id="rId1073" Type="http://schemas.openxmlformats.org/officeDocument/2006/relationships/hyperlink" Target="https://www.instagram.com/joya_creator/" TargetMode="External"/><Relationship Id="rId241" Type="http://schemas.openxmlformats.org/officeDocument/2006/relationships/hyperlink" Target="https://www.youtube.com/@alonso_woon" TargetMode="External"/><Relationship Id="rId1074" Type="http://schemas.openxmlformats.org/officeDocument/2006/relationships/hyperlink" Target="https://www.youtube.com/@%EB%8F%88%EB%90%98%EB%8A%94AI%EB%A7%8C%EC%B7%A8%EA%B8%89%ED%95%A9%EB%8B%88%EB%8B%A4" TargetMode="External"/><Relationship Id="rId240" Type="http://schemas.openxmlformats.org/officeDocument/2006/relationships/hyperlink" Target="https://fastcampus.co.kr/fin_online_auction200" TargetMode="External"/><Relationship Id="rId1075" Type="http://schemas.openxmlformats.org/officeDocument/2006/relationships/hyperlink" Target="https://www.youtube.com/@%EB%8F%88%EB%90%98%EB%8A%94AI%EB%A7%8C%EC%B7%A8%EA%B8%89%ED%95%A9%EB%8B%88%EB%8B%A4" TargetMode="External"/><Relationship Id="rId1076" Type="http://schemas.openxmlformats.org/officeDocument/2006/relationships/hyperlink" Target="https://pf.kakao.com/_GUuHn/chat" TargetMode="External"/><Relationship Id="rId246" Type="http://schemas.openxmlformats.org/officeDocument/2006/relationships/hyperlink" Target="https://www.youtube.com/@ai.moneymaker.official" TargetMode="External"/><Relationship Id="rId1077" Type="http://schemas.openxmlformats.org/officeDocument/2006/relationships/hyperlink" Target="https://www.youtube.com/@2hour1000" TargetMode="External"/><Relationship Id="rId245" Type="http://schemas.openxmlformats.org/officeDocument/2006/relationships/hyperlink" Target="https://www.latpeed.com/products/Phsp0" TargetMode="External"/><Relationship Id="rId1078" Type="http://schemas.openxmlformats.org/officeDocument/2006/relationships/hyperlink" Target="https://docs.google.com/forms/d/e/1FAIpQLSfTPFF2gI7O3nGFr7EfQk2TyXqW-Vw631mgu4OMBrN7UzLLww/viewform" TargetMode="External"/><Relationship Id="rId244" Type="http://schemas.openxmlformats.org/officeDocument/2006/relationships/hyperlink" Target="https://www.youtube.com/redirect?event=channel_description&amp;redir_token=QUFFLUhqbjdLSWxjNU5BUHppRmw4R294WkNsTExOOE03d3xBQ3Jtc0tsSVcxZEdNRXlZU0NSV1FYOVM0dk9GMjdjYUhQSV9yYXlMaWxDcVVjNzBudWRNdUZDc2JTOEhtTjkzZkhZOXpFdzd5c3lsZ1VsRjRRSWdobGVndW5ZS1BXN2gwcmtHZWYtRWFSRHVtSDNyMTV2LTJpMA&amp;q=https%3A%2F%2Fwww.instagram.com%2Fkrr_idea%2F" TargetMode="External"/><Relationship Id="rId1079" Type="http://schemas.openxmlformats.org/officeDocument/2006/relationships/hyperlink" Target="https://www.youtube.com/@2hour1000" TargetMode="External"/><Relationship Id="rId243" Type="http://schemas.openxmlformats.org/officeDocument/2006/relationships/hyperlink" Target="https://www.youtube.com/@krr_idea" TargetMode="External"/><Relationship Id="rId239" Type="http://schemas.openxmlformats.org/officeDocument/2006/relationships/hyperlink" Target="https://www.instagram.com/cleanmonsters/" TargetMode="External"/><Relationship Id="rId238" Type="http://schemas.openxmlformats.org/officeDocument/2006/relationships/hyperlink" Target="https://www.youtube.com/@%ED%81%B4%EB%A6%B0%EB%AA%AC%EC%8A%A4%ED%84%B0%EC%A6%88" TargetMode="External"/><Relationship Id="rId237" Type="http://schemas.openxmlformats.org/officeDocument/2006/relationships/hyperlink" Target="https://www.instagram.com/richpaca/?hl=ko" TargetMode="External"/><Relationship Id="rId236" Type="http://schemas.openxmlformats.org/officeDocument/2006/relationships/hyperlink" Target="https://www.youtube.com/@-richpaca" TargetMode="External"/><Relationship Id="rId1060" Type="http://schemas.openxmlformats.org/officeDocument/2006/relationships/hyperlink" Target="https://www.youtube.com/@%EC%9B%94%EC%B2%9C%EC%95%8C%EA%B3%A0%EB%A6%AC%EC%A6%98" TargetMode="External"/><Relationship Id="rId1061" Type="http://schemas.openxmlformats.org/officeDocument/2006/relationships/hyperlink" Target="https://www.youtube.com/@%EC%B0%8D%EB%B4%87" TargetMode="External"/><Relationship Id="rId231" Type="http://schemas.openxmlformats.org/officeDocument/2006/relationships/hyperlink" Target="https://open.kakao.com/o/siU2xLph" TargetMode="External"/><Relationship Id="rId1062" Type="http://schemas.openxmlformats.org/officeDocument/2006/relationships/hyperlink" Target="https://www.youtube.com/@%EC%B0%8D%EB%B4%87" TargetMode="External"/><Relationship Id="rId230" Type="http://schemas.openxmlformats.org/officeDocument/2006/relationships/hyperlink" Target="https://www.youtube.com/@onein-z8x" TargetMode="External"/><Relationship Id="rId1063" Type="http://schemas.openxmlformats.org/officeDocument/2006/relationships/hyperlink" Target="https://www.youtube.com/@AIFACT-GPTPARK" TargetMode="External"/><Relationship Id="rId1064" Type="http://schemas.openxmlformats.org/officeDocument/2006/relationships/hyperlink" Target="https://www.youtube.com/@AIFACT-GPTPARK" TargetMode="External"/><Relationship Id="rId1065" Type="http://schemas.openxmlformats.org/officeDocument/2006/relationships/hyperlink" Target="https://www.youtube.com/@seconlife-50" TargetMode="External"/><Relationship Id="rId235" Type="http://schemas.openxmlformats.org/officeDocument/2006/relationships/hyperlink" Target="https://fastcampus.co.kr/mktg_online_richpaca" TargetMode="External"/><Relationship Id="rId1066" Type="http://schemas.openxmlformats.org/officeDocument/2006/relationships/hyperlink" Target="https://www.youtube.com/@seconlife-50" TargetMode="External"/><Relationship Id="rId234" Type="http://schemas.openxmlformats.org/officeDocument/2006/relationships/hyperlink" Target="https://www.instagram.com/chungsanam/?hl=ko" TargetMode="External"/><Relationship Id="rId1067" Type="http://schemas.openxmlformats.org/officeDocument/2006/relationships/hyperlink" Target="https://www.youtube.com/@%EC%86%8C%EB%8B%A4%EA%B2%BD%EB%A7%A4" TargetMode="External"/><Relationship Id="rId233" Type="http://schemas.openxmlformats.org/officeDocument/2006/relationships/hyperlink" Target="https://www.youtube.com/@ilovecleaning" TargetMode="External"/><Relationship Id="rId1068" Type="http://schemas.openxmlformats.org/officeDocument/2006/relationships/hyperlink" Target="https://www.xn--b20bu5cuwtpue8ui.com/" TargetMode="External"/><Relationship Id="rId232" Type="http://schemas.openxmlformats.org/officeDocument/2006/relationships/hyperlink" Target="https://fastcampus.co.kr/ent_online_clean" TargetMode="External"/><Relationship Id="rId1069" Type="http://schemas.openxmlformats.org/officeDocument/2006/relationships/hyperlink" Target="https://www.youtube.com/@%EC%86%8C%EB%8B%A4%EA%B2%BD%EB%A7%A4" TargetMode="External"/><Relationship Id="rId1015" Type="http://schemas.openxmlformats.org/officeDocument/2006/relationships/hyperlink" Target="https://www.taling.me/talent/61619" TargetMode="External"/><Relationship Id="rId1499" Type="http://schemas.openxmlformats.org/officeDocument/2006/relationships/hyperlink" Target="https://www.youtube.com/@AI-%EB%85%B8%EC%BD%94%EB%94%A9/videos" TargetMode="External"/><Relationship Id="rId1016" Type="http://schemas.openxmlformats.org/officeDocument/2006/relationships/hyperlink" Target="https://www.taling.me/talent/61619" TargetMode="External"/><Relationship Id="rId1017" Type="http://schemas.openxmlformats.org/officeDocument/2006/relationships/hyperlink" Target="https://www.instagram.com/_edit.kim/" TargetMode="External"/><Relationship Id="rId1018" Type="http://schemas.openxmlformats.org/officeDocument/2006/relationships/hyperlink" Target="https://litt.ly/gold_kobold" TargetMode="External"/><Relationship Id="rId1019" Type="http://schemas.openxmlformats.org/officeDocument/2006/relationships/hyperlink" Target="https://www.mmusclass.com/" TargetMode="External"/><Relationship Id="rId668" Type="http://schemas.openxmlformats.org/officeDocument/2006/relationships/hyperlink" Target="https://youtube.com/channel/UCqZEEbX8I1B6Sl5rZoYpr_g?si=PcEQsXIJQc-50fVu" TargetMode="External"/><Relationship Id="rId667" Type="http://schemas.openxmlformats.org/officeDocument/2006/relationships/hyperlink" Target="https://m.cafe.naver.com/ca-fe/shaun1?tc=article" TargetMode="External"/><Relationship Id="rId666" Type="http://schemas.openxmlformats.org/officeDocument/2006/relationships/hyperlink" Target="https://youtube.com/channel/UCqZEEbX8I1B6Sl5rZoYpr_g?si=PcEQsXIJQc-50fVu" TargetMode="External"/><Relationship Id="rId665" Type="http://schemas.openxmlformats.org/officeDocument/2006/relationships/hyperlink" Target="https://www.youtube.com/@book___tori" TargetMode="External"/><Relationship Id="rId669" Type="http://schemas.openxmlformats.org/officeDocument/2006/relationships/hyperlink" Target="https://www.instagram.com/ai_success_making?igsh=NDV4YWs5bGMyaHAy" TargetMode="External"/><Relationship Id="rId1490" Type="http://schemas.openxmlformats.org/officeDocument/2006/relationships/hyperlink" Target="https://ordinarybusinessman.imweb.me/" TargetMode="External"/><Relationship Id="rId660" Type="http://schemas.openxmlformats.org/officeDocument/2006/relationships/hyperlink" Target="https://cafe.naver.com/daily8ai" TargetMode="External"/><Relationship Id="rId1491" Type="http://schemas.openxmlformats.org/officeDocument/2006/relationships/hyperlink" Target="https://blog.naver.com/naraclesam" TargetMode="External"/><Relationship Id="rId1492" Type="http://schemas.openxmlformats.org/officeDocument/2006/relationships/hyperlink" Target="https://blog.naver.com/naraclesam" TargetMode="External"/><Relationship Id="rId1493" Type="http://schemas.openxmlformats.org/officeDocument/2006/relationships/hyperlink" Target="https://www.instagram.com/naraclesam/" TargetMode="External"/><Relationship Id="rId1010" Type="http://schemas.openxmlformats.org/officeDocument/2006/relationships/hyperlink" Target="https://www.wadiz.kr/web/campaign/detail/246863?path=makerprofile&amp;status=done" TargetMode="External"/><Relationship Id="rId1494" Type="http://schemas.openxmlformats.org/officeDocument/2006/relationships/hyperlink" Target="https://www.youtube.com/@aibizlabkr11" TargetMode="External"/><Relationship Id="rId664" Type="http://schemas.openxmlformats.org/officeDocument/2006/relationships/hyperlink" Target="https://www.youtube.com/@book___tori" TargetMode="External"/><Relationship Id="rId1011" Type="http://schemas.openxmlformats.org/officeDocument/2006/relationships/hyperlink" Target="https://leaderians.com/pptbusiness" TargetMode="External"/><Relationship Id="rId1495" Type="http://schemas.openxmlformats.org/officeDocument/2006/relationships/hyperlink" Target="https://cafe.naver.com/wannabe77/6488" TargetMode="External"/><Relationship Id="rId663" Type="http://schemas.openxmlformats.org/officeDocument/2006/relationships/hyperlink" Target="https://www.youtube.com/@nodaji_ai/videos" TargetMode="External"/><Relationship Id="rId1012" Type="http://schemas.openxmlformats.org/officeDocument/2006/relationships/hyperlink" Target="https://www.instagram.com/w.sb.w/" TargetMode="External"/><Relationship Id="rId1496" Type="http://schemas.openxmlformats.org/officeDocument/2006/relationships/hyperlink" Target="https://www.youtube.com/watch?v=6LW25l6YUcs" TargetMode="External"/><Relationship Id="rId662" Type="http://schemas.openxmlformats.org/officeDocument/2006/relationships/hyperlink" Target="https://nodajiai.liveklass.com/classes/226042" TargetMode="External"/><Relationship Id="rId1013" Type="http://schemas.openxmlformats.org/officeDocument/2006/relationships/hyperlink" Target="https://www.wadiz.kr/web/store/detail/2419" TargetMode="External"/><Relationship Id="rId1497" Type="http://schemas.openxmlformats.org/officeDocument/2006/relationships/hyperlink" Target="https://www.youtube.com/watch?v=6LW25l6YUcs" TargetMode="External"/><Relationship Id="rId661" Type="http://schemas.openxmlformats.org/officeDocument/2006/relationships/hyperlink" Target="https://www.youtube.com/@nodaji_ai/videos" TargetMode="External"/><Relationship Id="rId1014" Type="http://schemas.openxmlformats.org/officeDocument/2006/relationships/hyperlink" Target="https://www.instagram.com/w.sb.w/" TargetMode="External"/><Relationship Id="rId1498" Type="http://schemas.openxmlformats.org/officeDocument/2006/relationships/hyperlink" Target="https://www.youtube.com/@AI-%EB%85%B8%EC%BD%94%EB%94%A9/videos" TargetMode="External"/><Relationship Id="rId1004" Type="http://schemas.openxmlformats.org/officeDocument/2006/relationships/hyperlink" Target="https://www.instagram.com/tiktok_alnam/" TargetMode="External"/><Relationship Id="rId1488" Type="http://schemas.openxmlformats.org/officeDocument/2006/relationships/hyperlink" Target="https://www.youtube.com/@%ED%8F%89%EB%B2%94%ED%95%9C%EC%82%AC%EC%97%85%EA%B0%80/videos" TargetMode="External"/><Relationship Id="rId1005" Type="http://schemas.openxmlformats.org/officeDocument/2006/relationships/hyperlink" Target="https://youtube.com/channel/UCJwcwLKccXOK88Wqw6OcIzQ?si=xNsgZhS7W2VYxPTx" TargetMode="External"/><Relationship Id="rId1489" Type="http://schemas.openxmlformats.org/officeDocument/2006/relationships/hyperlink" Target="https://www.youtube.com/redirect?event=channel_description&amp;redir_token=QUFFLUhqbkNRbGRvNjFucTQ2UVIzWVdZLUpxdTdudUpqd3xBQ3Jtc0tuSW5YUzJtcUZDYzZCdl9DVVZPTWJTTEZYQjlVQXhFWXVNOGdVcHBhSXp1MFp1WjJZZUlWUzljd2ItbldSdXlVTGM2RTFIM0pWTEtqWGRFa1NEQ3daU0FCaVVfNUVtVzF3RlZIOHE4bUpIUzM3MWk2aw&amp;q=https%3A%2F%2Fopen.kakao.com%2Fo%2Fg6B2tH3f" TargetMode="External"/><Relationship Id="rId1006" Type="http://schemas.openxmlformats.org/officeDocument/2006/relationships/hyperlink" Target="https://www.instagram.com/tiktok_alnam?utm_source=ig_web_button_share_sheet&amp;igsh=ZDNlZDc0MzIxNw==" TargetMode="External"/><Relationship Id="rId1007" Type="http://schemas.openxmlformats.org/officeDocument/2006/relationships/hyperlink" Target="https://www.instagram.com/grit_pick?utm_source=ig_web_button_share_sheet&amp;igsh=ZDNlZDc0MzIxNw==" TargetMode="External"/><Relationship Id="rId1008" Type="http://schemas.openxmlformats.org/officeDocument/2006/relationships/hyperlink" Target="https://shco.co.kr/21/?idx=19" TargetMode="External"/><Relationship Id="rId1009" Type="http://schemas.openxmlformats.org/officeDocument/2006/relationships/hyperlink" Target="https://www.instagram.com/grit_pick?utm_source=ig_web_button_share_sheet&amp;igsh=ZDNlZDc0MzIxNw==" TargetMode="External"/><Relationship Id="rId657" Type="http://schemas.openxmlformats.org/officeDocument/2006/relationships/hyperlink" Target="https://www.youtube.com/@%EC%84%B1%EC%9E%A5%ED%8C%A9%ED%8A%B8/videos" TargetMode="External"/><Relationship Id="rId656" Type="http://schemas.openxmlformats.org/officeDocument/2006/relationships/hyperlink" Target="https://www.youtube.com/watch?v=pSJomvmAd78" TargetMode="External"/><Relationship Id="rId655" Type="http://schemas.openxmlformats.org/officeDocument/2006/relationships/hyperlink" Target="https://www.youtube.com/@qoonio" TargetMode="External"/><Relationship Id="rId654" Type="http://schemas.openxmlformats.org/officeDocument/2006/relationships/hyperlink" Target="https://docs.google.com/forms/d/e/1FAIpQLSelTvUGuFBb7NZYjMDsS5YJZRODwSl4TEERN2U0n1AOfdsPZQ/viewform" TargetMode="External"/><Relationship Id="rId659" Type="http://schemas.openxmlformats.org/officeDocument/2006/relationships/hyperlink" Target="https://www.youtube.com/@%EC%9D%BC%EC%83%81Ai" TargetMode="External"/><Relationship Id="rId658" Type="http://schemas.openxmlformats.org/officeDocument/2006/relationships/hyperlink" Target="https://www.youtube.com/watch?v=x0gJbYD6m6g" TargetMode="External"/><Relationship Id="rId1480" Type="http://schemas.openxmlformats.org/officeDocument/2006/relationships/hyperlink" Target="https://www.ropefree.io/aimusicmaker" TargetMode="External"/><Relationship Id="rId1481" Type="http://schemas.openxmlformats.org/officeDocument/2006/relationships/hyperlink" Target="https://class101.net/ko/products/68906b408af642833bf43f76?from=home" TargetMode="External"/><Relationship Id="rId1482" Type="http://schemas.openxmlformats.org/officeDocument/2006/relationships/hyperlink" Target="https://www.instagram.com/sangwon.ropefree/" TargetMode="External"/><Relationship Id="rId1483" Type="http://schemas.openxmlformats.org/officeDocument/2006/relationships/hyperlink" Target="https://blog.naver.com/miran7012/224085757608" TargetMode="External"/><Relationship Id="rId653" Type="http://schemas.openxmlformats.org/officeDocument/2006/relationships/hyperlink" Target="https://www.youtube.com/@qoonio" TargetMode="External"/><Relationship Id="rId1000" Type="http://schemas.openxmlformats.org/officeDocument/2006/relationships/hyperlink" Target="https://pf.kakao.com/_yYGsG" TargetMode="External"/><Relationship Id="rId1484" Type="http://schemas.openxmlformats.org/officeDocument/2006/relationships/hyperlink" Target="https://smartstore.naver.com/metagoodfriends/products/12613024744" TargetMode="External"/><Relationship Id="rId652" Type="http://schemas.openxmlformats.org/officeDocument/2006/relationships/hyperlink" Target="https://www.instagram.com/40saimaster/" TargetMode="External"/><Relationship Id="rId1001" Type="http://schemas.openxmlformats.org/officeDocument/2006/relationships/hyperlink" Target="https://www.taling.me/mkt/emoticon_1?utm_source=onsight&amp;utm_medium=organic&amp;utm_campaign=emoticon_purchase&amp;utm_content=homebanner&amp;utm_term=%7Bquery%7D" TargetMode="External"/><Relationship Id="rId1485" Type="http://schemas.openxmlformats.org/officeDocument/2006/relationships/hyperlink" Target="https://www.youtube.com/channel/UCuvdITY7N_E_xmE2ZeCYlyw" TargetMode="External"/><Relationship Id="rId651" Type="http://schemas.openxmlformats.org/officeDocument/2006/relationships/hyperlink" Target="https://www.youtube.com/@40sAIMaster" TargetMode="External"/><Relationship Id="rId1002" Type="http://schemas.openxmlformats.org/officeDocument/2006/relationships/hyperlink" Target="https://www.taling.me/mkt/emoticon_1?utm_source=onsight&amp;utm_medium=organic&amp;utm_campaign=emoticon_purchase&amp;utm_content=homebanner&amp;utm_term=%7Bquery%7D" TargetMode="External"/><Relationship Id="rId1486" Type="http://schemas.openxmlformats.org/officeDocument/2006/relationships/hyperlink" Target="https://www.youtube.com/@%ED%8F%89%EB%B2%94%ED%95%9C%EC%82%AC%EC%97%85%EA%B0%80/videos" TargetMode="External"/><Relationship Id="rId650" Type="http://schemas.openxmlformats.org/officeDocument/2006/relationships/hyperlink" Target="https://www.instagram.com/warmtalent1" TargetMode="External"/><Relationship Id="rId1003" Type="http://schemas.openxmlformats.org/officeDocument/2006/relationships/hyperlink" Target="https://www.instagram.com/namukim_/" TargetMode="External"/><Relationship Id="rId1487" Type="http://schemas.openxmlformats.org/officeDocument/2006/relationships/hyperlink" Target="https://class101.net/ko/products/6447ca8e5566230015b352f2" TargetMode="External"/><Relationship Id="rId1037" Type="http://schemas.openxmlformats.org/officeDocument/2006/relationships/hyperlink" Target="https://cafe.naver.com/f-e/cafes/29899268/articles/3306?boardtype=L&amp;menuid=1&amp;referrerAllArticles=false" TargetMode="External"/><Relationship Id="rId1038" Type="http://schemas.openxmlformats.org/officeDocument/2006/relationships/hyperlink" Target="https://www.youtube.com/@Larrysanggak" TargetMode="External"/><Relationship Id="rId1039" Type="http://schemas.openxmlformats.org/officeDocument/2006/relationships/hyperlink" Target="https://cafe.naver.com/emshow/116" TargetMode="External"/><Relationship Id="rId206" Type="http://schemas.openxmlformats.org/officeDocument/2006/relationships/hyperlink" Target="https://www.youtube.com/@YoutubeShortIntF" TargetMode="External"/><Relationship Id="rId205" Type="http://schemas.openxmlformats.org/officeDocument/2006/relationships/hyperlink" Target="https://www.youtube.com/@YoutubeShortIntF" TargetMode="External"/><Relationship Id="rId689" Type="http://schemas.openxmlformats.org/officeDocument/2006/relationships/hyperlink" Target="https://www.youtube.com/@100junsa/videos" TargetMode="External"/><Relationship Id="rId204" Type="http://schemas.openxmlformats.org/officeDocument/2006/relationships/hyperlink" Target="https://keepmanydays.com/ytclass" TargetMode="External"/><Relationship Id="rId688" Type="http://schemas.openxmlformats.org/officeDocument/2006/relationships/hyperlink" Target="https://www.instagram.com/reels.studio.kr/" TargetMode="External"/><Relationship Id="rId203" Type="http://schemas.openxmlformats.org/officeDocument/2006/relationships/hyperlink" Target="https://www.youtube.com/@%EC%9E%91%EC%8B%AC%EB%A7%8C%EC%9D%BC_%EC%9C%A0%ED%8A%9C%EB%B8%8C" TargetMode="External"/><Relationship Id="rId687" Type="http://schemas.openxmlformats.org/officeDocument/2006/relationships/hyperlink" Target="https://www.instagram.com/reels.studio.kr/" TargetMode="External"/><Relationship Id="rId209" Type="http://schemas.openxmlformats.org/officeDocument/2006/relationships/hyperlink" Target="https://www.youtube.com/@ihlen_tv" TargetMode="External"/><Relationship Id="rId208" Type="http://schemas.openxmlformats.org/officeDocument/2006/relationships/hyperlink" Target="mailto:utubeshortint@gmail.com" TargetMode="External"/><Relationship Id="rId207" Type="http://schemas.openxmlformats.org/officeDocument/2006/relationships/hyperlink" Target="https://www.instagram.com/kyleinmind/" TargetMode="External"/><Relationship Id="rId682" Type="http://schemas.openxmlformats.org/officeDocument/2006/relationships/hyperlink" Target="https://www.instagram.com/reels_mon01?utm_source=ig_web_button_share_sheet&amp;igsh=MXNtMXlpZGt3a211dQ==" TargetMode="External"/><Relationship Id="rId681" Type="http://schemas.openxmlformats.org/officeDocument/2006/relationships/hyperlink" Target="https://www.youtube.com/@seono26/videos" TargetMode="External"/><Relationship Id="rId1030" Type="http://schemas.openxmlformats.org/officeDocument/2006/relationships/hyperlink" Target="https://class.dmom.site/" TargetMode="External"/><Relationship Id="rId680" Type="http://schemas.openxmlformats.org/officeDocument/2006/relationships/hyperlink" Target="https://www.youtube.com/@seono26/videos" TargetMode="External"/><Relationship Id="rId1031" Type="http://schemas.openxmlformats.org/officeDocument/2006/relationships/hyperlink" Target="https://www.youtube.com/@dmom/videos" TargetMode="External"/><Relationship Id="rId1032" Type="http://schemas.openxmlformats.org/officeDocument/2006/relationships/hyperlink" Target="https://learningannex.kr/shop/item.php?it_id=1709887396&amp;utm_source=youtube&amp;utm_medium=exposure&amp;utm_campaign=hong&amp;utm_content=w042" TargetMode="External"/><Relationship Id="rId202" Type="http://schemas.openxmlformats.org/officeDocument/2006/relationships/hyperlink" Target="https://keepmanydays.com/" TargetMode="External"/><Relationship Id="rId686" Type="http://schemas.openxmlformats.org/officeDocument/2006/relationships/hyperlink" Target="https://soloai.co.kr/index.php?utm_source=lendingpage&amp;utm_medium=youtube&amp;utm_campaign=profil" TargetMode="External"/><Relationship Id="rId1033" Type="http://schemas.openxmlformats.org/officeDocument/2006/relationships/hyperlink" Target="https://learningannex.kr/shop/item.php?it_id=1709887396&amp;utm_source=youtube&amp;utm_medium=exposure&amp;utm_campaign=hong&amp;utm_content=w042" TargetMode="External"/><Relationship Id="rId201" Type="http://schemas.openxmlformats.org/officeDocument/2006/relationships/hyperlink" Target="https://www.youtube.com/@%EC%9E%91%EC%8B%AC%EB%A7%8C%EC%9D%BC_%EC%9C%A0%ED%8A%9C%EB%B8%8C/videos" TargetMode="External"/><Relationship Id="rId685" Type="http://schemas.openxmlformats.org/officeDocument/2006/relationships/hyperlink" Target="https://www.youtube.com/@1000_money" TargetMode="External"/><Relationship Id="rId1034" Type="http://schemas.openxmlformats.org/officeDocument/2006/relationships/hyperlink" Target="https://www.youtube.com/@money_bridge" TargetMode="External"/><Relationship Id="rId200" Type="http://schemas.openxmlformats.org/officeDocument/2006/relationships/hyperlink" Target="https://www.youtube.com/@wensonai/videos" TargetMode="External"/><Relationship Id="rId684" Type="http://schemas.openxmlformats.org/officeDocument/2006/relationships/hyperlink" Target="https://www.youtube.com/@%EA%B8%B0%EA%B3%84%EC%99%95%EA%B3%BD%EB%91%90%ED%8C%94" TargetMode="External"/><Relationship Id="rId1035" Type="http://schemas.openxmlformats.org/officeDocument/2006/relationships/hyperlink" Target="https://www.instagram.com/money.bridge._/" TargetMode="External"/><Relationship Id="rId683" Type="http://schemas.openxmlformats.org/officeDocument/2006/relationships/hyperlink" Target="https://www.instagram.com/reels_mon01?utm_source=ig_web_button_share_sheet&amp;igsh=MXNtMXlpZGt3a211dQ==" TargetMode="External"/><Relationship Id="rId1036" Type="http://schemas.openxmlformats.org/officeDocument/2006/relationships/hyperlink" Target="http://youtube.com/watch?v=aHtUV1m1zfs&amp;t=332s" TargetMode="External"/><Relationship Id="rId1026" Type="http://schemas.openxmlformats.org/officeDocument/2006/relationships/hyperlink" Target="https://www.instagram.com/changdi.designer/" TargetMode="External"/><Relationship Id="rId1027" Type="http://schemas.openxmlformats.org/officeDocument/2006/relationships/hyperlink" Target="https://www.youtube.com/@sihyun_adventure" TargetMode="External"/><Relationship Id="rId1028" Type="http://schemas.openxmlformats.org/officeDocument/2006/relationships/hyperlink" Target="https://www.youtube.com/@sihyun_adventure" TargetMode="External"/><Relationship Id="rId1029" Type="http://schemas.openxmlformats.org/officeDocument/2006/relationships/hyperlink" Target="https://class.dmom.site/" TargetMode="External"/><Relationship Id="rId679" Type="http://schemas.openxmlformats.org/officeDocument/2006/relationships/hyperlink" Target="https://www.instagram.com/hayoungdropship?utm_source=ig_web_button_share_sheet&amp;igsh=cWx5Nmc0dDh1aG94" TargetMode="External"/><Relationship Id="rId678" Type="http://schemas.openxmlformats.org/officeDocument/2006/relationships/hyperlink" Target="https://www.instagram.com/hayoungdropship?utm_source=ig_web_button_share_sheet&amp;igsh=cWx5Nmc0dDh1aG94" TargetMode="External"/><Relationship Id="rId677" Type="http://schemas.openxmlformats.org/officeDocument/2006/relationships/hyperlink" Target="https://www.youtube.com/@%EC%8A%A4%EB%A7%9B%ED%8A%B8%ED%95%9C%EC%9C%A0%EB%A6%BC%EC%8C%A4" TargetMode="External"/><Relationship Id="rId676" Type="http://schemas.openxmlformats.org/officeDocument/2006/relationships/hyperlink" Target="https://www.youtube.com/@%EC%8A%A4%EB%A7%9B%ED%8A%B8%ED%95%9C%EC%9C%A0%EB%A6%BC%EC%8C%A4" TargetMode="External"/><Relationship Id="rId671" Type="http://schemas.openxmlformats.org/officeDocument/2006/relationships/hyperlink" Target="https://youtube.com/@enlightenlabk?si=S2BTmX98Tx3yv7e4" TargetMode="External"/><Relationship Id="rId670" Type="http://schemas.openxmlformats.org/officeDocument/2006/relationships/hyperlink" Target="https://m.cafe.naver.com/ca-fe/web/cafes/24193906/articles/7801?fromList=true&amp;tab=notice&amp;tc=cafe_home_notices" TargetMode="External"/><Relationship Id="rId1020" Type="http://schemas.openxmlformats.org/officeDocument/2006/relationships/hyperlink" Target="https://www.youtube.com/@Faceless_AI_Lab" TargetMode="External"/><Relationship Id="rId1021" Type="http://schemas.openxmlformats.org/officeDocument/2006/relationships/hyperlink" Target="https://www.youtube.com/@Faceless_AI_Lab" TargetMode="External"/><Relationship Id="rId675" Type="http://schemas.openxmlformats.org/officeDocument/2006/relationships/hyperlink" Target="https://www.youtube.com/@honey_meercat/shorts" TargetMode="External"/><Relationship Id="rId1022" Type="http://schemas.openxmlformats.org/officeDocument/2006/relationships/hyperlink" Target="https://www.youtube.com/@%EA%B4%91%EC%9E%A5" TargetMode="External"/><Relationship Id="rId674" Type="http://schemas.openxmlformats.org/officeDocument/2006/relationships/hyperlink" Target="https://www.youtube.com/@honey_meercat/shorts" TargetMode="External"/><Relationship Id="rId1023" Type="http://schemas.openxmlformats.org/officeDocument/2006/relationships/hyperlink" Target="https://www.youtube.com/@%EA%B4%91%EC%9E%A5" TargetMode="External"/><Relationship Id="rId673" Type="http://schemas.openxmlformats.org/officeDocument/2006/relationships/hyperlink" Target="https://www.instagram.com/park_pd_/?igsh=MXRzbjgwcXBkNXhxMw%3D%3D" TargetMode="External"/><Relationship Id="rId1024" Type="http://schemas.openxmlformats.org/officeDocument/2006/relationships/hyperlink" Target="https://changdi-lab.com/55" TargetMode="External"/><Relationship Id="rId672" Type="http://schemas.openxmlformats.org/officeDocument/2006/relationships/hyperlink" Target="https://youtube.com/@enlightenlabk?si=S2BTmX98Tx3yv7e4" TargetMode="External"/><Relationship Id="rId1025" Type="http://schemas.openxmlformats.org/officeDocument/2006/relationships/hyperlink" Target="https://www.youtube.com/@changdi.designer" TargetMode="External"/><Relationship Id="rId190" Type="http://schemas.openxmlformats.org/officeDocument/2006/relationships/hyperlink" Target="https://www.instagram.com/kirin.cookie?igsh=Mm1nYXlxemt6YXI0" TargetMode="External"/><Relationship Id="rId194" Type="http://schemas.openxmlformats.org/officeDocument/2006/relationships/hyperlink" Target="https://www.youfastlane.com/" TargetMode="External"/><Relationship Id="rId193" Type="http://schemas.openxmlformats.org/officeDocument/2006/relationships/hyperlink" Target="https://www.instagram.com/youfastlane/" TargetMode="External"/><Relationship Id="rId192" Type="http://schemas.openxmlformats.org/officeDocument/2006/relationships/hyperlink" Target="https://www.youtube.com/@youtubefastlane" TargetMode="External"/><Relationship Id="rId191" Type="http://schemas.openxmlformats.org/officeDocument/2006/relationships/hyperlink" Target="https://www.youtube.com/@youtubefastlane" TargetMode="External"/><Relationship Id="rId187" Type="http://schemas.openxmlformats.org/officeDocument/2006/relationships/hyperlink" Target="https://youtube.com/@gpt_kimisa?si=yMw3t-PGfBRjAGHJ" TargetMode="External"/><Relationship Id="rId186" Type="http://schemas.openxmlformats.org/officeDocument/2006/relationships/hyperlink" Target="https://www.youtube.com/@aidonnawa" TargetMode="External"/><Relationship Id="rId185" Type="http://schemas.openxmlformats.org/officeDocument/2006/relationships/hyperlink" Target="https://www.youtube.com/@aidonnawa" TargetMode="External"/><Relationship Id="rId184" Type="http://schemas.openxmlformats.org/officeDocument/2006/relationships/hyperlink" Target="https://www.instagram.com/bangbang_tech/" TargetMode="External"/><Relationship Id="rId189" Type="http://schemas.openxmlformats.org/officeDocument/2006/relationships/hyperlink" Target="https://www.instagram.com/forest_success?igsh=bHpsYmdjaGVodWV5" TargetMode="External"/><Relationship Id="rId188" Type="http://schemas.openxmlformats.org/officeDocument/2006/relationships/hyperlink" Target="https://www.instagram.com/gpt_kimisa?igsh=dXhidTVwdmFoc2d2" TargetMode="External"/><Relationship Id="rId183" Type="http://schemas.openxmlformats.org/officeDocument/2006/relationships/hyperlink" Target="https://litt.ly/bangbangtech?fbclid=PAZXh0bgNhZW0CMTEAAafkuR7Jb6bF13x7cmpdbh-VwCG6fV7CJeZM0J4ePLRl9MKsPS2d1JRJUEwQvg_aem_bwKfrXkU5kc6qYcRx-aVew" TargetMode="External"/><Relationship Id="rId182" Type="http://schemas.openxmlformats.org/officeDocument/2006/relationships/hyperlink" Target="https://www.instagram.com/promania_ai/" TargetMode="External"/><Relationship Id="rId181" Type="http://schemas.openxmlformats.org/officeDocument/2006/relationships/hyperlink" Target="https://www.youtube.com/@promania_ai" TargetMode="External"/><Relationship Id="rId180" Type="http://schemas.openxmlformats.org/officeDocument/2006/relationships/hyperlink" Target="https://litt.ly/promania_pmae?fbclid=PAZXh0bgNhZW0CMTEAAadw0090QQ43D71Gh5eEPcHINx6Cp7AQeyS3d9nhyTnlvNwetaNSWuf2D-HyRA_aem_mWyi7vnkHCdPelxN8CvrrQ" TargetMode="External"/><Relationship Id="rId176" Type="http://schemas.openxmlformats.org/officeDocument/2006/relationships/hyperlink" Target="https://www.instagram.com/bomde_sign/" TargetMode="External"/><Relationship Id="rId175" Type="http://schemas.openxmlformats.org/officeDocument/2006/relationships/hyperlink" Target="https://blog.naver.com/hideon_bush" TargetMode="External"/><Relationship Id="rId174" Type="http://schemas.openxmlformats.org/officeDocument/2006/relationships/hyperlink" Target="https://www.instagram.com/stickerjiho/" TargetMode="External"/><Relationship Id="rId173" Type="http://schemas.openxmlformats.org/officeDocument/2006/relationships/hyperlink" Target="https://www.youtube.com/@captain_ai/videos" TargetMode="External"/><Relationship Id="rId179" Type="http://schemas.openxmlformats.org/officeDocument/2006/relationships/hyperlink" Target="https://cafe.naver.com/f-e/cafes/24490019/articles/97396?menuid=315&amp;referrerAllArticles=false" TargetMode="External"/><Relationship Id="rId178" Type="http://schemas.openxmlformats.org/officeDocument/2006/relationships/hyperlink" Target="https://www.youtube.com/@online-money" TargetMode="External"/><Relationship Id="rId177" Type="http://schemas.openxmlformats.org/officeDocument/2006/relationships/hyperlink" Target="https://blog.naver.com/online-money/223298272260" TargetMode="External"/><Relationship Id="rId1910" Type="http://schemas.openxmlformats.org/officeDocument/2006/relationships/hyperlink" Target="https://cyclehackers.com/" TargetMode="External"/><Relationship Id="rId1911" Type="http://schemas.openxmlformats.org/officeDocument/2006/relationships/hyperlink" Target="https://www.youtube.com/@%EC%A0%9C%EC%9D%B4%EB%A6%B0%EC%9C%A0%ED%8A%9C%EB%B8%8C/videos" TargetMode="External"/><Relationship Id="rId1912" Type="http://schemas.openxmlformats.org/officeDocument/2006/relationships/hyperlink" Target="http://www.youtube.com/@No.1%ED%95%B4%EB%82%98%EC%8A%A4%EC%BF%A8" TargetMode="External"/><Relationship Id="rId1913" Type="http://schemas.openxmlformats.org/officeDocument/2006/relationships/hyperlink" Target="https://flickflick.kr/oneday/?idx=93" TargetMode="External"/><Relationship Id="rId1914" Type="http://schemas.openxmlformats.org/officeDocument/2006/relationships/hyperlink" Target="http://www.youtube.com/@No.1%ED%95%B4%EB%82%98%EC%8A%A4%EC%BF%A8" TargetMode="External"/><Relationship Id="rId1915" Type="http://schemas.openxmlformats.org/officeDocument/2006/relationships/hyperlink" Target="https://www.instagram.com/haena_life" TargetMode="External"/><Relationship Id="rId1916" Type="http://schemas.openxmlformats.org/officeDocument/2006/relationships/hyperlink" Target="https://www.instagram.com/reel/DVHtKTPk9zB/?utm_source=ig_web_copy_link&amp;igsh=MzRlODBiNWFlZA==" TargetMode="External"/><Relationship Id="rId1917" Type="http://schemas.openxmlformats.org/officeDocument/2006/relationships/hyperlink" Target="https://blog.naver.com/jaeha0406/224190435031" TargetMode="External"/><Relationship Id="rId1918" Type="http://schemas.openxmlformats.org/officeDocument/2006/relationships/hyperlink" Target="https://www.instagram.com/jaeha.house/" TargetMode="External"/><Relationship Id="rId1919" Type="http://schemas.openxmlformats.org/officeDocument/2006/relationships/hyperlink" Target="https://www.threads.com/@thessam.me/post/DVhwZKjFIc0?xmt=AQF0s5OajEapt71ya7bICjeNTJBZylbB3mhNXezRR4W9qg" TargetMode="External"/><Relationship Id="rId1900" Type="http://schemas.openxmlformats.org/officeDocument/2006/relationships/hyperlink" Target="https://www.youtube.com/channel/UCOtBaQG3u5OkPDF9qez8HdQ" TargetMode="External"/><Relationship Id="rId1901" Type="http://schemas.openxmlformats.org/officeDocument/2006/relationships/hyperlink" Target="https://www.threads.com/@jaykimuniverse" TargetMode="External"/><Relationship Id="rId1902" Type="http://schemas.openxmlformats.org/officeDocument/2006/relationships/hyperlink" Target="https://www.youtube.com/channel/UCo1UakJ-QEHzyw2LWgrtLbw" TargetMode="External"/><Relationship Id="rId1903" Type="http://schemas.openxmlformats.org/officeDocument/2006/relationships/hyperlink" Target="https://www.instagram.com/jaykimuniverse/" TargetMode="External"/><Relationship Id="rId1904" Type="http://schemas.openxmlformats.org/officeDocument/2006/relationships/hyperlink" Target="https://www.youtube.com/watch?v=LORwj3vYFl4&amp;t=261s" TargetMode="External"/><Relationship Id="rId1905" Type="http://schemas.openxmlformats.org/officeDocument/2006/relationships/hyperlink" Target="https://cafe.naver.com/dinohighclass/110453" TargetMode="External"/><Relationship Id="rId1906" Type="http://schemas.openxmlformats.org/officeDocument/2006/relationships/hyperlink" Target="https://open.kakao.com/o/s5pnwl8h" TargetMode="External"/><Relationship Id="rId1907" Type="http://schemas.openxmlformats.org/officeDocument/2006/relationships/hyperlink" Target="https://www.youtube.com/@%EC%8B%AC%EC%8B%AC%ED%92%80%EC%9D%B4%EB%AC%BC%EC%9D%8C%ED%91%9C/shorts" TargetMode="External"/><Relationship Id="rId1908" Type="http://schemas.openxmlformats.org/officeDocument/2006/relationships/hyperlink" Target="https://www.youtube.com/@%EC%8B%AC%EC%8B%AC%ED%92%80%EC%9D%B4%EB%AC%BC%EC%9D%8C%ED%91%9C/shorts" TargetMode="External"/><Relationship Id="rId1909" Type="http://schemas.openxmlformats.org/officeDocument/2006/relationships/hyperlink" Target="https://www.youtube.com/watch?v=kVneSbxqm2I&amp;t=3s" TargetMode="External"/><Relationship Id="rId198" Type="http://schemas.openxmlformats.org/officeDocument/2006/relationships/hyperlink" Target="http://instagram.com/doklip.d" TargetMode="External"/><Relationship Id="rId197" Type="http://schemas.openxmlformats.org/officeDocument/2006/relationships/hyperlink" Target="http://www.youtube.com/@doklip.D" TargetMode="External"/><Relationship Id="rId196" Type="http://schemas.openxmlformats.org/officeDocument/2006/relationships/hyperlink" Target="https://www.jlinssam.com/?fbclid=PAQ0xDSwLaxudleHRuA2FlbQExAAGnfYaVaJaibacxhKs9p8p9dTQiu512XjQRaICJzNIDakvm5wSDG0P5IHulG2Y_aem_zuaL1F8GVysND-wos6Nn4A" TargetMode="External"/><Relationship Id="rId195" Type="http://schemas.openxmlformats.org/officeDocument/2006/relationships/hyperlink" Target="https://www.instagram.com/lowcut__official?igsh=MmRwNWdxbzF5d2hh" TargetMode="External"/><Relationship Id="rId199" Type="http://schemas.openxmlformats.org/officeDocument/2006/relationships/hyperlink" Target="https://wenson.kr/channels/L2NoYW5uZWxzLzk0MjA/C00007/classes/81614/information" TargetMode="External"/><Relationship Id="rId150" Type="http://schemas.openxmlformats.org/officeDocument/2006/relationships/hyperlink" Target="https://www.youtube.com/@WeelborgWilkens" TargetMode="External"/><Relationship Id="rId149" Type="http://schemas.openxmlformats.org/officeDocument/2006/relationships/hyperlink" Target="https://class101.net/ko/products/63200dea548df3000edddbf8" TargetMode="External"/><Relationship Id="rId148" Type="http://schemas.openxmlformats.org/officeDocument/2006/relationships/hyperlink" Target="https://link.inpock.co.kr/hayeon_0529?fbclid=PAZXh0bgNhZW0CMTEAAaaFNoZsHIzNNYfYCVvGDIaz0HBC04UalXGVfVO9G3xNBE3u2ul313OLJl4_aem_fdanGhRbDlK0qu_gjoXA4w" TargetMode="External"/><Relationship Id="rId1090" Type="http://schemas.openxmlformats.org/officeDocument/2006/relationships/hyperlink" Target="https://jinjeongsung.com/curation_apply" TargetMode="External"/><Relationship Id="rId1091" Type="http://schemas.openxmlformats.org/officeDocument/2006/relationships/hyperlink" Target="https://www.youtube.com/watch?v=uO51clQYnso" TargetMode="External"/><Relationship Id="rId1092" Type="http://schemas.openxmlformats.org/officeDocument/2006/relationships/hyperlink" Target="http://instagram.com/countryside.mouse" TargetMode="External"/><Relationship Id="rId1093" Type="http://schemas.openxmlformats.org/officeDocument/2006/relationships/hyperlink" Target="http://www.youtube.com/@sunny_ssam_" TargetMode="External"/><Relationship Id="rId1094" Type="http://schemas.openxmlformats.org/officeDocument/2006/relationships/hyperlink" Target="http://open.kakao.com/o/gOqmzldf" TargetMode="External"/><Relationship Id="rId143" Type="http://schemas.openxmlformats.org/officeDocument/2006/relationships/hyperlink" Target="https://www.instagram.com/satddu/" TargetMode="External"/><Relationship Id="rId1095" Type="http://schemas.openxmlformats.org/officeDocument/2006/relationships/hyperlink" Target="http://www.youtube.com/@sunny_ssam_" TargetMode="External"/><Relationship Id="rId142" Type="http://schemas.openxmlformats.org/officeDocument/2006/relationships/hyperlink" Target="https://www.youtube.com/@Satddu" TargetMode="External"/><Relationship Id="rId1096" Type="http://schemas.openxmlformats.org/officeDocument/2006/relationships/hyperlink" Target="https://www.youtube.com/redirect?event=channel_description&amp;redir_token=QUFFLUhqbEtpNWlqQTdvTzRuZklDTTliaEt6dzdlYVMwZ3xBQ3Jtc0trNlFWM0xTZU9YUTFvWVpnc2xwZDZHOFpZcXlVaXlaWUhxYmNvZWVVdzRmcG1HcG1rd3FkclljSFFZb1RPbWk5M2NsaTVVMWN2WUVaN3JIa29Pa25iY1BDMVRrbVBhTC04T1FtN3pEUmZZMUpJNWpSbw&amp;q=https%3A%2F%2Fwww.instagram.com%2Fsunny_ssam_" TargetMode="External"/><Relationship Id="rId141" Type="http://schemas.openxmlformats.org/officeDocument/2006/relationships/hyperlink" Target="https://bizboost.kr/" TargetMode="External"/><Relationship Id="rId1097" Type="http://schemas.openxmlformats.org/officeDocument/2006/relationships/hyperlink" Target="https://www.youtube.com/@DeokDi/videos" TargetMode="External"/><Relationship Id="rId140" Type="http://schemas.openxmlformats.org/officeDocument/2006/relationships/hyperlink" Target="https://link.inpock.co.kr/satddu?fbclid=PAZXh0bgNhZW0CMTEAAaaGBigBYaym-PmwhbXlsN0xBE4JqfNCVaTlkXrQ2FRKNm7K1zGrvj5FLxY_aem_9PzrIxqjkCL5rp7GNbDYiQ" TargetMode="External"/><Relationship Id="rId1098" Type="http://schemas.openxmlformats.org/officeDocument/2006/relationships/hyperlink" Target="https://www.youtube.com/@DeokDi/videos" TargetMode="External"/><Relationship Id="rId147" Type="http://schemas.openxmlformats.org/officeDocument/2006/relationships/hyperlink" Target="https://www.instagram.com/min_is__/" TargetMode="External"/><Relationship Id="rId1099" Type="http://schemas.openxmlformats.org/officeDocument/2006/relationships/hyperlink" Target="http://instagram.com/deok_di" TargetMode="External"/><Relationship Id="rId146" Type="http://schemas.openxmlformats.org/officeDocument/2006/relationships/hyperlink" Target="https://www.youtube.com/@WeelborgWilkens" TargetMode="External"/><Relationship Id="rId145" Type="http://schemas.openxmlformats.org/officeDocument/2006/relationships/hyperlink" Target="https://cafe.naver.com/minisnomad/687?tc=shared_link" TargetMode="External"/><Relationship Id="rId144" Type="http://schemas.openxmlformats.org/officeDocument/2006/relationships/hyperlink" Target="https://litt.ly/min_is__?fbclid=PAZXh0bgNhZW0CMTEAAaYDuVdxlaQiqeCT6Jxiun_x9KYu_1w31nnP9jXtmJVxuAkODsdOgrmEpFU_aem_fLiAqxGCbdiryrLnYQdwTQ" TargetMode="External"/><Relationship Id="rId139" Type="http://schemas.openxmlformats.org/officeDocument/2006/relationships/hyperlink" Target="https://www.instagram.com/chabuil_1/" TargetMode="External"/><Relationship Id="rId138" Type="http://schemas.openxmlformats.org/officeDocument/2006/relationships/hyperlink" Target="https://www.youtube.com/@TVchabuil" TargetMode="External"/><Relationship Id="rId137" Type="http://schemas.openxmlformats.org/officeDocument/2006/relationships/hyperlink" Target="https://linktr.ee/chabuil_1?fbclid=PAZXh0bgNhZW0CMTEAAaZyioZjI2BILOm4cXFRTgzWEBRhf0VqAPLvHyduvt6lrSymU3814Vsg0oQ_aem_Prj4H6d-KAJWVY7e6PoKpw" TargetMode="External"/><Relationship Id="rId1080" Type="http://schemas.openxmlformats.org/officeDocument/2006/relationships/hyperlink" Target="https://www.youtube.com/@%EB%A1%9C%ED%8C%90%EC%9E%A5TV" TargetMode="External"/><Relationship Id="rId1081" Type="http://schemas.openxmlformats.org/officeDocument/2006/relationships/hyperlink" Target="https://www.youtube.com/@%EB%A1%9C%ED%8C%90%EC%9E%A5TV" TargetMode="External"/><Relationship Id="rId1082" Type="http://schemas.openxmlformats.org/officeDocument/2006/relationships/hyperlink" Target="https://www.instagram.com/lopanjang_/" TargetMode="External"/><Relationship Id="rId1083" Type="http://schemas.openxmlformats.org/officeDocument/2006/relationships/hyperlink" Target="https://www.youtube.com/@eunddoll/videos" TargetMode="External"/><Relationship Id="rId132" Type="http://schemas.openxmlformats.org/officeDocument/2006/relationships/hyperlink" Target="https://blog.naver.com/o2muse/223711725511" TargetMode="External"/><Relationship Id="rId1084" Type="http://schemas.openxmlformats.org/officeDocument/2006/relationships/hyperlink" Target="https://contents.premium.naver.com/eunddoll/eunddollog/contents" TargetMode="External"/><Relationship Id="rId131" Type="http://schemas.openxmlformats.org/officeDocument/2006/relationships/hyperlink" Target="https://link.inpock.co.kr/masterpiece?fbclid=PAZXh0bgNhZW0CMTEAAaa066xMiI9_0zzb46f_TOSBqR-uAjiD9Vu9CKpDCxSvI1g5xm2qPdcC3Yc_aem_vacJbuetJ6P-ni6-MorzZg" TargetMode="External"/><Relationship Id="rId1085" Type="http://schemas.openxmlformats.org/officeDocument/2006/relationships/hyperlink" Target="https://www.youtube.com/@eunddoll/videos" TargetMode="External"/><Relationship Id="rId130" Type="http://schemas.openxmlformats.org/officeDocument/2006/relationships/hyperlink" Target="https://www.instagram.com/ccio_._/" TargetMode="External"/><Relationship Id="rId1086" Type="http://schemas.openxmlformats.org/officeDocument/2006/relationships/hyperlink" Target="https://www.youtube.com/@zzangcookiee/videos" TargetMode="External"/><Relationship Id="rId1087" Type="http://schemas.openxmlformats.org/officeDocument/2006/relationships/hyperlink" Target="https://smartstore.naver.com/af_life/products/10007088324" TargetMode="External"/><Relationship Id="rId136" Type="http://schemas.openxmlformats.org/officeDocument/2006/relationships/hyperlink" Target="https://www.instagram.com/gotjitip/" TargetMode="External"/><Relationship Id="rId1088" Type="http://schemas.openxmlformats.org/officeDocument/2006/relationships/hyperlink" Target="https://www.youtube.com/@zzangcookiee/videos" TargetMode="External"/><Relationship Id="rId135" Type="http://schemas.openxmlformats.org/officeDocument/2006/relationships/hyperlink" Target="https://www.youtube.com/@%EA%B0%93%EC%B0%8C%EB%87%BD/videos" TargetMode="External"/><Relationship Id="rId1089" Type="http://schemas.openxmlformats.org/officeDocument/2006/relationships/hyperlink" Target="https://www.youtube.com/watch?v=uO51clQYnso" TargetMode="External"/><Relationship Id="rId134" Type="http://schemas.openxmlformats.org/officeDocument/2006/relationships/hyperlink" Target="https://www.instagram.com/gotjitip/" TargetMode="External"/><Relationship Id="rId133" Type="http://schemas.openxmlformats.org/officeDocument/2006/relationships/hyperlink" Target="https://www.instagram.com/km_masterpiece/" TargetMode="External"/><Relationship Id="rId172" Type="http://schemas.openxmlformats.org/officeDocument/2006/relationships/hyperlink" Target="https://linktr.ee/winnersopenroom?fbclid=PAZXh0bgNhZW0CMTEAAaen5z3jeWWC44cHSnLc4eRPAJFeONhUATqr_kv7toCpq0dRiV-eYlkrJxR2FA_aem_uocB5ebtmIX6ZTjS4Yhh8g" TargetMode="External"/><Relationship Id="rId171" Type="http://schemas.openxmlformats.org/officeDocument/2006/relationships/hyperlink" Target="https://cyclehackers.com/product/235892/" TargetMode="External"/><Relationship Id="rId170" Type="http://schemas.openxmlformats.org/officeDocument/2006/relationships/hyperlink" Target="https://www.instagram.com/david_nazarite" TargetMode="External"/><Relationship Id="rId165" Type="http://schemas.openxmlformats.org/officeDocument/2006/relationships/hyperlink" Target="https://www.youtube.com/watch?v=sLU0_pLbCJA" TargetMode="External"/><Relationship Id="rId164" Type="http://schemas.openxmlformats.org/officeDocument/2006/relationships/hyperlink" Target="https://www.wadiz.kr/web/campaign/detail/326712" TargetMode="External"/><Relationship Id="rId163" Type="http://schemas.openxmlformats.org/officeDocument/2006/relationships/hyperlink" Target="https://www.youtube.com/@%EC%95%A0%EC%9C%A0%EB%AF%B81" TargetMode="External"/><Relationship Id="rId162" Type="http://schemas.openxmlformats.org/officeDocument/2006/relationships/hyperlink" Target="https://cyclehackers.com/product/296180/" TargetMode="External"/><Relationship Id="rId169" Type="http://schemas.openxmlformats.org/officeDocument/2006/relationships/hyperlink" Target="https://biz.taling.me/tutor/169" TargetMode="External"/><Relationship Id="rId168" Type="http://schemas.openxmlformats.org/officeDocument/2006/relationships/hyperlink" Target="https://cafe.naver.com/f-e/cafes/30819883/articles/42946?boardtype=L&amp;menuid=23&amp;referrerAllArticles=false" TargetMode="External"/><Relationship Id="rId167" Type="http://schemas.openxmlformats.org/officeDocument/2006/relationships/hyperlink" Target="https://www.instagram.com/travelrlo/" TargetMode="External"/><Relationship Id="rId166" Type="http://schemas.openxmlformats.org/officeDocument/2006/relationships/hyperlink" Target="https://www.wadiz.kr/web/campaign/detail/333208" TargetMode="External"/><Relationship Id="rId161" Type="http://schemas.openxmlformats.org/officeDocument/2006/relationships/hyperlink" Target="https://cafe.naver.com/f-e/cafes/31051320/menus/0?viewType=L" TargetMode="External"/><Relationship Id="rId160" Type="http://schemas.openxmlformats.org/officeDocument/2006/relationships/hyperlink" Target="https://www.instagram.com/100_maker/" TargetMode="External"/><Relationship Id="rId159" Type="http://schemas.openxmlformats.org/officeDocument/2006/relationships/hyperlink" Target="https://www.youtube.com/@%EC%9B%94%EB%B0%B1%EB%A9%94%EC%9D%B4%EC%BB%A4" TargetMode="External"/><Relationship Id="rId154" Type="http://schemas.openxmlformats.org/officeDocument/2006/relationships/hyperlink" Target="https://litt.ly/yukevin" TargetMode="External"/><Relationship Id="rId153" Type="http://schemas.openxmlformats.org/officeDocument/2006/relationships/hyperlink" Target="https://www.instagram.com/oranbi0622/" TargetMode="External"/><Relationship Id="rId152" Type="http://schemas.openxmlformats.org/officeDocument/2006/relationships/hyperlink" Target="https://litt.ly/yukevin" TargetMode="External"/><Relationship Id="rId151" Type="http://schemas.openxmlformats.org/officeDocument/2006/relationships/hyperlink" Target="https://www.instagram.com/min_is__/" TargetMode="External"/><Relationship Id="rId158" Type="http://schemas.openxmlformats.org/officeDocument/2006/relationships/hyperlink" Target="https://cyclehackers.com/product/237742/" TargetMode="External"/><Relationship Id="rId157" Type="http://schemas.openxmlformats.org/officeDocument/2006/relationships/hyperlink" Target="https://linktr.ee/doubleu.snap" TargetMode="External"/><Relationship Id="rId156" Type="http://schemas.openxmlformats.org/officeDocument/2006/relationships/hyperlink" Target="https://www.instagram.com/doubleu.snap/" TargetMode="External"/><Relationship Id="rId155" Type="http://schemas.openxmlformats.org/officeDocument/2006/relationships/hyperlink" Target="https://cyclehackers.com/product/246952/" TargetMode="External"/><Relationship Id="rId1972" Type="http://schemas.openxmlformats.org/officeDocument/2006/relationships/hyperlink" Target="https://www.instagram.com/dino.the.nomad/" TargetMode="External"/><Relationship Id="rId1973" Type="http://schemas.openxmlformats.org/officeDocument/2006/relationships/hyperlink" Target="https://www.youtube.com/@AI___Money" TargetMode="External"/><Relationship Id="rId1974" Type="http://schemas.openxmlformats.org/officeDocument/2006/relationships/hyperlink" Target="https://blog.naver.com/aimoney489/223615983289" TargetMode="External"/><Relationship Id="rId1975" Type="http://schemas.openxmlformats.org/officeDocument/2006/relationships/hyperlink" Target="https://www.youtube.com/@AI___Money" TargetMode="External"/><Relationship Id="rId1976" Type="http://schemas.openxmlformats.org/officeDocument/2006/relationships/hyperlink" Target="https://www.youtube.com/watch?v=Lazs6yt4_EI" TargetMode="External"/><Relationship Id="rId1977" Type="http://schemas.openxmlformats.org/officeDocument/2006/relationships/hyperlink" Target="https://pudufu.co.kr/" TargetMode="External"/><Relationship Id="rId1978" Type="http://schemas.openxmlformats.org/officeDocument/2006/relationships/hyperlink" Target="https://www.threads.com/@fruit_matjip" TargetMode="External"/><Relationship Id="rId1979" Type="http://schemas.openxmlformats.org/officeDocument/2006/relationships/hyperlink" Target="https://www.threads.com/@adseo_x" TargetMode="External"/><Relationship Id="rId1970" Type="http://schemas.openxmlformats.org/officeDocument/2006/relationships/hyperlink" Target="https://www.youtube.com/@dino_the_nomad" TargetMode="External"/><Relationship Id="rId1971" Type="http://schemas.openxmlformats.org/officeDocument/2006/relationships/hyperlink" Target="https://www.youtube.com/@dino_the_nomad" TargetMode="External"/><Relationship Id="rId1961" Type="http://schemas.openxmlformats.org/officeDocument/2006/relationships/hyperlink" Target="https://www.youtube.com/@dding_playlist" TargetMode="External"/><Relationship Id="rId1962" Type="http://schemas.openxmlformats.org/officeDocument/2006/relationships/hyperlink" Target="https://www.youtube.com/watch?v=5btRP2M1-f0" TargetMode="External"/><Relationship Id="rId1963" Type="http://schemas.openxmlformats.org/officeDocument/2006/relationships/hyperlink" Target="https://moneyroot.co.kr/shop/product/view?product_id=60&amp;event=68be6582bcf6c" TargetMode="External"/><Relationship Id="rId1964" Type="http://schemas.openxmlformats.org/officeDocument/2006/relationships/hyperlink" Target="https://www.youtube.com/watch?v=5btRP2M1-f0" TargetMode="External"/><Relationship Id="rId1965" Type="http://schemas.openxmlformats.org/officeDocument/2006/relationships/hyperlink" Target="https://www.instagram.com/diatomicarbon/" TargetMode="External"/><Relationship Id="rId1966" Type="http://schemas.openxmlformats.org/officeDocument/2006/relationships/hyperlink" Target="https://www.youtube.com/watch?v=WdGMe7JWdLU" TargetMode="External"/><Relationship Id="rId1967" Type="http://schemas.openxmlformats.org/officeDocument/2006/relationships/hyperlink" Target="https://docs.google.com/forms/d/e/1FAIpQLSeZYjhYqYHZ9WCu1Qlz8h9zAUgt8Ea2kEZNHjQGlYZ6-GBCGg/viewform" TargetMode="External"/><Relationship Id="rId1968" Type="http://schemas.openxmlformats.org/officeDocument/2006/relationships/hyperlink" Target="https://www.youtube.com/watch?v=WdGMe7JWdLU" TargetMode="External"/><Relationship Id="rId1969" Type="http://schemas.openxmlformats.org/officeDocument/2006/relationships/hyperlink" Target="https://www.instagram.com/suwelling_/" TargetMode="External"/><Relationship Id="rId1960" Type="http://schemas.openxmlformats.org/officeDocument/2006/relationships/hyperlink" Target="https://www.youtube.com/watch?v=ll7sbPnw76s" TargetMode="External"/><Relationship Id="rId1510" Type="http://schemas.openxmlformats.org/officeDocument/2006/relationships/hyperlink" Target="https://www.youtube.com/@JEanimation/featured" TargetMode="External"/><Relationship Id="rId1994" Type="http://schemas.openxmlformats.org/officeDocument/2006/relationships/hyperlink" Target="https://ahaimpact.co.kr/" TargetMode="External"/><Relationship Id="rId1511" Type="http://schemas.openxmlformats.org/officeDocument/2006/relationships/hyperlink" Target="https://business.inpock.co.kr/form?partner=je_animation" TargetMode="External"/><Relationship Id="rId1995" Type="http://schemas.openxmlformats.org/officeDocument/2006/relationships/hyperlink" Target="https://www.youtube.com/@Aha-Ai" TargetMode="External"/><Relationship Id="rId1512" Type="http://schemas.openxmlformats.org/officeDocument/2006/relationships/hyperlink" Target="https://www.youtube.com/@%EA%B2%BD%EC%A0%9C%ED%95%99%EB%98%91%EB%98%91%EC%9D%B4" TargetMode="External"/><Relationship Id="rId1996" Type="http://schemas.openxmlformats.org/officeDocument/2006/relationships/hyperlink" Target="https://www.instagram.com/aha_ai_kor/" TargetMode="External"/><Relationship Id="rId1513" Type="http://schemas.openxmlformats.org/officeDocument/2006/relationships/hyperlink" Target="https://www.youtube.com/@%EA%B2%BD%EC%A0%9C%ED%95%99%EB%98%91%EB%98%91" TargetMode="External"/><Relationship Id="rId1997" Type="http://schemas.openxmlformats.org/officeDocument/2006/relationships/hyperlink" Target="https://www.youtube.com/@%EC%A2%8B%EC%95%84%ED%95%98%EB%8A%94%EC%9D%BC%EB%A1%9C%EB%A8%B9%EA%B3%A0%EC%82%B4%EA%B8%B0" TargetMode="External"/><Relationship Id="rId1514" Type="http://schemas.openxmlformats.org/officeDocument/2006/relationships/hyperlink" Target="https://www.instagram.com/economics_ddok?igsh=MW12ZmZ2bmIyb2cxZw%3D%3D" TargetMode="External"/><Relationship Id="rId1998" Type="http://schemas.openxmlformats.org/officeDocument/2006/relationships/hyperlink" Target="https://blog.naver.com/nice554/223954133182" TargetMode="External"/><Relationship Id="rId1515" Type="http://schemas.openxmlformats.org/officeDocument/2006/relationships/hyperlink" Target="https://class101.net/ko/products/68301bdb3227e6644876feb3" TargetMode="External"/><Relationship Id="rId1999" Type="http://schemas.openxmlformats.org/officeDocument/2006/relationships/hyperlink" Target="https://www.youtube.com/@%EC%A2%8B%EC%95%84%ED%95%98%EB%8A%94%EC%9D%BC%EB%A1%9C%EB%A8%B9%EA%B3%A0%EC%82%B4%EA%B8%B0" TargetMode="External"/><Relationship Id="rId1516" Type="http://schemas.openxmlformats.org/officeDocument/2006/relationships/hyperlink" Target="https://class101.net/ko/products/68301bdb3227e6644876feb3" TargetMode="External"/><Relationship Id="rId1517" Type="http://schemas.openxmlformats.org/officeDocument/2006/relationships/hyperlink" Target="http://instagram.com/ai.play.ground" TargetMode="External"/><Relationship Id="rId1518" Type="http://schemas.openxmlformats.org/officeDocument/2006/relationships/hyperlink" Target="https://www.instagram.com/reelda__?utm_source=ig_web_button_share_sheet&amp;igsh=ZDNlZDc0MzIxNw==" TargetMode="External"/><Relationship Id="rId1519" Type="http://schemas.openxmlformats.org/officeDocument/2006/relationships/hyperlink" Target="https://www.instagram.com/reelda__?utm_source=ig_web_button_share_sheet&amp;igsh=ZDNlZDc0MzIxNw==" TargetMode="External"/><Relationship Id="rId1990" Type="http://schemas.openxmlformats.org/officeDocument/2006/relationships/hyperlink" Target="https://litt.ly/jpartner?fbclid=PAZXh0bgNhZW0CMTEAAacwCCZVt7Ek5-L7nx4kXryRs77WS0rxVpjRkunfr2V8xEQmKOn3BpxGiHumRQ_aem_Bf9F3bNS8GB-6S6Ra8i1Cw" TargetMode="External"/><Relationship Id="rId1991" Type="http://schemas.openxmlformats.org/officeDocument/2006/relationships/hyperlink" Target="https://www.youtube.com/@jpartner_ceo" TargetMode="External"/><Relationship Id="rId1992" Type="http://schemas.openxmlformats.org/officeDocument/2006/relationships/hyperlink" Target="https://www.instagram.com/jpartner.ceo/" TargetMode="External"/><Relationship Id="rId1993" Type="http://schemas.openxmlformats.org/officeDocument/2006/relationships/hyperlink" Target="https://www.youtube.com/@Aha-Ai" TargetMode="External"/><Relationship Id="rId1983" Type="http://schemas.openxmlformats.org/officeDocument/2006/relationships/hyperlink" Target="https://youtu.be/qqHe-LKiSfI?si=qj1No4PAK3DiG0YA" TargetMode="External"/><Relationship Id="rId1500" Type="http://schemas.openxmlformats.org/officeDocument/2006/relationships/hyperlink" Target="https://www.threads.com/@nyung_22?igshid=NTc4MTIwNjQ2YQ==" TargetMode="External"/><Relationship Id="rId1984" Type="http://schemas.openxmlformats.org/officeDocument/2006/relationships/hyperlink" Target="https://adaddition.liveklass.com/classes" TargetMode="External"/><Relationship Id="rId1501" Type="http://schemas.openxmlformats.org/officeDocument/2006/relationships/hyperlink" Target="https://www.threads.com/@topreal_js" TargetMode="External"/><Relationship Id="rId1985" Type="http://schemas.openxmlformats.org/officeDocument/2006/relationships/hyperlink" Target="https://www.youtube.com/@spharmy_" TargetMode="External"/><Relationship Id="rId1502" Type="http://schemas.openxmlformats.org/officeDocument/2006/relationships/hyperlink" Target="https://www.taling.me/talent/61878" TargetMode="External"/><Relationship Id="rId1986" Type="http://schemas.openxmlformats.org/officeDocument/2006/relationships/hyperlink" Target="https://www.classu.co.kr/class/classDetail/1013033" TargetMode="External"/><Relationship Id="rId1503" Type="http://schemas.openxmlformats.org/officeDocument/2006/relationships/hyperlink" Target="https://www.instagram.com/topreal_js/" TargetMode="External"/><Relationship Id="rId1987" Type="http://schemas.openxmlformats.org/officeDocument/2006/relationships/hyperlink" Target="https://www.classu.co.kr/class/classDetail/1013033" TargetMode="External"/><Relationship Id="rId1504" Type="http://schemas.openxmlformats.org/officeDocument/2006/relationships/hyperlink" Target="https://business.inpock.co.kr/profile/topjs" TargetMode="External"/><Relationship Id="rId1988" Type="http://schemas.openxmlformats.org/officeDocument/2006/relationships/hyperlink" Target="https://www.youtube.com/@31brand" TargetMode="External"/><Relationship Id="rId1505" Type="http://schemas.openxmlformats.org/officeDocument/2006/relationships/hyperlink" Target="https://www.youtube.com/@DrLee_youtube/videos" TargetMode="External"/><Relationship Id="rId1989" Type="http://schemas.openxmlformats.org/officeDocument/2006/relationships/hyperlink" Target="https://www.instagram.com/31brand/" TargetMode="External"/><Relationship Id="rId1506" Type="http://schemas.openxmlformats.org/officeDocument/2006/relationships/hyperlink" Target="https://www.youtube.com/@DrLee_youtube/videos" TargetMode="External"/><Relationship Id="rId1507" Type="http://schemas.openxmlformats.org/officeDocument/2006/relationships/hyperlink" Target="http://instagram.com/drlee_insta" TargetMode="External"/><Relationship Id="rId1508" Type="http://schemas.openxmlformats.org/officeDocument/2006/relationships/hyperlink" Target="https://www.youtube.com/@aidesignain/featured" TargetMode="External"/><Relationship Id="rId1509" Type="http://schemas.openxmlformats.org/officeDocument/2006/relationships/hyperlink" Target="https://www.instagram.com/ai_design_ain/" TargetMode="External"/><Relationship Id="rId1980" Type="http://schemas.openxmlformats.org/officeDocument/2006/relationships/hyperlink" Target="https://www.youtube.com/@aiebrain" TargetMode="External"/><Relationship Id="rId1981" Type="http://schemas.openxmlformats.org/officeDocument/2006/relationships/hyperlink" Target="https://www.youtube.com/@aiebrain" TargetMode="External"/><Relationship Id="rId1982" Type="http://schemas.openxmlformats.org/officeDocument/2006/relationships/hyperlink" Target="https://www.instagram.com/tableman05/" TargetMode="External"/><Relationship Id="rId1930" Type="http://schemas.openxmlformats.org/officeDocument/2006/relationships/hyperlink" Target="https://cafe.naver.com/ranschool/15688" TargetMode="External"/><Relationship Id="rId1931" Type="http://schemas.openxmlformats.org/officeDocument/2006/relationships/hyperlink" Target="https://cafe.naver.com/ranschool/5845" TargetMode="External"/><Relationship Id="rId1932" Type="http://schemas.openxmlformats.org/officeDocument/2006/relationships/hyperlink" Target="https://www.youtube.com/@%EC%A3%BC%EB%8A%94%EC%82%AC%EB%9E%80" TargetMode="External"/><Relationship Id="rId1933" Type="http://schemas.openxmlformats.org/officeDocument/2006/relationships/hyperlink" Target="https://www.instagram.com/ran0220/" TargetMode="External"/><Relationship Id="rId1934" Type="http://schemas.openxmlformats.org/officeDocument/2006/relationships/hyperlink" Target="https://pf.kakao.com/_nltxgxj" TargetMode="External"/><Relationship Id="rId1935" Type="http://schemas.openxmlformats.org/officeDocument/2006/relationships/hyperlink" Target="http://pf.kakao.com/_xbXJun" TargetMode="External"/><Relationship Id="rId1936" Type="http://schemas.openxmlformats.org/officeDocument/2006/relationships/hyperlink" Target="http://www.youtube.com/@fixup1122" TargetMode="External"/><Relationship Id="rId1937" Type="http://schemas.openxmlformats.org/officeDocument/2006/relationships/hyperlink" Target="https://litt.ly/fixup.kr" TargetMode="External"/><Relationship Id="rId1938" Type="http://schemas.openxmlformats.org/officeDocument/2006/relationships/hyperlink" Target="https://www.youtube.com/@1pyeong" TargetMode="External"/><Relationship Id="rId1939" Type="http://schemas.openxmlformats.org/officeDocument/2006/relationships/hyperlink" Target="https://www.classu.co.kr/class/classDetail/1017784" TargetMode="External"/><Relationship Id="rId1920" Type="http://schemas.openxmlformats.org/officeDocument/2006/relationships/hyperlink" Target="https://thessam.me/" TargetMode="External"/><Relationship Id="rId1921" Type="http://schemas.openxmlformats.org/officeDocument/2006/relationships/hyperlink" Target="https://www.instagram.com/garageband_kr/" TargetMode="External"/><Relationship Id="rId1922" Type="http://schemas.openxmlformats.org/officeDocument/2006/relationships/hyperlink" Target="https://ijino.net/" TargetMode="External"/><Relationship Id="rId1923" Type="http://schemas.openxmlformats.org/officeDocument/2006/relationships/hyperlink" Target="https://www.youtube.com/@ipadmusic" TargetMode="External"/><Relationship Id="rId1924" Type="http://schemas.openxmlformats.org/officeDocument/2006/relationships/hyperlink" Target="https://www.instagram.com/garageband_kr/" TargetMode="External"/><Relationship Id="rId1925" Type="http://schemas.openxmlformats.org/officeDocument/2006/relationships/hyperlink" Target="https://www.hooh.kr/sub/teacher/view.asp?m_idx=36839" TargetMode="External"/><Relationship Id="rId1926" Type="http://schemas.openxmlformats.org/officeDocument/2006/relationships/hyperlink" Target="https://link.inpock.co.kr/___simplyhome?utm_source=ig&amp;utm_medium=social&amp;utm_content=link_in_bio&amp;fbclid=PAZXh0bgNhZW0CMTEAc3J0YwZhcHBfaWQMMjU2MjgxMDQwNTU4AAGnSwEGSBOno34cl6Nv78vnF8GLosXGLx8Wn5rE5PSc0bfvpZzVXVffbG7RidE_aem_Dfsr-_JHHn4OMeIkj4CyLQ" TargetMode="External"/><Relationship Id="rId1927" Type="http://schemas.openxmlformats.org/officeDocument/2006/relationships/hyperlink" Target="https://www.instagram.com/__simplyhome?igsh=cXJtcGljenlqMDlw" TargetMode="External"/><Relationship Id="rId1928" Type="http://schemas.openxmlformats.org/officeDocument/2006/relationships/hyperlink" Target="https://www.instagram.com/ceo_hwang2018?utm_source=ig_web_button_share_sheet&amp;igsh=MTkzMHdkZmZsYmVvYQ==" TargetMode="External"/><Relationship Id="rId1929" Type="http://schemas.openxmlformats.org/officeDocument/2006/relationships/hyperlink" Target="https://www.instagram.com/ceo_hwang2018?utm_source=ig_web_button_share_sheet&amp;igsh=MTkzMHdkZmZsYmVvYQ==" TargetMode="External"/><Relationship Id="rId1950" Type="http://schemas.openxmlformats.org/officeDocument/2006/relationships/hyperlink" Target="https://youtu.be/__dwTCGns2w?si=FWWE8di-BzB8YtfJ" TargetMode="External"/><Relationship Id="rId1951" Type="http://schemas.openxmlformats.org/officeDocument/2006/relationships/hyperlink" Target="https://shortsinsight.notion.site/x-1500473defb180c08345fe9dae7464aa" TargetMode="External"/><Relationship Id="rId1952" Type="http://schemas.openxmlformats.org/officeDocument/2006/relationships/hyperlink" Target="https://youtu.be/__dwTCGns2w?si=FWWE8di-BzB8YtfJ" TargetMode="External"/><Relationship Id="rId1953" Type="http://schemas.openxmlformats.org/officeDocument/2006/relationships/hyperlink" Target="https://pf.kakao.com/_DXcPG" TargetMode="External"/><Relationship Id="rId1954" Type="http://schemas.openxmlformats.org/officeDocument/2006/relationships/hyperlink" Target="https://www.youtube.com/@donkrates" TargetMode="External"/><Relationship Id="rId1955" Type="http://schemas.openxmlformats.org/officeDocument/2006/relationships/hyperlink" Target="https://cafe.naver.com/donkmoney/18" TargetMode="External"/><Relationship Id="rId1956" Type="http://schemas.openxmlformats.org/officeDocument/2006/relationships/hyperlink" Target="https://www.youtube.com/@donkrates" TargetMode="External"/><Relationship Id="rId1957" Type="http://schemas.openxmlformats.org/officeDocument/2006/relationships/hyperlink" Target="https://www.youtube.com/watch?v=rzT6FQK4r2Q" TargetMode="External"/><Relationship Id="rId1958" Type="http://schemas.openxmlformats.org/officeDocument/2006/relationships/hyperlink" Target="https://freedompath.dothome.co.kr/" TargetMode="External"/><Relationship Id="rId1959" Type="http://schemas.openxmlformats.org/officeDocument/2006/relationships/hyperlink" Target="https://www.youtube.com/@dmddodmddod12" TargetMode="External"/><Relationship Id="rId1940" Type="http://schemas.openxmlformats.org/officeDocument/2006/relationships/hyperlink" Target="https://www.youtube.com/@1pyeong" TargetMode="External"/><Relationship Id="rId1941" Type="http://schemas.openxmlformats.org/officeDocument/2006/relationships/hyperlink" Target="https://www.youtube.com/watch?v=IJ-cfw0aNDc" TargetMode="External"/><Relationship Id="rId1942" Type="http://schemas.openxmlformats.org/officeDocument/2006/relationships/hyperlink" Target="https://weolbu.com/product/4505?utm_source=youtube&amp;utm_medium=organic&amp;utm_campaign=wb_content_class&amp;utm_content=4505&amp;utm_term=comment_mingoon_1_250818" TargetMode="External"/><Relationship Id="rId1943" Type="http://schemas.openxmlformats.org/officeDocument/2006/relationships/hyperlink" Target="https://www.youtube.com/@%EB%AF%BC%EA%B5%B0" TargetMode="External"/><Relationship Id="rId1944" Type="http://schemas.openxmlformats.org/officeDocument/2006/relationships/hyperlink" Target="https://www.instagram.com/go_mingoon/" TargetMode="External"/><Relationship Id="rId1945" Type="http://schemas.openxmlformats.org/officeDocument/2006/relationships/hyperlink" Target="mailto:gomingoon@gmail.com" TargetMode="External"/><Relationship Id="rId1946" Type="http://schemas.openxmlformats.org/officeDocument/2006/relationships/hyperlink" Target="https://www.youtube.com/@aipro-%EC%A0%9C%EC%9D%BC%EC%89%AC%EC%9A%B4/shorts" TargetMode="External"/><Relationship Id="rId1947" Type="http://schemas.openxmlformats.org/officeDocument/2006/relationships/hyperlink" Target="http://ailogy.kr/" TargetMode="External"/><Relationship Id="rId1948" Type="http://schemas.openxmlformats.org/officeDocument/2006/relationships/hyperlink" Target="https://www.youtube.com/@aipro-%EC%A0%9C%EC%9D%BC%EC%89%AC%EC%9A%B4/shorts" TargetMode="External"/><Relationship Id="rId1949" Type="http://schemas.openxmlformats.org/officeDocument/2006/relationships/hyperlink" Target="https://blog.naver.com/uripeoyn_" TargetMode="External"/><Relationship Id="rId1576" Type="http://schemas.openxmlformats.org/officeDocument/2006/relationships/hyperlink" Target="https://litt.ly/survival.marketing" TargetMode="External"/><Relationship Id="rId1577" Type="http://schemas.openxmlformats.org/officeDocument/2006/relationships/hyperlink" Target="https://www.youtube.com/@%EC%86%A1%EB%8D%95%EC%9D%BC%EC%9D%98%EC%83%9D%EC%A1%B4%EB%A7%88%EC%BC%80%ED%8C%85/shorts" TargetMode="External"/><Relationship Id="rId1578" Type="http://schemas.openxmlformats.org/officeDocument/2006/relationships/hyperlink" Target="http://instagram.com/song_the_way" TargetMode="External"/><Relationship Id="rId1579" Type="http://schemas.openxmlformats.org/officeDocument/2006/relationships/hyperlink" Target="https://www.youtube.com/@%EB%B2%A0%EC%9D%B4%EB%B9%84%ED%86%A1/shorts" TargetMode="External"/><Relationship Id="rId509" Type="http://schemas.openxmlformats.org/officeDocument/2006/relationships/hyperlink" Target="https://www.instagram.com/leedain_leader_in/" TargetMode="External"/><Relationship Id="rId508" Type="http://schemas.openxmlformats.org/officeDocument/2006/relationships/hyperlink" Target="https://linktr.ee/leader_in?fbclid=PAZXh0bgNhZW0CMTEAAafWO_kml5ULVSypBNocDva8H2yq1KSlHZdK84pQBoNU_z83DWChQ8l3rZxzXg_aem_PZJpBv4YSeEygCuRe6HUmg" TargetMode="External"/><Relationship Id="rId503" Type="http://schemas.openxmlformats.org/officeDocument/2006/relationships/hyperlink" Target="https://blog.naver.com/brandify99/223888709927" TargetMode="External"/><Relationship Id="rId987" Type="http://schemas.openxmlformats.org/officeDocument/2006/relationships/hyperlink" Target="https://coloso.co.kr/products/snack-branding-grimiart?utm_source=lecture-instagram&amp;utm_medium=organic&amp;utm_campaign=snack-branding-grimiart_auto_all&amp;utm_content=snack_snack-branding-grimiart_lecture-ig-referrals-250203&amp;fbclid=PAZXh0bgNhZW0CMTEAAafiwgQVyvJLkxPKk_xNY0Aa01aO-St8cUD-Cidv5CxjWT5Ulj_Ad8dyMUV9Mw_aem_SDO6Kq2DluFl7nBPr4_AyQ" TargetMode="External"/><Relationship Id="rId502" Type="http://schemas.openxmlformats.org/officeDocument/2006/relationships/hyperlink" Target="https://litt.ly/_mingdayy" TargetMode="External"/><Relationship Id="rId986" Type="http://schemas.openxmlformats.org/officeDocument/2006/relationships/hyperlink" Target="https://blog.naver.com/grimiartdesign" TargetMode="External"/><Relationship Id="rId501" Type="http://schemas.openxmlformats.org/officeDocument/2006/relationships/hyperlink" Target="http://instagram.com/_mingdayy" TargetMode="External"/><Relationship Id="rId985" Type="http://schemas.openxmlformats.org/officeDocument/2006/relationships/hyperlink" Target="https://www.instagram.com/happy.habbit/" TargetMode="External"/><Relationship Id="rId500" Type="http://schemas.openxmlformats.org/officeDocument/2006/relationships/hyperlink" Target="https://www.youtube.com/@%EB%B0%8D%EB%8D%B0%EC%9D%B4_mingdayy" TargetMode="External"/><Relationship Id="rId984" Type="http://schemas.openxmlformats.org/officeDocument/2006/relationships/hyperlink" Target="https://www.3o3campus.co.kr/prod/class_view/1102" TargetMode="External"/><Relationship Id="rId507" Type="http://schemas.openxmlformats.org/officeDocument/2006/relationships/hyperlink" Target="https://www.instagram.com/leedain_leader_in/" TargetMode="External"/><Relationship Id="rId506" Type="http://schemas.openxmlformats.org/officeDocument/2006/relationships/hyperlink" Target="http://instagram.com/brandify_do" TargetMode="External"/><Relationship Id="rId505" Type="http://schemas.openxmlformats.org/officeDocument/2006/relationships/hyperlink" Target="https://www.youtube.com/@Brandify_official" TargetMode="External"/><Relationship Id="rId989" Type="http://schemas.openxmlformats.org/officeDocument/2006/relationships/hyperlink" Target="https://www.youtube.com/@matchingai/shorts" TargetMode="External"/><Relationship Id="rId504" Type="http://schemas.openxmlformats.org/officeDocument/2006/relationships/hyperlink" Target="https://pf.kakao.com/_ImbJn" TargetMode="External"/><Relationship Id="rId988" Type="http://schemas.openxmlformats.org/officeDocument/2006/relationships/hyperlink" Target="https://www.instagram.com/grimiartdesign/" TargetMode="External"/><Relationship Id="rId1570" Type="http://schemas.openxmlformats.org/officeDocument/2006/relationships/hyperlink" Target="https://www.n-plus.co.kr/" TargetMode="External"/><Relationship Id="rId1571" Type="http://schemas.openxmlformats.org/officeDocument/2006/relationships/hyperlink" Target="https://www.tiktok.com/@with_j_2021?is_from_webapp=1&amp;sender_device=pc" TargetMode="External"/><Relationship Id="rId983" Type="http://schemas.openxmlformats.org/officeDocument/2006/relationships/hyperlink" Target="https://www.youtube.com/watch?v=nv9Lcs6aHfM" TargetMode="External"/><Relationship Id="rId1572" Type="http://schemas.openxmlformats.org/officeDocument/2006/relationships/hyperlink" Target="https://www.instagram.com/reel/CqhIg6Wg9Yi/?utm_source=ig_web_button_share_sheet&amp;igsh=MzRlODBiNWFlZA==" TargetMode="External"/><Relationship Id="rId982" Type="http://schemas.openxmlformats.org/officeDocument/2006/relationships/hyperlink" Target="https://www.instagram.com/song_ping7/reels/" TargetMode="External"/><Relationship Id="rId1573" Type="http://schemas.openxmlformats.org/officeDocument/2006/relationships/hyperlink" Target="https://www.youtube.com/@%EC%A1%B0%ED%98%84%EC%A0%95tv%EA%B8%8D%EC%A0%95%EC%9D%98%ED%9E%98" TargetMode="External"/><Relationship Id="rId981" Type="http://schemas.openxmlformats.org/officeDocument/2006/relationships/hyperlink" Target="https://www.youtube.com/@%EB%9D%BC%EC%9D%B4%ED%94%84%EB%9F%AC%EB%8B%9D098" TargetMode="External"/><Relationship Id="rId1574" Type="http://schemas.openxmlformats.org/officeDocument/2006/relationships/hyperlink" Target="https://www.instagram.com/with_j_2021?igsh=M2xxY3hsOTE2djc%3D" TargetMode="External"/><Relationship Id="rId980" Type="http://schemas.openxmlformats.org/officeDocument/2006/relationships/hyperlink" Target="https://www.instagram.com/song_ping7/reels/" TargetMode="External"/><Relationship Id="rId1575" Type="http://schemas.openxmlformats.org/officeDocument/2006/relationships/hyperlink" Target="https://cafe.naver.com/viralers/306" TargetMode="External"/><Relationship Id="rId1565" Type="http://schemas.openxmlformats.org/officeDocument/2006/relationships/hyperlink" Target="https://www.youtube.com/@tp33571/shorts" TargetMode="External"/><Relationship Id="rId1566" Type="http://schemas.openxmlformats.org/officeDocument/2006/relationships/hyperlink" Target="https://www.youtube.com/@AI__Labs_M" TargetMode="External"/><Relationship Id="rId1567" Type="http://schemas.openxmlformats.org/officeDocument/2006/relationships/hyperlink" Target="https://www.youtube.com/@AI__Labs_M" TargetMode="External"/><Relationship Id="rId1568" Type="http://schemas.openxmlformats.org/officeDocument/2006/relationships/hyperlink" Target="https://www.youtube.com/watch?v=pymjzBe6KU8" TargetMode="External"/><Relationship Id="rId1569" Type="http://schemas.openxmlformats.org/officeDocument/2006/relationships/hyperlink" Target="https://www.youtube.com/@AI%ED%8F%AC%EC%BC%93" TargetMode="External"/><Relationship Id="rId976" Type="http://schemas.openxmlformats.org/officeDocument/2006/relationships/hyperlink" Target="https://www.instagram.com/gpt_kimisa/" TargetMode="External"/><Relationship Id="rId975" Type="http://schemas.openxmlformats.org/officeDocument/2006/relationships/hyperlink" Target="https://www.youtube.com/@GPT_kimisa/featured" TargetMode="External"/><Relationship Id="rId974" Type="http://schemas.openxmlformats.org/officeDocument/2006/relationships/hyperlink" Target="https://www.latpeed.com/memberships/68773768fc1ea43c259dc67c" TargetMode="External"/><Relationship Id="rId973" Type="http://schemas.openxmlformats.org/officeDocument/2006/relationships/hyperlink" Target="https://www.youtube.com/@GPT_kimisa/featured" TargetMode="External"/><Relationship Id="rId979" Type="http://schemas.openxmlformats.org/officeDocument/2006/relationships/hyperlink" Target="https://www.instagram.com/quick_richx/reels/" TargetMode="External"/><Relationship Id="rId978" Type="http://schemas.openxmlformats.org/officeDocument/2006/relationships/hyperlink" Target="https://www.wadiz.kr/web/store/detail/6008" TargetMode="External"/><Relationship Id="rId977" Type="http://schemas.openxmlformats.org/officeDocument/2006/relationships/hyperlink" Target="https://open.kakao.com/o/gY69jsBh" TargetMode="External"/><Relationship Id="rId1560" Type="http://schemas.openxmlformats.org/officeDocument/2006/relationships/hyperlink" Target="https://accontentlab.com/" TargetMode="External"/><Relationship Id="rId972" Type="http://schemas.openxmlformats.org/officeDocument/2006/relationships/hyperlink" Target="https://www.instagram.com/dreamatic_asmr/" TargetMode="External"/><Relationship Id="rId1561" Type="http://schemas.openxmlformats.org/officeDocument/2006/relationships/hyperlink" Target="https://www.youtube.com/@%EC%89%AC%EC%9A%B4%EB%94%94%EC%A7%80%ED%84%B8" TargetMode="External"/><Relationship Id="rId971" Type="http://schemas.openxmlformats.org/officeDocument/2006/relationships/hyperlink" Target="https://www.youtube.com/@Dreamaticasmr" TargetMode="External"/><Relationship Id="rId1562" Type="http://schemas.openxmlformats.org/officeDocument/2006/relationships/hyperlink" Target="https://www.youtube.com/@kangdaldal/shorts" TargetMode="External"/><Relationship Id="rId970" Type="http://schemas.openxmlformats.org/officeDocument/2006/relationships/hyperlink" Target="https://www.youtube.com/@Dreamaticasmr" TargetMode="External"/><Relationship Id="rId1563" Type="http://schemas.openxmlformats.org/officeDocument/2006/relationships/hyperlink" Target="http://instagram.com/kangdaldal" TargetMode="External"/><Relationship Id="rId1564" Type="http://schemas.openxmlformats.org/officeDocument/2006/relationships/hyperlink" Target="https://www.youtube.com/@tp33571/shorts" TargetMode="External"/><Relationship Id="rId1114" Type="http://schemas.openxmlformats.org/officeDocument/2006/relationships/hyperlink" Target="https://www.youtube.com/@allggu" TargetMode="External"/><Relationship Id="rId1598" Type="http://schemas.openxmlformats.org/officeDocument/2006/relationships/hyperlink" Target="https://booupplay.com/28" TargetMode="External"/><Relationship Id="rId1115" Type="http://schemas.openxmlformats.org/officeDocument/2006/relationships/hyperlink" Target="https://www.instagram.com/allggu59/" TargetMode="External"/><Relationship Id="rId1599" Type="http://schemas.openxmlformats.org/officeDocument/2006/relationships/hyperlink" Target="https://booupplay.com/28" TargetMode="External"/><Relationship Id="rId1116" Type="http://schemas.openxmlformats.org/officeDocument/2006/relationships/hyperlink" Target="https://www.youtube.com/watch?v=ccjpn-u6-LM&amp;t=301s" TargetMode="External"/><Relationship Id="rId1117" Type="http://schemas.openxmlformats.org/officeDocument/2006/relationships/hyperlink" Target="https://millmus.com/" TargetMode="External"/><Relationship Id="rId1118" Type="http://schemas.openxmlformats.org/officeDocument/2006/relationships/hyperlink" Target="https://www.instagram.com/hongthehiedi/" TargetMode="External"/><Relationship Id="rId1119" Type="http://schemas.openxmlformats.org/officeDocument/2006/relationships/hyperlink" Target="https://cyclehackers.com/product/535075/" TargetMode="External"/><Relationship Id="rId525" Type="http://schemas.openxmlformats.org/officeDocument/2006/relationships/hyperlink" Target="https://starry.liveklass.com/classes/232457" TargetMode="External"/><Relationship Id="rId524" Type="http://schemas.openxmlformats.org/officeDocument/2006/relationships/hyperlink" Target="https://www.youtube.com/@starrybitna" TargetMode="External"/><Relationship Id="rId523" Type="http://schemas.openxmlformats.org/officeDocument/2006/relationships/hyperlink" Target="https://www.instagram.com/life_cheerer_/" TargetMode="External"/><Relationship Id="rId522" Type="http://schemas.openxmlformats.org/officeDocument/2006/relationships/hyperlink" Target="https://www.youtube.com/channel/UCmw0coUVbJqf7CYV5VVBiTw" TargetMode="External"/><Relationship Id="rId529" Type="http://schemas.openxmlformats.org/officeDocument/2006/relationships/hyperlink" Target="https://www.taling.me/mkt/emma_1?utm_source=igfb_profile&amp;utm_campaign=emma_purchase&amp;fbclid=PAZXh0bgNhZW0CMTEAAaeZz_fgHO_x3dl4E64BEqqGqEU3bFPtf_y7ZqVW3dfPLe37IBUPYPbDyZqE8g_aem_a1_JVkzRdpBgYvmATii6Ow" TargetMode="External"/><Relationship Id="rId528" Type="http://schemas.openxmlformats.org/officeDocument/2006/relationships/hyperlink" Target="https://www.instagram.com/emmatutor.insta?utm_source=ig_web_button_share_sheet&amp;igsh=MTdjcHFuMHM1c210cg==" TargetMode="External"/><Relationship Id="rId527" Type="http://schemas.openxmlformats.org/officeDocument/2006/relationships/hyperlink" Target="http://instagram.com/starrybitna" TargetMode="External"/><Relationship Id="rId526" Type="http://schemas.openxmlformats.org/officeDocument/2006/relationships/hyperlink" Target="https://www.youtube.com/@starrybitna" TargetMode="External"/><Relationship Id="rId1590" Type="http://schemas.openxmlformats.org/officeDocument/2006/relationships/hyperlink" Target="https://www.youtube.com/@%EC%82%B0%ED%83%80%EB%A7%98TV" TargetMode="External"/><Relationship Id="rId1591" Type="http://schemas.openxmlformats.org/officeDocument/2006/relationships/hyperlink" Target="https://www.instagram.com/santamom_insta/" TargetMode="External"/><Relationship Id="rId1592" Type="http://schemas.openxmlformats.org/officeDocument/2006/relationships/hyperlink" Target="https://www.instagram.com/aegyo_unni/" TargetMode="External"/><Relationship Id="rId1593" Type="http://schemas.openxmlformats.org/officeDocument/2006/relationships/hyperlink" Target="https://form.naver.com/response/FRT5Xj40b-PRoWLs4hdPhg" TargetMode="External"/><Relationship Id="rId521" Type="http://schemas.openxmlformats.org/officeDocument/2006/relationships/hyperlink" Target="https://blog.naver.com/PostList.naver?blogId=hceo0518&amp;from=postList&amp;categoryNo=170" TargetMode="External"/><Relationship Id="rId1110" Type="http://schemas.openxmlformats.org/officeDocument/2006/relationships/hyperlink" Target="https://www.youtube.com/@florist_hyeseon" TargetMode="External"/><Relationship Id="rId1594" Type="http://schemas.openxmlformats.org/officeDocument/2006/relationships/hyperlink" Target="https://www.instagram.com/aegyo_unni/" TargetMode="External"/><Relationship Id="rId520" Type="http://schemas.openxmlformats.org/officeDocument/2006/relationships/hyperlink" Target="https://www.instagram.com/mk_moneytipip/?utm_source=ig_web_button_share_sheet" TargetMode="External"/><Relationship Id="rId1111" Type="http://schemas.openxmlformats.org/officeDocument/2006/relationships/hyperlink" Target="https://www.instagram.com/florist_hyeseon" TargetMode="External"/><Relationship Id="rId1595" Type="http://schemas.openxmlformats.org/officeDocument/2006/relationships/hyperlink" Target="https://www.youtube.com/@royce_story" TargetMode="External"/><Relationship Id="rId1112" Type="http://schemas.openxmlformats.org/officeDocument/2006/relationships/hyperlink" Target="https://millmus.com/lecture/detail/592" TargetMode="External"/><Relationship Id="rId1596" Type="http://schemas.openxmlformats.org/officeDocument/2006/relationships/hyperlink" Target="https://www.youtube.com/@royce_story" TargetMode="External"/><Relationship Id="rId1113" Type="http://schemas.openxmlformats.org/officeDocument/2006/relationships/hyperlink" Target="https://millmus.com/" TargetMode="External"/><Relationship Id="rId1597" Type="http://schemas.openxmlformats.org/officeDocument/2006/relationships/hyperlink" Target="https://www.instagram.com/royce__story/" TargetMode="External"/><Relationship Id="rId1103" Type="http://schemas.openxmlformats.org/officeDocument/2006/relationships/hyperlink" Target="http://instagram.com/alphamale__2025" TargetMode="External"/><Relationship Id="rId1587" Type="http://schemas.openxmlformats.org/officeDocument/2006/relationships/hyperlink" Target="https://marketing-way.co.kr/" TargetMode="External"/><Relationship Id="rId1104" Type="http://schemas.openxmlformats.org/officeDocument/2006/relationships/hyperlink" Target="mailto:rlackdtlr12123@gmail.com" TargetMode="External"/><Relationship Id="rId1588" Type="http://schemas.openxmlformats.org/officeDocument/2006/relationships/hyperlink" Target="https://www.youtube.com/@moneycoach" TargetMode="External"/><Relationship Id="rId1105" Type="http://schemas.openxmlformats.org/officeDocument/2006/relationships/hyperlink" Target="https://millmus.com/lecture/detail/595" TargetMode="External"/><Relationship Id="rId1589" Type="http://schemas.openxmlformats.org/officeDocument/2006/relationships/hyperlink" Target="https://www.youtube.com/@%EC%82%B0%ED%83%80%EB%A7%98TV" TargetMode="External"/><Relationship Id="rId1106" Type="http://schemas.openxmlformats.org/officeDocument/2006/relationships/hyperlink" Target="https://millmus.com/" TargetMode="External"/><Relationship Id="rId1107" Type="http://schemas.openxmlformats.org/officeDocument/2006/relationships/hyperlink" Target="https://www.instagram.com/rothko_onyourpick" TargetMode="External"/><Relationship Id="rId1108" Type="http://schemas.openxmlformats.org/officeDocument/2006/relationships/hyperlink" Target="https://millmus.com/lecture/detail/580" TargetMode="External"/><Relationship Id="rId1109" Type="http://schemas.openxmlformats.org/officeDocument/2006/relationships/hyperlink" Target="https://millmus.com/" TargetMode="External"/><Relationship Id="rId519" Type="http://schemas.openxmlformats.org/officeDocument/2006/relationships/hyperlink" Target="https://richpicks.co.kr/" TargetMode="External"/><Relationship Id="rId514" Type="http://schemas.openxmlformats.org/officeDocument/2006/relationships/hyperlink" Target="https://litt.ly/httpsopen.kakao.commesnsmarketing1?fbclid=PAZXh0bgNhZW0CMTEAAadg8TkL6P0zX8nGDB0m5hjb7KAQrsXLWAKKaxijkGBjwxMaJh3YlBF8OuM1bg_aem_2ApxGhOebF8Tl-afliFKgQ" TargetMode="External"/><Relationship Id="rId998" Type="http://schemas.openxmlformats.org/officeDocument/2006/relationships/hyperlink" Target="https://blog.naver.com/ggumbary/223916010474" TargetMode="External"/><Relationship Id="rId513" Type="http://schemas.openxmlformats.org/officeDocument/2006/relationships/hyperlink" Target="https://www.instagram.com/father_yoon/" TargetMode="External"/><Relationship Id="rId997" Type="http://schemas.openxmlformats.org/officeDocument/2006/relationships/hyperlink" Target="https://www.upskill.kr/" TargetMode="External"/><Relationship Id="rId512" Type="http://schemas.openxmlformats.org/officeDocument/2006/relationships/hyperlink" Target="https://www.youtube.com/@%EC%95%84%EB%B9%A0%EC%9C%A4fatheryoon/videos" TargetMode="External"/><Relationship Id="rId996" Type="http://schemas.openxmlformats.org/officeDocument/2006/relationships/hyperlink" Target="https://www.youtube.com/shorts/83NB2iZwidU" TargetMode="External"/><Relationship Id="rId511" Type="http://schemas.openxmlformats.org/officeDocument/2006/relationships/hyperlink" Target="https://docs.google.com/forms/d/e/1FAIpQLSdEYLoJHb-MxOSbl2REpMicrpTPoe49KAh4KXXGTpE9yQHIDA/viewform" TargetMode="External"/><Relationship Id="rId995" Type="http://schemas.openxmlformats.org/officeDocument/2006/relationships/hyperlink" Target="https://www.instagram.com/hk3rb/" TargetMode="External"/><Relationship Id="rId518" Type="http://schemas.openxmlformats.org/officeDocument/2006/relationships/hyperlink" Target="https://www.instagram.com/mk_moneytipip/?utm_source=ig_web_button_share_sheet" TargetMode="External"/><Relationship Id="rId517" Type="http://schemas.openxmlformats.org/officeDocument/2006/relationships/hyperlink" Target="https://www.youtube.com/@masterbot/videos" TargetMode="External"/><Relationship Id="rId516" Type="http://schemas.openxmlformats.org/officeDocument/2006/relationships/hyperlink" Target="https://www.youtube.com/@masterbot/videos" TargetMode="External"/><Relationship Id="rId515" Type="http://schemas.openxmlformats.org/officeDocument/2006/relationships/hyperlink" Target="https://www.instagram.com/gogosing__77/" TargetMode="External"/><Relationship Id="rId999" Type="http://schemas.openxmlformats.org/officeDocument/2006/relationships/hyperlink" Target="https://cafe.naver.com/f-e/cafes/11091130/menus/22" TargetMode="External"/><Relationship Id="rId990" Type="http://schemas.openxmlformats.org/officeDocument/2006/relationships/hyperlink" Target="https://www.youtube.com/@matchingai" TargetMode="External"/><Relationship Id="rId1580" Type="http://schemas.openxmlformats.org/officeDocument/2006/relationships/hyperlink" Target="https://www.youtube.com/@%EB%B2%A0%EC%9D%B4%EB%B9%84%ED%86%A1/shorts" TargetMode="External"/><Relationship Id="rId1581" Type="http://schemas.openxmlformats.org/officeDocument/2006/relationships/hyperlink" Target="https://www.youtube.com/watch?v=AzCPPisbrUc" TargetMode="External"/><Relationship Id="rId1582" Type="http://schemas.openxmlformats.org/officeDocument/2006/relationships/hyperlink" Target="https://www.youtube.com/@Toaday_Ai_animation" TargetMode="External"/><Relationship Id="rId510" Type="http://schemas.openxmlformats.org/officeDocument/2006/relationships/hyperlink" Target="https://www.youtube.com/@%EC%95%84%EB%B9%A0%EC%9C%A4fatheryoon/videos" TargetMode="External"/><Relationship Id="rId994" Type="http://schemas.openxmlformats.org/officeDocument/2006/relationships/hyperlink" Target="https://www.wadiz.kr/web/maker/detail/5592940?path=reward_detail" TargetMode="External"/><Relationship Id="rId1583" Type="http://schemas.openxmlformats.org/officeDocument/2006/relationships/hyperlink" Target="https://www.threads.com/@ssul_luragi?hl=ko" TargetMode="External"/><Relationship Id="rId993" Type="http://schemas.openxmlformats.org/officeDocument/2006/relationships/hyperlink" Target="https://kmong.com/gig/688480" TargetMode="External"/><Relationship Id="rId1100" Type="http://schemas.openxmlformats.org/officeDocument/2006/relationships/hyperlink" Target="https://www.youtube.com/watch?v=rgtuRZp0I7c" TargetMode="External"/><Relationship Id="rId1584" Type="http://schemas.openxmlformats.org/officeDocument/2006/relationships/hyperlink" Target="https://ssulluragi.liveklass.com/" TargetMode="External"/><Relationship Id="rId992" Type="http://schemas.openxmlformats.org/officeDocument/2006/relationships/hyperlink" Target="https://kmong.com/gig/688480" TargetMode="External"/><Relationship Id="rId1101" Type="http://schemas.openxmlformats.org/officeDocument/2006/relationships/hyperlink" Target="https://adsensefarm.kr/" TargetMode="External"/><Relationship Id="rId1585" Type="http://schemas.openxmlformats.org/officeDocument/2006/relationships/hyperlink" Target="https://www.youtube.com/@S_luragi/shorts" TargetMode="External"/><Relationship Id="rId991" Type="http://schemas.openxmlformats.org/officeDocument/2006/relationships/hyperlink" Target="https://www.instagram.com/matching.ai/" TargetMode="External"/><Relationship Id="rId1102" Type="http://schemas.openxmlformats.org/officeDocument/2006/relationships/hyperlink" Target="https://www.youtube.com/@alphamale2024/videos" TargetMode="External"/><Relationship Id="rId1586" Type="http://schemas.openxmlformats.org/officeDocument/2006/relationships/hyperlink" Target="https://www.instagram.com/ssul_luragi/" TargetMode="External"/><Relationship Id="rId1532" Type="http://schemas.openxmlformats.org/officeDocument/2006/relationships/hyperlink" Target="https://www.youtube.com/@Thincademy/videos" TargetMode="External"/><Relationship Id="rId1533" Type="http://schemas.openxmlformats.org/officeDocument/2006/relationships/hyperlink" Target="https://thincademy.com/lead-capture-yt-1-page-3418-5406-6378-5954-8035-1633-6160-8149-8283" TargetMode="External"/><Relationship Id="rId1534" Type="http://schemas.openxmlformats.org/officeDocument/2006/relationships/hyperlink" Target="https://www.youtube.com/watch?v=e8phSJaQ_EI" TargetMode="External"/><Relationship Id="rId1535" Type="http://schemas.openxmlformats.org/officeDocument/2006/relationships/hyperlink" Target="https://www.youtube.com/@qjc_qjc" TargetMode="External"/><Relationship Id="rId1536" Type="http://schemas.openxmlformats.org/officeDocument/2006/relationships/hyperlink" Target="https://www.youtube.com/watch?v=Pe5g8tOtvMM" TargetMode="External"/><Relationship Id="rId1537" Type="http://schemas.openxmlformats.org/officeDocument/2006/relationships/hyperlink" Target="https://www.youtube.com/@lazy4achiever" TargetMode="External"/><Relationship Id="rId1538" Type="http://schemas.openxmlformats.org/officeDocument/2006/relationships/hyperlink" Target="https://www.threads.com/@fastgrow_up" TargetMode="External"/><Relationship Id="rId1539" Type="http://schemas.openxmlformats.org/officeDocument/2006/relationships/hyperlink" Target="https://www.instagram.com/fastgrow_up/?hl=ko" TargetMode="External"/><Relationship Id="rId949" Type="http://schemas.openxmlformats.org/officeDocument/2006/relationships/hyperlink" Target="https://docs.google.com/forms/d/e/1FAIpQLSdoQqOcRhZTlJcrWNAzJ7mvU1y35DujssdGzrTbWnMOYfVE6w/viewform" TargetMode="External"/><Relationship Id="rId948" Type="http://schemas.openxmlformats.org/officeDocument/2006/relationships/hyperlink" Target="https://www.instagram.com/ai__lol__lab?igsh=MTlhZnh1cDNhNmYzNg%3D%3D" TargetMode="External"/><Relationship Id="rId943" Type="http://schemas.openxmlformats.org/officeDocument/2006/relationships/hyperlink" Target="https://www.instagram.com/human__bro?igsh=MWl0OGh0bXp1cndrYw==" TargetMode="External"/><Relationship Id="rId942" Type="http://schemas.openxmlformats.org/officeDocument/2006/relationships/hyperlink" Target="https://www.threads.com/@human__bro?igshid=NTc4MTIwNjQ2YQ==" TargetMode="External"/><Relationship Id="rId941" Type="http://schemas.openxmlformats.org/officeDocument/2006/relationships/hyperlink" Target="https://docs.google.com/forms/d/1grj8gyF7-UGS0CM-mHaYU_9kR4fWVHRxrA32hrBglSI/viewform?edit_requested=true" TargetMode="External"/><Relationship Id="rId940" Type="http://schemas.openxmlformats.org/officeDocument/2006/relationships/hyperlink" Target="http://bit.ly/4nDD7kd" TargetMode="External"/><Relationship Id="rId947" Type="http://schemas.openxmlformats.org/officeDocument/2006/relationships/hyperlink" Target="https://www.youtube.com/@AI-LOLLAB/featured" TargetMode="External"/><Relationship Id="rId946" Type="http://schemas.openxmlformats.org/officeDocument/2006/relationships/hyperlink" Target="https://www.instagram.com/ai__lol__lab?igsh=MTlhZnh1cDNhNmYzNg%3D%3D" TargetMode="External"/><Relationship Id="rId945" Type="http://schemas.openxmlformats.org/officeDocument/2006/relationships/hyperlink" Target="https://www.instagram.com/nd_form?igsh=MTR2aDlwbjNrYnZ4dg==" TargetMode="External"/><Relationship Id="rId944" Type="http://schemas.openxmlformats.org/officeDocument/2006/relationships/hyperlink" Target="https://www.threads.com/@nd_form?igshid=NTc4MTIwNjQ2YQ==" TargetMode="External"/><Relationship Id="rId1530" Type="http://schemas.openxmlformats.org/officeDocument/2006/relationships/hyperlink" Target="https://www.youtube.com/@theminicap" TargetMode="External"/><Relationship Id="rId1531" Type="http://schemas.openxmlformats.org/officeDocument/2006/relationships/hyperlink" Target="https://www.youtube.com/@theminicap" TargetMode="External"/><Relationship Id="rId1521" Type="http://schemas.openxmlformats.org/officeDocument/2006/relationships/hyperlink" Target="https://www.youtube.com/@AI_Boda/shorts" TargetMode="External"/><Relationship Id="rId1522" Type="http://schemas.openxmlformats.org/officeDocument/2006/relationships/hyperlink" Target="https://www.youtube.com/watch?v=3O13Q2A86_A" TargetMode="External"/><Relationship Id="rId1523" Type="http://schemas.openxmlformats.org/officeDocument/2006/relationships/hyperlink" Target="https://www.youtube.com/@AI_LEADERS_LAB" TargetMode="External"/><Relationship Id="rId1524" Type="http://schemas.openxmlformats.org/officeDocument/2006/relationships/hyperlink" Target="https://www.youtube.com/watch?v=dF5HKYA4mKQ" TargetMode="External"/><Relationship Id="rId1525" Type="http://schemas.openxmlformats.org/officeDocument/2006/relationships/hyperlink" Target="https://www.youtube.com/@%EB%8F%99%EA%B5%B4%EB%A6%AC%EB%B7%B0" TargetMode="External"/><Relationship Id="rId1526" Type="http://schemas.openxmlformats.org/officeDocument/2006/relationships/hyperlink" Target="https://www.youtube.com/watch?v=JYnBWikRM0c" TargetMode="External"/><Relationship Id="rId1527" Type="http://schemas.openxmlformats.org/officeDocument/2006/relationships/hyperlink" Target="https://cafe.naver.com/f-e/cafes/31511526/articles/1482?boardtype=L&amp;menuid=103&amp;referrerAllArticles=false" TargetMode="External"/><Relationship Id="rId1528" Type="http://schemas.openxmlformats.org/officeDocument/2006/relationships/hyperlink" Target="https://www.youtube.com/@AiFi79" TargetMode="External"/><Relationship Id="rId1529" Type="http://schemas.openxmlformats.org/officeDocument/2006/relationships/hyperlink" Target="mailto:imagain07@gmail.com" TargetMode="External"/><Relationship Id="rId939" Type="http://schemas.openxmlformats.org/officeDocument/2006/relationships/hyperlink" Target="https://www.youtube.com/@moneymoore-w2v" TargetMode="External"/><Relationship Id="rId938" Type="http://schemas.openxmlformats.org/officeDocument/2006/relationships/hyperlink" Target="http://youtube.com/channel/UCulP8f9flPnjbmoT1vvb-CA/join" TargetMode="External"/><Relationship Id="rId937" Type="http://schemas.openxmlformats.org/officeDocument/2006/relationships/hyperlink" Target="https://www.youtube.com/@moneymoore-w2v" TargetMode="External"/><Relationship Id="rId932" Type="http://schemas.openxmlformats.org/officeDocument/2006/relationships/hyperlink" Target="https://www.youtube.com/@%EB%AC%B4B%EA%B3%B0/videos" TargetMode="External"/><Relationship Id="rId931" Type="http://schemas.openxmlformats.org/officeDocument/2006/relationships/hyperlink" Target="https://sparta.ezcampus.me/" TargetMode="External"/><Relationship Id="rId930" Type="http://schemas.openxmlformats.org/officeDocument/2006/relationships/hyperlink" Target="https://www.youtube.com/@%EB%AC%B4B%EA%B3%B0/videos" TargetMode="External"/><Relationship Id="rId936" Type="http://schemas.openxmlformats.org/officeDocument/2006/relationships/hyperlink" Target="https://www.youtube.com/@%EC%8A%A4%EB%A7%88%ED%8A%B8%EB%8C%80%EB%94%94" TargetMode="External"/><Relationship Id="rId935" Type="http://schemas.openxmlformats.org/officeDocument/2006/relationships/hyperlink" Target="https://www.youtube.com/@%EC%8A%A4%EB%A7%88%ED%8A%B8%EB%8C%80%EB%94%94" TargetMode="External"/><Relationship Id="rId934" Type="http://schemas.openxmlformats.org/officeDocument/2006/relationships/hyperlink" Target="https://www.youtube.com/@%EC%9D%B8%EC%83%9D%ED%96%A5%EA%B8%B01/shorts" TargetMode="External"/><Relationship Id="rId933" Type="http://schemas.openxmlformats.org/officeDocument/2006/relationships/hyperlink" Target="https://www.youtube.com/@%EC%9D%B8%EC%83%9D%ED%96%A5%EA%B8%B01/shorts" TargetMode="External"/><Relationship Id="rId1520" Type="http://schemas.openxmlformats.org/officeDocument/2006/relationships/hyperlink" Target="https://www.youtube.com/@AI_Boda/shorts" TargetMode="External"/><Relationship Id="rId1554" Type="http://schemas.openxmlformats.org/officeDocument/2006/relationships/hyperlink" Target="https://www.youtube.com/@JamesHealingGrace/shorts" TargetMode="External"/><Relationship Id="rId1555" Type="http://schemas.openxmlformats.org/officeDocument/2006/relationships/hyperlink" Target="https://www.youtube.com/@JamesHealingGrace/shorts" TargetMode="External"/><Relationship Id="rId1556" Type="http://schemas.openxmlformats.org/officeDocument/2006/relationships/hyperlink" Target="https://www.youtube.com/@%EC%A0%95%EC%84%9C%EB%B6%88%EC%95%88%EA%B9%80%ED%96%84%EC%B0%8C/shorts" TargetMode="External"/><Relationship Id="rId1557" Type="http://schemas.openxmlformats.org/officeDocument/2006/relationships/hyperlink" Target="https://www.youtube.com/@%EC%A0%95%EC%84%9C%EB%B6%88%EC%95%88%EA%B9%80%ED%96%84%EC%B0%8C/shorts" TargetMode="External"/><Relationship Id="rId1558" Type="http://schemas.openxmlformats.org/officeDocument/2006/relationships/hyperlink" Target="https://www.instagram.com/anx_hamzzikim/" TargetMode="External"/><Relationship Id="rId1559" Type="http://schemas.openxmlformats.org/officeDocument/2006/relationships/hyperlink" Target="https://www.youtube.com/watch?v=rmcpE6Pf1HU" TargetMode="External"/><Relationship Id="rId965" Type="http://schemas.openxmlformats.org/officeDocument/2006/relationships/hyperlink" Target="https://www.youtube.com/@%EB%B6%80%EC%97%85%EC%9C%BC%EB%A1%9C%EB%B6%80%EC%9E%90" TargetMode="External"/><Relationship Id="rId964" Type="http://schemas.openxmlformats.org/officeDocument/2006/relationships/hyperlink" Target="https://www.youtube.com/@%EC%98%A8%EB%9D%BC%EC%9D%B8%EC%82%AC%EC%9E%A5" TargetMode="External"/><Relationship Id="rId963" Type="http://schemas.openxmlformats.org/officeDocument/2006/relationships/hyperlink" Target="https://class101.net/ko/products/6877c79d0a9cc6e14bd64d5c?utm_source=creator&amp;utm_medium=referral&amp;utm_campaign=creator-referral&amp;utm_content=siuF0uQFik3q22bMIE5V" TargetMode="External"/><Relationship Id="rId962" Type="http://schemas.openxmlformats.org/officeDocument/2006/relationships/hyperlink" Target="https://www.youtube.com/@%EC%98%A8%EB%9D%BC%EC%9D%B8%EC%82%AC%EC%9E%A5" TargetMode="External"/><Relationship Id="rId969" Type="http://schemas.openxmlformats.org/officeDocument/2006/relationships/hyperlink" Target="http://instagram.com/figma_tutor" TargetMode="External"/><Relationship Id="rId968" Type="http://schemas.openxmlformats.org/officeDocument/2006/relationships/hyperlink" Target="http://www.youtube.com/@figma_tutor" TargetMode="External"/><Relationship Id="rId967" Type="http://schemas.openxmlformats.org/officeDocument/2006/relationships/hyperlink" Target="http://www.youtube.com/@figma_tutor" TargetMode="External"/><Relationship Id="rId966" Type="http://schemas.openxmlformats.org/officeDocument/2006/relationships/hyperlink" Target="https://www.youtube.com/@%EB%B6%80%EC%97%85%EC%9C%BC%EB%A1%9C%EB%B6%80%EC%9E%90" TargetMode="External"/><Relationship Id="rId961" Type="http://schemas.openxmlformats.org/officeDocument/2006/relationships/hyperlink" Target="https://www.instagram.com/accounts/login/?next=%2Fbibl_youtube%2F&amp;source=omni_redirect" TargetMode="External"/><Relationship Id="rId1550" Type="http://schemas.openxmlformats.org/officeDocument/2006/relationships/hyperlink" Target="https://www.instagram.com/oh.free._/" TargetMode="External"/><Relationship Id="rId960" Type="http://schemas.openxmlformats.org/officeDocument/2006/relationships/hyperlink" Target="https://www.youtube.com/@bibl_youtube/videos" TargetMode="External"/><Relationship Id="rId1551" Type="http://schemas.openxmlformats.org/officeDocument/2006/relationships/hyperlink" Target="https://www.youtube.com/shorts/bA0ZQe-FTx4" TargetMode="External"/><Relationship Id="rId1552" Type="http://schemas.openxmlformats.org/officeDocument/2006/relationships/hyperlink" Target="https://www.youtube.com/@MixLabAI-e8l/featured" TargetMode="External"/><Relationship Id="rId1553" Type="http://schemas.openxmlformats.org/officeDocument/2006/relationships/hyperlink" Target="https://www.youtube.com/@AI-%EB%85%B8%EC%BD%94%EB%94%A9" TargetMode="External"/><Relationship Id="rId1543" Type="http://schemas.openxmlformats.org/officeDocument/2006/relationships/hyperlink" Target="https://www.youtube.com/@ifunlabtv/shorts" TargetMode="External"/><Relationship Id="rId1544" Type="http://schemas.openxmlformats.org/officeDocument/2006/relationships/hyperlink" Target="https://class101.net/ko/products/687384126eb856bfc5466cad?utm_campaign=pdp_share&amp;utm_content=share_feature&amp;utm_medium=referral&amp;utm_source=link_share_share&amp;utm_term=687384126eb856bfc5466cad" TargetMode="External"/><Relationship Id="rId1545" Type="http://schemas.openxmlformats.org/officeDocument/2006/relationships/hyperlink" Target="https://www.youtube.com/@ifunlabtv/shorts" TargetMode="External"/><Relationship Id="rId1546" Type="http://schemas.openxmlformats.org/officeDocument/2006/relationships/hyperlink" Target="https://www.instagram.com/ifunlab/" TargetMode="External"/><Relationship Id="rId1547" Type="http://schemas.openxmlformats.org/officeDocument/2006/relationships/hyperlink" Target="https://www.youtube.com/@%EC%98%A4%ED%94%84%EB%A6%AC/featured" TargetMode="External"/><Relationship Id="rId1548" Type="http://schemas.openxmlformats.org/officeDocument/2006/relationships/hyperlink" Target="https://ohfree.liveklass.com/" TargetMode="External"/><Relationship Id="rId1549" Type="http://schemas.openxmlformats.org/officeDocument/2006/relationships/hyperlink" Target="https://www.youtube.com/@%EC%98%A4%ED%94%84%EB%A6%AC/featured" TargetMode="External"/><Relationship Id="rId959" Type="http://schemas.openxmlformats.org/officeDocument/2006/relationships/hyperlink" Target="https://tmklab.com/shop_view/?idx=8" TargetMode="External"/><Relationship Id="rId954" Type="http://schemas.openxmlformats.org/officeDocument/2006/relationships/hyperlink" Target="https://www.threads.com/@youtuber_lab" TargetMode="External"/><Relationship Id="rId953" Type="http://schemas.openxmlformats.org/officeDocument/2006/relationships/hyperlink" Target="https://www.instagram.com/kwonprotv_official" TargetMode="External"/><Relationship Id="rId952" Type="http://schemas.openxmlformats.org/officeDocument/2006/relationships/hyperlink" Target="https://www.youtube.com/@kwonproTVN" TargetMode="External"/><Relationship Id="rId951" Type="http://schemas.openxmlformats.org/officeDocument/2006/relationships/hyperlink" Target="https://docs.google.com/forms/d/e/1FAIpQLSdfSVSm9GHQpYU_ypq4O1J9lxRgIVgTuBaYn9jp5tUHnRZdCg/viewform" TargetMode="External"/><Relationship Id="rId958" Type="http://schemas.openxmlformats.org/officeDocument/2006/relationships/hyperlink" Target="https://www.threads.com/@bibl_youtube" TargetMode="External"/><Relationship Id="rId957" Type="http://schemas.openxmlformats.org/officeDocument/2006/relationships/hyperlink" Target="https://www.threads.com/@youtuber_lab" TargetMode="External"/><Relationship Id="rId956" Type="http://schemas.openxmlformats.org/officeDocument/2006/relationships/hyperlink" Target="https://www.youtube.com/@%EC%9C%A0%ED%8A%9C%EB%B2%84%EB%9E%A9" TargetMode="External"/><Relationship Id="rId955" Type="http://schemas.openxmlformats.org/officeDocument/2006/relationships/hyperlink" Target="https://cafe.naver.com/f-e/cafes/31516469/menus/4?viewType=L" TargetMode="External"/><Relationship Id="rId950" Type="http://schemas.openxmlformats.org/officeDocument/2006/relationships/hyperlink" Target="https://www.youtube.com/@kwonproTVN" TargetMode="External"/><Relationship Id="rId1540" Type="http://schemas.openxmlformats.org/officeDocument/2006/relationships/hyperlink" Target="https://www.threads.com/@hamlog_ai" TargetMode="External"/><Relationship Id="rId1541" Type="http://schemas.openxmlformats.org/officeDocument/2006/relationships/hyperlink" Target="https://www.youtube.com/watch?v=4vg9DBqPYRA" TargetMode="External"/><Relationship Id="rId1542" Type="http://schemas.openxmlformats.org/officeDocument/2006/relationships/hyperlink" Target="https://www.instagram.com/hamlog_ai/?hl=ko" TargetMode="External"/><Relationship Id="rId2027" Type="http://schemas.openxmlformats.org/officeDocument/2006/relationships/hyperlink" Target="https://www.instagram.com/web._moment/" TargetMode="External"/><Relationship Id="rId2028" Type="http://schemas.openxmlformats.org/officeDocument/2006/relationships/hyperlink" Target="https://www.instagram.com/web._moment/" TargetMode="External"/><Relationship Id="rId2029" Type="http://schemas.openxmlformats.org/officeDocument/2006/relationships/hyperlink" Target="https://www.youtube.com/@ttj/videos" TargetMode="External"/><Relationship Id="rId590" Type="http://schemas.openxmlformats.org/officeDocument/2006/relationships/hyperlink" Target="https://www.instagram.com/shoppduddn_?igsh=M2F5MWdoOXVremY=" TargetMode="External"/><Relationship Id="rId107" Type="http://schemas.openxmlformats.org/officeDocument/2006/relationships/hyperlink" Target="https://www.instagram.com/09.allrounder/" TargetMode="External"/><Relationship Id="rId106" Type="http://schemas.openxmlformats.org/officeDocument/2006/relationships/hyperlink" Target="https://www.classu.co.kr/class/classDetail/17892?C17892" TargetMode="External"/><Relationship Id="rId105" Type="http://schemas.openxmlformats.org/officeDocument/2006/relationships/hyperlink" Target="https://litt.ly/09.allrounder?fbclid=PAZXh0bgNhZW0CMTEAAabXoGXlJ1BoeLK6EUBjhFCnKVwh17JfBLMX4PSoLCaO2rQyGYxnF6e7SzE_aem_ro6Yu4vTzelbfR-EZQ5QqQ" TargetMode="External"/><Relationship Id="rId589" Type="http://schemas.openxmlformats.org/officeDocument/2006/relationships/hyperlink" Target="https://www.youtube.com/@%EA%B2%BD%ED%97%98%EB%B6%80%EC%9E%90" TargetMode="External"/><Relationship Id="rId104" Type="http://schemas.openxmlformats.org/officeDocument/2006/relationships/hyperlink" Target="https://www.instagram.com/luvme.gyeom/" TargetMode="External"/><Relationship Id="rId588" Type="http://schemas.openxmlformats.org/officeDocument/2006/relationships/hyperlink" Target="https://www.youtube.com/@%EA%B2%BD%ED%97%98%EB%B6%80%EC%9E%90" TargetMode="External"/><Relationship Id="rId109" Type="http://schemas.openxmlformats.org/officeDocument/2006/relationships/hyperlink" Target="https://linktr.ee/aidesignain?fbclid=PAZXh0bgNhZW0CMTEAAabQCc4tb174uysEwqk5wL92heNPRjNIgFWo2AEXtBBnsIN2Bt0b0vxBHKc_aem_6PxiFY5PiF-Lliw2dYCXYw" TargetMode="External"/><Relationship Id="rId1170" Type="http://schemas.openxmlformats.org/officeDocument/2006/relationships/hyperlink" Target="https://www.threads.com/@money_grylls" TargetMode="External"/><Relationship Id="rId108" Type="http://schemas.openxmlformats.org/officeDocument/2006/relationships/hyperlink" Target="https://litt.ly/marketer_c?fbclid=PAZXh0bgNhZW0CMTEAAaa6V3snvgiPj8peJ-FxX4mzFytKnd3e_QlCxENqzXiH8r-FOVGaXBqdAw0_aem_59qdsWoOOH8GTMIMUGNU1A" TargetMode="External"/><Relationship Id="rId1171" Type="http://schemas.openxmlformats.org/officeDocument/2006/relationships/hyperlink" Target="https://www.instagram.com/money_grylls?igsh=OWN4M3hzNXN2dmxm" TargetMode="External"/><Relationship Id="rId583" Type="http://schemas.openxmlformats.org/officeDocument/2006/relationships/hyperlink" Target="https://www.youtube.com/@%ED%95%9C%EB%93%9C%EB%9E%98%EA%B3%A4TV" TargetMode="External"/><Relationship Id="rId1172" Type="http://schemas.openxmlformats.org/officeDocument/2006/relationships/hyperlink" Target="https://open.kakao.com/o/gqYjPkVh" TargetMode="External"/><Relationship Id="rId582" Type="http://schemas.openxmlformats.org/officeDocument/2006/relationships/hyperlink" Target="https://vimeo.com/maronkim" TargetMode="External"/><Relationship Id="rId1173" Type="http://schemas.openxmlformats.org/officeDocument/2006/relationships/hyperlink" Target="https://kmong.com/gig/657115" TargetMode="External"/><Relationship Id="rId2020" Type="http://schemas.openxmlformats.org/officeDocument/2006/relationships/hyperlink" Target="https://www.youtube.com/@highestlevel33" TargetMode="External"/><Relationship Id="rId581" Type="http://schemas.openxmlformats.org/officeDocument/2006/relationships/hyperlink" Target="https://www.youtube.com/@maronkim/videos" TargetMode="External"/><Relationship Id="rId1174" Type="http://schemas.openxmlformats.org/officeDocument/2006/relationships/hyperlink" Target="https://www.youtube.com/watch?v=ibqPRzBBJeQ" TargetMode="External"/><Relationship Id="rId2021" Type="http://schemas.openxmlformats.org/officeDocument/2006/relationships/hyperlink" Target="https://www.instagram.com/highestlevel33/" TargetMode="External"/><Relationship Id="rId580" Type="http://schemas.openxmlformats.org/officeDocument/2006/relationships/hyperlink" Target="https://coloso.co.kr/products/ai-maronkim" TargetMode="External"/><Relationship Id="rId1175" Type="http://schemas.openxmlformats.org/officeDocument/2006/relationships/hyperlink" Target="https://www.youtube.com/@%EC%A7%80%ED%98%9C%EB%A1%9C%EC%9A%B4%EB%85%B8%EB%85%84-bestgene" TargetMode="External"/><Relationship Id="rId2022" Type="http://schemas.openxmlformats.org/officeDocument/2006/relationships/hyperlink" Target="https://www.instagram.com/bopyo.amz?igsh=aTR4Mzlwa3V4dWE5" TargetMode="External"/><Relationship Id="rId103" Type="http://schemas.openxmlformats.org/officeDocument/2006/relationships/hyperlink" Target="https://www.youtube.com/@luvme_gyeom" TargetMode="External"/><Relationship Id="rId587" Type="http://schemas.openxmlformats.org/officeDocument/2006/relationships/hyperlink" Target="https://www.youtube.com/@%EC%A7%81%EC%9E%A5%EC%9D%B8%EA%B9%80%EC%82%AC%EC%9E%A5" TargetMode="External"/><Relationship Id="rId1176" Type="http://schemas.openxmlformats.org/officeDocument/2006/relationships/hyperlink" Target="https://www.youtube.com/watch?v=wHWT9q42bKM" TargetMode="External"/><Relationship Id="rId2023" Type="http://schemas.openxmlformats.org/officeDocument/2006/relationships/hyperlink" Target="https://secondjob.kr/course/bopyo_vod/" TargetMode="External"/><Relationship Id="rId102" Type="http://schemas.openxmlformats.org/officeDocument/2006/relationships/hyperlink" Target="https://luvmegyeom.liveklass.com/classes/242045" TargetMode="External"/><Relationship Id="rId586" Type="http://schemas.openxmlformats.org/officeDocument/2006/relationships/hyperlink" Target="https://www.youtube.com/@%EC%A7%81%EC%9E%A5%EC%9D%B8%EA%B9%80%EC%82%AC%EC%9E%A5" TargetMode="External"/><Relationship Id="rId1177" Type="http://schemas.openxmlformats.org/officeDocument/2006/relationships/hyperlink" Target="https://www.youtube.com/@%EC%8B%9C%EB%8B%88%EC%96%B4%EC%A0%95%EB%B3%B4%EC%84%BC%ED%84%B0" TargetMode="External"/><Relationship Id="rId2024" Type="http://schemas.openxmlformats.org/officeDocument/2006/relationships/hyperlink" Target="https://www.instagram.com/bopyo.amz?igsh=aTR4Mzlwa3V4dWE5" TargetMode="External"/><Relationship Id="rId101" Type="http://schemas.openxmlformats.org/officeDocument/2006/relationships/hyperlink" Target="https://link.inpock.co.kr/luvme1004?fbclid=PAZXh0bgNhZW0CMTEAAaZlpm2Qa8UBoSOkTRcW1gkVfrn60Kxj1DrWrGgPmSvqQCEjc9KO0ypPNkw_aem_6gaNGpqrNGOH7BG9RVZ0XQ" TargetMode="External"/><Relationship Id="rId585" Type="http://schemas.openxmlformats.org/officeDocument/2006/relationships/hyperlink" Target="https://www.youtube.com/@%ED%95%9C%EB%93%9C%EB%9E%98%EA%B3%A4TV" TargetMode="External"/><Relationship Id="rId1178" Type="http://schemas.openxmlformats.org/officeDocument/2006/relationships/hyperlink" Target="https://www.threads.com/@rose_hiro__?xmt=AQF0_lyJ46E-ZtyZ5N4fPPLWgZyNW8rhx9aEnI2Nz1Ty-XQ" TargetMode="External"/><Relationship Id="rId2025" Type="http://schemas.openxmlformats.org/officeDocument/2006/relationships/hyperlink" Target="https://www.instagram.com/duriduri_ai?igsh=MXJsbTk4bW9jM3o4cg==" TargetMode="External"/><Relationship Id="rId100" Type="http://schemas.openxmlformats.org/officeDocument/2006/relationships/hyperlink" Target="https://www.instagram.com/nookitokki/" TargetMode="External"/><Relationship Id="rId584" Type="http://schemas.openxmlformats.org/officeDocument/2006/relationships/hyperlink" Target="https://cafe.naver.com/handragon88/261" TargetMode="External"/><Relationship Id="rId1179" Type="http://schemas.openxmlformats.org/officeDocument/2006/relationships/hyperlink" Target="https://www.instagram.com/rose_hiro__/" TargetMode="External"/><Relationship Id="rId2026" Type="http://schemas.openxmlformats.org/officeDocument/2006/relationships/hyperlink" Target="https://www.instagram.com/duriduri_ai?igsh=MXJsbTk4bW9jM3o4cg==" TargetMode="External"/><Relationship Id="rId1169" Type="http://schemas.openxmlformats.org/officeDocument/2006/relationships/hyperlink" Target="https://open.kakao.com/o/gnBBmH0h" TargetMode="External"/><Relationship Id="rId2016" Type="http://schemas.openxmlformats.org/officeDocument/2006/relationships/hyperlink" Target="https://www.youtube.com/@hyenimtv/videos" TargetMode="External"/><Relationship Id="rId2017" Type="http://schemas.openxmlformats.org/officeDocument/2006/relationships/hyperlink" Target="https://www.instagram.com/hyenimtv_official" TargetMode="External"/><Relationship Id="rId2018" Type="http://schemas.openxmlformats.org/officeDocument/2006/relationships/hyperlink" Target="https://www.classu.co.kr/class/classDetail/1016241" TargetMode="External"/><Relationship Id="rId2019" Type="http://schemas.openxmlformats.org/officeDocument/2006/relationships/hyperlink" Target="https://www.classu.co.kr/class/classDetail/1016241" TargetMode="External"/><Relationship Id="rId579" Type="http://schemas.openxmlformats.org/officeDocument/2006/relationships/hyperlink" Target="https://www.youtube.com/@maronkim/videos" TargetMode="External"/><Relationship Id="rId578" Type="http://schemas.openxmlformats.org/officeDocument/2006/relationships/hyperlink" Target="https://cafe.naver.com/youtobenomad" TargetMode="External"/><Relationship Id="rId577" Type="http://schemas.openxmlformats.org/officeDocument/2006/relationships/hyperlink" Target="https://link.inpock.co.kr/aishortguide?fbclid=PAZXh0bgNhZW0CMTEAAafANwDUOSsluuQF8S3RYpDXISOGM77hF8MRK2lh5uePSmi52WfvOj0t8QNjXw_aem_MNXNc6_0dl4Zlh0S547UFg" TargetMode="External"/><Relationship Id="rId1160" Type="http://schemas.openxmlformats.org/officeDocument/2006/relationships/hyperlink" Target="https://www.youtube.com/@%EB%8A%A6%EA%B2%8C%ED%95%80%EC%A7%80%ED%98%9C/featured" TargetMode="External"/><Relationship Id="rId572" Type="http://schemas.openxmlformats.org/officeDocument/2006/relationships/hyperlink" Target="https://litt.ly/tuisy" TargetMode="External"/><Relationship Id="rId1161" Type="http://schemas.openxmlformats.org/officeDocument/2006/relationships/hyperlink" Target="https://www.tiktok.com/@wfantasyx?is_from_webapp=1&amp;sender_device=pc" TargetMode="External"/><Relationship Id="rId571" Type="http://schemas.openxmlformats.org/officeDocument/2006/relationships/hyperlink" Target="https://www.youtube.com/@tuisydesign/featured" TargetMode="External"/><Relationship Id="rId1162" Type="http://schemas.openxmlformats.org/officeDocument/2006/relationships/hyperlink" Target="https://www.youtube.com/@w.fantasy" TargetMode="External"/><Relationship Id="rId570" Type="http://schemas.openxmlformats.org/officeDocument/2006/relationships/hyperlink" Target="https://www.instagram.com/ari.neo/" TargetMode="External"/><Relationship Id="rId1163" Type="http://schemas.openxmlformats.org/officeDocument/2006/relationships/hyperlink" Target="https://www.youtube.com/@gasinai/featured" TargetMode="External"/><Relationship Id="rId2010" Type="http://schemas.openxmlformats.org/officeDocument/2006/relationships/hyperlink" Target="https://www.instagram.com/ogata_marito/" TargetMode="External"/><Relationship Id="rId1164" Type="http://schemas.openxmlformats.org/officeDocument/2006/relationships/hyperlink" Target="https://cafe.naver.com/easyshorts" TargetMode="External"/><Relationship Id="rId2011" Type="http://schemas.openxmlformats.org/officeDocument/2006/relationships/hyperlink" Target="https://www.youtube.com/@honjobs" TargetMode="External"/><Relationship Id="rId576" Type="http://schemas.openxmlformats.org/officeDocument/2006/relationships/hyperlink" Target="https://www.instagram.com/aishortguide/" TargetMode="External"/><Relationship Id="rId1165" Type="http://schemas.openxmlformats.org/officeDocument/2006/relationships/hyperlink" Target="https://www.youtube.com/@gasinai/featured" TargetMode="External"/><Relationship Id="rId2012" Type="http://schemas.openxmlformats.org/officeDocument/2006/relationships/hyperlink" Target="https://honjobs.com/" TargetMode="External"/><Relationship Id="rId575" Type="http://schemas.openxmlformats.org/officeDocument/2006/relationships/hyperlink" Target="https://litt.ly/billionaire?fbclid=PAZXh0bgNhZW0CMTEAAae_U-z37j6kluhi4APoIZW9dSTRwz1S8X9ixTWnAo4Kg5V22XSVzIkxStQ9og_aem_IKc06ig1Mc_9gEJZJ2kH1w" TargetMode="External"/><Relationship Id="rId1166" Type="http://schemas.openxmlformats.org/officeDocument/2006/relationships/hyperlink" Target="https://www.youtube.com/@aibizlabkr11" TargetMode="External"/><Relationship Id="rId2013" Type="http://schemas.openxmlformats.org/officeDocument/2006/relationships/hyperlink" Target="https://www.youtube.com/@honjobs" TargetMode="External"/><Relationship Id="rId574" Type="http://schemas.openxmlformats.org/officeDocument/2006/relationships/hyperlink" Target="https://www.instagram.com/luckyboy.0721/" TargetMode="External"/><Relationship Id="rId1167" Type="http://schemas.openxmlformats.org/officeDocument/2006/relationships/hyperlink" Target="https://cafe.naver.com/wannabe77" TargetMode="External"/><Relationship Id="rId2014" Type="http://schemas.openxmlformats.org/officeDocument/2006/relationships/hyperlink" Target="https://cafe.naver.com/2dayserver" TargetMode="External"/><Relationship Id="rId573" Type="http://schemas.openxmlformats.org/officeDocument/2006/relationships/hyperlink" Target="https://www.youtube.com/@tuisydesign/featured" TargetMode="External"/><Relationship Id="rId1168" Type="http://schemas.openxmlformats.org/officeDocument/2006/relationships/hyperlink" Target="https://www.youtube.com/@aibizlabkr11" TargetMode="External"/><Relationship Id="rId2015" Type="http://schemas.openxmlformats.org/officeDocument/2006/relationships/hyperlink" Target="https://coloso.co.kr/products/dictionary-ahnhyebin" TargetMode="External"/><Relationship Id="rId2049" Type="http://schemas.openxmlformats.org/officeDocument/2006/relationships/hyperlink" Target="https://www.instagram.com/jexsica_jobs/" TargetMode="External"/><Relationship Id="rId129" Type="http://schemas.openxmlformats.org/officeDocument/2006/relationships/hyperlink" Target="https://open.kakao.com/o/g8YeRwch" TargetMode="External"/><Relationship Id="rId128" Type="http://schemas.openxmlformats.org/officeDocument/2006/relationships/hyperlink" Target="https://rapidup.co.kr/shop_view/?idx=68" TargetMode="External"/><Relationship Id="rId127" Type="http://schemas.openxmlformats.org/officeDocument/2006/relationships/hyperlink" Target="https://www.instagram.com/ccio_._/" TargetMode="External"/><Relationship Id="rId126" Type="http://schemas.openxmlformats.org/officeDocument/2006/relationships/hyperlink" Target="https://www.instagram.com/kim_yooka/" TargetMode="External"/><Relationship Id="rId1190" Type="http://schemas.openxmlformats.org/officeDocument/2006/relationships/hyperlink" Target="https://www.youtube.com/@%EC%9C%A0%EC%95%8C%EB%82%A8%EC%9C%A0%ED%8A%9C%EB%B8%8C%EC%95%8C%EB%A0%A4%EC%A3%BC%EB%8A%94/featured" TargetMode="External"/><Relationship Id="rId1191" Type="http://schemas.openxmlformats.org/officeDocument/2006/relationships/hyperlink" Target="https://www.instagram.com/youtub.r.nam?igsh=bzE5djJqMjQ1ZHQz" TargetMode="External"/><Relationship Id="rId1192" Type="http://schemas.openxmlformats.org/officeDocument/2006/relationships/hyperlink" Target="https://www.youtube.com/@%EC%82%AC%EC%97%B0%EB%82%98%EB%AC%B4-l7d" TargetMode="External"/><Relationship Id="rId1193" Type="http://schemas.openxmlformats.org/officeDocument/2006/relationships/hyperlink" Target="https://www.youtube.com/@%EC%82%AC%EC%97%B0%EB%82%98%EB%AC%B4-l7d" TargetMode="External"/><Relationship Id="rId2040" Type="http://schemas.openxmlformats.org/officeDocument/2006/relationships/hyperlink" Target="https://www.youtube.com/@%EC%9C%84%ED%83%81%EA%B3%A0%EC%88%98_%EC%9E%A5%EB%8C%80%ED%91%9C" TargetMode="External"/><Relationship Id="rId121" Type="http://schemas.openxmlformats.org/officeDocument/2006/relationships/hyperlink" Target="https://litt.ly/kimerry?fbclid=PAZXh0bgNhZW0CMTEAAaaGtJNklIklS5PIBiyVrFwwTgftsoeUlJzJPYt2x44boFwD-COszoHTp20_aem_QBgIyOqUQDDOAB4hjjPTpA" TargetMode="External"/><Relationship Id="rId1194" Type="http://schemas.openxmlformats.org/officeDocument/2006/relationships/hyperlink" Target="https://www.youtube.com/watch?v=WNcpDePR5Ws" TargetMode="External"/><Relationship Id="rId2041" Type="http://schemas.openxmlformats.org/officeDocument/2006/relationships/hyperlink" Target="https://www.youtube.com/@%EC%9C%84%ED%83%81%EA%B3%A0%EC%88%98_%EC%9E%A5%EB%8C%80%ED%91%9C" TargetMode="External"/><Relationship Id="rId120" Type="http://schemas.openxmlformats.org/officeDocument/2006/relationships/hyperlink" Target="https://www.instagram.com/rovian.tarot" TargetMode="External"/><Relationship Id="rId1195" Type="http://schemas.openxmlformats.org/officeDocument/2006/relationships/hyperlink" Target="https://www.youtube.com/@life_trainer" TargetMode="External"/><Relationship Id="rId2042" Type="http://schemas.openxmlformats.org/officeDocument/2006/relationships/hyperlink" Target="https://www.youtube.com/@ON%EC%8C%A4" TargetMode="External"/><Relationship Id="rId1196" Type="http://schemas.openxmlformats.org/officeDocument/2006/relationships/hyperlink" Target="https://www.youtube.com/channel/UCbI_MeHQI_p34SGdGuzr2Kw/join" TargetMode="External"/><Relationship Id="rId2043" Type="http://schemas.openxmlformats.org/officeDocument/2006/relationships/hyperlink" Target="https://smartstore.naver.com/hephzibah86/products/10471414217" TargetMode="External"/><Relationship Id="rId1197" Type="http://schemas.openxmlformats.org/officeDocument/2006/relationships/hyperlink" Target="https://www.youtube.com/channel/UCbI_MeHQI_p34SGdGuzr2Kw/join" TargetMode="External"/><Relationship Id="rId2044" Type="http://schemas.openxmlformats.org/officeDocument/2006/relationships/hyperlink" Target="https://www.youtube.com/@ON%EC%8C%A4" TargetMode="External"/><Relationship Id="rId125" Type="http://schemas.openxmlformats.org/officeDocument/2006/relationships/hyperlink" Target="https://litt.ly/heeah?fbclid=PAZXh0bgNhZW0CMTEAAaaF0mF7VRF5kNnOCEDKR-BG86bbLiVN12hgQjO5BVBUz7W0Ru5M102LFdA_aem_7kqtGlBxHarMSR_r3a7kog" TargetMode="External"/><Relationship Id="rId1198" Type="http://schemas.openxmlformats.org/officeDocument/2006/relationships/hyperlink" Target="mailto:yumen969696@gmail.com" TargetMode="External"/><Relationship Id="rId2045" Type="http://schemas.openxmlformats.org/officeDocument/2006/relationships/hyperlink" Target="https://m.blog.naver.com/gyskadl?tab=1" TargetMode="External"/><Relationship Id="rId124" Type="http://schemas.openxmlformats.org/officeDocument/2006/relationships/hyperlink" Target="https://www.instagram.com/iramblog1/" TargetMode="External"/><Relationship Id="rId1199" Type="http://schemas.openxmlformats.org/officeDocument/2006/relationships/hyperlink" Target="https://www.youtube.com/watch?v=MsJfBArs01E" TargetMode="External"/><Relationship Id="rId2046" Type="http://schemas.openxmlformats.org/officeDocument/2006/relationships/hyperlink" Target="https://www.youtube.com/@hama_unnie" TargetMode="External"/><Relationship Id="rId123" Type="http://schemas.openxmlformats.org/officeDocument/2006/relationships/hyperlink" Target="https://www.instagram.com/iramblog1/" TargetMode="External"/><Relationship Id="rId2047" Type="http://schemas.openxmlformats.org/officeDocument/2006/relationships/hyperlink" Target="https://www.youtube.com/@job_money/shorts" TargetMode="External"/><Relationship Id="rId122" Type="http://schemas.openxmlformats.org/officeDocument/2006/relationships/hyperlink" Target="https://www.instagram.com/enjoy_meri/" TargetMode="External"/><Relationship Id="rId2048" Type="http://schemas.openxmlformats.org/officeDocument/2006/relationships/hyperlink" Target="https://www.wadiz.kr/web/community/reward/signature/2818714?utm_source=signature&amp;utm_medium=url&amp;utm_campaign=share_in&amp;walinkid=6698758" TargetMode="External"/><Relationship Id="rId2038" Type="http://schemas.openxmlformats.org/officeDocument/2006/relationships/hyperlink" Target="https://cafe.naver.com/f-e/cafes/31562407/articles/4?menuid=4&amp;referrerAllArticles=false" TargetMode="External"/><Relationship Id="rId2039" Type="http://schemas.openxmlformats.org/officeDocument/2006/relationships/hyperlink" Target="https://www.youtube.com/@%EC%85%80%EB%9F%AC%EA%B3%B5/videos" TargetMode="External"/><Relationship Id="rId118" Type="http://schemas.openxmlformats.org/officeDocument/2006/relationships/hyperlink" Target="https://www.rovian.co.kr/classes/214993?fbclid=PAZXh0bgNhZW0CMTEAAabTV3J3ZQmSuDTUP3thHi0q0n91LUb61tTPBNdo4UehqlzKGNtpv3pJogU_aem_C2PibTXFR3Lr7EjBYVDABg" TargetMode="External"/><Relationship Id="rId117" Type="http://schemas.openxmlformats.org/officeDocument/2006/relationships/hyperlink" Target="https://www.rovian.co.kr/?fbclid=PAZXh0bgNhZW0CMTEAAaZ3TqAlf4RkIsEGYx39pJMs2l_5vGkCxK_kVNmB8CsyUf8fUdML76ujj9g_aem_JqaJguBFSYrLh38kylzm8w" TargetMode="External"/><Relationship Id="rId116" Type="http://schemas.openxmlformats.org/officeDocument/2006/relationships/hyperlink" Target="https://www.instagram.com/marketer_c_/" TargetMode="External"/><Relationship Id="rId115" Type="http://schemas.openxmlformats.org/officeDocument/2006/relationships/hyperlink" Target="https://litt.ly/marketer_c?fbclid=PAZXh0bgNhZW0CMTEAAaa6V3snvgiPj8peJ-FxX4mzFytKnd3e_QlCxENqzXiH8r-FOVGaXBqdAw0_aem_59qdsWoOOH8GTMIMUGNU1A" TargetMode="External"/><Relationship Id="rId599" Type="http://schemas.openxmlformats.org/officeDocument/2006/relationships/hyperlink" Target="https://www.instagram.com/53.1tip/" TargetMode="External"/><Relationship Id="rId1180" Type="http://schemas.openxmlformats.org/officeDocument/2006/relationships/hyperlink" Target="https://www.threads.com/@digital.bread.shuttle?xmt=AQF0_lyJ46E-ZtyZ5N4fPPLWgZyNW8rhx9aEnI2Nz1Ty-XQ" TargetMode="External"/><Relationship Id="rId1181" Type="http://schemas.openxmlformats.org/officeDocument/2006/relationships/hyperlink" Target="https://www.instagram.com/digital.bread.shuttle/" TargetMode="External"/><Relationship Id="rId119" Type="http://schemas.openxmlformats.org/officeDocument/2006/relationships/hyperlink" Target="https://www.youtube.com/channel/UCLEOFQXSxeLZSNxqQbR8WxQ" TargetMode="External"/><Relationship Id="rId1182" Type="http://schemas.openxmlformats.org/officeDocument/2006/relationships/hyperlink" Target="https://litt.ly/eenicorn" TargetMode="External"/><Relationship Id="rId110" Type="http://schemas.openxmlformats.org/officeDocument/2006/relationships/hyperlink" Target="https://www.instagram.com/ai_design_ain/" TargetMode="External"/><Relationship Id="rId594" Type="http://schemas.openxmlformats.org/officeDocument/2006/relationships/hyperlink" Target="https://www.instagram.com/runup.director/" TargetMode="External"/><Relationship Id="rId1183" Type="http://schemas.openxmlformats.org/officeDocument/2006/relationships/hyperlink" Target="https://www.uppage.com/eenicorn/eenicorn6" TargetMode="External"/><Relationship Id="rId2030" Type="http://schemas.openxmlformats.org/officeDocument/2006/relationships/hyperlink" Target="https://ttj.kr/regular_course" TargetMode="External"/><Relationship Id="rId593" Type="http://schemas.openxmlformats.org/officeDocument/2006/relationships/hyperlink" Target="https://litt.ly/itsjinakimacademy?fbclid=PAZXh0bgNhZW0CMTEAAad9k3uqMqi4nnRIOvHQzsnghY0I9GJbhMYXjxVpkdxPIw1bjRYGqNdD0usP2g_aem_uZ2iucCXSg4kp0HACmKnoA" TargetMode="External"/><Relationship Id="rId1184" Type="http://schemas.openxmlformats.org/officeDocument/2006/relationships/hyperlink" Target="https://www.youtube.com/@%EC%9D%B4%EB%8B%88%EC%BD%98" TargetMode="External"/><Relationship Id="rId2031" Type="http://schemas.openxmlformats.org/officeDocument/2006/relationships/hyperlink" Target="https://www.youtube.com/@ttj/videos" TargetMode="External"/><Relationship Id="rId592" Type="http://schemas.openxmlformats.org/officeDocument/2006/relationships/hyperlink" Target="https://www.instagram.com/itsjinakim_academy?igsh=MWJxanp3dTFvaGZrdw%3D%3D" TargetMode="External"/><Relationship Id="rId1185" Type="http://schemas.openxmlformats.org/officeDocument/2006/relationships/hyperlink" Target="https://www.instagram.com/eenicorn/" TargetMode="External"/><Relationship Id="rId2032" Type="http://schemas.openxmlformats.org/officeDocument/2006/relationships/hyperlink" Target="https://www.instagram.com/ibwj/" TargetMode="External"/><Relationship Id="rId591" Type="http://schemas.openxmlformats.org/officeDocument/2006/relationships/hyperlink" Target="https://shoppduddn.my.canva.site/" TargetMode="External"/><Relationship Id="rId1186" Type="http://schemas.openxmlformats.org/officeDocument/2006/relationships/hyperlink" Target="http://instagram.com/dreaming_funny" TargetMode="External"/><Relationship Id="rId2033" Type="http://schemas.openxmlformats.org/officeDocument/2006/relationships/hyperlink" Target="https://www.instagram.com/alludina_/" TargetMode="External"/><Relationship Id="rId114" Type="http://schemas.openxmlformats.org/officeDocument/2006/relationships/hyperlink" Target="https://www.instagram.com/nomadyoon/" TargetMode="External"/><Relationship Id="rId598" Type="http://schemas.openxmlformats.org/officeDocument/2006/relationships/hyperlink" Target="https://www.instagram.com/53.1tip/" TargetMode="External"/><Relationship Id="rId1187" Type="http://schemas.openxmlformats.org/officeDocument/2006/relationships/hyperlink" Target="https://docs.google.com/forms/d/e/1FAIpQLSfWRDRh9GSbSoCpp14s2ngcSOhrqvPr8fD9mRAxNfphWzBsZw/viewform?pli=1" TargetMode="External"/><Relationship Id="rId2034" Type="http://schemas.openxmlformats.org/officeDocument/2006/relationships/hyperlink" Target="https://www.instagram.com/alludina_/" TargetMode="External"/><Relationship Id="rId113" Type="http://schemas.openxmlformats.org/officeDocument/2006/relationships/hyperlink" Target="https://www.youtube.com/watch?v=4hSJ4or9xrs" TargetMode="External"/><Relationship Id="rId597" Type="http://schemas.openxmlformats.org/officeDocument/2006/relationships/hyperlink" Target="https://www.instagram.com/reelsky_/" TargetMode="External"/><Relationship Id="rId1188" Type="http://schemas.openxmlformats.org/officeDocument/2006/relationships/hyperlink" Target="https://www.youtube.com/@%EC%9C%A0%EC%96%91%EC%84%9DAI%EC%97%B0%EA%B5%AC%EC%86%8C/featured" TargetMode="External"/><Relationship Id="rId2035" Type="http://schemas.openxmlformats.org/officeDocument/2006/relationships/hyperlink" Target="https://litt.ly/whyhano" TargetMode="External"/><Relationship Id="rId112" Type="http://schemas.openxmlformats.org/officeDocument/2006/relationships/hyperlink" Target="https://nomadyoon.liveklass.com/classes/218846" TargetMode="External"/><Relationship Id="rId596" Type="http://schemas.openxmlformats.org/officeDocument/2006/relationships/hyperlink" Target="https://www.instagram.com/reelsky_/" TargetMode="External"/><Relationship Id="rId1189" Type="http://schemas.openxmlformats.org/officeDocument/2006/relationships/hyperlink" Target="http://instagram.com/dreaming_funny" TargetMode="External"/><Relationship Id="rId2036" Type="http://schemas.openxmlformats.org/officeDocument/2006/relationships/hyperlink" Target="https://cafe.naver.com/ceoshin9415" TargetMode="External"/><Relationship Id="rId111" Type="http://schemas.openxmlformats.org/officeDocument/2006/relationships/hyperlink" Target="https://litt.ly/nomadyoon?fbclid=PAZXh0bgNhZW0CMTEAAaZI60ehHdI_MO1U2W3w1Bk7swYdtlBduDTbYxd-Q5_5PHluou5c0YA2du4_aem_sQvZ552HBVDcKt-HrQl6Bg" TargetMode="External"/><Relationship Id="rId595" Type="http://schemas.openxmlformats.org/officeDocument/2006/relationships/hyperlink" Target="https://www.instagram.com/runup.director/" TargetMode="External"/><Relationship Id="rId2037" Type="http://schemas.openxmlformats.org/officeDocument/2006/relationships/hyperlink" Target="https://www.youtube.com/@whyhano/featured" TargetMode="External"/><Relationship Id="rId1136" Type="http://schemas.openxmlformats.org/officeDocument/2006/relationships/hyperlink" Target="https://www.instagram.com/doyouwanthow" TargetMode="External"/><Relationship Id="rId1137" Type="http://schemas.openxmlformats.org/officeDocument/2006/relationships/hyperlink" Target="https://www.tiktok.com/@anasdino_" TargetMode="External"/><Relationship Id="rId1138" Type="http://schemas.openxmlformats.org/officeDocument/2006/relationships/hyperlink" Target="https://anasdinolife.imweb.me/about" TargetMode="External"/><Relationship Id="rId1139" Type="http://schemas.openxmlformats.org/officeDocument/2006/relationships/hyperlink" Target="https://www.youtube.com/@anasdino" TargetMode="External"/><Relationship Id="rId547" Type="http://schemas.openxmlformats.org/officeDocument/2006/relationships/hyperlink" Target="https://www.wadiz.kr/web/campaign/detailPost/344527/news/499118?srsltid=AfmBOooq42z2B129U5o-8eCMWgZiHxurCdYSe18jOZGZhumd28OzwH9z" TargetMode="External"/><Relationship Id="rId546" Type="http://schemas.openxmlformats.org/officeDocument/2006/relationships/hyperlink" Target="https://www.instagram.com/ai.sadari/" TargetMode="External"/><Relationship Id="rId545" Type="http://schemas.openxmlformats.org/officeDocument/2006/relationships/hyperlink" Target="https://litt.ly/rascalhoon?fbclid=PAZXh0bgNhZW0CMTEAAafQ4ZR5bS8NXckao4v0Rkz2nA4ZC_KOzmsCvymrDdpKscwi3fs8hlahTXEDfA_aem_pnF1HymT3MbTjAkuOT7QTA" TargetMode="External"/><Relationship Id="rId544" Type="http://schemas.openxmlformats.org/officeDocument/2006/relationships/hyperlink" Target="https://www.instagram.com/matt_choi88/" TargetMode="External"/><Relationship Id="rId549" Type="http://schemas.openxmlformats.org/officeDocument/2006/relationships/hyperlink" Target="https://www.youtube.com/@%EB%B0%B1%EB%A7%8C%EC%9E%A5%EC%9E%90%EC%95%A4%EB%8D%94%EC%8A%A8/shorts" TargetMode="External"/><Relationship Id="rId548" Type="http://schemas.openxmlformats.org/officeDocument/2006/relationships/hyperlink" Target="https://www.instagram.com/ai.sadari/" TargetMode="External"/><Relationship Id="rId1130" Type="http://schemas.openxmlformats.org/officeDocument/2006/relationships/hyperlink" Target="https://kmong.com/gig/596604" TargetMode="External"/><Relationship Id="rId1131" Type="http://schemas.openxmlformats.org/officeDocument/2006/relationships/hyperlink" Target="https://kmong.com/gig/596604" TargetMode="External"/><Relationship Id="rId543" Type="http://schemas.openxmlformats.org/officeDocument/2006/relationships/hyperlink" Target="https://redpeople.co.kr/63" TargetMode="External"/><Relationship Id="rId1132" Type="http://schemas.openxmlformats.org/officeDocument/2006/relationships/hyperlink" Target="https://the8-ent.com/" TargetMode="External"/><Relationship Id="rId542" Type="http://schemas.openxmlformats.org/officeDocument/2006/relationships/hyperlink" Target="https://www.instagram.com/blabla_lizzypark/reels/" TargetMode="External"/><Relationship Id="rId1133" Type="http://schemas.openxmlformats.org/officeDocument/2006/relationships/hyperlink" Target="https://www.youtube.com/@life_trainer" TargetMode="External"/><Relationship Id="rId541" Type="http://schemas.openxmlformats.org/officeDocument/2006/relationships/hyperlink" Target="https://litt.ly/rascalhoon?fbclid=PAZXh0bgNhZW0CMTEAAafQ4ZR5bS8NXckao4v0Rkz2nA4ZC_KOzmsCvymrDdpKscwi3fs8hlahTXEDfA_aem_pnF1HymT3MbTjAkuOT7QTA" TargetMode="External"/><Relationship Id="rId1134" Type="http://schemas.openxmlformats.org/officeDocument/2006/relationships/hyperlink" Target="https://www.tiktok.com/@wanthowtip" TargetMode="External"/><Relationship Id="rId540" Type="http://schemas.openxmlformats.org/officeDocument/2006/relationships/hyperlink" Target="https://www.instagram.com/matt_choi88/" TargetMode="External"/><Relationship Id="rId1135" Type="http://schemas.openxmlformats.org/officeDocument/2006/relationships/hyperlink" Target="https://www.youtube.com/channel/UCr20bTgXCdu1svidhdnRXyg" TargetMode="External"/><Relationship Id="rId1125" Type="http://schemas.openxmlformats.org/officeDocument/2006/relationships/hyperlink" Target="https://www.youtube.com/@hwanghonromance" TargetMode="External"/><Relationship Id="rId1126" Type="http://schemas.openxmlformats.org/officeDocument/2006/relationships/hyperlink" Target="https://www.youtube.com/@hwanghonromance" TargetMode="External"/><Relationship Id="rId1127" Type="http://schemas.openxmlformats.org/officeDocument/2006/relationships/hyperlink" Target="https://cyclehackers.com/product/643404/" TargetMode="External"/><Relationship Id="rId1128" Type="http://schemas.openxmlformats.org/officeDocument/2006/relationships/hyperlink" Target="https://cyclehackers.com/" TargetMode="External"/><Relationship Id="rId1129" Type="http://schemas.openxmlformats.org/officeDocument/2006/relationships/hyperlink" Target="https://www.youtube.com/@AI%EC%9C%A0%ED%86%A0" TargetMode="External"/><Relationship Id="rId536" Type="http://schemas.openxmlformats.org/officeDocument/2006/relationships/hyperlink" Target="https://litt.ly/longbusiness?fbclid=PAZXh0bgNhZW0CMTEAAadSSj23oQD6AOlQLkahgn2Sgl6ETy_zFIlaIr2ICUSiaqzh3EYUxZVgBLAMCw_aem_z--fuju3ifezN7WbYzciBA" TargetMode="External"/><Relationship Id="rId535" Type="http://schemas.openxmlformats.org/officeDocument/2006/relationships/hyperlink" Target="https://www.instagram.com/long__business/" TargetMode="External"/><Relationship Id="rId534" Type="http://schemas.openxmlformats.org/officeDocument/2006/relationships/hyperlink" Target="https://www.instagram.com/ai.devman/" TargetMode="External"/><Relationship Id="rId533" Type="http://schemas.openxmlformats.org/officeDocument/2006/relationships/hyperlink" Target="https://www.youtube.com/@AI%EC%95%8C%EB%A0%A4%EC%A3%BC%EB%8A%94%EB%82%A8%EC%9E%90-%EB%8D%B0%EB%B8%8C%EB%82%A8" TargetMode="External"/><Relationship Id="rId539" Type="http://schemas.openxmlformats.org/officeDocument/2006/relationships/hyperlink" Target="https://www.instagram.com/matt_choi88/" TargetMode="External"/><Relationship Id="rId538" Type="http://schemas.openxmlformats.org/officeDocument/2006/relationships/hyperlink" Target="https://www.instagram.com/long__business/" TargetMode="External"/><Relationship Id="rId537" Type="http://schemas.openxmlformats.org/officeDocument/2006/relationships/hyperlink" Target="https://www.youtube.com/@longbusiness7" TargetMode="External"/><Relationship Id="rId1120" Type="http://schemas.openxmlformats.org/officeDocument/2006/relationships/hyperlink" Target="https://cyclehackers.com/" TargetMode="External"/><Relationship Id="rId532" Type="http://schemas.openxmlformats.org/officeDocument/2006/relationships/hyperlink" Target="https://www.instagram.com/ai.devman/" TargetMode="External"/><Relationship Id="rId1121" Type="http://schemas.openxmlformats.org/officeDocument/2006/relationships/hyperlink" Target="https://www.youtube.com/@%EC%9E%98%ED%8C%8C%EB%8A%94%EC%B2%AD%EB%85%84" TargetMode="External"/><Relationship Id="rId531" Type="http://schemas.openxmlformats.org/officeDocument/2006/relationships/hyperlink" Target="https://www.instagram.com/emmatutor.insta?utm_source=ig_web_button_share_sheet&amp;igsh=MTdjcHFuMHM1c210cg==" TargetMode="External"/><Relationship Id="rId1122" Type="http://schemas.openxmlformats.org/officeDocument/2006/relationships/hyperlink" Target="https://www.instagram.com/jalpachung/" TargetMode="External"/><Relationship Id="rId530" Type="http://schemas.openxmlformats.org/officeDocument/2006/relationships/hyperlink" Target="https://www.youtube.com/channel/UC_dn2WIhJ9aqJKKH5RiadWg" TargetMode="External"/><Relationship Id="rId1123" Type="http://schemas.openxmlformats.org/officeDocument/2006/relationships/hyperlink" Target="https://www.youtube.com/@%EA%BD%83%EB%B3%B4%EB%8B%A4%ED%9B%84%EB%B0%98" TargetMode="External"/><Relationship Id="rId1124" Type="http://schemas.openxmlformats.org/officeDocument/2006/relationships/hyperlink" Target="https://www.youtube.com/@%EA%BD%83%EB%B3%B4%EB%8B%A4%ED%9B%84%EB%B0%98" TargetMode="External"/><Relationship Id="rId1158" Type="http://schemas.openxmlformats.org/officeDocument/2006/relationships/hyperlink" Target="https://www.youtube.com/@enudady" TargetMode="External"/><Relationship Id="rId2005" Type="http://schemas.openxmlformats.org/officeDocument/2006/relationships/hyperlink" Target="https://www.youtube.com/@lami_rene/featured" TargetMode="External"/><Relationship Id="rId1159" Type="http://schemas.openxmlformats.org/officeDocument/2006/relationships/hyperlink" Target="https://www.youtube.com/@%EB%8A%A6%EA%B2%8C%ED%95%80%EC%A7%80%ED%98%9C/featured" TargetMode="External"/><Relationship Id="rId2006" Type="http://schemas.openxmlformats.org/officeDocument/2006/relationships/hyperlink" Target="https://www.youtube.com/@jyyjyy" TargetMode="External"/><Relationship Id="rId2007" Type="http://schemas.openxmlformats.org/officeDocument/2006/relationships/hyperlink" Target="https://plan-c.kr/product/jyyjyy/?saleRef=jyy-724983" TargetMode="External"/><Relationship Id="rId2008" Type="http://schemas.openxmlformats.org/officeDocument/2006/relationships/hyperlink" Target="https://www.youtube.com/@jyyjyy" TargetMode="External"/><Relationship Id="rId2009" Type="http://schemas.openxmlformats.org/officeDocument/2006/relationships/hyperlink" Target="https://www.classu.co.kr/class/classDetail/9057" TargetMode="External"/><Relationship Id="rId569" Type="http://schemas.openxmlformats.org/officeDocument/2006/relationships/hyperlink" Target="https://www.class101.net/ko/products/67c163b09682a36b1f50a215?utm_campaign=pdp_share&amp;utm_content=share_feature&amp;utm_medium=referral&amp;utm_source=link_share_share&amp;utm_term=67c163b09682a36b1f50a215" TargetMode="External"/><Relationship Id="rId568" Type="http://schemas.openxmlformats.org/officeDocument/2006/relationships/hyperlink" Target="https://www.instagram.com/ari.neo/" TargetMode="External"/><Relationship Id="rId567" Type="http://schemas.openxmlformats.org/officeDocument/2006/relationships/hyperlink" Target="https://www.instagram.com/my_reels_studio/" TargetMode="External"/><Relationship Id="rId566" Type="http://schemas.openxmlformats.org/officeDocument/2006/relationships/hyperlink" Target="https://myreels.notion.site/1fd4239c3c3880dc8d7cdaf8fb12f657" TargetMode="External"/><Relationship Id="rId561" Type="http://schemas.openxmlformats.org/officeDocument/2006/relationships/hyperlink" Target="https://www.ebs.co.kr/pass/serviceinfo/notice/30004178948?p=Yy5wYWdlPTEmYy5wYWdlU2l6ZT0xNSZzZWFyY2hLZXl3b3JkPSZzZWFyY2hDb25kaXRpb249" TargetMode="External"/><Relationship Id="rId1150" Type="http://schemas.openxmlformats.org/officeDocument/2006/relationships/hyperlink" Target="http://instagram.com/drharang" TargetMode="External"/><Relationship Id="rId560" Type="http://schemas.openxmlformats.org/officeDocument/2006/relationships/hyperlink" Target="https://www.youtube.com/@digital_turtle/videos" TargetMode="External"/><Relationship Id="rId1151" Type="http://schemas.openxmlformats.org/officeDocument/2006/relationships/hyperlink" Target="https://www.notion.so/Sora-2-2a2250634813804fb1cad9745783dfd8" TargetMode="External"/><Relationship Id="rId1152" Type="http://schemas.openxmlformats.org/officeDocument/2006/relationships/hyperlink" Target="https://www.instagram.com/boo_kglory/" TargetMode="External"/><Relationship Id="rId1153" Type="http://schemas.openxmlformats.org/officeDocument/2006/relationships/hyperlink" Target="https://litt.ly/aigangsa" TargetMode="External"/><Relationship Id="rId2000" Type="http://schemas.openxmlformats.org/officeDocument/2006/relationships/hyperlink" Target="https://www.instagram.com/kirin.cookie/" TargetMode="External"/><Relationship Id="rId565" Type="http://schemas.openxmlformats.org/officeDocument/2006/relationships/hyperlink" Target="https://www.instagram.com/my_reels_studio/" TargetMode="External"/><Relationship Id="rId1154" Type="http://schemas.openxmlformats.org/officeDocument/2006/relationships/hyperlink" Target="https://m.blog.naver.com/crazyksy?tab=1" TargetMode="External"/><Relationship Id="rId2001" Type="http://schemas.openxmlformats.org/officeDocument/2006/relationships/hyperlink" Target="https://www.instagram.com/nezzo_toon/" TargetMode="External"/><Relationship Id="rId564" Type="http://schemas.openxmlformats.org/officeDocument/2006/relationships/hyperlink" Target="https://litt.ly/digitalturtle" TargetMode="External"/><Relationship Id="rId1155" Type="http://schemas.openxmlformats.org/officeDocument/2006/relationships/hyperlink" Target="https://www.youtube.com/@AI%EC%9C%A0%ED%8A%9C%EB%B8%8C%EA%B5%90%EC%9C%A1%EA%B0%95%EC%82%AC/videos" TargetMode="External"/><Relationship Id="rId2002" Type="http://schemas.openxmlformats.org/officeDocument/2006/relationships/hyperlink" Target="https://www.instagram.com/nezzo_toon/" TargetMode="External"/><Relationship Id="rId563" Type="http://schemas.openxmlformats.org/officeDocument/2006/relationships/hyperlink" Target="https://www.instagram.com/hyeoniji_kr" TargetMode="External"/><Relationship Id="rId1156" Type="http://schemas.openxmlformats.org/officeDocument/2006/relationships/hyperlink" Target="https://www.instagram.com/pepermint_life" TargetMode="External"/><Relationship Id="rId2003" Type="http://schemas.openxmlformats.org/officeDocument/2006/relationships/hyperlink" Target="https://www.instagram.com/bebseki_/" TargetMode="External"/><Relationship Id="rId562" Type="http://schemas.openxmlformats.org/officeDocument/2006/relationships/hyperlink" Target="https://www.youtube.com/@digital_turtle/videos" TargetMode="External"/><Relationship Id="rId1157" Type="http://schemas.openxmlformats.org/officeDocument/2006/relationships/hyperlink" Target="https://www.youtube.com/watch?v=HAcXFl5Y13k" TargetMode="External"/><Relationship Id="rId2004" Type="http://schemas.openxmlformats.org/officeDocument/2006/relationships/hyperlink" Target="https://www.instagram.com/bebseki_/" TargetMode="External"/><Relationship Id="rId1147" Type="http://schemas.openxmlformats.org/officeDocument/2006/relationships/hyperlink" Target="https://www.tiktok.com/@drharang" TargetMode="External"/><Relationship Id="rId1148" Type="http://schemas.openxmlformats.org/officeDocument/2006/relationships/hyperlink" Target="https://www.mkyu.co.kr/course/course_view.jsp?id=55660&amp;cid=" TargetMode="External"/><Relationship Id="rId1149" Type="http://schemas.openxmlformats.org/officeDocument/2006/relationships/hyperlink" Target="https://www.youtube.com/@drharang" TargetMode="External"/><Relationship Id="rId558" Type="http://schemas.openxmlformats.org/officeDocument/2006/relationships/hyperlink" Target="https://www.youtube.com/@blabla_lizzypark" TargetMode="External"/><Relationship Id="rId557" Type="http://schemas.openxmlformats.org/officeDocument/2006/relationships/hyperlink" Target="https://blablalizzypark.notion.site/11-1e236e2376bf808faa72e3efbe89b781" TargetMode="External"/><Relationship Id="rId556" Type="http://schemas.openxmlformats.org/officeDocument/2006/relationships/hyperlink" Target="https://www.instagram.com/blabla_lizzypark/reels/" TargetMode="External"/><Relationship Id="rId555" Type="http://schemas.openxmlformats.org/officeDocument/2006/relationships/hyperlink" Target="https://www.youtube.com/@%EC%B2%9C%EC%9D%80%EC%98%81" TargetMode="External"/><Relationship Id="rId559" Type="http://schemas.openxmlformats.org/officeDocument/2006/relationships/hyperlink" Target="https://www.instagram.com/blabla_lizzypark/reels/" TargetMode="External"/><Relationship Id="rId550" Type="http://schemas.openxmlformats.org/officeDocument/2006/relationships/hyperlink" Target="https://blog.naver.com/andersonkr" TargetMode="External"/><Relationship Id="rId1140" Type="http://schemas.openxmlformats.org/officeDocument/2006/relationships/hyperlink" Target="https://www.instagram.com/anasdinonews/" TargetMode="External"/><Relationship Id="rId1141" Type="http://schemas.openxmlformats.org/officeDocument/2006/relationships/hyperlink" Target="https://kmong.com/gig/421167" TargetMode="External"/><Relationship Id="rId1142" Type="http://schemas.openxmlformats.org/officeDocument/2006/relationships/hyperlink" Target="https://www.youtube.com/channel/UCDLl0e_r3Pj0fYOqb6hXRjw" TargetMode="External"/><Relationship Id="rId554" Type="http://schemas.openxmlformats.org/officeDocument/2006/relationships/hyperlink" Target="https://1000is0.com/" TargetMode="External"/><Relationship Id="rId1143" Type="http://schemas.openxmlformats.org/officeDocument/2006/relationships/hyperlink" Target="mailto:njobseed@gmail.com" TargetMode="External"/><Relationship Id="rId553" Type="http://schemas.openxmlformats.org/officeDocument/2006/relationships/hyperlink" Target="https://www.youtube.com/@%EC%B2%9C%EC%9D%80%EC%98%81" TargetMode="External"/><Relationship Id="rId1144" Type="http://schemas.openxmlformats.org/officeDocument/2006/relationships/hyperlink" Target="https://kmong.com/gig/704355" TargetMode="External"/><Relationship Id="rId552" Type="http://schemas.openxmlformats.org/officeDocument/2006/relationships/hyperlink" Target="https://blog.naver.com/andersonkr" TargetMode="External"/><Relationship Id="rId1145" Type="http://schemas.openxmlformats.org/officeDocument/2006/relationships/hyperlink" Target="https://www.youtube.com/@%EB%85%B8%EC%9D%B8%EB%B0%B1%EC%84%B8/" TargetMode="External"/><Relationship Id="rId551" Type="http://schemas.openxmlformats.org/officeDocument/2006/relationships/hyperlink" Target="https://www.youtube.com/@%EB%B0%B1%EB%A7%8C%EC%9E%A5%EC%9E%90%EC%95%A4%EB%8D%94%EC%8A%A8/shorts" TargetMode="External"/><Relationship Id="rId1146" Type="http://schemas.openxmlformats.org/officeDocument/2006/relationships/hyperlink" Target="mailto:sojil.com@gmail.com" TargetMode="External"/><Relationship Id="rId2090" Type="http://schemas.openxmlformats.org/officeDocument/2006/relationships/hyperlink" Target="https://www.youtube.com/@growthyoungduk/videos" TargetMode="External"/><Relationship Id="rId2091" Type="http://schemas.openxmlformats.org/officeDocument/2006/relationships/hyperlink" Target="https://www.instagram.com/growthyoungduk/" TargetMode="External"/><Relationship Id="rId2092" Type="http://schemas.openxmlformats.org/officeDocument/2006/relationships/hyperlink" Target="http://www.youtube.com/@tingssam_insight" TargetMode="External"/><Relationship Id="rId2093" Type="http://schemas.openxmlformats.org/officeDocument/2006/relationships/hyperlink" Target="https://www.amazingtalker.co.kr/teachers-and-tutors/lee-jungmin" TargetMode="External"/><Relationship Id="rId2094" Type="http://schemas.openxmlformats.org/officeDocument/2006/relationships/hyperlink" Target="http://www.youtube.com/@tingssam_insight" TargetMode="External"/><Relationship Id="rId2095" Type="http://schemas.openxmlformats.org/officeDocument/2006/relationships/hyperlink" Target="mailto:artingmin@gmail.com" TargetMode="External"/><Relationship Id="rId2096" Type="http://schemas.openxmlformats.org/officeDocument/2006/relationships/hyperlink" Target="https://blog.naver.com/rddreamwork" TargetMode="External"/><Relationship Id="rId2097" Type="http://schemas.openxmlformats.org/officeDocument/2006/relationships/hyperlink" Target="https://www.learningannex.kr/shop/item.php?it_id=1718256695" TargetMode="External"/><Relationship Id="rId2098" Type="http://schemas.openxmlformats.org/officeDocument/2006/relationships/hyperlink" Target="https://www.youtube.com/@rddraw/videos" TargetMode="External"/><Relationship Id="rId2099" Type="http://schemas.openxmlformats.org/officeDocument/2006/relationships/hyperlink" Target="https://www.instagram.com/rd_drawdream/" TargetMode="External"/><Relationship Id="rId2060" Type="http://schemas.openxmlformats.org/officeDocument/2006/relationships/hyperlink" Target="https://www.instagram.com/audrey_gyeom/" TargetMode="External"/><Relationship Id="rId2061" Type="http://schemas.openxmlformats.org/officeDocument/2006/relationships/hyperlink" Target="https://www.instagram.com/ssophi_hi/" TargetMode="External"/><Relationship Id="rId2062" Type="http://schemas.openxmlformats.org/officeDocument/2006/relationships/hyperlink" Target="https://www.instagram.com/ssophi_hi/" TargetMode="External"/><Relationship Id="rId2063" Type="http://schemas.openxmlformats.org/officeDocument/2006/relationships/hyperlink" Target="https://www.inflearn.com/course/%EC%9A%94%EC%A6%98-%EB%A7%88%EC%BC%80%ED%84%B0%EC%9D%98-x27%EC%97%85%EB%AC%B4-%EC%8B%9C%EA%B0%84-%EB%8B%A8%EC%B6%95x" TargetMode="External"/><Relationship Id="rId2064" Type="http://schemas.openxmlformats.org/officeDocument/2006/relationships/hyperlink" Target="https://www.inflearn.com/course/%EC%9A%94%EC%A6%98-%EB%A7%88%EC%BC%80%ED%84%B0%EC%9D%98-x27%EC%97%85%EB%AC%B4-%EC%8B%9C%EA%B0%84-%EB%8B%A8%EC%B6%95x" TargetMode="External"/><Relationship Id="rId2065" Type="http://schemas.openxmlformats.org/officeDocument/2006/relationships/hyperlink" Target="https://www.youtube.com/@success_penguin/videos" TargetMode="External"/><Relationship Id="rId2066" Type="http://schemas.openxmlformats.org/officeDocument/2006/relationships/hyperlink" Target="https://www.success-penguin.com/" TargetMode="External"/><Relationship Id="rId2067" Type="http://schemas.openxmlformats.org/officeDocument/2006/relationships/hyperlink" Target="https://www.youtube.com/@success_penguin/videos" TargetMode="External"/><Relationship Id="rId2068" Type="http://schemas.openxmlformats.org/officeDocument/2006/relationships/hyperlink" Target="https://www.instagram.com/success_penguin/" TargetMode="External"/><Relationship Id="rId2069" Type="http://schemas.openxmlformats.org/officeDocument/2006/relationships/hyperlink" Target="https://www.youtube.com/@AION%EB%8F%88%EB%B2%84%EB%8A%94%EB%B2%95/featured" TargetMode="External"/><Relationship Id="rId2050" Type="http://schemas.openxmlformats.org/officeDocument/2006/relationships/hyperlink" Target="https://www.wadiz.kr/web/store/detail/6081" TargetMode="External"/><Relationship Id="rId2051" Type="http://schemas.openxmlformats.org/officeDocument/2006/relationships/hyperlink" Target="https://www.wadiz.kr/web/store/detail/6081" TargetMode="External"/><Relationship Id="rId495" Type="http://schemas.openxmlformats.org/officeDocument/2006/relationships/hyperlink" Target="https://www.instagram.com/53.1tip?igsh=YjlsYnV1YWo5aXg=" TargetMode="External"/><Relationship Id="rId2052" Type="http://schemas.openxmlformats.org/officeDocument/2006/relationships/hyperlink" Target="https://www.instagram.com/thegraceclub_/" TargetMode="External"/><Relationship Id="rId494" Type="http://schemas.openxmlformats.org/officeDocument/2006/relationships/hyperlink" Target="http://open.kakao.com/o/sZJ2EIfh" TargetMode="External"/><Relationship Id="rId2053" Type="http://schemas.openxmlformats.org/officeDocument/2006/relationships/hyperlink" Target="https://www.wadiz.kr/web/campaign/detail/374683" TargetMode="External"/><Relationship Id="rId493" Type="http://schemas.openxmlformats.org/officeDocument/2006/relationships/hyperlink" Target="https://www.youtube.com/@%EB%8F%99%ED%85%8C%ED%81%AC/videos" TargetMode="External"/><Relationship Id="rId2054" Type="http://schemas.openxmlformats.org/officeDocument/2006/relationships/hyperlink" Target="https://www.wadiz.kr/web/campaign/detail/374683" TargetMode="External"/><Relationship Id="rId492" Type="http://schemas.openxmlformats.org/officeDocument/2006/relationships/hyperlink" Target="https://blog.naver.com/ai_guide" TargetMode="External"/><Relationship Id="rId2055" Type="http://schemas.openxmlformats.org/officeDocument/2006/relationships/hyperlink" Target="https://www.instagram.com/adventure__dori/" TargetMode="External"/><Relationship Id="rId499" Type="http://schemas.openxmlformats.org/officeDocument/2006/relationships/hyperlink" Target="http://threads.net/@_mingdayy" TargetMode="External"/><Relationship Id="rId2056" Type="http://schemas.openxmlformats.org/officeDocument/2006/relationships/hyperlink" Target="https://cafe.naver.com/sellingmate/30" TargetMode="External"/><Relationship Id="rId498" Type="http://schemas.openxmlformats.org/officeDocument/2006/relationships/hyperlink" Target="https://www.instagram.com/calix.son?igsh=MWpuMWIyd3RhMWg4bQ==" TargetMode="External"/><Relationship Id="rId2057" Type="http://schemas.openxmlformats.org/officeDocument/2006/relationships/hyperlink" Target="https://sellingmate.everclass.net/" TargetMode="External"/><Relationship Id="rId497" Type="http://schemas.openxmlformats.org/officeDocument/2006/relationships/hyperlink" Target="https://www.instagram.com/calix.son?igsh=MWpuMWIyd3RhMWg4bQ==" TargetMode="External"/><Relationship Id="rId2058" Type="http://schemas.openxmlformats.org/officeDocument/2006/relationships/hyperlink" Target="https://www.youtube.com/watch?v=k-q9y7WDrzo&amp;t=1s" TargetMode="External"/><Relationship Id="rId496" Type="http://schemas.openxmlformats.org/officeDocument/2006/relationships/hyperlink" Target="https://www.instagram.com/53.1tip?igsh=YjlsYnV1YWo5aXg=" TargetMode="External"/><Relationship Id="rId2059" Type="http://schemas.openxmlformats.org/officeDocument/2006/relationships/hyperlink" Target="https://www.instagram.com/audrey_gyeom/" TargetMode="External"/><Relationship Id="rId2080" Type="http://schemas.openxmlformats.org/officeDocument/2006/relationships/hyperlink" Target="https://www.ivyclass.co.kr/free-courses/8bf86db1-297f-4e58-b7ee-87d4f638a3e4?trkId=o8IhD7&amp;utm_source=google&amp;utm_medium=cpc&amp;utm_campaign=%7Bcampaignname%7D&amp;utm_content=779420080469&amp;utm_term=&amp;gad_source=2&amp;gad_campaignid=23077012231&amp;gclid=CjwKCAjw3tzHBhBREiwAlMJoUsMCJ_HytZwBdqMAkZztie5g57qw7XMaRTKIWepAS7feJy1_gDg0hRoCml4QAvD_BwE" TargetMode="External"/><Relationship Id="rId2081" Type="http://schemas.openxmlformats.org/officeDocument/2006/relationships/hyperlink" Target="https://www.youtube.com/@positive_feeltr" TargetMode="External"/><Relationship Id="rId2082" Type="http://schemas.openxmlformats.org/officeDocument/2006/relationships/hyperlink" Target="https://www.instagram.com/positive_feel.tr/" TargetMode="External"/><Relationship Id="rId2083" Type="http://schemas.openxmlformats.org/officeDocument/2006/relationships/hyperlink" Target="https://www.youtube.com/watch?v=zVQKlHYJQ1E" TargetMode="External"/><Relationship Id="rId2084" Type="http://schemas.openxmlformats.org/officeDocument/2006/relationships/hyperlink" Target="https://jink.liveklass.com/classes" TargetMode="External"/><Relationship Id="rId2085" Type="http://schemas.openxmlformats.org/officeDocument/2006/relationships/hyperlink" Target="https://www.youtube.com/@jink4802" TargetMode="External"/><Relationship Id="rId2086" Type="http://schemas.openxmlformats.org/officeDocument/2006/relationships/hyperlink" Target="https://www.instagram.com/r.ster__/" TargetMode="External"/><Relationship Id="rId2087" Type="http://schemas.openxmlformats.org/officeDocument/2006/relationships/hyperlink" Target="https://lifelearning.liveklass.com/classes/232739" TargetMode="External"/><Relationship Id="rId2088" Type="http://schemas.openxmlformats.org/officeDocument/2006/relationships/hyperlink" Target="https://www.instagram.com/r.ster__/" TargetMode="External"/><Relationship Id="rId2089" Type="http://schemas.openxmlformats.org/officeDocument/2006/relationships/hyperlink" Target="https://www.youtube.com/@growthyoungduk/videos" TargetMode="External"/><Relationship Id="rId2070" Type="http://schemas.openxmlformats.org/officeDocument/2006/relationships/hyperlink" Target="https://www.latpeed.com/products/0DcFQ" TargetMode="External"/><Relationship Id="rId2071" Type="http://schemas.openxmlformats.org/officeDocument/2006/relationships/hyperlink" Target="https://www.youtube.com/@AION%EB%8F%88%EB%B2%84%EB%8A%94%EB%B2%95/featured" TargetMode="External"/><Relationship Id="rId2072" Type="http://schemas.openxmlformats.org/officeDocument/2006/relationships/hyperlink" Target="https://www.youtube.com/@edge2032" TargetMode="External"/><Relationship Id="rId2073" Type="http://schemas.openxmlformats.org/officeDocument/2006/relationships/hyperlink" Target="https://www.youtube.com/@edge2032" TargetMode="External"/><Relationship Id="rId2074" Type="http://schemas.openxmlformats.org/officeDocument/2006/relationships/hyperlink" Target="https://www.instagram.com/upplan0413/" TargetMode="External"/><Relationship Id="rId2075" Type="http://schemas.openxmlformats.org/officeDocument/2006/relationships/hyperlink" Target="https://www.youtube.com/watch?v=zCscF4-cys0" TargetMode="External"/><Relationship Id="rId2076" Type="http://schemas.openxmlformats.org/officeDocument/2006/relationships/hyperlink" Target="https://cafe.naver.com/lemondalgi/30967" TargetMode="External"/><Relationship Id="rId2077" Type="http://schemas.openxmlformats.org/officeDocument/2006/relationships/hyperlink" Target="https://www.youtube.com/@Mulming" TargetMode="External"/><Relationship Id="rId2078" Type="http://schemas.openxmlformats.org/officeDocument/2006/relationships/hyperlink" Target="https://www.instagram.com/mulm._.ing/" TargetMode="External"/><Relationship Id="rId2079" Type="http://schemas.openxmlformats.org/officeDocument/2006/relationships/hyperlink" Target="https://www.youtube.com/watch?v=0xn4FfaPHmc" TargetMode="External"/><Relationship Id="rId1610" Type="http://schemas.openxmlformats.org/officeDocument/2006/relationships/hyperlink" Target="https://www.youtube.com/watch?v=fh85lsC-USc" TargetMode="External"/><Relationship Id="rId1611" Type="http://schemas.openxmlformats.org/officeDocument/2006/relationships/hyperlink" Target="https://www.youtube.com/@avycobain/videos" TargetMode="External"/><Relationship Id="rId1612" Type="http://schemas.openxmlformats.org/officeDocument/2006/relationships/hyperlink" Target="http://nstagram.com/avycobain" TargetMode="External"/><Relationship Id="rId1613" Type="http://schemas.openxmlformats.org/officeDocument/2006/relationships/hyperlink" Target="https://www.threads.com/@sellala_119/post/DSTpnThD7D5?hl=ko" TargetMode="External"/><Relationship Id="rId1614" Type="http://schemas.openxmlformats.org/officeDocument/2006/relationships/hyperlink" Target="https://www.instagram.com/sellala_119/" TargetMode="External"/><Relationship Id="rId1615" Type="http://schemas.openxmlformats.org/officeDocument/2006/relationships/hyperlink" Target="https://www.youtube.com/watch?v=XglX4V1q9sU&amp;t=24s" TargetMode="External"/><Relationship Id="rId1616" Type="http://schemas.openxmlformats.org/officeDocument/2006/relationships/hyperlink" Target="https://www.youalnam.com/channels/L2NoYW5uZWxzLzIxNjQw/B00012/posts/672182" TargetMode="External"/><Relationship Id="rId907" Type="http://schemas.openxmlformats.org/officeDocument/2006/relationships/hyperlink" Target="https://www.youtube.com/@youtubrand/shorts" TargetMode="External"/><Relationship Id="rId1617" Type="http://schemas.openxmlformats.org/officeDocument/2006/relationships/hyperlink" Target="https://www.youtube.com/watch?v=XglX4V1q9sU&amp;t=24s" TargetMode="External"/><Relationship Id="rId906" Type="http://schemas.openxmlformats.org/officeDocument/2006/relationships/hyperlink" Target="https://cafe.naver.com/seotube" TargetMode="External"/><Relationship Id="rId1618" Type="http://schemas.openxmlformats.org/officeDocument/2006/relationships/hyperlink" Target="https://youtube.com/@jamjam0615?si=g-QenDDpHTj5mghy" TargetMode="External"/><Relationship Id="rId905" Type="http://schemas.openxmlformats.org/officeDocument/2006/relationships/hyperlink" Target="https://www.youtube.com/@youtubrand/shorts" TargetMode="External"/><Relationship Id="rId1619" Type="http://schemas.openxmlformats.org/officeDocument/2006/relationships/hyperlink" Target="https://youtube.com/@jamjam0615?si=g-QenDDpHTj5mghy" TargetMode="External"/><Relationship Id="rId904" Type="http://schemas.openxmlformats.org/officeDocument/2006/relationships/hyperlink" Target="https://www.youtube.com/@jarrylancer/videos" TargetMode="External"/><Relationship Id="rId909" Type="http://schemas.openxmlformats.org/officeDocument/2006/relationships/hyperlink" Target="https://youtube.com/channel/UCDATvKmotWRx5B3dAGSW6Ng?si=TyRAlkVZJGgWmcfL" TargetMode="External"/><Relationship Id="rId908" Type="http://schemas.openxmlformats.org/officeDocument/2006/relationships/hyperlink" Target="https://litt.ly/goldmoon" TargetMode="External"/><Relationship Id="rId903" Type="http://schemas.openxmlformats.org/officeDocument/2006/relationships/hyperlink" Target="https://cafe.naver.com/hg10djr" TargetMode="External"/><Relationship Id="rId902" Type="http://schemas.openxmlformats.org/officeDocument/2006/relationships/hyperlink" Target="https://www.youtube.com/@jarrylancer/videos" TargetMode="External"/><Relationship Id="rId901" Type="http://schemas.openxmlformats.org/officeDocument/2006/relationships/hyperlink" Target="http://bit.ly/true_chat" TargetMode="External"/><Relationship Id="rId900" Type="http://schemas.openxmlformats.org/officeDocument/2006/relationships/hyperlink" Target="https://www.instagram.com/trueparkpro/" TargetMode="External"/><Relationship Id="rId1600" Type="http://schemas.openxmlformats.org/officeDocument/2006/relationships/hyperlink" Target="https://www.instagram.com/jinpil___/" TargetMode="External"/><Relationship Id="rId1601" Type="http://schemas.openxmlformats.org/officeDocument/2006/relationships/hyperlink" Target="https://class101.net/ko/products/67d81bc132bfdc2e71383e4e" TargetMode="External"/><Relationship Id="rId1602" Type="http://schemas.openxmlformats.org/officeDocument/2006/relationships/hyperlink" Target="https://class101.net/ko/products/67d81bc132bfdc2e71383e4e" TargetMode="External"/><Relationship Id="rId1603" Type="http://schemas.openxmlformats.org/officeDocument/2006/relationships/hyperlink" Target="https://www.instagram.com/redscene.dy/" TargetMode="External"/><Relationship Id="rId1604" Type="http://schemas.openxmlformats.org/officeDocument/2006/relationships/hyperlink" Target="https://smartstore.naver.com/lamastudio/products/12708842433" TargetMode="External"/><Relationship Id="rId1605" Type="http://schemas.openxmlformats.org/officeDocument/2006/relationships/hyperlink" Target="https://www.youtube.com/@LAMASTUDIO_OFFICAIL" TargetMode="External"/><Relationship Id="rId1606" Type="http://schemas.openxmlformats.org/officeDocument/2006/relationships/hyperlink" Target="https://www.instagram.com/lamastudio_official?igsh=cXlxNnBmZnVwZDJ2&amp;utm_source=qr" TargetMode="External"/><Relationship Id="rId1607" Type="http://schemas.openxmlformats.org/officeDocument/2006/relationships/hyperlink" Target="https://www.youtube.com/@%EC%BA%90%EB%A6%AC%ED%80%B8" TargetMode="External"/><Relationship Id="rId1608" Type="http://schemas.openxmlformats.org/officeDocument/2006/relationships/hyperlink" Target="https://www.youtube.com/@%EC%BA%90%EB%A6%AC%ED%80%B8" TargetMode="External"/><Relationship Id="rId1609" Type="http://schemas.openxmlformats.org/officeDocument/2006/relationships/hyperlink" Target="https://www.instagram.com/carryqueen_" TargetMode="External"/><Relationship Id="rId1631" Type="http://schemas.openxmlformats.org/officeDocument/2006/relationships/hyperlink" Target="https://youtube.com/@aitrendmaster?si=yC0MlsCvYTMiCRQa" TargetMode="External"/><Relationship Id="rId1632" Type="http://schemas.openxmlformats.org/officeDocument/2006/relationships/hyperlink" Target="https://www.instagram.com/aitrendmaster?igsh=MTdraTMwdTJqMnFjdQ==" TargetMode="External"/><Relationship Id="rId1633" Type="http://schemas.openxmlformats.org/officeDocument/2006/relationships/hyperlink" Target="https://www.youtube.com/@chopssalmuk" TargetMode="External"/><Relationship Id="rId1634" Type="http://schemas.openxmlformats.org/officeDocument/2006/relationships/hyperlink" Target="https://www.youtube.com/@chopssalmuk" TargetMode="External"/><Relationship Id="rId1635" Type="http://schemas.openxmlformats.org/officeDocument/2006/relationships/hyperlink" Target="https://www.youtube.com/@sellermoonTV/videos" TargetMode="External"/><Relationship Id="rId1636" Type="http://schemas.openxmlformats.org/officeDocument/2006/relationships/hyperlink" Target="https://docs.google.com/forms/d/e/1FAIpQLScoPL4ys46da2S26jJ_vtRF8Po8nwwUuReY631KwXS7bYCJmQ/viewform" TargetMode="External"/><Relationship Id="rId1637" Type="http://schemas.openxmlformats.org/officeDocument/2006/relationships/hyperlink" Target="https://www.youtube.com/@sellermoonTV/videos" TargetMode="External"/><Relationship Id="rId1638" Type="http://schemas.openxmlformats.org/officeDocument/2006/relationships/hyperlink" Target="https://www.youtube.com/@%EC%8A%88%ED%8D%BC%EB%A7%90%EC%88%9C/shorts" TargetMode="External"/><Relationship Id="rId929" Type="http://schemas.openxmlformats.org/officeDocument/2006/relationships/hyperlink" Target="https://www.youtube.com/@%EB%AF%B8%EA%B5%AD%ED%98%95-x4u" TargetMode="External"/><Relationship Id="rId1639" Type="http://schemas.openxmlformats.org/officeDocument/2006/relationships/hyperlink" Target="https://www.youtube.com/@%EC%8A%88%ED%8D%BC%EB%A7%90%EC%88%9C/shorts" TargetMode="External"/><Relationship Id="rId928" Type="http://schemas.openxmlformats.org/officeDocument/2006/relationships/hyperlink" Target="https://sparta.ezcampus.me/" TargetMode="External"/><Relationship Id="rId927" Type="http://schemas.openxmlformats.org/officeDocument/2006/relationships/hyperlink" Target="https://www.youtube.com/@%EB%AF%B8%EA%B5%AD%ED%98%95-x4u" TargetMode="External"/><Relationship Id="rId926" Type="http://schemas.openxmlformats.org/officeDocument/2006/relationships/hyperlink" Target="http://instagram.com/its_captain.nana" TargetMode="External"/><Relationship Id="rId921" Type="http://schemas.openxmlformats.org/officeDocument/2006/relationships/hyperlink" Target="https://booupplay.com/23" TargetMode="External"/><Relationship Id="rId920" Type="http://schemas.openxmlformats.org/officeDocument/2006/relationships/hyperlink" Target="https://www.instagram.com/fashablelab/" TargetMode="External"/><Relationship Id="rId925" Type="http://schemas.openxmlformats.org/officeDocument/2006/relationships/hyperlink" Target="https://www.youtube.com/@captain_nana" TargetMode="External"/><Relationship Id="rId924" Type="http://schemas.openxmlformats.org/officeDocument/2006/relationships/hyperlink" Target="https://cafe.naver.com/withcaptainnana/2507" TargetMode="External"/><Relationship Id="rId923" Type="http://schemas.openxmlformats.org/officeDocument/2006/relationships/hyperlink" Target="https://www.youtube.com/@captain_nana" TargetMode="External"/><Relationship Id="rId922" Type="http://schemas.openxmlformats.org/officeDocument/2006/relationships/hyperlink" Target="https://booupplay.com/23" TargetMode="External"/><Relationship Id="rId1630" Type="http://schemas.openxmlformats.org/officeDocument/2006/relationships/hyperlink" Target="https://litt.ly/aitrend" TargetMode="External"/><Relationship Id="rId1620" Type="http://schemas.openxmlformats.org/officeDocument/2006/relationships/hyperlink" Target="https://www.instagram.com/jamjam.today/" TargetMode="External"/><Relationship Id="rId1621" Type="http://schemas.openxmlformats.org/officeDocument/2006/relationships/hyperlink" Target="https://www.youtube.com/@SOLVwithIT" TargetMode="External"/><Relationship Id="rId1622" Type="http://schemas.openxmlformats.org/officeDocument/2006/relationships/hyperlink" Target="https://www.youtube.com/@SOLVwithIT" TargetMode="External"/><Relationship Id="rId1623" Type="http://schemas.openxmlformats.org/officeDocument/2006/relationships/hyperlink" Target="https://www.youtube.com/@UnveilPersonality/videos" TargetMode="External"/><Relationship Id="rId1624" Type="http://schemas.openxmlformats.org/officeDocument/2006/relationships/hyperlink" Target="https://www.youtube.com/@UnveilPersonality/videos" TargetMode="External"/><Relationship Id="rId1625" Type="http://schemas.openxmlformats.org/officeDocument/2006/relationships/hyperlink" Target="https://www.youtube.com/watch?v=NGcwXlp_UEA" TargetMode="External"/><Relationship Id="rId1626" Type="http://schemas.openxmlformats.org/officeDocument/2006/relationships/hyperlink" Target="https://www.youtube.com/@builderjoshkim" TargetMode="External"/><Relationship Id="rId1627" Type="http://schemas.openxmlformats.org/officeDocument/2006/relationships/hyperlink" Target="https://www.youtube.com/watch?v=KXcojUfd_ck" TargetMode="External"/><Relationship Id="rId918" Type="http://schemas.openxmlformats.org/officeDocument/2006/relationships/hyperlink" Target="https://sjatelier.liveklass.com/" TargetMode="External"/><Relationship Id="rId1628" Type="http://schemas.openxmlformats.org/officeDocument/2006/relationships/hyperlink" Target="https://www.youtube.com/@%EC%9C%A0%ED%8A%9C%EB%B8%8C%EC%88%98%EC%9D%B5%ED%99%94%EB%B8%8C%EB%9E%9C%EB%94%A9" TargetMode="External"/><Relationship Id="rId917" Type="http://schemas.openxmlformats.org/officeDocument/2006/relationships/hyperlink" Target="https://www.sjatelier.co.kr/" TargetMode="External"/><Relationship Id="rId1629" Type="http://schemas.openxmlformats.org/officeDocument/2006/relationships/hyperlink" Target="https://youtube.com/@aitrendmaster?si=yC0MlsCvYTMiCRQa" TargetMode="External"/><Relationship Id="rId916" Type="http://schemas.openxmlformats.org/officeDocument/2006/relationships/hyperlink" Target="https://www.instagram.com/utube.s.r" TargetMode="External"/><Relationship Id="rId915" Type="http://schemas.openxmlformats.org/officeDocument/2006/relationships/hyperlink" Target="https://www.youtube.com/@kwack_bokduckbang/shorts" TargetMode="External"/><Relationship Id="rId919" Type="http://schemas.openxmlformats.org/officeDocument/2006/relationships/hyperlink" Target="https://www.youtube.com/channel/UCkASFxA-kKYpHZTLQT1BTvA" TargetMode="External"/><Relationship Id="rId910" Type="http://schemas.openxmlformats.org/officeDocument/2006/relationships/hyperlink" Target="https://www.instagram.com/idle_youtuber/" TargetMode="External"/><Relationship Id="rId914" Type="http://schemas.openxmlformats.org/officeDocument/2006/relationships/hyperlink" Target="https://blog.naver.com/ytube_s_r" TargetMode="External"/><Relationship Id="rId913" Type="http://schemas.openxmlformats.org/officeDocument/2006/relationships/hyperlink" Target="https://www.youtube.com/@ruangday/videos" TargetMode="External"/><Relationship Id="rId912" Type="http://schemas.openxmlformats.org/officeDocument/2006/relationships/hyperlink" Target="https://blog.naver.com/ruangday/224051598799" TargetMode="External"/><Relationship Id="rId911" Type="http://schemas.openxmlformats.org/officeDocument/2006/relationships/hyperlink" Target="https://inpk.link/ruangday" TargetMode="External"/><Relationship Id="rId1213" Type="http://schemas.openxmlformats.org/officeDocument/2006/relationships/hyperlink" Target="https://www.youtube.com/watch?v=lZdk2K_yjEs" TargetMode="External"/><Relationship Id="rId1697" Type="http://schemas.openxmlformats.org/officeDocument/2006/relationships/hyperlink" Target="https://ddalgakdesign.tistory.com/category/%EB%94%B8%EA%B9%8D%20AI%20%EB%94%94%EC%9E%90%EC%9D%B8%20%ED%88%B4%20%EA%B3%B5%EB%B6%80" TargetMode="External"/><Relationship Id="rId1214" Type="http://schemas.openxmlformats.org/officeDocument/2006/relationships/hyperlink" Target="https://www.instagram.com/awkwarceo?igsh=N3FtOGxvZnZpZDVp" TargetMode="External"/><Relationship Id="rId1698" Type="http://schemas.openxmlformats.org/officeDocument/2006/relationships/hyperlink" Target="http://threads.com/@ddalgak.d" TargetMode="External"/><Relationship Id="rId1215" Type="http://schemas.openxmlformats.org/officeDocument/2006/relationships/hyperlink" Target="https://www.youtube.com/@yumyum_kingdom%EB%83%A0%EB%83%A0%EC%99%95%EA%B5%AD" TargetMode="External"/><Relationship Id="rId1699" Type="http://schemas.openxmlformats.org/officeDocument/2006/relationships/hyperlink" Target="http://www.youtube.com/@ddalgak_design" TargetMode="External"/><Relationship Id="rId1216" Type="http://schemas.openxmlformats.org/officeDocument/2006/relationships/hyperlink" Target="https://www.youtube.com/@yumyum_kingdom%EB%83%A0%EB%83%A0%EC%99%95%EA%B5%AD" TargetMode="External"/><Relationship Id="rId1217" Type="http://schemas.openxmlformats.org/officeDocument/2006/relationships/hyperlink" Target="http://instagram.com/yumyum_kingdom" TargetMode="External"/><Relationship Id="rId1218" Type="http://schemas.openxmlformats.org/officeDocument/2006/relationships/hyperlink" Target="https://www.threads.com/@kongkey__?hl=ko" TargetMode="External"/><Relationship Id="rId1219" Type="http://schemas.openxmlformats.org/officeDocument/2006/relationships/hyperlink" Target="https://www.instagram.com/kongkey__/" TargetMode="External"/><Relationship Id="rId866" Type="http://schemas.openxmlformats.org/officeDocument/2006/relationships/hyperlink" Target="https://kmong.com/knowhow/gig/658326" TargetMode="External"/><Relationship Id="rId865" Type="http://schemas.openxmlformats.org/officeDocument/2006/relationships/hyperlink" Target="https://www.instagram.com/iris__shorts/" TargetMode="External"/><Relationship Id="rId864" Type="http://schemas.openxmlformats.org/officeDocument/2006/relationships/hyperlink" Target="https://m.blog.naver.com/gmltmd03/223783670085" TargetMode="External"/><Relationship Id="rId863" Type="http://schemas.openxmlformats.org/officeDocument/2006/relationships/hyperlink" Target="https://www.threads.com/@iris__shorts" TargetMode="External"/><Relationship Id="rId869" Type="http://schemas.openxmlformats.org/officeDocument/2006/relationships/hyperlink" Target="https://kmong.com/" TargetMode="External"/><Relationship Id="rId868" Type="http://schemas.openxmlformats.org/officeDocument/2006/relationships/hyperlink" Target="https://kmong.com/knowhow/gig/619713" TargetMode="External"/><Relationship Id="rId867" Type="http://schemas.openxmlformats.org/officeDocument/2006/relationships/hyperlink" Target="https://kmong.com/" TargetMode="External"/><Relationship Id="rId1690" Type="http://schemas.openxmlformats.org/officeDocument/2006/relationships/hyperlink" Target="https://www.youtube.com/watch?v=c6aBEKMn_CU" TargetMode="External"/><Relationship Id="rId1691" Type="http://schemas.openxmlformats.org/officeDocument/2006/relationships/hyperlink" Target="https://www.youtube.com/@%ED%8A%B8%EB%A0%8C%EB%93%9C%EB%A6%AC%EB%8D%94%EB%A6%AC%EC%95%84" TargetMode="External"/><Relationship Id="rId1692" Type="http://schemas.openxmlformats.org/officeDocument/2006/relationships/hyperlink" Target="https://www.instagram.com/early_ria/" TargetMode="External"/><Relationship Id="rId862" Type="http://schemas.openxmlformats.org/officeDocument/2006/relationships/hyperlink" Target="https://www.instagram.com/zete.dream/" TargetMode="External"/><Relationship Id="rId1693" Type="http://schemas.openxmlformats.org/officeDocument/2006/relationships/hyperlink" Target="https://www.wadiz.kr/web/campaign/detail/387489?path=makerprofile&amp;status=ing" TargetMode="External"/><Relationship Id="rId861" Type="http://schemas.openxmlformats.org/officeDocument/2006/relationships/hyperlink" Target="https://www.wadiz.kr/web/campaign/detail/373557?utm_source=wadizshare_in&amp;utm_medium=share&amp;sharer=6584412808&amp;walinkid=82156836" TargetMode="External"/><Relationship Id="rId1210" Type="http://schemas.openxmlformats.org/officeDocument/2006/relationships/hyperlink" Target="https://www.youtube.com/@businessvoyager/videos" TargetMode="External"/><Relationship Id="rId1694" Type="http://schemas.openxmlformats.org/officeDocument/2006/relationships/hyperlink" Target="https://www.youtube.com/@%ED%95%B4%EB%B3%B4%EA%B9%8CTV/videos" TargetMode="External"/><Relationship Id="rId860" Type="http://schemas.openxmlformats.org/officeDocument/2006/relationships/hyperlink" Target="https://www.instagram.com/zete.dream/" TargetMode="External"/><Relationship Id="rId1211" Type="http://schemas.openxmlformats.org/officeDocument/2006/relationships/hyperlink" Target="https://www.youtube.com/@awkwarceo" TargetMode="External"/><Relationship Id="rId1695" Type="http://schemas.openxmlformats.org/officeDocument/2006/relationships/hyperlink" Target="https://www.youtube.com/watch?v=GKZ2dEdzN8w" TargetMode="External"/><Relationship Id="rId1212" Type="http://schemas.openxmlformats.org/officeDocument/2006/relationships/hyperlink" Target="https://cafe.naver.com/awkwarceo" TargetMode="External"/><Relationship Id="rId1696" Type="http://schemas.openxmlformats.org/officeDocument/2006/relationships/hyperlink" Target="http://open.kakao.com/o/gtr6EA3e" TargetMode="External"/><Relationship Id="rId1202" Type="http://schemas.openxmlformats.org/officeDocument/2006/relationships/hyperlink" Target="https://www.youtube.com/watch?v=h2KfNOlRB5w" TargetMode="External"/><Relationship Id="rId1686" Type="http://schemas.openxmlformats.org/officeDocument/2006/relationships/hyperlink" Target="https://www.youtube.com/@waltechman/shorts" TargetMode="External"/><Relationship Id="rId1203" Type="http://schemas.openxmlformats.org/officeDocument/2006/relationships/hyperlink" Target="https://www.npergrowth.net/offlineclass" TargetMode="External"/><Relationship Id="rId1687" Type="http://schemas.openxmlformats.org/officeDocument/2006/relationships/hyperlink" Target="https://www.youtube.com/@PlayWithAI%EB%9E%A9" TargetMode="External"/><Relationship Id="rId1204" Type="http://schemas.openxmlformats.org/officeDocument/2006/relationships/hyperlink" Target="https://www.youtube.com/@runnper" TargetMode="External"/><Relationship Id="rId1688" Type="http://schemas.openxmlformats.org/officeDocument/2006/relationships/hyperlink" Target="https://www.youtube.com/@PlayWithAI%EB%9E%A9" TargetMode="External"/><Relationship Id="rId1205" Type="http://schemas.openxmlformats.org/officeDocument/2006/relationships/hyperlink" Target="https://www.youtube.com/@%EC%9B%83%EC%A7%A4%ED%8A%9C%EB%B8%8C/shorts" TargetMode="External"/><Relationship Id="rId1689" Type="http://schemas.openxmlformats.org/officeDocument/2006/relationships/hyperlink" Target="https://blog.naver.com/playwithailab" TargetMode="External"/><Relationship Id="rId1206" Type="http://schemas.openxmlformats.org/officeDocument/2006/relationships/hyperlink" Target="https://www.classu.co.kr/class/classDetail/1017784" TargetMode="External"/><Relationship Id="rId1207" Type="http://schemas.openxmlformats.org/officeDocument/2006/relationships/hyperlink" Target="https://www.classu.co.kr/class/classDetail/1017784" TargetMode="External"/><Relationship Id="rId1208" Type="http://schemas.openxmlformats.org/officeDocument/2006/relationships/hyperlink" Target="https://www.youtube.com/@1pyeong/videos" TargetMode="External"/><Relationship Id="rId1209" Type="http://schemas.openxmlformats.org/officeDocument/2006/relationships/hyperlink" Target="https://www.youtube.com/@businessvoyager/videos" TargetMode="External"/><Relationship Id="rId855" Type="http://schemas.openxmlformats.org/officeDocument/2006/relationships/hyperlink" Target="http://instagram.com/hyunfree02" TargetMode="External"/><Relationship Id="rId854" Type="http://schemas.openxmlformats.org/officeDocument/2006/relationships/hyperlink" Target="https://youtu.be/qsiiBxIBl74?si=PQZbFVYoVnWF_Li_" TargetMode="External"/><Relationship Id="rId853" Type="http://schemas.openxmlformats.org/officeDocument/2006/relationships/hyperlink" Target="https://www.youtube.com/playlist?list=PL_kbM3nGTlD2Sb-oGsmceCSKP8DPOYgbj" TargetMode="External"/><Relationship Id="rId852" Type="http://schemas.openxmlformats.org/officeDocument/2006/relationships/hyperlink" Target="https://youtu.be/qsiiBxIBl74?si=PQZbFVYoVnWF_Li_" TargetMode="External"/><Relationship Id="rId859" Type="http://schemas.openxmlformats.org/officeDocument/2006/relationships/hyperlink" Target="https://contents.premium.naver.com/minpapa/il100/profile" TargetMode="External"/><Relationship Id="rId858" Type="http://schemas.openxmlformats.org/officeDocument/2006/relationships/hyperlink" Target="https://www.youtube.com/@rpumkey" TargetMode="External"/><Relationship Id="rId857" Type="http://schemas.openxmlformats.org/officeDocument/2006/relationships/hyperlink" Target="https://smartstore.naver.com/rpumkey/products/11458818544?fbclid=PAZXh0bgNhZW0CMTEAAadDLOga3Uj_kMsaUUS5z8BPG4vUlYrAmiCZdYVufz2Lx7ayQXMYAG_3EIfNOA_aem_Txj_Nb2hKPIqRLaI8dOSbw" TargetMode="External"/><Relationship Id="rId856" Type="http://schemas.openxmlformats.org/officeDocument/2006/relationships/hyperlink" Target="https://www.instagram.com/rpumkey/" TargetMode="External"/><Relationship Id="rId1680" Type="http://schemas.openxmlformats.org/officeDocument/2006/relationships/hyperlink" Target="https://www.youtube.com/channel/UCcFnCeCw9339UJeVqIKuR9Q" TargetMode="External"/><Relationship Id="rId1681" Type="http://schemas.openxmlformats.org/officeDocument/2006/relationships/hyperlink" Target="https://www.instagram.com/digital_tutor_hyeyeon/" TargetMode="External"/><Relationship Id="rId851" Type="http://schemas.openxmlformats.org/officeDocument/2006/relationships/hyperlink" Target="https://www.youtube.com/@contentszzang" TargetMode="External"/><Relationship Id="rId1682" Type="http://schemas.openxmlformats.org/officeDocument/2006/relationships/hyperlink" Target="https://www.youtube.com/watch?v=CRJxMU204Bk" TargetMode="External"/><Relationship Id="rId850" Type="http://schemas.openxmlformats.org/officeDocument/2006/relationships/hyperlink" Target="https://ahaimpact.co.kr/" TargetMode="External"/><Relationship Id="rId1683" Type="http://schemas.openxmlformats.org/officeDocument/2006/relationships/hyperlink" Target="https://ziptech.liveklass.com/classes/274200" TargetMode="External"/><Relationship Id="rId1200" Type="http://schemas.openxmlformats.org/officeDocument/2006/relationships/hyperlink" Target="https://resigndeput/" TargetMode="External"/><Relationship Id="rId1684" Type="http://schemas.openxmlformats.org/officeDocument/2006/relationships/hyperlink" Target="https://www.youtube.com/@TV-ci5ip" TargetMode="External"/><Relationship Id="rId1201" Type="http://schemas.openxmlformats.org/officeDocument/2006/relationships/hyperlink" Target="https://www.youtube.com/@resigned-deputy" TargetMode="External"/><Relationship Id="rId1685" Type="http://schemas.openxmlformats.org/officeDocument/2006/relationships/hyperlink" Target="https://www.youtube.com/@waltechman/shorts" TargetMode="External"/><Relationship Id="rId1235" Type="http://schemas.openxmlformats.org/officeDocument/2006/relationships/hyperlink" Target="http://www.youtube.com/@UltraStudio-n4z" TargetMode="External"/><Relationship Id="rId1236" Type="http://schemas.openxmlformats.org/officeDocument/2006/relationships/hyperlink" Target="http://instagram.com/ultra__ai" TargetMode="External"/><Relationship Id="rId1237" Type="http://schemas.openxmlformats.org/officeDocument/2006/relationships/hyperlink" Target="http://www.youtube.com/@weekendtubu91" TargetMode="External"/><Relationship Id="rId1238" Type="http://schemas.openxmlformats.org/officeDocument/2006/relationships/hyperlink" Target="http://www.youtube.com/@weekendtubu91" TargetMode="External"/><Relationship Id="rId1239" Type="http://schemas.openxmlformats.org/officeDocument/2006/relationships/hyperlink" Target="http://instagram.com/dae_kang?igsh=bTNyNWU5d2oxcHFv" TargetMode="External"/><Relationship Id="rId409" Type="http://schemas.openxmlformats.org/officeDocument/2006/relationships/hyperlink" Target="https://blog.naver.com/design413_/223521970330" TargetMode="External"/><Relationship Id="rId404" Type="http://schemas.openxmlformats.org/officeDocument/2006/relationships/hyperlink" Target="https://www.youtube.com/@nomarketers" TargetMode="External"/><Relationship Id="rId888" Type="http://schemas.openxmlformats.org/officeDocument/2006/relationships/hyperlink" Target="https://www.instagram.com/ttok_sajang/" TargetMode="External"/><Relationship Id="rId403" Type="http://schemas.openxmlformats.org/officeDocument/2006/relationships/hyperlink" Target="https://pudufu.co.kr/home/pdf_detail_page/652" TargetMode="External"/><Relationship Id="rId887" Type="http://schemas.openxmlformats.org/officeDocument/2006/relationships/hyperlink" Target="https://www.youtube.com/@%EB%98%91%EC%82%AC%EC%9E%A5" TargetMode="External"/><Relationship Id="rId402" Type="http://schemas.openxmlformats.org/officeDocument/2006/relationships/hyperlink" Target="https://www.youtube.com/@nomarketers" TargetMode="External"/><Relationship Id="rId886" Type="http://schemas.openxmlformats.org/officeDocument/2006/relationships/hyperlink" Target="https://www.uppage.com/yeonwooj21/yeonwooj214" TargetMode="External"/><Relationship Id="rId401" Type="http://schemas.openxmlformats.org/officeDocument/2006/relationships/hyperlink" Target="https://www.youtube.com/@%EB%A0%88%EB%B2%A8%EC%97%85%ED%81%B4%EB%9D%BC%EC%8A%A4" TargetMode="External"/><Relationship Id="rId885" Type="http://schemas.openxmlformats.org/officeDocument/2006/relationships/hyperlink" Target="https://www.youtube.com/watch?v=fPyyvOL0AIU" TargetMode="External"/><Relationship Id="rId408" Type="http://schemas.openxmlformats.org/officeDocument/2006/relationships/hyperlink" Target="https://www.instagram.com/simsim.ai/" TargetMode="External"/><Relationship Id="rId407" Type="http://schemas.openxmlformats.org/officeDocument/2006/relationships/hyperlink" Target="https://www.pbizlab.com/register?fbclid=PAZXh0bgNhZW0CMTEAAaeS3MQAgi9YQKWP2HT70WUrOq9S98KRghM7SiklbGYUYtpG0lUoNCRjKYbjmg_aem_znnyxvH2FSrXgmWM9xT09A" TargetMode="External"/><Relationship Id="rId406" Type="http://schemas.openxmlformats.org/officeDocument/2006/relationships/hyperlink" Target="https://www.instagram.com/simsim.ai/" TargetMode="External"/><Relationship Id="rId405" Type="http://schemas.openxmlformats.org/officeDocument/2006/relationships/hyperlink" Target="https://www.instagram.com/nomarketers/" TargetMode="External"/><Relationship Id="rId889" Type="http://schemas.openxmlformats.org/officeDocument/2006/relationships/hyperlink" Target="https://www.youtube.com/@%EC%96%91%EC%9E%91%EA%B0%802/videos" TargetMode="External"/><Relationship Id="rId880" Type="http://schemas.openxmlformats.org/officeDocument/2006/relationships/hyperlink" Target="https://kmong.com/knowhow/gig/465529" TargetMode="External"/><Relationship Id="rId1230" Type="http://schemas.openxmlformats.org/officeDocument/2006/relationships/hyperlink" Target="https://youtube.com/@kliveco99?si=Yr5CLGUwP9xugEGk" TargetMode="External"/><Relationship Id="rId400" Type="http://schemas.openxmlformats.org/officeDocument/2006/relationships/hyperlink" Target="https://litt.ly/levelupclass" TargetMode="External"/><Relationship Id="rId884" Type="http://schemas.openxmlformats.org/officeDocument/2006/relationships/hyperlink" Target="https://www.instagram.com/ai.show.room/" TargetMode="External"/><Relationship Id="rId1231" Type="http://schemas.openxmlformats.org/officeDocument/2006/relationships/hyperlink" Target="https://youtube.com/@kliveco99?si=Yr5CLGUwP9xugEGk" TargetMode="External"/><Relationship Id="rId883" Type="http://schemas.openxmlformats.org/officeDocument/2006/relationships/hyperlink" Target="https://www.youtube.com/@AI_showroom" TargetMode="External"/><Relationship Id="rId1232" Type="http://schemas.openxmlformats.org/officeDocument/2006/relationships/hyperlink" Target="https://www.instagram.com/travel_szul/" TargetMode="External"/><Relationship Id="rId882" Type="http://schemas.openxmlformats.org/officeDocument/2006/relationships/hyperlink" Target="https://www.youtube.com/watch?v=4GOOM6B6dwg" TargetMode="External"/><Relationship Id="rId1233" Type="http://schemas.openxmlformats.org/officeDocument/2006/relationships/hyperlink" Target="https://kmong.com/gig/618318" TargetMode="External"/><Relationship Id="rId881" Type="http://schemas.openxmlformats.org/officeDocument/2006/relationships/hyperlink" Target="https://kmong.com/" TargetMode="External"/><Relationship Id="rId1234" Type="http://schemas.openxmlformats.org/officeDocument/2006/relationships/hyperlink" Target="https://www.inflearn.com/course/%ED%95%98%EB%A3%A8-20%EB%B6%84-ai-%EB%94%94%EC%9E%90%EC%9D%B8" TargetMode="External"/><Relationship Id="rId1224" Type="http://schemas.openxmlformats.org/officeDocument/2006/relationships/hyperlink" Target="https://www.instagram.com/freemadd3/" TargetMode="External"/><Relationship Id="rId1225" Type="http://schemas.openxmlformats.org/officeDocument/2006/relationships/hyperlink" Target="https://m.blog.naver.com/PostList.naver?blogId=wth151&amp;tab=1" TargetMode="External"/><Relationship Id="rId1226" Type="http://schemas.openxmlformats.org/officeDocument/2006/relationships/hyperlink" Target="https://www.upskill.kr/product/68d1e5883b024aa4b578a80f" TargetMode="External"/><Relationship Id="rId1227" Type="http://schemas.openxmlformats.org/officeDocument/2006/relationships/hyperlink" Target="https://www.youtube.com/@koricanth" TargetMode="External"/><Relationship Id="rId1228" Type="http://schemas.openxmlformats.org/officeDocument/2006/relationships/hyperlink" Target="https://booup1234.co.kr/" TargetMode="External"/><Relationship Id="rId1229" Type="http://schemas.openxmlformats.org/officeDocument/2006/relationships/hyperlink" Target="https://youtube.com/channel/UCssMAfwEpQF0GZ8V0a57vuQ?si=bVKjc4B4cvZHDp2_" TargetMode="External"/><Relationship Id="rId877" Type="http://schemas.openxmlformats.org/officeDocument/2006/relationships/hyperlink" Target="https://kmong.com/" TargetMode="External"/><Relationship Id="rId876" Type="http://schemas.openxmlformats.org/officeDocument/2006/relationships/hyperlink" Target="https://kmong.com/knowhow/gig/687492" TargetMode="External"/><Relationship Id="rId875" Type="http://schemas.openxmlformats.org/officeDocument/2006/relationships/hyperlink" Target="https://kmong.com/" TargetMode="External"/><Relationship Id="rId874" Type="http://schemas.openxmlformats.org/officeDocument/2006/relationships/hyperlink" Target="https://kmong.com/knowhow/gig/700013" TargetMode="External"/><Relationship Id="rId879" Type="http://schemas.openxmlformats.org/officeDocument/2006/relationships/hyperlink" Target="https://kmong.com/" TargetMode="External"/><Relationship Id="rId878" Type="http://schemas.openxmlformats.org/officeDocument/2006/relationships/hyperlink" Target="https://kmong.com/knowhow/gig/693678" TargetMode="External"/><Relationship Id="rId873" Type="http://schemas.openxmlformats.org/officeDocument/2006/relationships/hyperlink" Target="https://kmong.com/" TargetMode="External"/><Relationship Id="rId1220" Type="http://schemas.openxmlformats.org/officeDocument/2006/relationships/hyperlink" Target="https://www.threads.com/@shorts_university_?hl=ko" TargetMode="External"/><Relationship Id="rId872" Type="http://schemas.openxmlformats.org/officeDocument/2006/relationships/hyperlink" Target="https://kmong.com/knowhow/gig/704242" TargetMode="External"/><Relationship Id="rId1221" Type="http://schemas.openxmlformats.org/officeDocument/2006/relationships/hyperlink" Target="https://m.blog.naver.com/gmltmd03/223783670085" TargetMode="External"/><Relationship Id="rId871" Type="http://schemas.openxmlformats.org/officeDocument/2006/relationships/hyperlink" Target="https://kmong.com/" TargetMode="External"/><Relationship Id="rId1222" Type="http://schemas.openxmlformats.org/officeDocument/2006/relationships/hyperlink" Target="https://www.instagram.com/shorts_university_?igsh=OWlyb2p2cW5mZjlj" TargetMode="External"/><Relationship Id="rId870" Type="http://schemas.openxmlformats.org/officeDocument/2006/relationships/hyperlink" Target="https://kmong.com/knowhow/gig/606381" TargetMode="External"/><Relationship Id="rId1223" Type="http://schemas.openxmlformats.org/officeDocument/2006/relationships/hyperlink" Target="https://www.youtube.com/@homegymm" TargetMode="External"/><Relationship Id="rId1653" Type="http://schemas.openxmlformats.org/officeDocument/2006/relationships/hyperlink" Target="https://youtu.be/w99X0mJJ76Y?si=lbdhqDFjeuolbL7D" TargetMode="External"/><Relationship Id="rId1654" Type="http://schemas.openxmlformats.org/officeDocument/2006/relationships/hyperlink" Target="https://bizboost.me.kr/application/?type=detail&amp;idx=7&amp;page=1&amp;partnership_idx=222144" TargetMode="External"/><Relationship Id="rId1655" Type="http://schemas.openxmlformats.org/officeDocument/2006/relationships/hyperlink" Target="https://www.youtube.com/@Satddu" TargetMode="External"/><Relationship Id="rId1656" Type="http://schemas.openxmlformats.org/officeDocument/2006/relationships/hyperlink" Target="http://instagram.com/satddu" TargetMode="External"/><Relationship Id="rId1657" Type="http://schemas.openxmlformats.org/officeDocument/2006/relationships/hyperlink" Target="https://www.youtube.com/watch?v=Mbz4VKjYxYI" TargetMode="External"/><Relationship Id="rId1658" Type="http://schemas.openxmlformats.org/officeDocument/2006/relationships/hyperlink" Target="https://biz.themango.co.kr/Class/classItem?product_no=578" TargetMode="External"/><Relationship Id="rId1659" Type="http://schemas.openxmlformats.org/officeDocument/2006/relationships/hyperlink" Target="https://www.youtube.com/@linchpin9999" TargetMode="External"/><Relationship Id="rId829" Type="http://schemas.openxmlformats.org/officeDocument/2006/relationships/hyperlink" Target="https://cafe.naver.com/onggumsa" TargetMode="External"/><Relationship Id="rId828" Type="http://schemas.openxmlformats.org/officeDocument/2006/relationships/hyperlink" Target="http://www.youtube.com/@twotrack584" TargetMode="External"/><Relationship Id="rId827" Type="http://schemas.openxmlformats.org/officeDocument/2006/relationships/hyperlink" Target="http://www.youtube.com/@%ED%8A%B8%EB%A6%AD%EB%B3%BC%EB%9F%AC" TargetMode="External"/><Relationship Id="rId822" Type="http://schemas.openxmlformats.org/officeDocument/2006/relationships/hyperlink" Target="https://kmong.com/@%EB%8F%88%EB%85%B8%EB%A6%AC" TargetMode="External"/><Relationship Id="rId821" Type="http://schemas.openxmlformats.org/officeDocument/2006/relationships/hyperlink" Target="https://youtube.com/channel/UCh5tgh1WG_N1qdb62Qj2eUA?si=4OA1trGwnCkGmzqZ" TargetMode="External"/><Relationship Id="rId820" Type="http://schemas.openxmlformats.org/officeDocument/2006/relationships/hyperlink" Target="https://www.instagram.com/h0__226?igsh=MWh0bWhvZXp3Y2U2ag==" TargetMode="External"/><Relationship Id="rId826" Type="http://schemas.openxmlformats.org/officeDocument/2006/relationships/hyperlink" Target="https://www.booup1234.co.kr/classes/204315" TargetMode="External"/><Relationship Id="rId825" Type="http://schemas.openxmlformats.org/officeDocument/2006/relationships/hyperlink" Target="http://www.youtube.com/@%ED%8A%B8%EB%A6%AD%EB%B3%BC%EB%9F%AC" TargetMode="External"/><Relationship Id="rId824" Type="http://schemas.openxmlformats.org/officeDocument/2006/relationships/hyperlink" Target="https://www.instagram.com/donnori123?igsh=MTh3ZmxsMXlqeHl5dQ==" TargetMode="External"/><Relationship Id="rId823" Type="http://schemas.openxmlformats.org/officeDocument/2006/relationships/hyperlink" Target="https://m.youtube.com/channel/UCD6-S1HwLyfeJ1XulMJMxnw" TargetMode="External"/><Relationship Id="rId1650" Type="http://schemas.openxmlformats.org/officeDocument/2006/relationships/hyperlink" Target="https://www.youtube.com/watch?v=uZQkA12H5U4" TargetMode="External"/><Relationship Id="rId1651" Type="http://schemas.openxmlformats.org/officeDocument/2006/relationships/hyperlink" Target="http://yunjadong.com/" TargetMode="External"/><Relationship Id="rId1652" Type="http://schemas.openxmlformats.org/officeDocument/2006/relationships/hyperlink" Target="https://www.youtube.com/@yunjadong/featured" TargetMode="External"/><Relationship Id="rId1642" Type="http://schemas.openxmlformats.org/officeDocument/2006/relationships/hyperlink" Target="https://www.youtube.com/@%EB%8C%80%EB%94%94%EA%B0%93%EC%9E%AC" TargetMode="External"/><Relationship Id="rId1643" Type="http://schemas.openxmlformats.org/officeDocument/2006/relationships/hyperlink" Target="https://www.youtube.com/@%EB%8C%80%EB%94%94%EA%B0%93%EC%9E%AC" TargetMode="External"/><Relationship Id="rId1644" Type="http://schemas.openxmlformats.org/officeDocument/2006/relationships/hyperlink" Target="https://www.youtube.com/@SellerYoonCEO" TargetMode="External"/><Relationship Id="rId1645" Type="http://schemas.openxmlformats.org/officeDocument/2006/relationships/hyperlink" Target="https://cafe.naver.com/f-e/cafes/31581385/menus/12" TargetMode="External"/><Relationship Id="rId1646" Type="http://schemas.openxmlformats.org/officeDocument/2006/relationships/hyperlink" Target="https://www.youtube.com/@SellerYoonCEO" TargetMode="External"/><Relationship Id="rId1647" Type="http://schemas.openxmlformats.org/officeDocument/2006/relationships/hyperlink" Target="https://www.youtube.com/watch?v=PSthFqCQ420" TargetMode="External"/><Relationship Id="rId1648" Type="http://schemas.openxmlformats.org/officeDocument/2006/relationships/hyperlink" Target="https://www.pandaedu.kr/main/index.jsp" TargetMode="External"/><Relationship Id="rId1649" Type="http://schemas.openxmlformats.org/officeDocument/2006/relationships/hyperlink" Target="https://www.youtube.com/@panda_panda_" TargetMode="External"/><Relationship Id="rId819" Type="http://schemas.openxmlformats.org/officeDocument/2006/relationships/hyperlink" Target="https://www.wadiz.kr/web/campaign/detail/238474" TargetMode="External"/><Relationship Id="rId818" Type="http://schemas.openxmlformats.org/officeDocument/2006/relationships/hyperlink" Target="https://blog.naver.com/char_d_" TargetMode="External"/><Relationship Id="rId817" Type="http://schemas.openxmlformats.org/officeDocument/2006/relationships/hyperlink" Target="https://www.youtube.com/@%EC%9C%A0%ED%8A%9C%EB%B8%8C%ED%8C%A9%ED%86%A0%EB%A6%AC23" TargetMode="External"/><Relationship Id="rId816" Type="http://schemas.openxmlformats.org/officeDocument/2006/relationships/hyperlink" Target="https://blog.naver.com/waiwaiachi/224048074387" TargetMode="External"/><Relationship Id="rId811" Type="http://schemas.openxmlformats.org/officeDocument/2006/relationships/hyperlink" Target="https://www.youtube.com/@ai_market" TargetMode="External"/><Relationship Id="rId810" Type="http://schemas.openxmlformats.org/officeDocument/2006/relationships/hyperlink" Target="http://instagram.com/omd_eunhwan/" TargetMode="External"/><Relationship Id="rId815" Type="http://schemas.openxmlformats.org/officeDocument/2006/relationships/hyperlink" Target="https://www.youtube.com/@%EC%9C%A0%ED%8A%9C%EB%B8%8C%ED%8C%A9%ED%86%A0%EB%A6%AC23" TargetMode="External"/><Relationship Id="rId814" Type="http://schemas.openxmlformats.org/officeDocument/2006/relationships/hyperlink" Target="https://www.youtube.com/@%EC%8B%9C%EB%8B%88%EC%96%B4%EB%B0%B1%EC%84%B8%EC%8A%B5%EA%B4%80/shorts" TargetMode="External"/><Relationship Id="rId813" Type="http://schemas.openxmlformats.org/officeDocument/2006/relationships/hyperlink" Target="https://www.youtube.com/@%EC%8B%9C%EB%8B%88%EC%96%B4%EB%B0%B1%EC%84%B8%EC%8A%B5%EA%B4%80/shorts" TargetMode="External"/><Relationship Id="rId812" Type="http://schemas.openxmlformats.org/officeDocument/2006/relationships/hyperlink" Target="https://www.youtube.com/@ai_market" TargetMode="External"/><Relationship Id="rId1640" Type="http://schemas.openxmlformats.org/officeDocument/2006/relationships/hyperlink" Target="https://www.youtube.com/@Life3.0Pictures" TargetMode="External"/><Relationship Id="rId1641" Type="http://schemas.openxmlformats.org/officeDocument/2006/relationships/hyperlink" Target="https://www.youtube.com/@Life3.0Pictures" TargetMode="External"/><Relationship Id="rId1675" Type="http://schemas.openxmlformats.org/officeDocument/2006/relationships/hyperlink" Target="https://www.youtube.com/watch?v=6HL9aFcgCzM" TargetMode="External"/><Relationship Id="rId1676" Type="http://schemas.openxmlformats.org/officeDocument/2006/relationships/hyperlink" Target="https://www.wadiz.kr/web/campaign/detail/344283" TargetMode="External"/><Relationship Id="rId1677" Type="http://schemas.openxmlformats.org/officeDocument/2006/relationships/hyperlink" Target="https://www.wadiz.kr/web/campaign/detail/344283" TargetMode="External"/><Relationship Id="rId1678" Type="http://schemas.openxmlformats.org/officeDocument/2006/relationships/hyperlink" Target="https://www.instagram.com/digital_tutor_hyeyeon/" TargetMode="External"/><Relationship Id="rId1679" Type="http://schemas.openxmlformats.org/officeDocument/2006/relationships/hyperlink" Target="https://blog.naver.com/aoh56790" TargetMode="External"/><Relationship Id="rId849" Type="http://schemas.openxmlformats.org/officeDocument/2006/relationships/hyperlink" Target="https://www.youtube.com/@contentszzang" TargetMode="External"/><Relationship Id="rId844" Type="http://schemas.openxmlformats.org/officeDocument/2006/relationships/hyperlink" Target="https://www.youtube.com/@Workaholic-n3f" TargetMode="External"/><Relationship Id="rId843" Type="http://schemas.openxmlformats.org/officeDocument/2006/relationships/hyperlink" Target="https://docs.google.com/forms/d/e/1FAIpQLScRV8Yie0-YPiDlacHIofhTjqMNFyhT-v7OBH9ZfZ1oxQKM4w/viewform" TargetMode="External"/><Relationship Id="rId842" Type="http://schemas.openxmlformats.org/officeDocument/2006/relationships/hyperlink" Target="https://www.youtube.com/@Workaholic-n3f" TargetMode="External"/><Relationship Id="rId841" Type="http://schemas.openxmlformats.org/officeDocument/2006/relationships/hyperlink" Target="https://www.youtube.com/@VIDHUNT_official" TargetMode="External"/><Relationship Id="rId848" Type="http://schemas.openxmlformats.org/officeDocument/2006/relationships/hyperlink" Target="https://www.youtube.com/watch?v=3evSj5BG-H4" TargetMode="External"/><Relationship Id="rId847" Type="http://schemas.openxmlformats.org/officeDocument/2006/relationships/hyperlink" Target="https://docs.google.com/forms/d/e/1FAIpQLSfhpqbuKED5Dsn9_RnuNIp91b61L5kOT-pmSz1EYybpGZgYoA/viewform" TargetMode="External"/><Relationship Id="rId846" Type="http://schemas.openxmlformats.org/officeDocument/2006/relationships/hyperlink" Target="https://www.youtube.com/watch?v=3evSj5BG-H4" TargetMode="External"/><Relationship Id="rId845" Type="http://schemas.openxmlformats.org/officeDocument/2006/relationships/hyperlink" Target="https://open.kakao.com/o/sNlR3MVh" TargetMode="External"/><Relationship Id="rId1670" Type="http://schemas.openxmlformats.org/officeDocument/2006/relationships/hyperlink" Target="https://vvd.bz/fdKR" TargetMode="External"/><Relationship Id="rId840" Type="http://schemas.openxmlformats.org/officeDocument/2006/relationships/hyperlink" Target="https://www.vidhunt.me/" TargetMode="External"/><Relationship Id="rId1671" Type="http://schemas.openxmlformats.org/officeDocument/2006/relationships/hyperlink" Target="https://www.youtube.com/@anab" TargetMode="External"/><Relationship Id="rId1672" Type="http://schemas.openxmlformats.org/officeDocument/2006/relationships/hyperlink" Target="https://vvd.bz/bNRL" TargetMode="External"/><Relationship Id="rId1673" Type="http://schemas.openxmlformats.org/officeDocument/2006/relationships/hyperlink" Target="https://highclass.io.kr/class?lectureId=6572" TargetMode="External"/><Relationship Id="rId1674" Type="http://schemas.openxmlformats.org/officeDocument/2006/relationships/hyperlink" Target="https://highclass.io.kr/class?lectureId=6572" TargetMode="External"/><Relationship Id="rId1664" Type="http://schemas.openxmlformats.org/officeDocument/2006/relationships/hyperlink" Target="https://www.instagram.com/53.1tip?igsh=ZWdlcnJlOWZhYWZv" TargetMode="External"/><Relationship Id="rId1665" Type="http://schemas.openxmlformats.org/officeDocument/2006/relationships/hyperlink" Target="https://www.youtube.com/watch?v=ICbQmkoH7qM" TargetMode="External"/><Relationship Id="rId1666" Type="http://schemas.openxmlformats.org/officeDocument/2006/relationships/hyperlink" Target="https://www.youtube.com/watch?v=ICbQmkoH7qM" TargetMode="External"/><Relationship Id="rId1667" Type="http://schemas.openxmlformats.org/officeDocument/2006/relationships/hyperlink" Target="https://www.youtube.com/@greenkokki/videos" TargetMode="External"/><Relationship Id="rId1668" Type="http://schemas.openxmlformats.org/officeDocument/2006/relationships/hyperlink" Target="https://www.youtube.com/@greenkokki/videos" TargetMode="External"/><Relationship Id="rId1669" Type="http://schemas.openxmlformats.org/officeDocument/2006/relationships/hyperlink" Target="https://www.youtube.com/watch?v=NPwOFkrNpzM" TargetMode="External"/><Relationship Id="rId839" Type="http://schemas.openxmlformats.org/officeDocument/2006/relationships/hyperlink" Target="https://www.instagram.com/youtubejocoding/" TargetMode="External"/><Relationship Id="rId838" Type="http://schemas.openxmlformats.org/officeDocument/2006/relationships/hyperlink" Target="https://www.youtube.com/@jocoding/videos" TargetMode="External"/><Relationship Id="rId833" Type="http://schemas.openxmlformats.org/officeDocument/2006/relationships/hyperlink" Target="https://www.youtube.com/watch?v=DBGfHRzI33M" TargetMode="External"/><Relationship Id="rId832" Type="http://schemas.openxmlformats.org/officeDocument/2006/relationships/hyperlink" Target="https://www.youtube.com/@JsAILibrary" TargetMode="External"/><Relationship Id="rId831" Type="http://schemas.openxmlformats.org/officeDocument/2006/relationships/hyperlink" Target="https://www.youtube.com/@JsAILibrary" TargetMode="External"/><Relationship Id="rId830" Type="http://schemas.openxmlformats.org/officeDocument/2006/relationships/hyperlink" Target="http://www.youtube.com/@twotrack584" TargetMode="External"/><Relationship Id="rId837" Type="http://schemas.openxmlformats.org/officeDocument/2006/relationships/hyperlink" Target="https://www.youtube.com/@jocoding/videos" TargetMode="External"/><Relationship Id="rId836" Type="http://schemas.openxmlformats.org/officeDocument/2006/relationships/hyperlink" Target="https://jocoding.net/" TargetMode="External"/><Relationship Id="rId835" Type="http://schemas.openxmlformats.org/officeDocument/2006/relationships/hyperlink" Target="https://www.instagram.com/mungdi_/" TargetMode="External"/><Relationship Id="rId834" Type="http://schemas.openxmlformats.org/officeDocument/2006/relationships/hyperlink" Target="https://tpschool.co.kr/classes/215059?utm_source=youtube&amp;utm_medium=video_org&amp;utm_campaign=mungdi3_20250816" TargetMode="External"/><Relationship Id="rId1660" Type="http://schemas.openxmlformats.org/officeDocument/2006/relationships/hyperlink" Target="https://www.threads.com/@nanbaro_official?hl=ko" TargetMode="External"/><Relationship Id="rId1661" Type="http://schemas.openxmlformats.org/officeDocument/2006/relationships/hyperlink" Target="https://www.wadiz.kr/web/campaign/detail/388094?fbclid=PAZXh0bgNhZW0CMTEAc3J0YwZhcHBfaWQMMjU2MjgxMDQwNTU4AAGnHWp01nYiYa9wqwXfgv1C_ax1OmrX_BeYbBAQwM-E34SBfRhqyqRvzGWlI8U_aem_UTIpGIGugxS3KdxsTLHXXA" TargetMode="External"/><Relationship Id="rId1662" Type="http://schemas.openxmlformats.org/officeDocument/2006/relationships/hyperlink" Target="https://www.instagram.com/nanbaro_official/" TargetMode="External"/><Relationship Id="rId1663" Type="http://schemas.openxmlformats.org/officeDocument/2006/relationships/hyperlink" Target="https://www.threads.com/@53.1tip" TargetMode="External"/><Relationship Id="rId2148" Type="http://schemas.openxmlformats.org/officeDocument/2006/relationships/hyperlink" Target="https://youtube.com/@moneyx2000?si=Ovfse4XxBUSgyrjj" TargetMode="External"/><Relationship Id="rId2149" Type="http://schemas.openxmlformats.org/officeDocument/2006/relationships/hyperlink" Target="https://www.instagram.com/moneyx.2000/" TargetMode="External"/><Relationship Id="rId469" Type="http://schemas.openxmlformats.org/officeDocument/2006/relationships/hyperlink" Target="https://www.instagram.com/adsensefarm_official/" TargetMode="External"/><Relationship Id="rId468" Type="http://schemas.openxmlformats.org/officeDocument/2006/relationships/hyperlink" Target="https://www.youtube.com/@adsensefarm" TargetMode="External"/><Relationship Id="rId467" Type="http://schemas.openxmlformats.org/officeDocument/2006/relationships/hyperlink" Target="https://l.instagram.com/?u=https%3A%2F%2Flinktr.ee%2Fadsensefarm_official%3Ffbclid%3DPAZXh0bgNhZW0CMTEAAafNDl8-mQdRJ4VjBC81XBw0RB035zEbQdTnlORqN0Xd_ERu6QAtSjwY4tBqBQ_aem_pDRNdh33QOTr9Es5_jzupg&amp;e=AT3ONDL5zGq1gi-7deoFLRelylvhA42UFVYnirKratl72kxFnNammV0EzgXoQboW_lyZUk-bu-91W1rU9jQ2Gtgw_GQb36WQbSrHvxU" TargetMode="External"/><Relationship Id="rId1290" Type="http://schemas.openxmlformats.org/officeDocument/2006/relationships/hyperlink" Target="https://www.youtube.com/watch?v=-TLSW7CMmn8" TargetMode="External"/><Relationship Id="rId1291" Type="http://schemas.openxmlformats.org/officeDocument/2006/relationships/hyperlink" Target="https://www.youtube.com/watch?v=-TLSW7CMmn8" TargetMode="External"/><Relationship Id="rId1292" Type="http://schemas.openxmlformats.org/officeDocument/2006/relationships/hyperlink" Target="https://www.instagram.com/xsummerx_h/?next=%2F" TargetMode="External"/><Relationship Id="rId462" Type="http://schemas.openxmlformats.org/officeDocument/2006/relationships/hyperlink" Target="https://www.youtube.com/watch?v=YFMIo9AJARo" TargetMode="External"/><Relationship Id="rId1293" Type="http://schemas.openxmlformats.org/officeDocument/2006/relationships/hyperlink" Target="https://www.threads.com/@xsummerx_h?xmt=AQF0V33RMRB6_cJ37yrhbb8H6goPMbhh9LQekA2I8hQg7RE" TargetMode="External"/><Relationship Id="rId2140" Type="http://schemas.openxmlformats.org/officeDocument/2006/relationships/hyperlink" Target="https://www.youtube.com/@bomtailofficial" TargetMode="External"/><Relationship Id="rId461" Type="http://schemas.openxmlformats.org/officeDocument/2006/relationships/hyperlink" Target="https://pf.kakao.com/_xmZuGxj" TargetMode="External"/><Relationship Id="rId1294" Type="http://schemas.openxmlformats.org/officeDocument/2006/relationships/hyperlink" Target="https://youtu.be/87rLg_lmRcs?si=UPw_POwtbcZ-yAKV" TargetMode="External"/><Relationship Id="rId2141" Type="http://schemas.openxmlformats.org/officeDocument/2006/relationships/hyperlink" Target="https://emoticoncreatorclub.com/channels/L2NoYW5uZWxzLzkyNjY/C00007/classes/103365/information" TargetMode="External"/><Relationship Id="rId460" Type="http://schemas.openxmlformats.org/officeDocument/2006/relationships/hyperlink" Target="https://ogsedu.com/product/vod-%EC%9D%B4%EC%BB%A4%EB%A8%B8%EC%8A%A4-%EB%A7%9E%EC%B6%A4%ED%98%95-ai-%EA%B5%90%EC%9C%A1%ED%94%BC%EA%B7%B8%EB%AA%BD%ED%82%A4-%EA%B0%95%EC%82%AC/45/category/1/display/2/" TargetMode="External"/><Relationship Id="rId1295" Type="http://schemas.openxmlformats.org/officeDocument/2006/relationships/hyperlink" Target="https://www.muaclass.co.kr/course/course_list.jsp?cid&amp;ln=allcourses&amp;gn=course" TargetMode="External"/><Relationship Id="rId2142" Type="http://schemas.openxmlformats.org/officeDocument/2006/relationships/hyperlink" Target="https://www.youtube.com/@bomtailofficial" TargetMode="External"/><Relationship Id="rId1296" Type="http://schemas.openxmlformats.org/officeDocument/2006/relationships/hyperlink" Target="https://www.youtube.com/@hotdogtv" TargetMode="External"/><Relationship Id="rId2143" Type="http://schemas.openxmlformats.org/officeDocument/2006/relationships/hyperlink" Target="https://log1000.co.kr/" TargetMode="External"/><Relationship Id="rId466" Type="http://schemas.openxmlformats.org/officeDocument/2006/relationships/hyperlink" Target="https://www.instagram.com/adsensefarm_official/" TargetMode="External"/><Relationship Id="rId1297" Type="http://schemas.openxmlformats.org/officeDocument/2006/relationships/hyperlink" Target="mailto:contact@glowuprizz.com" TargetMode="External"/><Relationship Id="rId2144" Type="http://schemas.openxmlformats.org/officeDocument/2006/relationships/hyperlink" Target="https://litt.ly/salguunni/sale/GbyXCEh" TargetMode="External"/><Relationship Id="rId465" Type="http://schemas.openxmlformats.org/officeDocument/2006/relationships/hyperlink" Target="https://www.instagram.com/hye.lee.kim/" TargetMode="External"/><Relationship Id="rId1298" Type="http://schemas.openxmlformats.org/officeDocument/2006/relationships/hyperlink" Target="https://www.youtube.com/@qjc_qjc" TargetMode="External"/><Relationship Id="rId2145" Type="http://schemas.openxmlformats.org/officeDocument/2006/relationships/hyperlink" Target="https://www.instagram.com/salguunni/" TargetMode="External"/><Relationship Id="rId464" Type="http://schemas.openxmlformats.org/officeDocument/2006/relationships/hyperlink" Target="https://www.instagram.com/hye.lee.kim/" TargetMode="External"/><Relationship Id="rId1299" Type="http://schemas.openxmlformats.org/officeDocument/2006/relationships/hyperlink" Target="https://qjc.liveklass.com/" TargetMode="External"/><Relationship Id="rId2146" Type="http://schemas.openxmlformats.org/officeDocument/2006/relationships/hyperlink" Target="https://youtube.com/@moneyx2000?si=Ovfse4XxBUSgyrjj" TargetMode="External"/><Relationship Id="rId463" Type="http://schemas.openxmlformats.org/officeDocument/2006/relationships/hyperlink" Target="https://www.youtube.com/@aiecor/featured" TargetMode="External"/><Relationship Id="rId2147" Type="http://schemas.openxmlformats.org/officeDocument/2006/relationships/hyperlink" Target="https://cafe.naver.com/moneyx2000/2073" TargetMode="External"/><Relationship Id="rId2137" Type="http://schemas.openxmlformats.org/officeDocument/2006/relationships/hyperlink" Target="https://www.youtube.com/@%ED%94%8C%EB%9F%AC%EC%8A%A4%EC%A0%A0ai/videos" TargetMode="External"/><Relationship Id="rId2138" Type="http://schemas.openxmlformats.org/officeDocument/2006/relationships/hyperlink" Target="https://kmong.com/gig/674574" TargetMode="External"/><Relationship Id="rId2139" Type="http://schemas.openxmlformats.org/officeDocument/2006/relationships/hyperlink" Target="https://realproject.liveklass.com/" TargetMode="External"/><Relationship Id="rId459" Type="http://schemas.openxmlformats.org/officeDocument/2006/relationships/hyperlink" Target="https://www.youtube.com/watch?v=V79nDNcTCyA" TargetMode="External"/><Relationship Id="rId458" Type="http://schemas.openxmlformats.org/officeDocument/2006/relationships/hyperlink" Target="https://www.youtube.com/@Yt_Performan" TargetMode="External"/><Relationship Id="rId457" Type="http://schemas.openxmlformats.org/officeDocument/2006/relationships/hyperlink" Target="https://kmong.com/gig/611192" TargetMode="External"/><Relationship Id="rId456" Type="http://schemas.openxmlformats.org/officeDocument/2006/relationships/hyperlink" Target="https://www.youtube.com/@Yt_Performan" TargetMode="External"/><Relationship Id="rId1280" Type="http://schemas.openxmlformats.org/officeDocument/2006/relationships/hyperlink" Target="https://www.youtube.com/watch?v=TdwU8nCS6no" TargetMode="External"/><Relationship Id="rId1281" Type="http://schemas.openxmlformats.org/officeDocument/2006/relationships/hyperlink" Target="https://k-marketingacademy.liveklass.com/classes/272125" TargetMode="External"/><Relationship Id="rId451" Type="http://schemas.openxmlformats.org/officeDocument/2006/relationships/hyperlink" Target="https://jiooi.notion.site/2-2a20659498244e35a95be6ace685ff53" TargetMode="External"/><Relationship Id="rId1282" Type="http://schemas.openxmlformats.org/officeDocument/2006/relationships/hyperlink" Target="https://www.youtube.com/@%EC%B9%9C%EC%A0%88%ED%95%9C%EB%A7%88%EC%BC%80%ED%8C%85" TargetMode="External"/><Relationship Id="rId450" Type="http://schemas.openxmlformats.org/officeDocument/2006/relationships/hyperlink" Target="https://www.instagram.com/reels_jiyoung/" TargetMode="External"/><Relationship Id="rId1283" Type="http://schemas.openxmlformats.org/officeDocument/2006/relationships/hyperlink" Target="https://www.instagram.com/trendpark77" TargetMode="External"/><Relationship Id="rId2130" Type="http://schemas.openxmlformats.org/officeDocument/2006/relationships/hyperlink" Target="https://www.youtube.com/@aiyang%EC%97%90%EC%9D%B4%EC%96%91/shorts" TargetMode="External"/><Relationship Id="rId1284" Type="http://schemas.openxmlformats.org/officeDocument/2006/relationships/hyperlink" Target="https://www.youtube.com/shorts/F-hyl-ZbbdU" TargetMode="External"/><Relationship Id="rId2131" Type="http://schemas.openxmlformats.org/officeDocument/2006/relationships/hyperlink" Target="https://www.youtube.com/@aiyang%EC%97%90%EC%9D%B4%EC%96%91/shorts" TargetMode="External"/><Relationship Id="rId1285" Type="http://schemas.openxmlformats.org/officeDocument/2006/relationships/hyperlink" Target="https://backmarketing.co.kr/43" TargetMode="External"/><Relationship Id="rId2132" Type="http://schemas.openxmlformats.org/officeDocument/2006/relationships/hyperlink" Target="https://www.instagram.com/aiyang2025" TargetMode="External"/><Relationship Id="rId455" Type="http://schemas.openxmlformats.org/officeDocument/2006/relationships/hyperlink" Target="https://www.instagram.com/contents_easy/" TargetMode="External"/><Relationship Id="rId1286" Type="http://schemas.openxmlformats.org/officeDocument/2006/relationships/hyperlink" Target="https://www.youtube.com/@youngsell" TargetMode="External"/><Relationship Id="rId2133" Type="http://schemas.openxmlformats.org/officeDocument/2006/relationships/hyperlink" Target="https://www.youtube.com/@resell-leecoach" TargetMode="External"/><Relationship Id="rId454" Type="http://schemas.openxmlformats.org/officeDocument/2006/relationships/hyperlink" Target="https://litt.ly/yinyingssam?fbclid=PAZXh0bgNhZW0CMTEAAaejt3cQQ_CMOjv5IWNbOE-1meMsq2K93RemhfF1hX5JDwXhBxtwXQrLuY2KGQ_aem_0RN-mgl-2TmEQ-1PxdJmRQ" TargetMode="External"/><Relationship Id="rId1287" Type="http://schemas.openxmlformats.org/officeDocument/2006/relationships/hyperlink" Target="https://www.youtube.com/@captain_ai" TargetMode="External"/><Relationship Id="rId2134" Type="http://schemas.openxmlformats.org/officeDocument/2006/relationships/hyperlink" Target="https://blog.naver.com/beckemgoo/223696894427" TargetMode="External"/><Relationship Id="rId453" Type="http://schemas.openxmlformats.org/officeDocument/2006/relationships/hyperlink" Target="https://www.instagram.com/contents_easy/" TargetMode="External"/><Relationship Id="rId1288" Type="http://schemas.openxmlformats.org/officeDocument/2006/relationships/hyperlink" Target="https://www.youtube.com/redirect?event=channel_description&amp;redir_token=QUFFLUhqa3RJUFBTS1hScEtKMDFzZTh1YmFfR0l0YlQ5Z3xBQ3Jtc0tteVZMbkp3TDJrQlZuN0RDNmZjQTR1S0dBamdfRFF2eU1oM2N1ZmVQd1JKU2EycFltcng1Q0JyZTdDOEdqQWxHSXVVTGlQNWVZVmZPUHhUWURwdHpvN01LTlNaSDI0dkpDcjdCa2hhVVM4MlpMVTZicw&amp;q=https%3A%2F%2Flinktr.ee%2Fwinnersopenroom" TargetMode="External"/><Relationship Id="rId2135" Type="http://schemas.openxmlformats.org/officeDocument/2006/relationships/hyperlink" Target="https://www.youtube.com/@resell-leecoach" TargetMode="External"/><Relationship Id="rId452" Type="http://schemas.openxmlformats.org/officeDocument/2006/relationships/hyperlink" Target="https://www.instagram.com/reels_jiyoung/" TargetMode="External"/><Relationship Id="rId1289" Type="http://schemas.openxmlformats.org/officeDocument/2006/relationships/hyperlink" Target="https://www.youtube.com/@captain_ai" TargetMode="External"/><Relationship Id="rId2136" Type="http://schemas.openxmlformats.org/officeDocument/2006/relationships/hyperlink" Target="https://www.youtube.com/@%ED%94%8C%EB%9F%AC%EC%8A%A4%EC%A0%A0ai/videos" TargetMode="External"/><Relationship Id="rId491" Type="http://schemas.openxmlformats.org/officeDocument/2006/relationships/hyperlink" Target="https://litt.ly/dongtech" TargetMode="External"/><Relationship Id="rId490" Type="http://schemas.openxmlformats.org/officeDocument/2006/relationships/hyperlink" Target="https://www.youtube.com/watch?v=9f29bZaoxxs" TargetMode="External"/><Relationship Id="rId489" Type="http://schemas.openxmlformats.org/officeDocument/2006/relationships/hyperlink" Target="https://www.learningannex.kr/shop/item.php?it_id=1718256695&amp;utm_source=youtube&amp;utm_medium=longform&amp;utm_campaign=exposure&amp;utm_content=r008" TargetMode="External"/><Relationship Id="rId2160" Type="http://schemas.openxmlformats.org/officeDocument/2006/relationships/hyperlink" Target="https://soundcloud.com/othankq" TargetMode="External"/><Relationship Id="rId2161" Type="http://schemas.openxmlformats.org/officeDocument/2006/relationships/hyperlink" Target="https://www.youtube.com/@othankq" TargetMode="External"/><Relationship Id="rId484" Type="http://schemas.openxmlformats.org/officeDocument/2006/relationships/hyperlink" Target="http://pf.kakao.com/_xjxjxeqG" TargetMode="External"/><Relationship Id="rId2162" Type="http://schemas.openxmlformats.org/officeDocument/2006/relationships/hyperlink" Target="https://www.instagram.com/othankq" TargetMode="External"/><Relationship Id="rId483" Type="http://schemas.openxmlformats.org/officeDocument/2006/relationships/hyperlink" Target="https://m.cafe.naver.com/ca-fe/highnjob?tc=section_home_my_cafe" TargetMode="External"/><Relationship Id="rId2163" Type="http://schemas.openxmlformats.org/officeDocument/2006/relationships/hyperlink" Target="https://litt.ly/solrr.aa?utm_source=ig&amp;utm_medium=social&amp;utm_content=link_in_bio&amp;fbclid=PAZXh0bgNhZW0CMTEAc3J0YwZhcHBfaWQMMjU2MjgxMDQwNTU4AAGnMxcA_SUX1vw8Q1wxCZLpHtNv28LjrPL-2yai_wqOJt3aXZySG_-MMfXRsdA_aem_nohyRQ8tuyvEkon_z1k5ZQ" TargetMode="External"/><Relationship Id="rId482" Type="http://schemas.openxmlformats.org/officeDocument/2006/relationships/hyperlink" Target="https://m.blog.naver.com/PostList.naver?blogId=gmltmd03&amp;tab=1" TargetMode="External"/><Relationship Id="rId2164" Type="http://schemas.openxmlformats.org/officeDocument/2006/relationships/hyperlink" Target="https://www.instagram.com/solrr.aa/" TargetMode="External"/><Relationship Id="rId481" Type="http://schemas.openxmlformats.org/officeDocument/2006/relationships/hyperlink" Target="https://www.youtube.com/@%ED%87%B4%EC%82%AC%EC%97%B0%EA%B5%AC%EC%86%8C" TargetMode="External"/><Relationship Id="rId2165" Type="http://schemas.openxmlformats.org/officeDocument/2006/relationships/hyperlink" Target="https://www.instagram.com/_henryoh?utm_source=ig_web_button_share_sheet&amp;igsh=MXFmbDJwYzViN2JhOA==" TargetMode="External"/><Relationship Id="rId488" Type="http://schemas.openxmlformats.org/officeDocument/2006/relationships/hyperlink" Target="https://www.instagram.com/rd_drawdream/" TargetMode="External"/><Relationship Id="rId2166" Type="http://schemas.openxmlformats.org/officeDocument/2006/relationships/hyperlink" Target="https://litt.ly/0119.mm?fbclid=PAZXh0bgNhZW0CMTEAAaeFlowLsOcJogv5Ock3KOBonwWfHzeznquK66Vg7VgpdD9fZc7OI7ddk0WCWQ_aem_Ptpsdpc-kFvTBs8VTZhMVg" TargetMode="External"/><Relationship Id="rId487" Type="http://schemas.openxmlformats.org/officeDocument/2006/relationships/hyperlink" Target="https://www.youtube.com/channel/UCj5YYh6XsUC518L-pT7w_DQ" TargetMode="External"/><Relationship Id="rId2167" Type="http://schemas.openxmlformats.org/officeDocument/2006/relationships/hyperlink" Target="https://www.instagram.com/_henryoh?utm_source=ig_web_button_share_sheet&amp;igsh=MXFmbDJwYzViN2JhOA==" TargetMode="External"/><Relationship Id="rId486" Type="http://schemas.openxmlformats.org/officeDocument/2006/relationships/hyperlink" Target="https://www.learningannex.kr/" TargetMode="External"/><Relationship Id="rId2168" Type="http://schemas.openxmlformats.org/officeDocument/2006/relationships/hyperlink" Target="https://www.youtube.com/watch?v=wxsGm4_aXO0" TargetMode="External"/><Relationship Id="rId485" Type="http://schemas.openxmlformats.org/officeDocument/2006/relationships/hyperlink" Target="https://www.youtube.com/channel/UCj5YYh6XsUC518L-pT7w_DQ" TargetMode="External"/><Relationship Id="rId2169" Type="http://schemas.openxmlformats.org/officeDocument/2006/relationships/hyperlink" Target="https://moneylabs.kr/" TargetMode="External"/><Relationship Id="rId2159" Type="http://schemas.openxmlformats.org/officeDocument/2006/relationships/hyperlink" Target="https://www.youtube.com/@ddakeasy_auction" TargetMode="External"/><Relationship Id="rId480" Type="http://schemas.openxmlformats.org/officeDocument/2006/relationships/hyperlink" Target="https://moneyroot.co.kr/shop/product/view?product_id=52" TargetMode="External"/><Relationship Id="rId479" Type="http://schemas.openxmlformats.org/officeDocument/2006/relationships/hyperlink" Target="https://www.youtube.com/@%ED%87%B4%EC%82%AC%EC%97%B0%EA%B5%AC%EC%86%8C" TargetMode="External"/><Relationship Id="rId478" Type="http://schemas.openxmlformats.org/officeDocument/2006/relationships/hyperlink" Target="https://litt.ly/designingi" TargetMode="External"/><Relationship Id="rId2150" Type="http://schemas.openxmlformats.org/officeDocument/2006/relationships/hyperlink" Target="https://blog.naver.com/mara-studio" TargetMode="External"/><Relationship Id="rId473" Type="http://schemas.openxmlformats.org/officeDocument/2006/relationships/hyperlink" Target="https://www.youtube.com/@nomad_mark" TargetMode="External"/><Relationship Id="rId2151" Type="http://schemas.openxmlformats.org/officeDocument/2006/relationships/hyperlink" Target="https://marastudio.kr/" TargetMode="External"/><Relationship Id="rId472" Type="http://schemas.openxmlformats.org/officeDocument/2006/relationships/hyperlink" Target="https://cafe.naver.com/dekilab" TargetMode="External"/><Relationship Id="rId2152" Type="http://schemas.openxmlformats.org/officeDocument/2006/relationships/hyperlink" Target="https://www.youtube.com/@Mara_Studio/videos" TargetMode="External"/><Relationship Id="rId471" Type="http://schemas.openxmlformats.org/officeDocument/2006/relationships/hyperlink" Target="https://www.youtube.com/@dekilab" TargetMode="External"/><Relationship Id="rId2153" Type="http://schemas.openxmlformats.org/officeDocument/2006/relationships/hyperlink" Target="https://www.youtube.com/@%EC%9B%94%EC%84%B8%EB%AA%A8%EB%8B%9D%EC%BD%9C_%EC%84%B8%EC%97%B0%EC%8C%A4" TargetMode="External"/><Relationship Id="rId470" Type="http://schemas.openxmlformats.org/officeDocument/2006/relationships/hyperlink" Target="https://www.threads.com/@deki_lab" TargetMode="External"/><Relationship Id="rId2154" Type="http://schemas.openxmlformats.org/officeDocument/2006/relationships/hyperlink" Target="https://cafe.naver.com/walsaemorningcall" TargetMode="External"/><Relationship Id="rId477" Type="http://schemas.openxmlformats.org/officeDocument/2006/relationships/hyperlink" Target="https://www.youtube.com/watch?v=-_Fg1s79si0" TargetMode="External"/><Relationship Id="rId2155" Type="http://schemas.openxmlformats.org/officeDocument/2006/relationships/hyperlink" Target="https://www.youtube.com/@%EC%9B%94%EC%84%B8%EB%AA%A8%EB%8B%9D%EC%BD%9C_%EC%84%B8%EC%97%B0%EC%8C%A4" TargetMode="External"/><Relationship Id="rId476" Type="http://schemas.openxmlformats.org/officeDocument/2006/relationships/hyperlink" Target="https://cafe.naver.com/nomadmark" TargetMode="External"/><Relationship Id="rId2156" Type="http://schemas.openxmlformats.org/officeDocument/2006/relationships/hyperlink" Target="http://instagram.com/seyoun_sam_" TargetMode="External"/><Relationship Id="rId475" Type="http://schemas.openxmlformats.org/officeDocument/2006/relationships/hyperlink" Target="https://www.instagram.com/nomad_mark_?igsh=bHdnaWNldmttMGo2" TargetMode="External"/><Relationship Id="rId2157" Type="http://schemas.openxmlformats.org/officeDocument/2006/relationships/hyperlink" Target="https://www.youtube.com/watch?v=9rgTs4SLn6Q" TargetMode="External"/><Relationship Id="rId474" Type="http://schemas.openxmlformats.org/officeDocument/2006/relationships/hyperlink" Target="https://www.youtube.com/@nomad_mark" TargetMode="External"/><Relationship Id="rId2158" Type="http://schemas.openxmlformats.org/officeDocument/2006/relationships/hyperlink" Target="https://m.cafe.naver.com/ca-fe/web/cafes/captainauction/articles/5348?art=aW50ZXJuYWwtY2FmZS1hcnRpY2xlLXJlYWQtc2hhcmUtbGluaw.eyJ0eXAiOiJKV1QiLCJhbGciOiJIUzI1NiJ9.eyJjYWZlVHlwZSI6IkNBRkVfSUQiLCJhcnRpY2xlSWQiOjUzNDgsImlzc3VlZEF0IjoxNzc0MzQyNzA3Nzg2LCJjYWZlSWQiOjMwOTE5MDc0fQ.TvvFxZrVk8xW3uHL_NspTa-tAEzC27yo3n7zV8DFhco&amp;useCafeId=false&amp;tc" TargetMode="External"/><Relationship Id="rId1257" Type="http://schemas.openxmlformats.org/officeDocument/2006/relationships/hyperlink" Target="https://www.youtube.com/@%EA%B3%A0%ED%9A%A8%EC%9C%A8-%ED%9C%B4%ED%95%99%ED%95%98%EA%B3%A0%EC%9D%B4%EC%BB%A4" TargetMode="External"/><Relationship Id="rId2104" Type="http://schemas.openxmlformats.org/officeDocument/2006/relationships/hyperlink" Target="https://www.instagram.com/dan_hur/" TargetMode="External"/><Relationship Id="rId1258" Type="http://schemas.openxmlformats.org/officeDocument/2006/relationships/hyperlink" Target="https://www.threads.com/@moonri_ch" TargetMode="External"/><Relationship Id="rId2105" Type="http://schemas.openxmlformats.org/officeDocument/2006/relationships/hyperlink" Target="https://levelupschool.kr/?idx=36" TargetMode="External"/><Relationship Id="rId1259" Type="http://schemas.openxmlformats.org/officeDocument/2006/relationships/hyperlink" Target="https://www.youtube.com/@moonrich/videos" TargetMode="External"/><Relationship Id="rId2106" Type="http://schemas.openxmlformats.org/officeDocument/2006/relationships/hyperlink" Target="https://levelupschool.kr/?idx=36" TargetMode="External"/><Relationship Id="rId2107" Type="http://schemas.openxmlformats.org/officeDocument/2006/relationships/hyperlink" Target="https://www.instagram.com/funnel_creator_/" TargetMode="External"/><Relationship Id="rId2108" Type="http://schemas.openxmlformats.org/officeDocument/2006/relationships/hyperlink" Target="https://www.threads.com/@builder.rich" TargetMode="External"/><Relationship Id="rId2109" Type="http://schemas.openxmlformats.org/officeDocument/2006/relationships/hyperlink" Target="https://www.notion.so/3275d840623980cab999e08f77faa04b?source=copy_link" TargetMode="External"/><Relationship Id="rId426" Type="http://schemas.openxmlformats.org/officeDocument/2006/relationships/hyperlink" Target="https://www.instagram.com/biggie_ai/" TargetMode="External"/><Relationship Id="rId425" Type="http://schemas.openxmlformats.org/officeDocument/2006/relationships/hyperlink" Target="https://www.instagram.com/min.__.ai/" TargetMode="External"/><Relationship Id="rId424" Type="http://schemas.openxmlformats.org/officeDocument/2006/relationships/hyperlink" Target="https://www.instagram.com/reelta.gangsa/" TargetMode="External"/><Relationship Id="rId423" Type="http://schemas.openxmlformats.org/officeDocument/2006/relationships/hyperlink" Target="https://litt.ly/positive_feel.tr?fbclid=PAZXh0bgNhZW0CMTEAAadIAZa-xBCXxEQEc4c_QkHOrqQKlZrtAtIHjEYAqBrrOXT82ssk9TV5LD7H4A_aem_nbPLxejJjAans1Nms0n3MA" TargetMode="External"/><Relationship Id="rId429" Type="http://schemas.openxmlformats.org/officeDocument/2006/relationships/hyperlink" Target="https://www.youtube.com/@kooky0ai" TargetMode="External"/><Relationship Id="rId428" Type="http://schemas.openxmlformats.org/officeDocument/2006/relationships/hyperlink" Target="https://kooky-ai.inblog.io/%EA%B1%B4%EC%96%91%EB%8C%80%ED%95%99%EA%B5%90-%EA%B5%90%EC%88%98%EB%8B%98%EA%B3%BC-%EC%9E%AC%ED%95%99%EC%83%9D%EC%9D%84-%EC%9C%84%ED%95%9C-ai-%ED%88%B4-%EC%8B%A4%EB%AC%B4-%ED%99%9C%EC%9A%A9-%EA%B0%95%EC%9D%98-21003" TargetMode="External"/><Relationship Id="rId427" Type="http://schemas.openxmlformats.org/officeDocument/2006/relationships/hyperlink" Target="https://www.instagram.com/kooky.ai/" TargetMode="External"/><Relationship Id="rId1250" Type="http://schemas.openxmlformats.org/officeDocument/2006/relationships/hyperlink" Target="https://www.inflearn.com/course/%EC%9B%90%ED%81%B4%EB%A6%AD%EC%9C%BC%EB%A1%9C-ai%EA%B0%80-%EC%83%9D%EC%84%B1%ED%95%B4%EC%A3%BC%EB%8A%94-yout" TargetMode="External"/><Relationship Id="rId1251" Type="http://schemas.openxmlformats.org/officeDocument/2006/relationships/hyperlink" Target="https://www.inflearn.com/course/%EC%9B%90%ED%81%B4%EB%A6%AD%EC%9C%BC%EB%A1%9C-ai%EA%B0%80-%EC%83%9D%EC%84%B1%ED%95%B4%EC%A3%BC%EB%8A%94-yout" TargetMode="External"/><Relationship Id="rId1252" Type="http://schemas.openxmlformats.org/officeDocument/2006/relationships/hyperlink" Target="https://www.youtube.com/@dayNightCoding/videos" TargetMode="External"/><Relationship Id="rId422" Type="http://schemas.openxmlformats.org/officeDocument/2006/relationships/hyperlink" Target="https://www.instagram.com/reelta.gangsa/" TargetMode="External"/><Relationship Id="rId1253" Type="http://schemas.openxmlformats.org/officeDocument/2006/relationships/hyperlink" Target="https://www.youtube.com/@%EB%A8%B8%EB%8B%88%ED%8F%AC%EB%A6%AC%EC%96%BC" TargetMode="External"/><Relationship Id="rId2100" Type="http://schemas.openxmlformats.org/officeDocument/2006/relationships/hyperlink" Target="https://www.youtube.com/@%EB%8F%88%EC%A1%B0-v9c" TargetMode="External"/><Relationship Id="rId421" Type="http://schemas.openxmlformats.org/officeDocument/2006/relationships/hyperlink" Target="https://www.instagram.com/ukwaehan_0sajang/" TargetMode="External"/><Relationship Id="rId1254" Type="http://schemas.openxmlformats.org/officeDocument/2006/relationships/hyperlink" Target="https://www.youtube.com/@%EB%A8%B8%EB%8B%88%ED%8F%AC%EB%A6%AC%EC%96%BC" TargetMode="External"/><Relationship Id="rId2101" Type="http://schemas.openxmlformats.org/officeDocument/2006/relationships/hyperlink" Target="https://www.youtube.com/@AI%EA%B0%9C%EB%B0%9C%EC%A2%8C" TargetMode="External"/><Relationship Id="rId420" Type="http://schemas.openxmlformats.org/officeDocument/2006/relationships/hyperlink" Target="https://www.instagram.com/ukwaehan_0sajang/" TargetMode="External"/><Relationship Id="rId1255" Type="http://schemas.openxmlformats.org/officeDocument/2006/relationships/hyperlink" Target="https://www.youtube.com/@%EA%B3%A0%ED%9A%A8%EC%9C%A8-%ED%9C%B4%ED%95%99%ED%95%98%EA%B3%A0%EC%9D%B4%EC%BB%A4" TargetMode="External"/><Relationship Id="rId2102" Type="http://schemas.openxmlformats.org/officeDocument/2006/relationships/hyperlink" Target="https://www.youtube.com/@AI%EA%B0%9C%EB%B0%9C%EC%A2%8C" TargetMode="External"/><Relationship Id="rId1256" Type="http://schemas.openxmlformats.org/officeDocument/2006/relationships/hyperlink" Target="https://docs.google.com/forms/d/e/1FAIpQLSeKOjr_qDXjZ7Nc8svMHct1uH8CFFLQ_lc3rNPcLJhLxXrEGQ/viewform" TargetMode="External"/><Relationship Id="rId2103" Type="http://schemas.openxmlformats.org/officeDocument/2006/relationships/hyperlink" Target="https://m.blog.naver.com/PostList.naver?blogId=danhur21&amp;categoryName=%EC%B0%BE%EC%95%84%EA%B0%80%EB%8A%94%20%EA%B0%95%EC%97%B0%20%2F%20%EC%BB%A8%EC%84%A4%ED%8C%85%20%EC%95%88%EB%82%B4&amp;categoryNo=7&amp;logCode=0" TargetMode="External"/><Relationship Id="rId1246" Type="http://schemas.openxmlformats.org/officeDocument/2006/relationships/hyperlink" Target="https://www.instagram.com/edurable_ceo" TargetMode="External"/><Relationship Id="rId1247" Type="http://schemas.openxmlformats.org/officeDocument/2006/relationships/hyperlink" Target="https://www.youtube.com/@%ED%9B%88%EB%A0%A8%EC%86%8C/shorts" TargetMode="External"/><Relationship Id="rId1248" Type="http://schemas.openxmlformats.org/officeDocument/2006/relationships/hyperlink" Target="https://brandingyoutube.com/" TargetMode="External"/><Relationship Id="rId1249" Type="http://schemas.openxmlformats.org/officeDocument/2006/relationships/hyperlink" Target="https://www.youtube.com/@%ED%9B%88%EB%A0%A8%EC%86%8C/shorts" TargetMode="External"/><Relationship Id="rId415" Type="http://schemas.openxmlformats.org/officeDocument/2006/relationships/hyperlink" Target="https://www.instagram.com/platformtree_/" TargetMode="External"/><Relationship Id="rId899" Type="http://schemas.openxmlformats.org/officeDocument/2006/relationships/hyperlink" Target="https://www.youtube.com/@truepark" TargetMode="External"/><Relationship Id="rId414" Type="http://schemas.openxmlformats.org/officeDocument/2006/relationships/hyperlink" Target="https://blog.naver.com/michaelchae/223734753014" TargetMode="External"/><Relationship Id="rId898" Type="http://schemas.openxmlformats.org/officeDocument/2006/relationships/hyperlink" Target="https://www.youtube.com/@truepark" TargetMode="External"/><Relationship Id="rId413" Type="http://schemas.openxmlformats.org/officeDocument/2006/relationships/hyperlink" Target="https://www.instagram.com/platformtree_/" TargetMode="External"/><Relationship Id="rId897" Type="http://schemas.openxmlformats.org/officeDocument/2006/relationships/hyperlink" Target="https://www.instagram.com/soominam_daesoo" TargetMode="External"/><Relationship Id="rId412" Type="http://schemas.openxmlformats.org/officeDocument/2006/relationships/hyperlink" Target="https://www.instagram.com/_dingwitch/" TargetMode="External"/><Relationship Id="rId896" Type="http://schemas.openxmlformats.org/officeDocument/2006/relationships/hyperlink" Target="https://www.youtube.com/@soominam/videos" TargetMode="External"/><Relationship Id="rId419" Type="http://schemas.openxmlformats.org/officeDocument/2006/relationships/hyperlink" Target="https://www.instagram.com/ukwaehan_0sajang/" TargetMode="External"/><Relationship Id="rId418" Type="http://schemas.openxmlformats.org/officeDocument/2006/relationships/hyperlink" Target="https://www.instagram.com/kirin.cookie/" TargetMode="External"/><Relationship Id="rId417" Type="http://schemas.openxmlformats.org/officeDocument/2006/relationships/hyperlink" Target="https://litt.ly/kirin.cookie?fbclid=PAZXh0bgNhZW0CMTEAAaf6_8RCetRWOCaicaBqyC1W9m-RSxajMOsG2dQZV0LSAjFQ3FNn2uqpFzBwOQ_aem_U9lCXV6oan3NU5NRA8HMWw" TargetMode="External"/><Relationship Id="rId416" Type="http://schemas.openxmlformats.org/officeDocument/2006/relationships/hyperlink" Target="https://www.instagram.com/kirin.cookie/" TargetMode="External"/><Relationship Id="rId891" Type="http://schemas.openxmlformats.org/officeDocument/2006/relationships/hyperlink" Target="https://www.youtube.com/@N%EC%9E%A1%EC%97%B0%EA%B5%AC%EC%86%8C/videos" TargetMode="External"/><Relationship Id="rId890" Type="http://schemas.openxmlformats.org/officeDocument/2006/relationships/hyperlink" Target="https://www.youtube.com/@%EC%96%91%EC%9E%91%EA%B0%802/videos" TargetMode="External"/><Relationship Id="rId1240" Type="http://schemas.openxmlformats.org/officeDocument/2006/relationships/hyperlink" Target="https://cafe.naver.com/imcaptain" TargetMode="External"/><Relationship Id="rId1241" Type="http://schemas.openxmlformats.org/officeDocument/2006/relationships/hyperlink" Target="https://smartstore.naver.com/chansolution" TargetMode="External"/><Relationship Id="rId411" Type="http://schemas.openxmlformats.org/officeDocument/2006/relationships/hyperlink" Target="https://www.youtube.com/@dingwitch7" TargetMode="External"/><Relationship Id="rId895" Type="http://schemas.openxmlformats.org/officeDocument/2006/relationships/hyperlink" Target="https://ahaimpact.co.kr/payment/" TargetMode="External"/><Relationship Id="rId1242" Type="http://schemas.openxmlformats.org/officeDocument/2006/relationships/hyperlink" Target="https://www.youtube.com/@imbanjang" TargetMode="External"/><Relationship Id="rId410" Type="http://schemas.openxmlformats.org/officeDocument/2006/relationships/hyperlink" Target="https://blog.naver.com/design413_/223521970330" TargetMode="External"/><Relationship Id="rId894" Type="http://schemas.openxmlformats.org/officeDocument/2006/relationships/hyperlink" Target="https://ahaimpact.co.kr/payment/" TargetMode="External"/><Relationship Id="rId1243" Type="http://schemas.openxmlformats.org/officeDocument/2006/relationships/hyperlink" Target="https://www.youtube.com/@gonggamstar_gahee" TargetMode="External"/><Relationship Id="rId893" Type="http://schemas.openxmlformats.org/officeDocument/2006/relationships/hyperlink" Target="https://www.youtube.com/@N%EC%9E%A1%EC%97%B0%EA%B5%AC%EC%86%8C/videos" TargetMode="External"/><Relationship Id="rId1244" Type="http://schemas.openxmlformats.org/officeDocument/2006/relationships/hyperlink" Target="https://edurable.co.kr/" TargetMode="External"/><Relationship Id="rId892" Type="http://schemas.openxmlformats.org/officeDocument/2006/relationships/hyperlink" Target="https://yellowmedia.liveklass.com/classes/227484" TargetMode="External"/><Relationship Id="rId1245" Type="http://schemas.openxmlformats.org/officeDocument/2006/relationships/hyperlink" Target="https://www.youtube.com/@gonggamstar_gahee" TargetMode="External"/><Relationship Id="rId1279" Type="http://schemas.openxmlformats.org/officeDocument/2006/relationships/hyperlink" Target="https://www.instagram.com/farm.pd/" TargetMode="External"/><Relationship Id="rId2126" Type="http://schemas.openxmlformats.org/officeDocument/2006/relationships/hyperlink" Target="https://class101.net/ko/products/682bdc1466ffc59d8e0b6951?utm_campaign=pdp_share&amp;utm_content=share_feature&amp;utm_medium=referral&amp;utm_source=link_share_share&amp;utm_term=682bdc1466ffc59d8e0b6951" TargetMode="External"/><Relationship Id="rId2127" Type="http://schemas.openxmlformats.org/officeDocument/2006/relationships/hyperlink" Target="https://class101.net/ko/products/682bdc1466ffc59d8e0b6951?utm_campaign=pdp_share&amp;utm_content=share_feature&amp;utm_medium=referral&amp;utm_source=link_share_share&amp;utm_term=682bdc1466ffc59d8e0b6951" TargetMode="External"/><Relationship Id="rId2128" Type="http://schemas.openxmlformats.org/officeDocument/2006/relationships/hyperlink" Target="https://www.instagram.com/_ladynomad/" TargetMode="External"/><Relationship Id="rId2129" Type="http://schemas.openxmlformats.org/officeDocument/2006/relationships/hyperlink" Target="https://cafe.naver.com/minisnomad" TargetMode="External"/><Relationship Id="rId448" Type="http://schemas.openxmlformats.org/officeDocument/2006/relationships/hyperlink" Target="https://litt.ly/hijh3562?fbclid=PAZXh0bgNhZW0CMTEAAadcAOY-F_LGiIXolidSwuOcAZM4FXqxoySOzQlSGlxwBQ02227is863QZc7rw_aem_CVbmfkHJnw-o8J4YJyU12A" TargetMode="External"/><Relationship Id="rId447" Type="http://schemas.openxmlformats.org/officeDocument/2006/relationships/hyperlink" Target="https://www.instagram.com/web._moment/" TargetMode="External"/><Relationship Id="rId446" Type="http://schemas.openxmlformats.org/officeDocument/2006/relationships/hyperlink" Target="https://www.instagram.com/hyeoksin.j/" TargetMode="External"/><Relationship Id="rId445" Type="http://schemas.openxmlformats.org/officeDocument/2006/relationships/hyperlink" Target="https://donclass.com/classes/264324" TargetMode="External"/><Relationship Id="rId449" Type="http://schemas.openxmlformats.org/officeDocument/2006/relationships/hyperlink" Target="https://www.instagram.com/web._moment/" TargetMode="External"/><Relationship Id="rId1270" Type="http://schemas.openxmlformats.org/officeDocument/2006/relationships/hyperlink" Target="https://cafe.naver.com/slowfood" TargetMode="External"/><Relationship Id="rId440" Type="http://schemas.openxmlformats.org/officeDocument/2006/relationships/hyperlink" Target="https://www.instagram.com/windsjin/" TargetMode="External"/><Relationship Id="rId1271" Type="http://schemas.openxmlformats.org/officeDocument/2006/relationships/hyperlink" Target="https://www.youtube.com/@leenosence" TargetMode="External"/><Relationship Id="rId1272" Type="http://schemas.openxmlformats.org/officeDocument/2006/relationships/hyperlink" Target="https://www.youtube.com/@Musigny2013/videos" TargetMode="External"/><Relationship Id="rId1273" Type="http://schemas.openxmlformats.org/officeDocument/2006/relationships/hyperlink" Target="https://kmong.com/gig/609950?selfMarketingCode=UUw48HxKsE" TargetMode="External"/><Relationship Id="rId2120" Type="http://schemas.openxmlformats.org/officeDocument/2006/relationships/hyperlink" Target="https://www.youtube.com/@hotheus" TargetMode="External"/><Relationship Id="rId1274" Type="http://schemas.openxmlformats.org/officeDocument/2006/relationships/hyperlink" Target="https://www.youtube.com/@Musigny2013/videos" TargetMode="External"/><Relationship Id="rId2121" Type="http://schemas.openxmlformats.org/officeDocument/2006/relationships/hyperlink" Target="https://www.youtube.com/@hotheus" TargetMode="External"/><Relationship Id="rId444" Type="http://schemas.openxmlformats.org/officeDocument/2006/relationships/hyperlink" Target="https://www.instagram.com/hyeoksin.j/" TargetMode="External"/><Relationship Id="rId1275" Type="http://schemas.openxmlformats.org/officeDocument/2006/relationships/hyperlink" Target="https://www.instagram.com/musigny_2013?igsh=cGtuZmxqMTVkbGQ3" TargetMode="External"/><Relationship Id="rId2122" Type="http://schemas.openxmlformats.org/officeDocument/2006/relationships/hyperlink" Target="https://www.youtube.com/watch?v=6Y2NMGDWqaM" TargetMode="External"/><Relationship Id="rId443" Type="http://schemas.openxmlformats.org/officeDocument/2006/relationships/hyperlink" Target="https://www.instagram.com/good_ssam_2022/" TargetMode="External"/><Relationship Id="rId1276" Type="http://schemas.openxmlformats.org/officeDocument/2006/relationships/hyperlink" Target="https://www.youtube.com/watch?v=ZU9JnlEfyac" TargetMode="External"/><Relationship Id="rId2123" Type="http://schemas.openxmlformats.org/officeDocument/2006/relationships/hyperlink" Target="https://noteasyschool.liveklass.com/classes/240639" TargetMode="External"/><Relationship Id="rId442" Type="http://schemas.openxmlformats.org/officeDocument/2006/relationships/hyperlink" Target="https://www.instagram.com/p/DI5ZottpTt2/?utm_source=ig_web_copy_link&amp;igsh=MzRlODBiNWFlZA==" TargetMode="External"/><Relationship Id="rId1277" Type="http://schemas.openxmlformats.org/officeDocument/2006/relationships/hyperlink" Target="https://litt.ly/farm.pd" TargetMode="External"/><Relationship Id="rId2124" Type="http://schemas.openxmlformats.org/officeDocument/2006/relationships/hyperlink" Target="https://www.youtube.com/@%EC%9D%BC%EB%B3%B8%EB%B0%94%EC%9D%B4%EB%A7%88%EC%BD%94%EC%B9%98%EB%8F%84%EC%83%81" TargetMode="External"/><Relationship Id="rId441" Type="http://schemas.openxmlformats.org/officeDocument/2006/relationships/hyperlink" Target="https://www.instagram.com/good_ssam_2022/" TargetMode="External"/><Relationship Id="rId1278" Type="http://schemas.openxmlformats.org/officeDocument/2006/relationships/hyperlink" Target="https://www.youtube.com/@FARMPD" TargetMode="External"/><Relationship Id="rId2125" Type="http://schemas.openxmlformats.org/officeDocument/2006/relationships/hyperlink" Target="https://kmong.com/gig/701315" TargetMode="External"/><Relationship Id="rId1268" Type="http://schemas.openxmlformats.org/officeDocument/2006/relationships/hyperlink" Target="https://www.instagram.com/dymanager_/" TargetMode="External"/><Relationship Id="rId2115" Type="http://schemas.openxmlformats.org/officeDocument/2006/relationships/hyperlink" Target="https://class101.net/ko/live/liv_01khx8kesy1svprqtvsewwrwp2" TargetMode="External"/><Relationship Id="rId1269" Type="http://schemas.openxmlformats.org/officeDocument/2006/relationships/hyperlink" Target="https://www.youtube.com/@leenosence" TargetMode="External"/><Relationship Id="rId2116" Type="http://schemas.openxmlformats.org/officeDocument/2006/relationships/hyperlink" Target="http://www.youtube.com/@globalrizing" TargetMode="External"/><Relationship Id="rId2117" Type="http://schemas.openxmlformats.org/officeDocument/2006/relationships/hyperlink" Target="https://www.youtube.com/@%EC%85%80%EB%9F%AC%EC%82%B4%EB%A1%B1" TargetMode="External"/><Relationship Id="rId2118" Type="http://schemas.openxmlformats.org/officeDocument/2006/relationships/hyperlink" Target="https://77challenge.liveklass.com/" TargetMode="External"/><Relationship Id="rId2119" Type="http://schemas.openxmlformats.org/officeDocument/2006/relationships/hyperlink" Target="https://www.youtube.com/@%EC%85%80%EB%9F%AC%EC%82%B4%EB%A1%B1" TargetMode="External"/><Relationship Id="rId437" Type="http://schemas.openxmlformats.org/officeDocument/2006/relationships/hyperlink" Target="mailto:lovingmin2@naver.com" TargetMode="External"/><Relationship Id="rId436" Type="http://schemas.openxmlformats.org/officeDocument/2006/relationships/hyperlink" Target="https://www.youtube.com/@captain_ai" TargetMode="External"/><Relationship Id="rId435" Type="http://schemas.openxmlformats.org/officeDocument/2006/relationships/hyperlink" Target="https://coloso.co.kr/products/ai-captainai" TargetMode="External"/><Relationship Id="rId434" Type="http://schemas.openxmlformats.org/officeDocument/2006/relationships/hyperlink" Target="https://www.instagram.com/edlogo1/" TargetMode="External"/><Relationship Id="rId439" Type="http://schemas.openxmlformats.org/officeDocument/2006/relationships/hyperlink" Target="https://class101.net/ko/pages/aimagic-class-2025-67875a5956611ea93a94e854?fbclid=PAZXh0bgNhZW0CMTEAAaZM9Ek2MmEEb6vhmLC29OTdydVa-EwkcJCtaOtUsC9JZC3OuR3nNERzUAM_aem_6xOE9J-fuQZ3rte8T-Ze1w" TargetMode="External"/><Relationship Id="rId438" Type="http://schemas.openxmlformats.org/officeDocument/2006/relationships/hyperlink" Target="https://www.instagram.com/windsjin/" TargetMode="External"/><Relationship Id="rId1260" Type="http://schemas.openxmlformats.org/officeDocument/2006/relationships/hyperlink" Target="https://www.instagram.com/pro_ecclim_lounge/" TargetMode="External"/><Relationship Id="rId1261" Type="http://schemas.openxmlformats.org/officeDocument/2006/relationships/hyperlink" Target="https://docs.google.com/forms/d/e/1FAIpQLSedt2VvPQhynePxwHVCngdu0vsVd6z5vseynRS5Qgb5IZi7XA/viewform" TargetMode="External"/><Relationship Id="rId1262" Type="http://schemas.openxmlformats.org/officeDocument/2006/relationships/hyperlink" Target="https://www.instagram.com/pro_ecclim_lounge/" TargetMode="External"/><Relationship Id="rId1263" Type="http://schemas.openxmlformats.org/officeDocument/2006/relationships/hyperlink" Target="https://www.instagram.com/jeongyeonl_/" TargetMode="External"/><Relationship Id="rId2110" Type="http://schemas.openxmlformats.org/officeDocument/2006/relationships/hyperlink" Target="https://www.youtube.com/@doghoneyauction" TargetMode="External"/><Relationship Id="rId433" Type="http://schemas.openxmlformats.org/officeDocument/2006/relationships/hyperlink" Target="https://www.instagram.com/edlogo1/" TargetMode="External"/><Relationship Id="rId1264" Type="http://schemas.openxmlformats.org/officeDocument/2006/relationships/hyperlink" Target="https://m.blog.naver.com/qufkr95/223223939042" TargetMode="External"/><Relationship Id="rId2111" Type="http://schemas.openxmlformats.org/officeDocument/2006/relationships/hyperlink" Target="https://www.instagram.com/dorumooc_log?igsh=dnN2amc2a21qbGl1" TargetMode="External"/><Relationship Id="rId432" Type="http://schemas.openxmlformats.org/officeDocument/2006/relationships/hyperlink" Target="https://www.instagram.com/matt_choi88/" TargetMode="External"/><Relationship Id="rId1265" Type="http://schemas.openxmlformats.org/officeDocument/2006/relationships/hyperlink" Target="https://www.instagram.com/jeongyeonl_/" TargetMode="External"/><Relationship Id="rId2112" Type="http://schemas.openxmlformats.org/officeDocument/2006/relationships/hyperlink" Target="https://www.instagram.com/dorumooc_log?igsh=dnN2amc2a21qbGl1" TargetMode="External"/><Relationship Id="rId431" Type="http://schemas.openxmlformats.org/officeDocument/2006/relationships/hyperlink" Target="https://www.instagram.com/matt_choi88/" TargetMode="External"/><Relationship Id="rId1266" Type="http://schemas.openxmlformats.org/officeDocument/2006/relationships/hyperlink" Target="https://www.instagram.com/jeongyeonl_/" TargetMode="External"/><Relationship Id="rId2113" Type="http://schemas.openxmlformats.org/officeDocument/2006/relationships/hyperlink" Target="https://blog.naver.com/dorumooc/224178146663" TargetMode="External"/><Relationship Id="rId430" Type="http://schemas.openxmlformats.org/officeDocument/2006/relationships/hyperlink" Target="https://www.instagram.com/kooky.ai/" TargetMode="External"/><Relationship Id="rId1267" Type="http://schemas.openxmlformats.org/officeDocument/2006/relationships/hyperlink" Target="https://www.youtube.com/watch?v=m0cMer5nRac" TargetMode="External"/><Relationship Id="rId2114" Type="http://schemas.openxmlformats.org/officeDocument/2006/relationships/hyperlink" Target="https://globalrizing.liveklass.co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youtube.com/channel/UC3sZdDroiHtKYYdGTIhtCeA" TargetMode="External"/><Relationship Id="rId3" Type="http://schemas.openxmlformats.org/officeDocument/2006/relationships/hyperlink" Target="https://www.youtube.com/channel/UCSGC87iX0QhnIfUOI_B_Rdg" TargetMode="External"/><Relationship Id="rId4" Type="http://schemas.openxmlformats.org/officeDocument/2006/relationships/hyperlink" Target="https://www.youtube.com/channel/UCJ9GFEhq9xCLeyIevUNEdNA" TargetMode="External"/><Relationship Id="rId9" Type="http://schemas.openxmlformats.org/officeDocument/2006/relationships/hyperlink" Target="https://www.youtube.com/channel/UCxGyH7vzYkZwFseTUa3yZpQ" TargetMode="External"/><Relationship Id="rId5" Type="http://schemas.openxmlformats.org/officeDocument/2006/relationships/hyperlink" Target="https://www.youtube.com/channel/UClFo7IonhjI9s_YrrhplPGA" TargetMode="External"/><Relationship Id="rId6" Type="http://schemas.openxmlformats.org/officeDocument/2006/relationships/hyperlink" Target="http://open.kakao.com/o/gWMf3K3g" TargetMode="External"/><Relationship Id="rId7" Type="http://schemas.openxmlformats.org/officeDocument/2006/relationships/hyperlink" Target="https://www.youtube.com/channel/UC4eth-_fKt2Wg79cQqV1a8Q" TargetMode="External"/><Relationship Id="rId8" Type="http://schemas.openxmlformats.org/officeDocument/2006/relationships/hyperlink" Target="mailto:pagebooster@naver.com" TargetMode="External"/><Relationship Id="rId40" Type="http://schemas.openxmlformats.org/officeDocument/2006/relationships/hyperlink" Target="https://www.youtube.com/channel/UC4p55vEp6hc1fZ-raIGQw9Q" TargetMode="External"/><Relationship Id="rId42" Type="http://schemas.openxmlformats.org/officeDocument/2006/relationships/hyperlink" Target="https://www.youtube.com/channel/UCdlRwlBDCiAhnp2nq9QWbcw" TargetMode="External"/><Relationship Id="rId41" Type="http://schemas.openxmlformats.org/officeDocument/2006/relationships/hyperlink" Target="mailto:ailifeinnovation@gmail.com" TargetMode="External"/><Relationship Id="rId44" Type="http://schemas.openxmlformats.org/officeDocument/2006/relationships/hyperlink" Target="https://www.youtube.com/channel/UC-sGBpquT8KThBJ2ruLdg-Q" TargetMode="External"/><Relationship Id="rId43" Type="http://schemas.openxmlformats.org/officeDocument/2006/relationships/hyperlink" Target="https://www.youtube.com/channel/UC-zkqwg5Ts1a7C0sFlokP-A" TargetMode="External"/><Relationship Id="rId46" Type="http://schemas.openxmlformats.org/officeDocument/2006/relationships/hyperlink" Target="https://www.youtube.com/channel/UCQNX0yOZau7cxuheeXEAb_g" TargetMode="External"/><Relationship Id="rId45" Type="http://schemas.openxmlformats.org/officeDocument/2006/relationships/hyperlink" Target="https://www.youtube.com/channel/UCuad7SsgU6SabSQaBY9TsFg" TargetMode="External"/><Relationship Id="rId48" Type="http://schemas.openxmlformats.org/officeDocument/2006/relationships/hyperlink" Target="https://www.youtube.com/channel/UCpi4NSNZrV3oBtgpdaEGeyw" TargetMode="External"/><Relationship Id="rId47" Type="http://schemas.openxmlformats.org/officeDocument/2006/relationships/hyperlink" Target="https://www.youtube.com/channel/UC_0X20s5VVUQJllk_S3FCPQ" TargetMode="External"/><Relationship Id="rId49" Type="http://schemas.openxmlformats.org/officeDocument/2006/relationships/hyperlink" Target="https://www.youtube.com/channel/UCvjoc8M_tZKmelczU4EtKAw" TargetMode="External"/><Relationship Id="rId31" Type="http://schemas.openxmlformats.org/officeDocument/2006/relationships/hyperlink" Target="https://www.youtube.com/channel/UCTieDwi-vnwxBwJGruCWvTA" TargetMode="External"/><Relationship Id="rId30" Type="http://schemas.openxmlformats.org/officeDocument/2006/relationships/hyperlink" Target="https://www.youtube.com/channel/UCzlOuU2oqj_FCXEhy3XnvxQ" TargetMode="External"/><Relationship Id="rId33" Type="http://schemas.openxmlformats.org/officeDocument/2006/relationships/hyperlink" Target="https://www.youtube.com/channel/UCWTwVZOJBFBjDrIKGSqkrpA" TargetMode="External"/><Relationship Id="rId32" Type="http://schemas.openxmlformats.org/officeDocument/2006/relationships/hyperlink" Target="https://www.youtube.com/channel/UCJg6NRMMxvEn9IOmr-rv8Ig" TargetMode="External"/><Relationship Id="rId35" Type="http://schemas.openxmlformats.org/officeDocument/2006/relationships/hyperlink" Target="https://www.youtube.com/channel/UCqI4PHxIU-Onj_YGCzTRzWA" TargetMode="External"/><Relationship Id="rId34" Type="http://schemas.openxmlformats.org/officeDocument/2006/relationships/hyperlink" Target="https://www.youtube.com/channel/UCg86iE8XN1-pxT-lR9BDy-g" TargetMode="External"/><Relationship Id="rId37" Type="http://schemas.openxmlformats.org/officeDocument/2006/relationships/hyperlink" Target="https://blog.naver.com/aion_ai_/223925517789" TargetMode="External"/><Relationship Id="rId36" Type="http://schemas.openxmlformats.org/officeDocument/2006/relationships/hyperlink" Target="https://www.youtube.com/channel/UCV4k4iL-2RUNFRcvBTBe0jA" TargetMode="External"/><Relationship Id="rId39" Type="http://schemas.openxmlformats.org/officeDocument/2006/relationships/hyperlink" Target="https://cafe.naver.com/dino870" TargetMode="External"/><Relationship Id="rId38" Type="http://schemas.openxmlformats.org/officeDocument/2006/relationships/hyperlink" Target="https://www.youtube.com/channel/UCC6fYTZ9AIkqNy6zYEHVwow" TargetMode="External"/><Relationship Id="rId20" Type="http://schemas.openxmlformats.org/officeDocument/2006/relationships/hyperlink" Target="https://www.youtube.com/channel/UCIo8R3MdI7Vh2rPvaCagLeQ" TargetMode="External"/><Relationship Id="rId22" Type="http://schemas.openxmlformats.org/officeDocument/2006/relationships/hyperlink" Target="https://www.youtube.com/channel/UC_YH01lyI7Ivfu_TryYcbmw" TargetMode="External"/><Relationship Id="rId21" Type="http://schemas.openxmlformats.org/officeDocument/2006/relationships/hyperlink" Target="https://www.youtube.com/channel/UCmngZzVnTQIIA9p0QaR5DBg" TargetMode="External"/><Relationship Id="rId24" Type="http://schemas.openxmlformats.org/officeDocument/2006/relationships/hyperlink" Target="https://www.youtube.com/channel/UCbsHYIZwk9pZIMp53ciDjOw" TargetMode="External"/><Relationship Id="rId23" Type="http://schemas.openxmlformats.org/officeDocument/2006/relationships/hyperlink" Target="https://www.youtube.com/channel/UCWN0XUAUJiuySmhfYBBfVzQ" TargetMode="External"/><Relationship Id="rId26" Type="http://schemas.openxmlformats.org/officeDocument/2006/relationships/hyperlink" Target="https://www.youtube.com/channel/UC3fPdi-N7Qx7Ytfw2XwRnaw" TargetMode="External"/><Relationship Id="rId25" Type="http://schemas.openxmlformats.org/officeDocument/2006/relationships/hyperlink" Target="https://www.youtube.com/channel/UCYvNducBZDpqYqKLrVfuRtA" TargetMode="External"/><Relationship Id="rId28" Type="http://schemas.openxmlformats.org/officeDocument/2006/relationships/hyperlink" Target="https://www.youtube.com/channel/UCm9BsTPGsjT282jcZ6ucKRA" TargetMode="External"/><Relationship Id="rId27" Type="http://schemas.openxmlformats.org/officeDocument/2006/relationships/hyperlink" Target="https://www.youtube.com/channel/UCwTsxbhNyNaKTsBgjFsgGvA" TargetMode="External"/><Relationship Id="rId29" Type="http://schemas.openxmlformats.org/officeDocument/2006/relationships/hyperlink" Target="https://www.youtube.com/channel/UCSUN7C7ASLG6lxNU3uGNHng" TargetMode="External"/><Relationship Id="rId11" Type="http://schemas.openxmlformats.org/officeDocument/2006/relationships/hyperlink" Target="https://www.youtube.com/channel/UCmBqBxouLDy3Mfu4XzESuAA" TargetMode="External"/><Relationship Id="rId10" Type="http://schemas.openxmlformats.org/officeDocument/2006/relationships/hyperlink" Target="https://www.youtube.com/channel/UCK3aqSPhFJH2XQa2mREnSVQ" TargetMode="External"/><Relationship Id="rId13" Type="http://schemas.openxmlformats.org/officeDocument/2006/relationships/hyperlink" Target="https://www.youtube.com/channel/UC4Kav4n_aYomsUQ7fZyv7ig" TargetMode="External"/><Relationship Id="rId12" Type="http://schemas.openxmlformats.org/officeDocument/2006/relationships/hyperlink" Target="https://www.youtube.com/channel/UC4zMT5kGhURRcfnnFUitF2g" TargetMode="External"/><Relationship Id="rId15" Type="http://schemas.openxmlformats.org/officeDocument/2006/relationships/hyperlink" Target="https://www.youtube.com/channel/UClRxY7lEeNqc6oezxGSpkKA" TargetMode="External"/><Relationship Id="rId14" Type="http://schemas.openxmlformats.org/officeDocument/2006/relationships/hyperlink" Target="https://www.youtube.com/channel/UCFXHjmsbgmGRiUAXXyGF7Zg" TargetMode="External"/><Relationship Id="rId17" Type="http://schemas.openxmlformats.org/officeDocument/2006/relationships/hyperlink" Target="https://www.youtube.com/channel/UCpRqjuBMLl_6ocIKUBVRcHw" TargetMode="External"/><Relationship Id="rId16" Type="http://schemas.openxmlformats.org/officeDocument/2006/relationships/hyperlink" Target="https://www.youtube.com/channel/UCbGe5jill2XY05_TGvtKiPQ" TargetMode="External"/><Relationship Id="rId19" Type="http://schemas.openxmlformats.org/officeDocument/2006/relationships/hyperlink" Target="https://www.youtube.com/channel/UCHCyX77xqN9OVjLzMpAZvXw" TargetMode="External"/><Relationship Id="rId18" Type="http://schemas.openxmlformats.org/officeDocument/2006/relationships/hyperlink" Target="https://www.youtube.com/channel/UCZzWiPXZVug7B2K6vbKQhdw" TargetMode="External"/><Relationship Id="rId84" Type="http://schemas.openxmlformats.org/officeDocument/2006/relationships/hyperlink" Target="https://www.youtube.com/channel/UCDoCufKymcD-ups-KfzUM8g" TargetMode="External"/><Relationship Id="rId83" Type="http://schemas.openxmlformats.org/officeDocument/2006/relationships/hyperlink" Target="https://www.youtube.com/channel/UCqQzFWlSNfJma_jXPHdbzjA" TargetMode="External"/><Relationship Id="rId86" Type="http://schemas.openxmlformats.org/officeDocument/2006/relationships/hyperlink" Target="https://www.youtube.com/channel/UCQhkIK2TWLY8tCkmya_GRYg" TargetMode="External"/><Relationship Id="rId85" Type="http://schemas.openxmlformats.org/officeDocument/2006/relationships/hyperlink" Target="https://www.youtube.com/channel/UCFbQ_p8s6WYv5JDDCT91j5A" TargetMode="External"/><Relationship Id="rId88" Type="http://schemas.openxmlformats.org/officeDocument/2006/relationships/hyperlink" Target="https://www.youtube.com/channel/UCp1SiKl5R-YWIEO9pMaN4uw" TargetMode="External"/><Relationship Id="rId87" Type="http://schemas.openxmlformats.org/officeDocument/2006/relationships/hyperlink" Target="https://www.youtube.com/channel/UCzCflTAaZA7FjwvkOh9cSig" TargetMode="External"/><Relationship Id="rId89" Type="http://schemas.openxmlformats.org/officeDocument/2006/relationships/hyperlink" Target="https://www.youtube.com/channel/UCiKEFY49JIvpOOdTHgsWQHw" TargetMode="External"/><Relationship Id="rId80" Type="http://schemas.openxmlformats.org/officeDocument/2006/relationships/hyperlink" Target="https://cafe.naver.com/youtobenomad" TargetMode="External"/><Relationship Id="rId82" Type="http://schemas.openxmlformats.org/officeDocument/2006/relationships/hyperlink" Target="https://vimeo.com/maronkim" TargetMode="External"/><Relationship Id="rId81" Type="http://schemas.openxmlformats.org/officeDocument/2006/relationships/hyperlink" Target="https://www.youtube.com/channel/UCl22RiXFscUiaZ02UWAYjyQ" TargetMode="External"/><Relationship Id="rId73" Type="http://schemas.openxmlformats.org/officeDocument/2006/relationships/hyperlink" Target="https://www.youtube.com/channel/UCvgroUFOLNyVIKz15uvTVVw" TargetMode="External"/><Relationship Id="rId72" Type="http://schemas.openxmlformats.org/officeDocument/2006/relationships/hyperlink" Target="https://www.youtube.com/channel/UCjO4StI9jjPI9xSIIixsYdw" TargetMode="External"/><Relationship Id="rId75" Type="http://schemas.openxmlformats.org/officeDocument/2006/relationships/hyperlink" Target="https://www.youtube.com/channel/UCHHkP5D3JP0W4opHXMa7WyQ" TargetMode="External"/><Relationship Id="rId74" Type="http://schemas.openxmlformats.org/officeDocument/2006/relationships/hyperlink" Target="https://www.youtube.com/channel/UCEoDj_se6I_r5J0RIQRyAOg" TargetMode="External"/><Relationship Id="rId77" Type="http://schemas.openxmlformats.org/officeDocument/2006/relationships/hyperlink" Target="https://www.youtube.com/channel/UC__SUWseYmg9U37hfAb1x-w" TargetMode="External"/><Relationship Id="rId76" Type="http://schemas.openxmlformats.org/officeDocument/2006/relationships/hyperlink" Target="https://litt.ly/digitalturtle" TargetMode="External"/><Relationship Id="rId79" Type="http://schemas.openxmlformats.org/officeDocument/2006/relationships/hyperlink" Target="https://www.youtube.com/channel/UCE3baDCoGeKNheTjtlIfTPw" TargetMode="External"/><Relationship Id="rId78" Type="http://schemas.openxmlformats.org/officeDocument/2006/relationships/hyperlink" Target="https://www.youtube.com/channel/UCU5ceUtbrpEWeqV0urY8Fzg" TargetMode="External"/><Relationship Id="rId71" Type="http://schemas.openxmlformats.org/officeDocument/2006/relationships/hyperlink" Target="https://www.youtube.com/channel/UCPzjGcGQeC9BckS6a18sJMg" TargetMode="External"/><Relationship Id="rId70" Type="http://schemas.openxmlformats.org/officeDocument/2006/relationships/hyperlink" Target="https://www.youtube.com/channel/UCEpumCWJ6HI4EHd3OcoZkyw" TargetMode="External"/><Relationship Id="rId62" Type="http://schemas.openxmlformats.org/officeDocument/2006/relationships/hyperlink" Target="https://www.youtube.com/channel/UCq3RYCIkwYmIDbtI0ThEk6A" TargetMode="External"/><Relationship Id="rId61" Type="http://schemas.openxmlformats.org/officeDocument/2006/relationships/hyperlink" Target="https://litt.ly/designingi" TargetMode="External"/><Relationship Id="rId64" Type="http://schemas.openxmlformats.org/officeDocument/2006/relationships/hyperlink" Target="http://pf.kakao.com/_xjxjxeqG" TargetMode="External"/><Relationship Id="rId63" Type="http://schemas.openxmlformats.org/officeDocument/2006/relationships/hyperlink" Target="https://www.youtube.com/channel/UCBg0JMJrF6_Y3I1YpvvXLKA" TargetMode="External"/><Relationship Id="rId66" Type="http://schemas.openxmlformats.org/officeDocument/2006/relationships/hyperlink" Target="https://www.learningannex.kr/shop/item.php?it_id=1718256695&amp;utm_source=youtube&amp;utm_medium=longform&amp;utm_campaign=exposure&amp;utm_content=r008" TargetMode="External"/><Relationship Id="rId65" Type="http://schemas.openxmlformats.org/officeDocument/2006/relationships/hyperlink" Target="https://www.youtube.com/channel/UCD23NqM89ZcJk1EKDjfMeMg" TargetMode="External"/><Relationship Id="rId68" Type="http://schemas.openxmlformats.org/officeDocument/2006/relationships/hyperlink" Target="https://www.youtube.com/channel/UC4_Ega4c2RVe776qOwWtemQ" TargetMode="External"/><Relationship Id="rId67" Type="http://schemas.openxmlformats.org/officeDocument/2006/relationships/hyperlink" Target="https://www.youtube.com/channel/UCXrHUng3QOT9g0JnIYUT7AQ" TargetMode="External"/><Relationship Id="rId60" Type="http://schemas.openxmlformats.org/officeDocument/2006/relationships/hyperlink" Target="https://www.youtube.com/channel/UCUk5qF_U4Mrl023952gGX5w" TargetMode="External"/><Relationship Id="rId69" Type="http://schemas.openxmlformats.org/officeDocument/2006/relationships/hyperlink" Target="http://open.kakao.com/o/sZJ2EIfh" TargetMode="External"/><Relationship Id="rId51" Type="http://schemas.openxmlformats.org/officeDocument/2006/relationships/hyperlink" Target="https://www.youtube.com/channel/UCsLgKKiv8kDDGy1stC8BxVA" TargetMode="External"/><Relationship Id="rId50" Type="http://schemas.openxmlformats.org/officeDocument/2006/relationships/hyperlink" Target="https://www.youtube.com/channel/UCboqmwN682NPFew8Wp8Qdmg" TargetMode="External"/><Relationship Id="rId53" Type="http://schemas.openxmlformats.org/officeDocument/2006/relationships/hyperlink" Target="https://www.youtube.com/channel/UC0Myfvs95yARJGE94m3PccQ" TargetMode="External"/><Relationship Id="rId52" Type="http://schemas.openxmlformats.org/officeDocument/2006/relationships/hyperlink" Target="https://www.youtube.com/channel/UChF20sN4ttlSXLO6mLv1rGg" TargetMode="External"/><Relationship Id="rId55" Type="http://schemas.openxmlformats.org/officeDocument/2006/relationships/hyperlink" Target="https://www.youtube.com/channel/UCIyvPLWipoYrkutcssIoJnA" TargetMode="External"/><Relationship Id="rId54" Type="http://schemas.openxmlformats.org/officeDocument/2006/relationships/hyperlink" Target="https://www.youtube.com/channel/UCVUH4YfinErRE44BkKiq2YQ" TargetMode="External"/><Relationship Id="rId57" Type="http://schemas.openxmlformats.org/officeDocument/2006/relationships/hyperlink" Target="https://cafe.naver.com/dekilab" TargetMode="External"/><Relationship Id="rId56" Type="http://schemas.openxmlformats.org/officeDocument/2006/relationships/hyperlink" Target="https://www.youtube.com/channel/UC26IU0OUxOuGyzyR7aWe2Hw" TargetMode="External"/><Relationship Id="rId59" Type="http://schemas.openxmlformats.org/officeDocument/2006/relationships/hyperlink" Target="https://cafe.naver.com/nomadmark" TargetMode="External"/><Relationship Id="rId58" Type="http://schemas.openxmlformats.org/officeDocument/2006/relationships/hyperlink" Target="https://www.youtube.com/channel/UCw3MdFWb-4kdjtx-Y19I3hw" TargetMode="External"/><Relationship Id="rId95" Type="http://schemas.openxmlformats.org/officeDocument/2006/relationships/hyperlink" Target="https://www.youtube.com/channel/UCdtTdLBYBjFdx23baTBDeQQ" TargetMode="External"/><Relationship Id="rId94" Type="http://schemas.openxmlformats.org/officeDocument/2006/relationships/hyperlink" Target="https://www.youtube.com/channel/UCsRBNFWeEjgQ9Nhd1H6yp0Q" TargetMode="External"/><Relationship Id="rId97" Type="http://schemas.openxmlformats.org/officeDocument/2006/relationships/hyperlink" Target="https://www.youtube.com/channel/UCp83pZvhdmahAvBfVrhgMLQ" TargetMode="External"/><Relationship Id="rId96" Type="http://schemas.openxmlformats.org/officeDocument/2006/relationships/hyperlink" Target="https://www.youtube.com/channel/UCsp8mno4MpF_ArHwRiwEd7w" TargetMode="External"/><Relationship Id="rId99" Type="http://schemas.openxmlformats.org/officeDocument/2006/relationships/hyperlink" Target="https://www.youtube.com/channel/UC7ZbsAvQg58DXHnh71sX4DQ" TargetMode="External"/><Relationship Id="rId98" Type="http://schemas.openxmlformats.org/officeDocument/2006/relationships/hyperlink" Target="https://www.youtube.com/channel/UCEn-k2Tlf2ivWxcCEUSARkg" TargetMode="External"/><Relationship Id="rId91" Type="http://schemas.openxmlformats.org/officeDocument/2006/relationships/hyperlink" Target="https://www.youtube.com/channel/UCc1wjdqVct3qIHBRkWaHACg" TargetMode="External"/><Relationship Id="rId90" Type="http://schemas.openxmlformats.org/officeDocument/2006/relationships/hyperlink" Target="https://www.youtube.com/channel/UCDgwR9F59q1yafJvL914gnw" TargetMode="External"/><Relationship Id="rId93" Type="http://schemas.openxmlformats.org/officeDocument/2006/relationships/hyperlink" Target="https://www.youtube.com/channel/UCHOLG07CQS7M1_dJZc-3-iA" TargetMode="External"/><Relationship Id="rId92" Type="http://schemas.openxmlformats.org/officeDocument/2006/relationships/hyperlink" Target="https://www.learningannex.kr/shop/item.php?it_id=1702956191&amp;utm_source=youtube&amp;utm_medium=strategy&amp;utm_campaign=exposure&amp;utm_content=000" TargetMode="External"/><Relationship Id="rId253" Type="http://schemas.openxmlformats.org/officeDocument/2006/relationships/hyperlink" Target="https://pf.kakao.com/_rUtxfn" TargetMode="External"/><Relationship Id="rId252" Type="http://schemas.openxmlformats.org/officeDocument/2006/relationships/hyperlink" Target="https://blog.naver.com/dorumooc/224178146663" TargetMode="External"/><Relationship Id="rId251" Type="http://schemas.openxmlformats.org/officeDocument/2006/relationships/hyperlink" Target="https://www.threads.com/@fruit_matjip" TargetMode="External"/><Relationship Id="rId250" Type="http://schemas.openxmlformats.org/officeDocument/2006/relationships/hyperlink" Target="https://www.ezerai.xyz/" TargetMode="External"/><Relationship Id="rId257" Type="http://schemas.openxmlformats.org/officeDocument/2006/relationships/vmlDrawing" Target="../drawings/vmlDrawing2.vml"/><Relationship Id="rId256" Type="http://schemas.openxmlformats.org/officeDocument/2006/relationships/drawing" Target="../drawings/drawing3.xml"/><Relationship Id="rId255" Type="http://schemas.openxmlformats.org/officeDocument/2006/relationships/hyperlink" Target="https://geru.kr/ln/35050" TargetMode="External"/><Relationship Id="rId254" Type="http://schemas.openxmlformats.org/officeDocument/2006/relationships/hyperlink" Target="https://realproject.liveklass.com/" TargetMode="External"/><Relationship Id="rId228" Type="http://schemas.openxmlformats.org/officeDocument/2006/relationships/hyperlink" Target="https://www.youtube.com/channel/UClQLZ6IhugUkyRWjoVKPQVg" TargetMode="External"/><Relationship Id="rId227" Type="http://schemas.openxmlformats.org/officeDocument/2006/relationships/hyperlink" Target="https://www.youtube.com/channel/UCIfWn9lUtwS_cpXooKA5Jug" TargetMode="External"/><Relationship Id="rId226" Type="http://schemas.openxmlformats.org/officeDocument/2006/relationships/hyperlink" Target="https://www.youtube.com/channel/UC9a45dYlbW3mcgaetjC-iHw" TargetMode="External"/><Relationship Id="rId225" Type="http://schemas.openxmlformats.org/officeDocument/2006/relationships/hyperlink" Target="https://www.youtube.com/channel/UCjCDp8b2wtGIiaC3ZqKomSQ" TargetMode="External"/><Relationship Id="rId229" Type="http://schemas.openxmlformats.org/officeDocument/2006/relationships/hyperlink" Target="https://www.youtube.com/channel/UCjjMXgFBrnCqNzqn4e86dHA" TargetMode="External"/><Relationship Id="rId220" Type="http://schemas.openxmlformats.org/officeDocument/2006/relationships/hyperlink" Target="https://www.youtube.com/channel/UCVccRmiLPePBoImWKXdIaAQ" TargetMode="External"/><Relationship Id="rId224" Type="http://schemas.openxmlformats.org/officeDocument/2006/relationships/hyperlink" Target="https://www.youtube.com/channel/UCxvR-04W1r3xe6CzCaSxymg" TargetMode="External"/><Relationship Id="rId223" Type="http://schemas.openxmlformats.org/officeDocument/2006/relationships/hyperlink" Target="https://www.youtube.com/channel/UCGvxOx0B7JEF6pS4yVllbzw" TargetMode="External"/><Relationship Id="rId222" Type="http://schemas.openxmlformats.org/officeDocument/2006/relationships/hyperlink" Target="https://www.youtube.com/channel/UCMBkmtMIII0o7wnvQoRWi1g" TargetMode="External"/><Relationship Id="rId221" Type="http://schemas.openxmlformats.org/officeDocument/2006/relationships/hyperlink" Target="https://www.youtube.com/channel/UCv5HR_gOP8_bAIHeuIDDhww" TargetMode="External"/><Relationship Id="rId217" Type="http://schemas.openxmlformats.org/officeDocument/2006/relationships/hyperlink" Target="https://www.youtube.com/channel/UCva4xHp8PPtSzqhGeM3lq7Q" TargetMode="External"/><Relationship Id="rId216" Type="http://schemas.openxmlformats.org/officeDocument/2006/relationships/hyperlink" Target="https://www.youtube.com/channel/UCSDaWb97DbFTmdgAx2uVFcw" TargetMode="External"/><Relationship Id="rId215" Type="http://schemas.openxmlformats.org/officeDocument/2006/relationships/hyperlink" Target="https://www.youtube.com/channel/UCxna9DIruCDzWZmiKzP20AQ" TargetMode="External"/><Relationship Id="rId214" Type="http://schemas.openxmlformats.org/officeDocument/2006/relationships/hyperlink" Target="https://www.youtube.com/channel/UCwdGfKf95wV7da9a80xKyDA" TargetMode="External"/><Relationship Id="rId219" Type="http://schemas.openxmlformats.org/officeDocument/2006/relationships/hyperlink" Target="https://www.youtube.com/channel/UCZrdxHK4bFIXd4vqIXi5Grw" TargetMode="External"/><Relationship Id="rId218" Type="http://schemas.openxmlformats.org/officeDocument/2006/relationships/hyperlink" Target="https://www.youtube.com/channel/UCweFCeE7R38-pvPl6RifWpw" TargetMode="External"/><Relationship Id="rId213" Type="http://schemas.openxmlformats.org/officeDocument/2006/relationships/hyperlink" Target="https://www.youtube.com/channel/UCaSEMBqciwE-8PUwIfrnDAg" TargetMode="External"/><Relationship Id="rId212" Type="http://schemas.openxmlformats.org/officeDocument/2006/relationships/hyperlink" Target="https://www.youtube.com/channel/UCnLO88Oop5XZOQ3PP2U9wvw" TargetMode="External"/><Relationship Id="rId211" Type="http://schemas.openxmlformats.org/officeDocument/2006/relationships/hyperlink" Target="https://www.youtube.com/channel/UCv9gNkwpG_P1X3-6VAOk3dA" TargetMode="External"/><Relationship Id="rId210" Type="http://schemas.openxmlformats.org/officeDocument/2006/relationships/hyperlink" Target="https://www.youtube.com/channel/UCJo_hN76u7V_0RwQGAIKb-w" TargetMode="External"/><Relationship Id="rId249" Type="http://schemas.openxmlformats.org/officeDocument/2006/relationships/hyperlink" Target="https://youtu.be/Z1unCYK1qGY?si=5EDcxVe20kuisxpq" TargetMode="External"/><Relationship Id="rId248" Type="http://schemas.openxmlformats.org/officeDocument/2006/relationships/hyperlink" Target="https://www.youtube.com/channel/UC8Bd91IwR42E9euq5VmBLuw" TargetMode="External"/><Relationship Id="rId247" Type="http://schemas.openxmlformats.org/officeDocument/2006/relationships/hyperlink" Target="https://www.youtube.com/channel/UC1-1FHV2EJX1fC3ueOctFBg" TargetMode="External"/><Relationship Id="rId242" Type="http://schemas.openxmlformats.org/officeDocument/2006/relationships/hyperlink" Target="https://www.youtube.com/channel/UC70ZN3P3QEkjRM5v4gIslLg" TargetMode="External"/><Relationship Id="rId241" Type="http://schemas.openxmlformats.org/officeDocument/2006/relationships/hyperlink" Target="https://www.youtube.com/channel/UCafdx2Yrm6fBR5QZODJVa9g" TargetMode="External"/><Relationship Id="rId240" Type="http://schemas.openxmlformats.org/officeDocument/2006/relationships/hyperlink" Target="https://www.youtube.com/channel/UCEbIsZjyZx3pERuusDfgM3A" TargetMode="External"/><Relationship Id="rId246" Type="http://schemas.openxmlformats.org/officeDocument/2006/relationships/hyperlink" Target="https://www.youtube.com/channel/UCoUMRlaHHyIIRySV_bouYCQ" TargetMode="External"/><Relationship Id="rId245" Type="http://schemas.openxmlformats.org/officeDocument/2006/relationships/hyperlink" Target="https://www.youtube.com/channel/UCUWmS3YtKspoxZbJR-iOdPA" TargetMode="External"/><Relationship Id="rId244" Type="http://schemas.openxmlformats.org/officeDocument/2006/relationships/hyperlink" Target="https://www.youtube.com/channel/UCSQUj1sju9ms4lksJpoiGsA" TargetMode="External"/><Relationship Id="rId243" Type="http://schemas.openxmlformats.org/officeDocument/2006/relationships/hyperlink" Target="https://www.youtube.com/channel/UCCOQRITg9ohcYpht8_5CjJw" TargetMode="External"/><Relationship Id="rId239" Type="http://schemas.openxmlformats.org/officeDocument/2006/relationships/hyperlink" Target="https://www.youtube.com/channel/UC2kPuCfWPDZhRg60gOdOlKg" TargetMode="External"/><Relationship Id="rId238" Type="http://schemas.openxmlformats.org/officeDocument/2006/relationships/hyperlink" Target="https://www.youtube.com/channel/UCMWx7uO8fruVJrgmMtbxG2A" TargetMode="External"/><Relationship Id="rId237" Type="http://schemas.openxmlformats.org/officeDocument/2006/relationships/hyperlink" Target="https://www.youtube.com/channel/UCQLxLmg6-yR4R3MHxbdVNWw" TargetMode="External"/><Relationship Id="rId236" Type="http://schemas.openxmlformats.org/officeDocument/2006/relationships/hyperlink" Target="https://www.youtube.com/channel/UCHkvS5YYj3-aGm9nNVuxlJQ" TargetMode="External"/><Relationship Id="rId231" Type="http://schemas.openxmlformats.org/officeDocument/2006/relationships/hyperlink" Target="https://www.youtube.com/channel/UCCeRgKav1R0hqj2g0xdKNmg" TargetMode="External"/><Relationship Id="rId230" Type="http://schemas.openxmlformats.org/officeDocument/2006/relationships/hyperlink" Target="https://www.youtube.com/channel/UCAFLHVP7O_AFTrwDy_MS9ng" TargetMode="External"/><Relationship Id="rId235" Type="http://schemas.openxmlformats.org/officeDocument/2006/relationships/hyperlink" Target="https://www.youtube.com/channel/UChC-v97QSRidIg_kd4Jf_1A" TargetMode="External"/><Relationship Id="rId234" Type="http://schemas.openxmlformats.org/officeDocument/2006/relationships/hyperlink" Target="https://www.youtube.com/channel/UCoImlQASkAVhfqg0MBqeCUw" TargetMode="External"/><Relationship Id="rId233" Type="http://schemas.openxmlformats.org/officeDocument/2006/relationships/hyperlink" Target="https://www.youtube.com/channel/UCYrcetzzlN0hvBtxamexSvA" TargetMode="External"/><Relationship Id="rId232" Type="http://schemas.openxmlformats.org/officeDocument/2006/relationships/hyperlink" Target="https://www.youtube.com/channel/UCD4-tiG-ehA40iImoKIxLjg" TargetMode="External"/><Relationship Id="rId206" Type="http://schemas.openxmlformats.org/officeDocument/2006/relationships/hyperlink" Target="https://www.youtube.com/channel/UCjhwNNvrbBJ1xAzOahyKkkg" TargetMode="External"/><Relationship Id="rId205" Type="http://schemas.openxmlformats.org/officeDocument/2006/relationships/hyperlink" Target="https://www.youtube.com/channel/UC-1_wL5fL8bNNb90LFVzohg" TargetMode="External"/><Relationship Id="rId204" Type="http://schemas.openxmlformats.org/officeDocument/2006/relationships/hyperlink" Target="https://www.youtube.com/channel/UCC0-MmKIjLHP7hC1UN8eN7w" TargetMode="External"/><Relationship Id="rId203" Type="http://schemas.openxmlformats.org/officeDocument/2006/relationships/hyperlink" Target="https://www.youtube.com/channel/UCdQkG1TWQESXOfhZAfYKpLw" TargetMode="External"/><Relationship Id="rId209" Type="http://schemas.openxmlformats.org/officeDocument/2006/relationships/hyperlink" Target="https://www.youtube.com/channel/UC8tiVH0oHYrAT2BteaCtLNQ" TargetMode="External"/><Relationship Id="rId208" Type="http://schemas.openxmlformats.org/officeDocument/2006/relationships/hyperlink" Target="https://www.youtube.com/channel/UCqxSxQIoqcTFehMn62n6zeQ" TargetMode="External"/><Relationship Id="rId207" Type="http://schemas.openxmlformats.org/officeDocument/2006/relationships/hyperlink" Target="https://www.youtube.com/@dayNightCoding/videos" TargetMode="External"/><Relationship Id="rId202" Type="http://schemas.openxmlformats.org/officeDocument/2006/relationships/hyperlink" Target="https://www.youtube.com/channel/UC_rBytAj8y5KLl2iKxbR-IQ" TargetMode="External"/><Relationship Id="rId201" Type="http://schemas.openxmlformats.org/officeDocument/2006/relationships/hyperlink" Target="https://www.youtube.com/channel/UCr_1pu8y1-bGOCOOikBPWNw" TargetMode="External"/><Relationship Id="rId200" Type="http://schemas.openxmlformats.org/officeDocument/2006/relationships/hyperlink" Target="https://www.youtube.com/channel/UCnVy4eozKCKF1Q4Udrgz2Ig" TargetMode="External"/><Relationship Id="rId190" Type="http://schemas.openxmlformats.org/officeDocument/2006/relationships/hyperlink" Target="https://www.youtube.com/channel/UCWc1upxyUQFWByte08HTGLA" TargetMode="External"/><Relationship Id="rId194" Type="http://schemas.openxmlformats.org/officeDocument/2006/relationships/hyperlink" Target="https://www.youtube.com/channel/UCdWSNmE4oeTYsQ5aRhaSWhQ" TargetMode="External"/><Relationship Id="rId193" Type="http://schemas.openxmlformats.org/officeDocument/2006/relationships/hyperlink" Target="https://open.kakao.com/o/gqYjPkVh" TargetMode="External"/><Relationship Id="rId192" Type="http://schemas.openxmlformats.org/officeDocument/2006/relationships/hyperlink" Target="https://www.youtube.com/channel/UCZXon8MxUBA92M6H4ixcvgg" TargetMode="External"/><Relationship Id="rId191" Type="http://schemas.openxmlformats.org/officeDocument/2006/relationships/hyperlink" Target="https://www.youtube.com/channel/UC5OJH78AkfGYL-NCCHiDmpQ" TargetMode="External"/><Relationship Id="rId187" Type="http://schemas.openxmlformats.org/officeDocument/2006/relationships/hyperlink" Target="https://www.youtube.com/channel/UCnJ6UayOcabCMAa-l8Z_zBw" TargetMode="External"/><Relationship Id="rId186" Type="http://schemas.openxmlformats.org/officeDocument/2006/relationships/hyperlink" Target="https://www.youtube.com/channel/UC0T-E0-wKMynZViFH3dmrpA" TargetMode="External"/><Relationship Id="rId185" Type="http://schemas.openxmlformats.org/officeDocument/2006/relationships/hyperlink" Target="https://www.youtube.com/channel/UCd1sjFJbeVR5i3IjJ5Q63LA" TargetMode="External"/><Relationship Id="rId184" Type="http://schemas.openxmlformats.org/officeDocument/2006/relationships/hyperlink" Target="https://www.youtube.com/channel/UCFCT3S5L7TvGyJ0kLKf0Z7w" TargetMode="External"/><Relationship Id="rId189" Type="http://schemas.openxmlformats.org/officeDocument/2006/relationships/hyperlink" Target="https://www.youtube.com/channel/UCTuubMy7ytyKEp-HhmA55Tw" TargetMode="External"/><Relationship Id="rId188" Type="http://schemas.openxmlformats.org/officeDocument/2006/relationships/hyperlink" Target="https://www.youtube.com/channel/UCsLwPR9crj7PYTq0U_Kyrgg" TargetMode="External"/><Relationship Id="rId183" Type="http://schemas.openxmlformats.org/officeDocument/2006/relationships/hyperlink" Target="https://www.youtube.com/channel/UCE9eONEeUMXFSvSFdFqAbNA" TargetMode="External"/><Relationship Id="rId182" Type="http://schemas.openxmlformats.org/officeDocument/2006/relationships/hyperlink" Target="https://www.youtube.com/channel/UCtI10h_MLO1DHNa2JPKg8dA" TargetMode="External"/><Relationship Id="rId181" Type="http://schemas.openxmlformats.org/officeDocument/2006/relationships/hyperlink" Target="https://www.youtube.com/channel/UC_d14IRNoHVU1OIzQusdwTg" TargetMode="External"/><Relationship Id="rId180" Type="http://schemas.openxmlformats.org/officeDocument/2006/relationships/hyperlink" Target="https://www.youtube.com/channel/UCGyFajsFGKIRynLoUSJcd6w" TargetMode="External"/><Relationship Id="rId176" Type="http://schemas.openxmlformats.org/officeDocument/2006/relationships/hyperlink" Target="https://www.youtube.com/channel/UCNxCwQDxlbJwdTxcK8G668A" TargetMode="External"/><Relationship Id="rId175" Type="http://schemas.openxmlformats.org/officeDocument/2006/relationships/hyperlink" Target="http://open.kakao.com/o/gQhMYkRh" TargetMode="External"/><Relationship Id="rId174" Type="http://schemas.openxmlformats.org/officeDocument/2006/relationships/hyperlink" Target="https://www.youtube.com/channel/UCP3nsqpPzQDWQAKKDn7OziQ" TargetMode="External"/><Relationship Id="rId173" Type="http://schemas.openxmlformats.org/officeDocument/2006/relationships/hyperlink" Target="https://www.youtube.com/channel/UCVBFT-CTXXkyi1xZzIzNZ5A" TargetMode="External"/><Relationship Id="rId179" Type="http://schemas.openxmlformats.org/officeDocument/2006/relationships/hyperlink" Target="https://www.youtube.com/channel/UCdeUhW2HBSy4qQtzNy2w82A" TargetMode="External"/><Relationship Id="rId178" Type="http://schemas.openxmlformats.org/officeDocument/2006/relationships/hyperlink" Target="https://www.youtube.com/channel/UCgu-EsztJaGMJBVp5zKwGLA" TargetMode="External"/><Relationship Id="rId177" Type="http://schemas.openxmlformats.org/officeDocument/2006/relationships/hyperlink" Target="https://www.youtube.com/channel/UCyYUUUHqygvE7gWy0rZIN7g" TargetMode="External"/><Relationship Id="rId198" Type="http://schemas.openxmlformats.org/officeDocument/2006/relationships/hyperlink" Target="https://www.youtube.com/channel/UCeV6JeyZcJgcAUrO7hN46Zw" TargetMode="External"/><Relationship Id="rId197" Type="http://schemas.openxmlformats.org/officeDocument/2006/relationships/hyperlink" Target="https://www.youtube.com/channel/UCjiyt0Bf1lBwbwMQdrWewBA" TargetMode="External"/><Relationship Id="rId196" Type="http://schemas.openxmlformats.org/officeDocument/2006/relationships/hyperlink" Target="https://www.youtube.com/channel/UCNyIdGmCWdmH5Vxv2mR5ToQ" TargetMode="External"/><Relationship Id="rId195" Type="http://schemas.openxmlformats.org/officeDocument/2006/relationships/hyperlink" Target="https://www.youtube.com/channel/UC5AIWXfBsknBiK7Zlp57KkQ" TargetMode="External"/><Relationship Id="rId199" Type="http://schemas.openxmlformats.org/officeDocument/2006/relationships/hyperlink" Target="https://www.youtube.com/channel/UCAWXKeaIF52Op1arsSAZmkw" TargetMode="External"/><Relationship Id="rId150" Type="http://schemas.openxmlformats.org/officeDocument/2006/relationships/hyperlink" Target="https://www.youtube.com/channel/UCj_KDKEDgnXkeh0KlNpSL8A" TargetMode="External"/><Relationship Id="rId149" Type="http://schemas.openxmlformats.org/officeDocument/2006/relationships/hyperlink" Target="https://www.youtube.com/channel/UCbjkBxUJpvThrZU9QMbUOvQ" TargetMode="External"/><Relationship Id="rId148" Type="http://schemas.openxmlformats.org/officeDocument/2006/relationships/hyperlink" Target="https://www.youtube.com/channel/UCGJ2Vi63A887e7AzL0MT_ZA" TargetMode="External"/><Relationship Id="rId143" Type="http://schemas.openxmlformats.org/officeDocument/2006/relationships/hyperlink" Target="https://www.youtube.com/channel/UC-P02SoCPWiGdP88JiPbUUA" TargetMode="External"/><Relationship Id="rId142" Type="http://schemas.openxmlformats.org/officeDocument/2006/relationships/hyperlink" Target="http://bit.ly/true_chat" TargetMode="External"/><Relationship Id="rId141" Type="http://schemas.openxmlformats.org/officeDocument/2006/relationships/hyperlink" Target="https://www.youtube.com/channel/UCKZoNi9U9aFg7s-Xe7J5Mrw" TargetMode="External"/><Relationship Id="rId140" Type="http://schemas.openxmlformats.org/officeDocument/2006/relationships/hyperlink" Target="https://www.youtube.com/channel/UC40fnc7ZyoEQOVIK84EIxLg" TargetMode="External"/><Relationship Id="rId147" Type="http://schemas.openxmlformats.org/officeDocument/2006/relationships/hyperlink" Target="https://www.youtube.com/channel/UCRAG2h8vuvX9isjfA_shJYA" TargetMode="External"/><Relationship Id="rId146" Type="http://schemas.openxmlformats.org/officeDocument/2006/relationships/hyperlink" Target="https://www.youtube.com/channel/UCu0SWxML5JfWSKamNLzu7eg" TargetMode="External"/><Relationship Id="rId145" Type="http://schemas.openxmlformats.org/officeDocument/2006/relationships/hyperlink" Target="https://www.youtube.com/channel/UCdxlmWGmISJAKnEjn6VJogA" TargetMode="External"/><Relationship Id="rId144" Type="http://schemas.openxmlformats.org/officeDocument/2006/relationships/hyperlink" Target="https://www.youtube.com/channel/UCmZkEggG98yxOL4iEvwj7Mg" TargetMode="External"/><Relationship Id="rId139" Type="http://schemas.openxmlformats.org/officeDocument/2006/relationships/hyperlink" Target="https://www.youtube.com/channel/UC3RVtuFPWBty58JQwatcL4Q" TargetMode="External"/><Relationship Id="rId138" Type="http://schemas.openxmlformats.org/officeDocument/2006/relationships/hyperlink" Target="https://www.youtube.com/channel/UC6iUysJyEJ0fgDKPtH_3ABQ" TargetMode="External"/><Relationship Id="rId137" Type="http://schemas.openxmlformats.org/officeDocument/2006/relationships/hyperlink" Target="https://www.youtube.com/channel/UCoqp-qPQjd5jCBmnHd33n6w" TargetMode="External"/><Relationship Id="rId132" Type="http://schemas.openxmlformats.org/officeDocument/2006/relationships/hyperlink" Target="https://www.youtube.com/channel/UCdWGalCRVkqArKGAOy0ITlQ" TargetMode="External"/><Relationship Id="rId131" Type="http://schemas.openxmlformats.org/officeDocument/2006/relationships/hyperlink" Target="https://www.youtube.com/channel/UCsxVBi6UQOrb-aE_LX5zrxA" TargetMode="External"/><Relationship Id="rId130" Type="http://schemas.openxmlformats.org/officeDocument/2006/relationships/hyperlink" Target="https://www.youtube.com/channel/UCZ5rrqTZWVKF8yqd-nM-RVw" TargetMode="External"/><Relationship Id="rId136" Type="http://schemas.openxmlformats.org/officeDocument/2006/relationships/hyperlink" Target="https://www.youtube.com/channel/UCkNQT75PDjH7xYAAU3TL6fw" TargetMode="External"/><Relationship Id="rId135" Type="http://schemas.openxmlformats.org/officeDocument/2006/relationships/hyperlink" Target="https://www.youtube.com/channel/UC2GBFLo8DSfXwv1nD1weLzg" TargetMode="External"/><Relationship Id="rId134" Type="http://schemas.openxmlformats.org/officeDocument/2006/relationships/hyperlink" Target="https://www.youtube.com/channel/UC0zFxOxGZMZW8xN2S9BBXNw" TargetMode="External"/><Relationship Id="rId133" Type="http://schemas.openxmlformats.org/officeDocument/2006/relationships/hyperlink" Target="https://www.youtube.com/channel/UC9l-8PuHKeTovc7TP_aI0MA" TargetMode="External"/><Relationship Id="rId172" Type="http://schemas.openxmlformats.org/officeDocument/2006/relationships/hyperlink" Target="https://www.youtube.com/channel/UCPw-p95GIkrzOko_dbc4WYw" TargetMode="External"/><Relationship Id="rId171" Type="http://schemas.openxmlformats.org/officeDocument/2006/relationships/hyperlink" Target="https://www.youtube.com/channel/UCv2cBH0aB22dQ2j5hiAu4qA" TargetMode="External"/><Relationship Id="rId170" Type="http://schemas.openxmlformats.org/officeDocument/2006/relationships/hyperlink" Target="https://www.youtube.com/channel/UCTpsoMCvB91FYU_csgghJWw" TargetMode="External"/><Relationship Id="rId165" Type="http://schemas.openxmlformats.org/officeDocument/2006/relationships/hyperlink" Target="https://www.youtube.com/channel/UCOllBppNA5DQpGV0M6TzEnA" TargetMode="External"/><Relationship Id="rId164" Type="http://schemas.openxmlformats.org/officeDocument/2006/relationships/hyperlink" Target="https://www.youtube.com/channel/UC3ArSP6WlFF7UoZzWtEFd-w" TargetMode="External"/><Relationship Id="rId163" Type="http://schemas.openxmlformats.org/officeDocument/2006/relationships/hyperlink" Target="https://www.youtube.com/channel/UCv9FeN8Yjqr3jGKzTNk9SLw" TargetMode="External"/><Relationship Id="rId162" Type="http://schemas.openxmlformats.org/officeDocument/2006/relationships/hyperlink" Target="https://www.youtube.com/channel/UC3gf14K9NjpUPwmROijtN5g" TargetMode="External"/><Relationship Id="rId169" Type="http://schemas.openxmlformats.org/officeDocument/2006/relationships/hyperlink" Target="https://www.youtube.com/channel/UCpsC4x934EylqtTFduCacAw" TargetMode="External"/><Relationship Id="rId168" Type="http://schemas.openxmlformats.org/officeDocument/2006/relationships/hyperlink" Target="https://www.youtube.com/channel/UCeFCPQuMsLsMoJ0EO1Xm7Kw" TargetMode="External"/><Relationship Id="rId167" Type="http://schemas.openxmlformats.org/officeDocument/2006/relationships/hyperlink" Target="https://www.youtube.com/channel/UCOCzogQAKdlgbS39Lrg-N9A" TargetMode="External"/><Relationship Id="rId166" Type="http://schemas.openxmlformats.org/officeDocument/2006/relationships/hyperlink" Target="https://www.youtube.com/channel/UCLk6Qprj81FKqrZxZLP_J6A" TargetMode="External"/><Relationship Id="rId161" Type="http://schemas.openxmlformats.org/officeDocument/2006/relationships/hyperlink" Target="https://www.youtube.com/channel/UCwjtbv6zEv1zeUyVl0596Vw" TargetMode="External"/><Relationship Id="rId160" Type="http://schemas.openxmlformats.org/officeDocument/2006/relationships/hyperlink" Target="https://www.youtube.com/channel/UCUG5tR-niqJpNefS2jzC_Ew" TargetMode="External"/><Relationship Id="rId159" Type="http://schemas.openxmlformats.org/officeDocument/2006/relationships/hyperlink" Target="https://www.youtube.com/channel/UC_sB8jOiuVbYHx5A8yCSsBQ" TargetMode="External"/><Relationship Id="rId154" Type="http://schemas.openxmlformats.org/officeDocument/2006/relationships/hyperlink" Target="https://www.youtube.com/channel/UC4ZDYaJxBrgg-5oTZKkBF8g" TargetMode="External"/><Relationship Id="rId153" Type="http://schemas.openxmlformats.org/officeDocument/2006/relationships/hyperlink" Target="https://docs.google.com/forms/d/1grj8gyF7-UGS0CM-mHaYU_9kR4fWVHRxrA32hrBglSI/viewform?edit_requested=true" TargetMode="External"/><Relationship Id="rId152" Type="http://schemas.openxmlformats.org/officeDocument/2006/relationships/hyperlink" Target="https://www.youtube.com/channel/UCMEmcE45SQeleu9Vae0SzmA" TargetMode="External"/><Relationship Id="rId151" Type="http://schemas.openxmlformats.org/officeDocument/2006/relationships/hyperlink" Target="https://www.youtube.com/channel/UC4-4ElAoyQ41HpMF4mC7kFA" TargetMode="External"/><Relationship Id="rId158" Type="http://schemas.openxmlformats.org/officeDocument/2006/relationships/hyperlink" Target="https://www.youtube.com/channel/UCFs3s9vf0jAdtxWR6XXQt3w" TargetMode="External"/><Relationship Id="rId157" Type="http://schemas.openxmlformats.org/officeDocument/2006/relationships/hyperlink" Target="https://www.youtube.com/channel/UCmqnTcFE0jJdbg-ZoyxXSFg" TargetMode="External"/><Relationship Id="rId156" Type="http://schemas.openxmlformats.org/officeDocument/2006/relationships/hyperlink" Target="https://docs.google.com/forms/d/e/1FAIpQLSdoQqOcRhZTlJcrWNAzJ7mvU1y35DujssdGzrTbWnMOYfVE6w/viewform" TargetMode="External"/><Relationship Id="rId155" Type="http://schemas.openxmlformats.org/officeDocument/2006/relationships/hyperlink" Target="https://www.youtube.com/channel/UCgjoWn1Gnvj7xfB-HzYpNOQ" TargetMode="External"/><Relationship Id="rId107" Type="http://schemas.openxmlformats.org/officeDocument/2006/relationships/hyperlink" Target="https://www.youtube.com/channel/UC9pCotS0U7NGHDK40_c_kgA" TargetMode="External"/><Relationship Id="rId106" Type="http://schemas.openxmlformats.org/officeDocument/2006/relationships/hyperlink" Target="https://www.youtube.com/channel/UCMA3vZg15MuDE0H72VdicHA" TargetMode="External"/><Relationship Id="rId105" Type="http://schemas.openxmlformats.org/officeDocument/2006/relationships/hyperlink" Target="https://www.youtube.com/channel/UCtCiO5t2voB14CmZKTkIzPQ" TargetMode="External"/><Relationship Id="rId104" Type="http://schemas.openxmlformats.org/officeDocument/2006/relationships/hyperlink" Target="https://www.youtube.com/channel/UCydX6z-JETLHEuPB0RrCg_g" TargetMode="External"/><Relationship Id="rId109" Type="http://schemas.openxmlformats.org/officeDocument/2006/relationships/hyperlink" Target="https://www.youtube.com/channel/UCLHYWdHibzsnW1M8ezRaxpQ" TargetMode="External"/><Relationship Id="rId108" Type="http://schemas.openxmlformats.org/officeDocument/2006/relationships/hyperlink" Target="https://www.youtube.com/channel/UCQeMEUG8Qd1LU6IfCHWn9Fg" TargetMode="External"/><Relationship Id="rId103" Type="http://schemas.openxmlformats.org/officeDocument/2006/relationships/hyperlink" Target="https://www.youtube.com/channel/UCHfOXTna4Eq5LgpDmtoMyIg" TargetMode="External"/><Relationship Id="rId102" Type="http://schemas.openxmlformats.org/officeDocument/2006/relationships/hyperlink" Target="https://www.youtube.com/channel/UCL2kX39zdaCjUsASY3eW4yw" TargetMode="External"/><Relationship Id="rId101" Type="http://schemas.openxmlformats.org/officeDocument/2006/relationships/hyperlink" Target="https://www.youtube.com/channel/UCaxlSM4irfV4rk72JUmecoQ" TargetMode="External"/><Relationship Id="rId100" Type="http://schemas.openxmlformats.org/officeDocument/2006/relationships/hyperlink" Target="https://m.cafe.naver.com/ca-fe/web/cafes/24193906/articles/7801?fromList=true&amp;tab=notice&amp;tc=cafe_home_notices" TargetMode="External"/><Relationship Id="rId129" Type="http://schemas.openxmlformats.org/officeDocument/2006/relationships/hyperlink" Target="https://www.youtube.com/channel/UClE_b5xUR8Y2h_Y2MzQDGmA" TargetMode="External"/><Relationship Id="rId128" Type="http://schemas.openxmlformats.org/officeDocument/2006/relationships/hyperlink" Target="https://www.youtube.com/channel/UCQDhGSVc5UMEkxq0xdMA-Pg" TargetMode="External"/><Relationship Id="rId127" Type="http://schemas.openxmlformats.org/officeDocument/2006/relationships/hyperlink" Target="https://www.youtube.com/channel/UC5eOLvKxyM-1gut6YMEQ98g" TargetMode="External"/><Relationship Id="rId126" Type="http://schemas.openxmlformats.org/officeDocument/2006/relationships/hyperlink" Target="https://www.youtube.com/channel/UC4jh0TnRA3ZHtbVnG9uDoFQ" TargetMode="External"/><Relationship Id="rId121" Type="http://schemas.openxmlformats.org/officeDocument/2006/relationships/hyperlink" Target="https://www.youtube.com/channel/UC71s7D9hZHBMMKyCug_A0kA" TargetMode="External"/><Relationship Id="rId120" Type="http://schemas.openxmlformats.org/officeDocument/2006/relationships/hyperlink" Target="https://www.youtube.com/channel/UCyMlpFLkx6y5Fg5T19OHudA" TargetMode="External"/><Relationship Id="rId125" Type="http://schemas.openxmlformats.org/officeDocument/2006/relationships/hyperlink" Target="https://www.youtube.com/channel/UCAm0DrrOiyi8Mk4T9ODIRmw" TargetMode="External"/><Relationship Id="rId124" Type="http://schemas.openxmlformats.org/officeDocument/2006/relationships/hyperlink" Target="https://www.youtube.com/channel/UCICqb71IgOVyXGPy6TpRx1A" TargetMode="External"/><Relationship Id="rId123" Type="http://schemas.openxmlformats.org/officeDocument/2006/relationships/hyperlink" Target="http://pf.kakao.com/_Pqiws" TargetMode="External"/><Relationship Id="rId122" Type="http://schemas.openxmlformats.org/officeDocument/2006/relationships/hyperlink" Target="https://www.youtube.com/channel/UCM4rFS9nLw2AiBNiDWBNChg" TargetMode="External"/><Relationship Id="rId118" Type="http://schemas.openxmlformats.org/officeDocument/2006/relationships/hyperlink" Target="https://www.youtube.com/channel/UCkwegMjATseS7obo5GW_YsQ" TargetMode="External"/><Relationship Id="rId117" Type="http://schemas.openxmlformats.org/officeDocument/2006/relationships/hyperlink" Target="https://www.youtube.com/channel/UCo0ac-PFaLaF75P-o0tGR2w" TargetMode="External"/><Relationship Id="rId116" Type="http://schemas.openxmlformats.org/officeDocument/2006/relationships/hyperlink" Target="https://www.youtube.com/channel/UCoEC_KrFVcmGx27vfZ-hiyg" TargetMode="External"/><Relationship Id="rId115" Type="http://schemas.openxmlformats.org/officeDocument/2006/relationships/hyperlink" Target="https://www.youtube.com/channel/UCabXkcm1Nwe2Ra8_VUvCcMA" TargetMode="External"/><Relationship Id="rId119" Type="http://schemas.openxmlformats.org/officeDocument/2006/relationships/hyperlink" Target="https://www.youtube.com/channel/UC-93Wjwrz7ya-w1iaxkRO8A" TargetMode="External"/><Relationship Id="rId110" Type="http://schemas.openxmlformats.org/officeDocument/2006/relationships/hyperlink" Target="https://great-mascara-4bc.notion.site/N-2-57-1c92a9b9f89a8016be99fe4834450546" TargetMode="External"/><Relationship Id="rId114" Type="http://schemas.openxmlformats.org/officeDocument/2006/relationships/hyperlink" Target="https://www.youtube.com/channel/UCfOmpIVeyaoRVB2jjNAbbjA" TargetMode="External"/><Relationship Id="rId113" Type="http://schemas.openxmlformats.org/officeDocument/2006/relationships/hyperlink" Target="https://www.youtube.com/channel/UCznZaSZISPWtFf1u3VZ5Zeg" TargetMode="External"/><Relationship Id="rId112" Type="http://schemas.openxmlformats.org/officeDocument/2006/relationships/hyperlink" Target="https://www.youtube.com/channel/UCU_nDPxADHrSQKHUIzf5m3Q" TargetMode="External"/><Relationship Id="rId111" Type="http://schemas.openxmlformats.org/officeDocument/2006/relationships/hyperlink" Target="https://www.youtube.com/channel/UCKxknVfRWj3YKZuE_qiWZ4Q"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www.youtube.com/@%EC%98%A8%EB%9D%BC%EC%9D%B8%EC%82%AC%EC%9E%A5" TargetMode="External"/><Relationship Id="rId391" Type="http://schemas.openxmlformats.org/officeDocument/2006/relationships/hyperlink" Target="https://www.instagram.com/accounts/login/?next=%2Fbibl_youtube%2F&amp;source=omni_redirect" TargetMode="External"/><Relationship Id="rId390" Type="http://schemas.openxmlformats.org/officeDocument/2006/relationships/hyperlink" Target="https://www.youtube.com/@bibl_youtube/videos" TargetMode="External"/><Relationship Id="rId1" Type="http://schemas.openxmlformats.org/officeDocument/2006/relationships/comments" Target="../comments3.xml"/><Relationship Id="rId2" Type="http://schemas.openxmlformats.org/officeDocument/2006/relationships/hyperlink" Target="https://www.youtube.com/watch?v=elhxzHXqGRw" TargetMode="External"/><Relationship Id="rId3" Type="http://schemas.openxmlformats.org/officeDocument/2006/relationships/hyperlink" Target="https://www.youtube.com/@hotdd2030/shorts" TargetMode="External"/><Relationship Id="rId4" Type="http://schemas.openxmlformats.org/officeDocument/2006/relationships/hyperlink" Target="https://class101.net/ko/products/61f68f1cf3a2e1000d780fda" TargetMode="External"/><Relationship Id="rId9" Type="http://schemas.openxmlformats.org/officeDocument/2006/relationships/hyperlink" Target="http://open.kakao.com/o/gWMf3K3g" TargetMode="External"/><Relationship Id="rId385" Type="http://schemas.openxmlformats.org/officeDocument/2006/relationships/hyperlink" Target="https://www.youtube.com/@AI-LOLLAB/featured" TargetMode="External"/><Relationship Id="rId384" Type="http://schemas.openxmlformats.org/officeDocument/2006/relationships/hyperlink" Target="https://www.instagram.com/ai__lol__lab?igsh=MTlhZnh1cDNhNmYzNg%3D%3D" TargetMode="External"/><Relationship Id="rId383" Type="http://schemas.openxmlformats.org/officeDocument/2006/relationships/hyperlink" Target="https://www.instagram.com/human__bro?igsh=MWl0OGh0bXp1cndrYw==" TargetMode="External"/><Relationship Id="rId382" Type="http://schemas.openxmlformats.org/officeDocument/2006/relationships/hyperlink" Target="https://www.threads.com/@human__bro?igshid=NTc4MTIwNjQ2YQ==" TargetMode="External"/><Relationship Id="rId5" Type="http://schemas.openxmlformats.org/officeDocument/2006/relationships/hyperlink" Target="https://youtube.com/channel/UChIn7_WTuf2NcRBCvXgv2EA?si=HbthIS3jUHZtK_kV" TargetMode="External"/><Relationship Id="rId389" Type="http://schemas.openxmlformats.org/officeDocument/2006/relationships/hyperlink" Target="https://tmklab.com/shop_view/?idx=8" TargetMode="External"/><Relationship Id="rId6" Type="http://schemas.openxmlformats.org/officeDocument/2006/relationships/hyperlink" Target="https://www.instagram.com/positiverich_organic?igsh=MXQwcmx4NDhmc2FhZQ==" TargetMode="External"/><Relationship Id="rId388" Type="http://schemas.openxmlformats.org/officeDocument/2006/relationships/hyperlink" Target="https://www.threads.com/@bibl_youtube" TargetMode="External"/><Relationship Id="rId7" Type="http://schemas.openxmlformats.org/officeDocument/2006/relationships/hyperlink" Target="https://weolbu.com/product?displaySeq=1002&amp;utm_source=creator&amp;utm_medium=affiliate&amp;utm_campaign=class_organic&amp;utm_content=traffic_creator_24&amp;utm_term=youtube&amp;fbclid=PAY2xjawHdzNVleHRuA2FlbQIxMAABppHOhAX0rOzfKK5kSFLSzIEFFXYHUBaYSTLJ-TOgoP6cQLcCGS8H_a_Igg_aem_-T_zv0UGunC1YUFbHudqEg" TargetMode="External"/><Relationship Id="rId387" Type="http://schemas.openxmlformats.org/officeDocument/2006/relationships/hyperlink" Target="https://docs.google.com/forms/d/e/1FAIpQLSdoQqOcRhZTlJcrWNAzJ7mvU1y35DujssdGzrTbWnMOYfVE6w/viewform" TargetMode="External"/><Relationship Id="rId8" Type="http://schemas.openxmlformats.org/officeDocument/2006/relationships/hyperlink" Target="https://www.youtube.com/@%EB%94%94%EC%84%A0%EC%A0%9C%EC%95%95" TargetMode="External"/><Relationship Id="rId386" Type="http://schemas.openxmlformats.org/officeDocument/2006/relationships/hyperlink" Target="https://www.instagram.com/ai__lol__lab?igsh=MTlhZnh1cDNhNmYzNg%3D%3D" TargetMode="External"/><Relationship Id="rId381" Type="http://schemas.openxmlformats.org/officeDocument/2006/relationships/hyperlink" Target="https://docs.google.com/forms/d/1grj8gyF7-UGS0CM-mHaYU_9kR4fWVHRxrA32hrBglSI/viewform?edit_requested=true" TargetMode="External"/><Relationship Id="rId380" Type="http://schemas.openxmlformats.org/officeDocument/2006/relationships/hyperlink" Target="http://bit.ly/4nDD7kd" TargetMode="External"/><Relationship Id="rId379" Type="http://schemas.openxmlformats.org/officeDocument/2006/relationships/hyperlink" Target="https://www.youtube.com/@moneymoore-w2v" TargetMode="External"/><Relationship Id="rId374" Type="http://schemas.openxmlformats.org/officeDocument/2006/relationships/hyperlink" Target="https://www.youtube.com/@%EC%9D%B8%EC%83%9D%ED%96%A5%EA%B8%B01/shorts" TargetMode="External"/><Relationship Id="rId373" Type="http://schemas.openxmlformats.org/officeDocument/2006/relationships/hyperlink" Target="https://www.youtube.com/@%EC%9D%B8%EC%83%9D%ED%96%A5%EA%B8%B01/shorts" TargetMode="External"/><Relationship Id="rId372" Type="http://schemas.openxmlformats.org/officeDocument/2006/relationships/hyperlink" Target="https://www.youtube.com/@%EB%AC%B4B%EA%B3%B0/videos" TargetMode="External"/><Relationship Id="rId371" Type="http://schemas.openxmlformats.org/officeDocument/2006/relationships/hyperlink" Target="https://sparta.ezcampus.me/" TargetMode="External"/><Relationship Id="rId378" Type="http://schemas.openxmlformats.org/officeDocument/2006/relationships/hyperlink" Target="http://youtube.com/channel/UCulP8f9flPnjbmoT1vvb-CA/join" TargetMode="External"/><Relationship Id="rId377" Type="http://schemas.openxmlformats.org/officeDocument/2006/relationships/hyperlink" Target="https://www.youtube.com/@moneymoore-w2v" TargetMode="External"/><Relationship Id="rId376" Type="http://schemas.openxmlformats.org/officeDocument/2006/relationships/hyperlink" Target="https://www.youtube.com/@%EC%8A%A4%EB%A7%88%ED%8A%B8%EB%8C%80%EB%94%94" TargetMode="External"/><Relationship Id="rId375" Type="http://schemas.openxmlformats.org/officeDocument/2006/relationships/hyperlink" Target="https://www.youtube.com/@%EC%8A%A4%EB%A7%88%ED%8A%B8%EB%8C%80%EB%94%94" TargetMode="External"/><Relationship Id="rId396" Type="http://schemas.openxmlformats.org/officeDocument/2006/relationships/hyperlink" Target="https://www.youtube.com/@%EB%B6%80%EC%97%85%EC%9C%BC%EB%A1%9C%EB%B6%80%EC%9E%90" TargetMode="External"/><Relationship Id="rId395" Type="http://schemas.openxmlformats.org/officeDocument/2006/relationships/hyperlink" Target="https://www.youtube.com/@%EB%B6%80%EC%97%85%EC%9C%BC%EB%A1%9C%EB%B6%80%EC%9E%90" TargetMode="External"/><Relationship Id="rId394" Type="http://schemas.openxmlformats.org/officeDocument/2006/relationships/hyperlink" Target="https://www.youtube.com/@%EC%98%A8%EB%9D%BC%EC%9D%B8%EC%82%AC%EC%9E%A5" TargetMode="External"/><Relationship Id="rId393" Type="http://schemas.openxmlformats.org/officeDocument/2006/relationships/hyperlink" Target="https://class101.net/ko/products/6877c79d0a9cc6e14bd64d5c?utm_source=creator&amp;utm_medium=referral&amp;utm_campaign=creator-referral&amp;utm_content=siuF0uQFik3q22bMIE5V" TargetMode="External"/><Relationship Id="rId399" Type="http://schemas.openxmlformats.org/officeDocument/2006/relationships/hyperlink" Target="http://instagram.com/figma_tutor" TargetMode="External"/><Relationship Id="rId398" Type="http://schemas.openxmlformats.org/officeDocument/2006/relationships/hyperlink" Target="http://www.youtube.com/@figma_tutor" TargetMode="External"/><Relationship Id="rId397" Type="http://schemas.openxmlformats.org/officeDocument/2006/relationships/hyperlink" Target="http://www.youtube.com/@figma_tutor" TargetMode="External"/><Relationship Id="rId40" Type="http://schemas.openxmlformats.org/officeDocument/2006/relationships/hyperlink" Target="https://class101.net/ko/products/63200dea548df3000edddbf8" TargetMode="External"/><Relationship Id="rId42" Type="http://schemas.openxmlformats.org/officeDocument/2006/relationships/hyperlink" Target="https://www.instagram.com/min_is__/" TargetMode="External"/><Relationship Id="rId41" Type="http://schemas.openxmlformats.org/officeDocument/2006/relationships/hyperlink" Target="https://www.youtube.com/@WeelborgWilkens" TargetMode="External"/><Relationship Id="rId44" Type="http://schemas.openxmlformats.org/officeDocument/2006/relationships/hyperlink" Target="https://www.youtube.com/@aidonnawa" TargetMode="External"/><Relationship Id="rId43" Type="http://schemas.openxmlformats.org/officeDocument/2006/relationships/hyperlink" Target="https://www.youtube.com/@aidonnawa" TargetMode="External"/><Relationship Id="rId46" Type="http://schemas.openxmlformats.org/officeDocument/2006/relationships/hyperlink" Target="https://www.instagram.com/gpt_kimisa?igsh=dXhidTVwdmFoc2d2" TargetMode="External"/><Relationship Id="rId45" Type="http://schemas.openxmlformats.org/officeDocument/2006/relationships/hyperlink" Target="https://youtube.com/@gpt_kimisa?si=yMw3t-PGfBRjAGHJ" TargetMode="External"/><Relationship Id="rId745" Type="http://schemas.openxmlformats.org/officeDocument/2006/relationships/hyperlink" Target="https://www.instagram.com/_henryoh?utm_source=ig_web_button_share_sheet&amp;igsh=MXFmbDJwYzViN2JhOA==" TargetMode="External"/><Relationship Id="rId744" Type="http://schemas.openxmlformats.org/officeDocument/2006/relationships/hyperlink" Target="https://litt.ly/0119.mm?fbclid=PAZXh0bgNhZW0CMTEAAaeFlowLsOcJogv5Ock3KOBonwWfHzeznquK66Vg7VgpdD9fZc7OI7ddk0WCWQ_aem_Ptpsdpc-kFvTBs8VTZhMVg" TargetMode="External"/><Relationship Id="rId743" Type="http://schemas.openxmlformats.org/officeDocument/2006/relationships/hyperlink" Target="https://www.instagram.com/_henryoh?utm_source=ig_web_button_share_sheet&amp;igsh=MXFmbDJwYzViN2JhOA==" TargetMode="External"/><Relationship Id="rId742" Type="http://schemas.openxmlformats.org/officeDocument/2006/relationships/hyperlink" Target="https://www.instagram.com/solrr.aa/" TargetMode="External"/><Relationship Id="rId749" Type="http://schemas.openxmlformats.org/officeDocument/2006/relationships/hyperlink" Target="https://www.youtube.com/@visiolab23/videos" TargetMode="External"/><Relationship Id="rId748" Type="http://schemas.openxmlformats.org/officeDocument/2006/relationships/hyperlink" Target="https://www.youtube.com/@%EB%A8%B8%EB%8B%88%EB%9E%A9%EC%8A%A4" TargetMode="External"/><Relationship Id="rId747" Type="http://schemas.openxmlformats.org/officeDocument/2006/relationships/hyperlink" Target="https://moneylabs.kr/" TargetMode="External"/><Relationship Id="rId746" Type="http://schemas.openxmlformats.org/officeDocument/2006/relationships/hyperlink" Target="https://www.youtube.com/watch?v=wxsGm4_aXO0" TargetMode="External"/><Relationship Id="rId48" Type="http://schemas.openxmlformats.org/officeDocument/2006/relationships/hyperlink" Target="http://instagram.com/doklip.d" TargetMode="External"/><Relationship Id="rId47" Type="http://schemas.openxmlformats.org/officeDocument/2006/relationships/hyperlink" Target="http://www.youtube.com/@doklip.D" TargetMode="External"/><Relationship Id="rId49" Type="http://schemas.openxmlformats.org/officeDocument/2006/relationships/hyperlink" Target="https://wenson.kr/channels/L2NoYW5uZWxzLzk0MjA/C00007/classes/81614/information" TargetMode="External"/><Relationship Id="rId741" Type="http://schemas.openxmlformats.org/officeDocument/2006/relationships/hyperlink" Target="https://litt.ly/solrr.aa?utm_source=ig&amp;utm_medium=social&amp;utm_content=link_in_bio&amp;fbclid=PAZXh0bgNhZW0CMTEAc3J0YwZhcHBfaWQMMjU2MjgxMDQwNTU4AAGnMxcA_SUX1vw8Q1wxCZLpHtNv28LjrPL-2yai_wqOJt3aXZySG_-MMfXRsdA_aem_nohyRQ8tuyvEkon_z1k5ZQ" TargetMode="External"/><Relationship Id="rId740" Type="http://schemas.openxmlformats.org/officeDocument/2006/relationships/hyperlink" Target="https://www.instagram.com/othankq" TargetMode="External"/><Relationship Id="rId31" Type="http://schemas.openxmlformats.org/officeDocument/2006/relationships/hyperlink" Target="https://www.instagram.com/buchugj/" TargetMode="External"/><Relationship Id="rId30" Type="http://schemas.openxmlformats.org/officeDocument/2006/relationships/hyperlink" Target="https://www.youtube.com/channel/UCsXCQkVgOZMwlaXqVr3rpjQ" TargetMode="External"/><Relationship Id="rId33" Type="http://schemas.openxmlformats.org/officeDocument/2006/relationships/hyperlink" Target="https://www.youtube.com/@TVchabuil" TargetMode="External"/><Relationship Id="rId32" Type="http://schemas.openxmlformats.org/officeDocument/2006/relationships/hyperlink" Target="https://linktr.ee/chabuil_1?fbclid=PAZXh0bgNhZW0CMTEAAaZyioZjI2BILOm4cXFRTgzWEBRhf0VqAPLvHyduvt6lrSymU3814Vsg0oQ_aem_Prj4H6d-KAJWVY7e6PoKpw" TargetMode="External"/><Relationship Id="rId35" Type="http://schemas.openxmlformats.org/officeDocument/2006/relationships/hyperlink" Target="https://link.inpock.co.kr/satddu?fbclid=PAZXh0bgNhZW0CMTEAAaaGBigBYaym-PmwhbXlsN0xBE4JqfNCVaTlkXrQ2FRKNm7K1zGrvj5FLxY_aem_9PzrIxqjkCL5rp7GNbDYiQ" TargetMode="External"/><Relationship Id="rId34" Type="http://schemas.openxmlformats.org/officeDocument/2006/relationships/hyperlink" Target="https://www.instagram.com/chabuil_1/" TargetMode="External"/><Relationship Id="rId739" Type="http://schemas.openxmlformats.org/officeDocument/2006/relationships/hyperlink" Target="https://www.youtube.com/@othankq" TargetMode="External"/><Relationship Id="rId734" Type="http://schemas.openxmlformats.org/officeDocument/2006/relationships/hyperlink" Target="http://instagram.com/seyoun_sam_" TargetMode="External"/><Relationship Id="rId733" Type="http://schemas.openxmlformats.org/officeDocument/2006/relationships/hyperlink" Target="https://www.youtube.com/@%EC%9B%94%EC%84%B8%EB%AA%A8%EB%8B%9D%EC%BD%9C_%EC%84%B8%EC%97%B0%EC%8C%A4" TargetMode="External"/><Relationship Id="rId732" Type="http://schemas.openxmlformats.org/officeDocument/2006/relationships/hyperlink" Target="https://cafe.naver.com/walsaemorningcall" TargetMode="External"/><Relationship Id="rId731" Type="http://schemas.openxmlformats.org/officeDocument/2006/relationships/hyperlink" Target="https://www.youtube.com/@%EC%9B%94%EC%84%B8%EB%AA%A8%EB%8B%9D%EC%BD%9C_%EC%84%B8%EC%97%B0%EC%8C%A4" TargetMode="External"/><Relationship Id="rId738" Type="http://schemas.openxmlformats.org/officeDocument/2006/relationships/hyperlink" Target="https://soundcloud.com/othankq" TargetMode="External"/><Relationship Id="rId737" Type="http://schemas.openxmlformats.org/officeDocument/2006/relationships/hyperlink" Target="https://www.youtube.com/@ddakeasy_auction" TargetMode="External"/><Relationship Id="rId736" Type="http://schemas.openxmlformats.org/officeDocument/2006/relationships/hyperlink" Target="https://m.cafe.naver.com/ca-fe/web/cafes/captainauction/articles/5348?art=aW50ZXJuYWwtY2FmZS1hcnRpY2xlLXJlYWQtc2hhcmUtbGluaw.eyJ0eXAiOiJKV1QiLCJhbGciOiJIUzI1NiJ9.eyJjYWZlVHlwZSI6IkNBRkVfSUQiLCJhcnRpY2xlSWQiOjUzNDgsImlzc3VlZEF0IjoxNzc0MzQyNzA3Nzg2LCJjYWZlSWQiOjMwOTE5MDc0fQ.TvvFxZrVk8xW3uHL_NspTa-tAEzC27yo3n7zV8DFhco&amp;useCafeId=false&amp;tc" TargetMode="External"/><Relationship Id="rId735" Type="http://schemas.openxmlformats.org/officeDocument/2006/relationships/hyperlink" Target="https://www.youtube.com/watch?v=9rgTs4SLn6Q" TargetMode="External"/><Relationship Id="rId37" Type="http://schemas.openxmlformats.org/officeDocument/2006/relationships/hyperlink" Target="https://www.youtube.com/@Satddu" TargetMode="External"/><Relationship Id="rId36" Type="http://schemas.openxmlformats.org/officeDocument/2006/relationships/hyperlink" Target="https://bizboost.kr/" TargetMode="External"/><Relationship Id="rId39" Type="http://schemas.openxmlformats.org/officeDocument/2006/relationships/hyperlink" Target="https://link.inpock.co.kr/hayeon_0529?fbclid=PAZXh0bgNhZW0CMTEAAaaFNoZsHIzNNYfYCVvGDIaz0HBC04UalXGVfVO9G3xNBE3u2ul313OLJl4_aem_fdanGhRbDlK0qu_gjoXA4w" TargetMode="External"/><Relationship Id="rId38" Type="http://schemas.openxmlformats.org/officeDocument/2006/relationships/hyperlink" Target="https://www.instagram.com/satddu/" TargetMode="External"/><Relationship Id="rId730" Type="http://schemas.openxmlformats.org/officeDocument/2006/relationships/hyperlink" Target="https://www.youtube.com/@Mara_Studio/videos" TargetMode="External"/><Relationship Id="rId20" Type="http://schemas.openxmlformats.org/officeDocument/2006/relationships/hyperlink" Target="https://www.youtube.com/@EasyDesign_ED/videos" TargetMode="External"/><Relationship Id="rId22" Type="http://schemas.openxmlformats.org/officeDocument/2006/relationships/hyperlink" Target="https://www.youtube.com/@EasyDesign_ED/videos" TargetMode="External"/><Relationship Id="rId21" Type="http://schemas.openxmlformats.org/officeDocument/2006/relationships/hyperlink" Target="https://fastcampus.co.kr/dgn_online_figma" TargetMode="External"/><Relationship Id="rId24" Type="http://schemas.openxmlformats.org/officeDocument/2006/relationships/hyperlink" Target="https://class101.net/ko/products/5dcd2c1f0bdefc4e498af73e" TargetMode="External"/><Relationship Id="rId23" Type="http://schemas.openxmlformats.org/officeDocument/2006/relationships/hyperlink" Target="https://www.instagram.com/easy_design.ed/" TargetMode="External"/><Relationship Id="rId767" Type="http://schemas.openxmlformats.org/officeDocument/2006/relationships/hyperlink" Target="https://litt.ly/ooo_rora?fbclid=PAZXh0bgNhZW0CMTEAAaeV-aBlo2vNO_U4m2C0AdzSITQRIHGyY-c1o-FVNY6-0hfSeEQBUJJgYT7wSA_aem_0NhqceI0m3QGQYJf_7Gw6w" TargetMode="External"/><Relationship Id="rId766" Type="http://schemas.openxmlformats.org/officeDocument/2006/relationships/hyperlink" Target="https://www.instagram.com/tired.dum/" TargetMode="External"/><Relationship Id="rId765" Type="http://schemas.openxmlformats.org/officeDocument/2006/relationships/hyperlink" Target="https://youtube.com/channel/UCkpXLQ62-uUAfYa2-mdpcZg?si=-Fa1Kb3rmohUjCxR" TargetMode="External"/><Relationship Id="rId764" Type="http://schemas.openxmlformats.org/officeDocument/2006/relationships/hyperlink" Target="https://tired-dum-class.liveklass.com/classes/273210" TargetMode="External"/><Relationship Id="rId769" Type="http://schemas.openxmlformats.org/officeDocument/2006/relationships/hyperlink" Target="https://www.youtube.com/@ooo_rora/shorts" TargetMode="External"/><Relationship Id="rId768" Type="http://schemas.openxmlformats.org/officeDocument/2006/relationships/hyperlink" Target="https://blog.naver.com/PostView.naver?blogId=daonism_&amp;logNo=224015428005&amp;categoryNo=25&amp;parentCategoryNo=25&amp;from=thumbnailList" TargetMode="External"/><Relationship Id="rId26" Type="http://schemas.openxmlformats.org/officeDocument/2006/relationships/hyperlink" Target="https://www.instagram.com/reviewyojung/" TargetMode="External"/><Relationship Id="rId25" Type="http://schemas.openxmlformats.org/officeDocument/2006/relationships/hyperlink" Target="https://www.youtube.com/channel/UCRx7_s9Mvw9j2mLSaj6X70g" TargetMode="External"/><Relationship Id="rId28" Type="http://schemas.openxmlformats.org/officeDocument/2006/relationships/hyperlink" Target="https://www.instagram.com/tiffany_story__" TargetMode="External"/><Relationship Id="rId27" Type="http://schemas.openxmlformats.org/officeDocument/2006/relationships/hyperlink" Target="https://www.youtube.com/@chatgpt.114/videos" TargetMode="External"/><Relationship Id="rId763" Type="http://schemas.openxmlformats.org/officeDocument/2006/relationships/hyperlink" Target="https://litt.ly/tired.dum" TargetMode="External"/><Relationship Id="rId29" Type="http://schemas.openxmlformats.org/officeDocument/2006/relationships/hyperlink" Target="https://blog.naver.com/darmvit/223690255157" TargetMode="External"/><Relationship Id="rId762" Type="http://schemas.openxmlformats.org/officeDocument/2006/relationships/hyperlink" Target="https://geru.kr/ln/35050" TargetMode="External"/><Relationship Id="rId761" Type="http://schemas.openxmlformats.org/officeDocument/2006/relationships/hyperlink" Target="https://www.instagram.com/graymuse.official/" TargetMode="External"/><Relationship Id="rId760" Type="http://schemas.openxmlformats.org/officeDocument/2006/relationships/hyperlink" Target="https://www.youtube.com/@professoryou" TargetMode="External"/><Relationship Id="rId11" Type="http://schemas.openxmlformats.org/officeDocument/2006/relationships/hyperlink" Target="https://www.youtube.com/@page_booster/videos" TargetMode="External"/><Relationship Id="rId10" Type="http://schemas.openxmlformats.org/officeDocument/2006/relationships/hyperlink" Target="https://www.youtube.com/@page_booster/videos" TargetMode="External"/><Relationship Id="rId13" Type="http://schemas.openxmlformats.org/officeDocument/2006/relationships/hyperlink" Target="https://blog.naver.com/jee_writer/224029842955" TargetMode="External"/><Relationship Id="rId12" Type="http://schemas.openxmlformats.org/officeDocument/2006/relationships/hyperlink" Target="mailto:pagebooster@naver.com" TargetMode="External"/><Relationship Id="rId756" Type="http://schemas.openxmlformats.org/officeDocument/2006/relationships/hyperlink" Target="https://www.youtube.com/@%EB%A8%B8%EB%8B%88%EC%95%8C%EA%B3%A0%EB%A6%AC%EC%A6%98" TargetMode="External"/><Relationship Id="rId755" Type="http://schemas.openxmlformats.org/officeDocument/2006/relationships/hyperlink" Target="https://www.youtube.com/@%EB%A8%B8%EB%8B%88%EC%95%8C%EA%B3%A0%EB%A6%AC%EC%A6%98" TargetMode="External"/><Relationship Id="rId754" Type="http://schemas.openxmlformats.org/officeDocument/2006/relationships/hyperlink" Target="mailto:donbeollabs@gmail.com" TargetMode="External"/><Relationship Id="rId753" Type="http://schemas.openxmlformats.org/officeDocument/2006/relationships/hyperlink" Target="https://www.youtube.com/@donbeollabs/featured" TargetMode="External"/><Relationship Id="rId759" Type="http://schemas.openxmlformats.org/officeDocument/2006/relationships/hyperlink" Target="https://www.youtube.com/@professoryou" TargetMode="External"/><Relationship Id="rId758" Type="http://schemas.openxmlformats.org/officeDocument/2006/relationships/hyperlink" Target="https://www.youtube.com/@AImongsang" TargetMode="External"/><Relationship Id="rId757" Type="http://schemas.openxmlformats.org/officeDocument/2006/relationships/hyperlink" Target="https://www.youtube.com/@AImongsang" TargetMode="External"/><Relationship Id="rId15" Type="http://schemas.openxmlformats.org/officeDocument/2006/relationships/hyperlink" Target="https://www.instagram.com/jee_writer?igsh=bHppbnV6dGwybm05" TargetMode="External"/><Relationship Id="rId14" Type="http://schemas.openxmlformats.org/officeDocument/2006/relationships/hyperlink" Target="http://www.youtube.com/@%EC%A7%80%EC%9D%B8%EC%98%A5" TargetMode="External"/><Relationship Id="rId17" Type="http://schemas.openxmlformats.org/officeDocument/2006/relationships/hyperlink" Target="https://www.instagram.com/j_only8?utm_source=ig_web_button_share_sheet&amp;igsh=cTJwMG9yZGpoMDh0" TargetMode="External"/><Relationship Id="rId16" Type="http://schemas.openxmlformats.org/officeDocument/2006/relationships/hyperlink" Target="https://jeeinok.com/ai-youtube-landing" TargetMode="External"/><Relationship Id="rId19" Type="http://schemas.openxmlformats.org/officeDocument/2006/relationships/hyperlink" Target="https://www.instagram.com/j_only8?utm_source=ig_web_button_share_sheet&amp;igsh=cTJwMG9yZGpoMDh0" TargetMode="External"/><Relationship Id="rId752" Type="http://schemas.openxmlformats.org/officeDocument/2006/relationships/hyperlink" Target="https://donbeollabs.super.site/" TargetMode="External"/><Relationship Id="rId18" Type="http://schemas.openxmlformats.org/officeDocument/2006/relationships/hyperlink" Target="https://link.inpock.co.kr/j_only8?fbclid=PAZXh0bgNhZW0CMTEAAacCtsyDAEKpkpKMhAWbsml6Vrpn4tbgIipJP_qs0mIuRpq2yzVfnNXBG5MHYw_aem_TmDpcX5kibtTCrxsuj2SMA" TargetMode="External"/><Relationship Id="rId751" Type="http://schemas.openxmlformats.org/officeDocument/2006/relationships/hyperlink" Target="https://www.youtube.com/@donbeollabs/featured" TargetMode="External"/><Relationship Id="rId750" Type="http://schemas.openxmlformats.org/officeDocument/2006/relationships/hyperlink" Target="https://www.youtube.com/@visiolab23/videos" TargetMode="External"/><Relationship Id="rId84" Type="http://schemas.openxmlformats.org/officeDocument/2006/relationships/hyperlink" Target="https://www.youtube.com/@growthyoungduk" TargetMode="External"/><Relationship Id="rId83" Type="http://schemas.openxmlformats.org/officeDocument/2006/relationships/hyperlink" Target="https://litt.ly/onemorething9196/sale/ypfT8xy" TargetMode="External"/><Relationship Id="rId86" Type="http://schemas.openxmlformats.org/officeDocument/2006/relationships/hyperlink" Target="https://www.youtube.com/@AION%EB%8F%88%EB%B2%84%EB%8A%94%EB%B2%95" TargetMode="External"/><Relationship Id="rId85" Type="http://schemas.openxmlformats.org/officeDocument/2006/relationships/hyperlink" Target="https://www.youtube.com/@AION%EB%8F%88%EB%B2%84%EB%8A%94%EB%B2%95" TargetMode="External"/><Relationship Id="rId88" Type="http://schemas.openxmlformats.org/officeDocument/2006/relationships/hyperlink" Target="https://www.youtube.com/channel/UC3iyduO41XsWKZsYkE5FNyQ/join" TargetMode="External"/><Relationship Id="rId87" Type="http://schemas.openxmlformats.org/officeDocument/2006/relationships/hyperlink" Target="https://blog.naver.com/aion_ai_/223925517789" TargetMode="External"/><Relationship Id="rId89" Type="http://schemas.openxmlformats.org/officeDocument/2006/relationships/hyperlink" Target="https://www.youtube.com/channel/UC3iyduO41XsWKZsYkE5FNyQ/join" TargetMode="External"/><Relationship Id="rId709" Type="http://schemas.openxmlformats.org/officeDocument/2006/relationships/hyperlink" Target="https://www.youtube.com/@aiyang%EC%97%90%EC%9D%B4%EC%96%91/shorts" TargetMode="External"/><Relationship Id="rId708" Type="http://schemas.openxmlformats.org/officeDocument/2006/relationships/hyperlink" Target="https://www.youtube.com/@aiyang%EC%97%90%EC%9D%B4%EC%96%91/shorts" TargetMode="External"/><Relationship Id="rId707" Type="http://schemas.openxmlformats.org/officeDocument/2006/relationships/hyperlink" Target="https://cafe.naver.com/minisnomad" TargetMode="External"/><Relationship Id="rId706" Type="http://schemas.openxmlformats.org/officeDocument/2006/relationships/hyperlink" Target="https://www.instagram.com/_ladynomad/" TargetMode="External"/><Relationship Id="rId80" Type="http://schemas.openxmlformats.org/officeDocument/2006/relationships/hyperlink" Target="https://www.youtube.com/@_Superbot_" TargetMode="External"/><Relationship Id="rId82" Type="http://schemas.openxmlformats.org/officeDocument/2006/relationships/hyperlink" Target="https://www.youtube.com/watch?v=EHygfc4HaAU" TargetMode="External"/><Relationship Id="rId81" Type="http://schemas.openxmlformats.org/officeDocument/2006/relationships/hyperlink" Target="https://www.instagram.com/superbot_origin/?igsh=OGQ5ZDc2ODk2ZA%3D%3D&amp;utm_source=qr" TargetMode="External"/><Relationship Id="rId701" Type="http://schemas.openxmlformats.org/officeDocument/2006/relationships/hyperlink" Target="https://noteasyschool.liveklass.com/classes/240639" TargetMode="External"/><Relationship Id="rId700" Type="http://schemas.openxmlformats.org/officeDocument/2006/relationships/hyperlink" Target="https://www.youtube.com/watch?v=6Y2NMGDWqaM" TargetMode="External"/><Relationship Id="rId705" Type="http://schemas.openxmlformats.org/officeDocument/2006/relationships/hyperlink" Target="https://class101.net/ko/products/682bdc1466ffc59d8e0b6951?utm_campaign=pdp_share&amp;utm_content=share_feature&amp;utm_medium=referral&amp;utm_source=link_share_share&amp;utm_term=682bdc1466ffc59d8e0b6951" TargetMode="External"/><Relationship Id="rId704" Type="http://schemas.openxmlformats.org/officeDocument/2006/relationships/hyperlink" Target="https://class101.net/ko/products/682bdc1466ffc59d8e0b6951?utm_campaign=pdp_share&amp;utm_content=share_feature&amp;utm_medium=referral&amp;utm_source=link_share_share&amp;utm_term=682bdc1466ffc59d8e0b6951" TargetMode="External"/><Relationship Id="rId703" Type="http://schemas.openxmlformats.org/officeDocument/2006/relationships/hyperlink" Target="https://kmong.com/gig/701315" TargetMode="External"/><Relationship Id="rId702" Type="http://schemas.openxmlformats.org/officeDocument/2006/relationships/hyperlink" Target="https://www.youtube.com/@%EC%9D%BC%EB%B3%B8%EB%B0%94%EC%9D%B4%EB%A7%88%EC%BD%94%EC%B9%98%EB%8F%84%EC%83%81" TargetMode="External"/><Relationship Id="rId73" Type="http://schemas.openxmlformats.org/officeDocument/2006/relationships/hyperlink" Target="https://www.youtube.com/@%EC%A7%80%ED%98%9C%EC%9A%B0%EB%AC%BC" TargetMode="External"/><Relationship Id="rId72" Type="http://schemas.openxmlformats.org/officeDocument/2006/relationships/hyperlink" Target="https://www.instagram.com/halfcut_ai/" TargetMode="External"/><Relationship Id="rId75" Type="http://schemas.openxmlformats.org/officeDocument/2006/relationships/hyperlink" Target="https://www.instagram.com/ini_unnie/" TargetMode="External"/><Relationship Id="rId74" Type="http://schemas.openxmlformats.org/officeDocument/2006/relationships/hyperlink" Target="https://www.youtube.com/@ini_unnie" TargetMode="External"/><Relationship Id="rId77" Type="http://schemas.openxmlformats.org/officeDocument/2006/relationships/hyperlink" Target="https://www.youtube.com/@%EC%95%BC%EC%98%B9%EB%A9%8DYaongMeong" TargetMode="External"/><Relationship Id="rId76" Type="http://schemas.openxmlformats.org/officeDocument/2006/relationships/hyperlink" Target="https://www.tiktok.com/@yaoongmeong" TargetMode="External"/><Relationship Id="rId79" Type="http://schemas.openxmlformats.org/officeDocument/2006/relationships/hyperlink" Target="https://class101.net/ko/products/681334225e6044e36f08c1e3?utm_campaign=pdp_share&amp;utm_content=share_feature&amp;utm_medium=referral&amp;utm_source=link_share_share&amp;utm_term=681334225e6044e36f08c1e3" TargetMode="External"/><Relationship Id="rId78" Type="http://schemas.openxmlformats.org/officeDocument/2006/relationships/hyperlink" Target="https://www.youtube.com/watch?v=YH3ypz7k-ys&amp;t=1s" TargetMode="External"/><Relationship Id="rId71" Type="http://schemas.openxmlformats.org/officeDocument/2006/relationships/hyperlink" Target="https://www.youtube.com/@%EB%B0%98%ED%86%A0%EB%A7%89AI" TargetMode="External"/><Relationship Id="rId70" Type="http://schemas.openxmlformats.org/officeDocument/2006/relationships/hyperlink" Target="https://cafe.naver.com/f-e/cafes/31470461/articles/3?boardtype=L&amp;menuid=10&amp;referrerAllArticles=false" TargetMode="External"/><Relationship Id="rId62" Type="http://schemas.openxmlformats.org/officeDocument/2006/relationships/hyperlink" Target="https://kmong.com/gig/548888?selfMarketingCode=XHBYcTy6Sn" TargetMode="External"/><Relationship Id="rId61" Type="http://schemas.openxmlformats.org/officeDocument/2006/relationships/hyperlink" Target="https://www.youtube.com/@irum_hahn/videos" TargetMode="External"/><Relationship Id="rId64" Type="http://schemas.openxmlformats.org/officeDocument/2006/relationships/hyperlink" Target="https://www.taling.me/talent/59200" TargetMode="External"/><Relationship Id="rId63" Type="http://schemas.openxmlformats.org/officeDocument/2006/relationships/hyperlink" Target="https://www.youtube.com/@%EB%8F%88%EA%B0%95/featured" TargetMode="External"/><Relationship Id="rId66" Type="http://schemas.openxmlformats.org/officeDocument/2006/relationships/hyperlink" Target="https://blog.naver.com/gptlabs" TargetMode="External"/><Relationship Id="rId65" Type="http://schemas.openxmlformats.org/officeDocument/2006/relationships/hyperlink" Target="https://www.instagram.com/ebook_hampro/?hl=ko" TargetMode="External"/><Relationship Id="rId68" Type="http://schemas.openxmlformats.org/officeDocument/2006/relationships/hyperlink" Target="https://www.instagram.com/gotjinju/" TargetMode="External"/><Relationship Id="rId67" Type="http://schemas.openxmlformats.org/officeDocument/2006/relationships/hyperlink" Target="https://www.youtube.com/@%EA%B0%93%EC%A7%84%EC%A3%BC" TargetMode="External"/><Relationship Id="rId729" Type="http://schemas.openxmlformats.org/officeDocument/2006/relationships/hyperlink" Target="https://marastudio.kr/" TargetMode="External"/><Relationship Id="rId728" Type="http://schemas.openxmlformats.org/officeDocument/2006/relationships/hyperlink" Target="https://blog.naver.com/mara-studio" TargetMode="External"/><Relationship Id="rId60" Type="http://schemas.openxmlformats.org/officeDocument/2006/relationships/hyperlink" Target="https://fastcampus.co.kr/ent_online_smartai" TargetMode="External"/><Relationship Id="rId723" Type="http://schemas.openxmlformats.org/officeDocument/2006/relationships/hyperlink" Target="https://www.instagram.com/salguunni/" TargetMode="External"/><Relationship Id="rId722" Type="http://schemas.openxmlformats.org/officeDocument/2006/relationships/hyperlink" Target="https://litt.ly/salguunni/sale/GbyXCEh" TargetMode="External"/><Relationship Id="rId721" Type="http://schemas.openxmlformats.org/officeDocument/2006/relationships/hyperlink" Target="https://log1000.co.kr/" TargetMode="External"/><Relationship Id="rId720" Type="http://schemas.openxmlformats.org/officeDocument/2006/relationships/hyperlink" Target="https://www.youtube.com/@bomtailofficial" TargetMode="External"/><Relationship Id="rId727" Type="http://schemas.openxmlformats.org/officeDocument/2006/relationships/hyperlink" Target="https://www.instagram.com/moneyx.2000/" TargetMode="External"/><Relationship Id="rId726" Type="http://schemas.openxmlformats.org/officeDocument/2006/relationships/hyperlink" Target="https://youtube.com/@moneyx2000?si=Ovfse4XxBUSgyrjj" TargetMode="External"/><Relationship Id="rId725" Type="http://schemas.openxmlformats.org/officeDocument/2006/relationships/hyperlink" Target="https://cafe.naver.com/moneyx2000/2073" TargetMode="External"/><Relationship Id="rId724" Type="http://schemas.openxmlformats.org/officeDocument/2006/relationships/hyperlink" Target="https://youtube.com/@moneyx2000?si=Ovfse4XxBUSgyrjj" TargetMode="External"/><Relationship Id="rId69" Type="http://schemas.openxmlformats.org/officeDocument/2006/relationships/hyperlink" Target="https://www.youtube.com/@%EB%B0%98%ED%86%A0%EB%A7%89AI" TargetMode="External"/><Relationship Id="rId51" Type="http://schemas.openxmlformats.org/officeDocument/2006/relationships/hyperlink" Target="https://www.youtube.com/@ihlen_tv" TargetMode="External"/><Relationship Id="rId50" Type="http://schemas.openxmlformats.org/officeDocument/2006/relationships/hyperlink" Target="https://www.youtube.com/@wensonai/videos" TargetMode="External"/><Relationship Id="rId53" Type="http://schemas.openxmlformats.org/officeDocument/2006/relationships/hyperlink" Target="https://www.youtube.com/@ihlen_tv" TargetMode="External"/><Relationship Id="rId52" Type="http://schemas.openxmlformats.org/officeDocument/2006/relationships/hyperlink" Target="https://cafe.naver.com/ihlen/430" TargetMode="External"/><Relationship Id="rId55" Type="http://schemas.openxmlformats.org/officeDocument/2006/relationships/hyperlink" Target="https://blog.naver.com/thisis_money/223790767710" TargetMode="External"/><Relationship Id="rId54" Type="http://schemas.openxmlformats.org/officeDocument/2006/relationships/hyperlink" Target="https://www.instagram.com/ihlen_online_business_coach/" TargetMode="External"/><Relationship Id="rId57" Type="http://schemas.openxmlformats.org/officeDocument/2006/relationships/hyperlink" Target="https://www.youtube.com/@%EC%82%AC%EC%9D%B4%EB%93%9C%ED%80%98%EC%8A%A4%ED%8A%B8/videos" TargetMode="External"/><Relationship Id="rId56" Type="http://schemas.openxmlformats.org/officeDocument/2006/relationships/hyperlink" Target="https://www.youtube.com/channel/UClP2hW295JL_o-lESiMY0fg/join" TargetMode="External"/><Relationship Id="rId719" Type="http://schemas.openxmlformats.org/officeDocument/2006/relationships/hyperlink" Target="https://emoticoncreatorclub.com/channels/L2NoYW5uZWxzLzkyNjY/C00007/classes/103365/information" TargetMode="External"/><Relationship Id="rId718" Type="http://schemas.openxmlformats.org/officeDocument/2006/relationships/hyperlink" Target="https://www.youtube.com/@bomtailofficial" TargetMode="External"/><Relationship Id="rId717" Type="http://schemas.openxmlformats.org/officeDocument/2006/relationships/hyperlink" Target="https://realproject.liveklass.com/" TargetMode="External"/><Relationship Id="rId712" Type="http://schemas.openxmlformats.org/officeDocument/2006/relationships/hyperlink" Target="https://blog.naver.com/beckemgoo/223696894427" TargetMode="External"/><Relationship Id="rId711" Type="http://schemas.openxmlformats.org/officeDocument/2006/relationships/hyperlink" Target="https://www.youtube.com/@resell-leecoach" TargetMode="External"/><Relationship Id="rId710" Type="http://schemas.openxmlformats.org/officeDocument/2006/relationships/hyperlink" Target="https://www.instagram.com/aiyang2025" TargetMode="External"/><Relationship Id="rId716" Type="http://schemas.openxmlformats.org/officeDocument/2006/relationships/hyperlink" Target="https://kmong.com/gig/674574" TargetMode="External"/><Relationship Id="rId715" Type="http://schemas.openxmlformats.org/officeDocument/2006/relationships/hyperlink" Target="https://www.youtube.com/@%ED%94%8C%EB%9F%AC%EC%8A%A4%EC%A0%A0ai/videos" TargetMode="External"/><Relationship Id="rId714" Type="http://schemas.openxmlformats.org/officeDocument/2006/relationships/hyperlink" Target="https://www.youtube.com/@%ED%94%8C%EB%9F%AC%EC%8A%A4%EC%A0%A0ai/videos" TargetMode="External"/><Relationship Id="rId713" Type="http://schemas.openxmlformats.org/officeDocument/2006/relationships/hyperlink" Target="https://www.youtube.com/@resell-leecoach" TargetMode="External"/><Relationship Id="rId59" Type="http://schemas.openxmlformats.org/officeDocument/2006/relationships/hyperlink" Target="https://www.youtube.com/@alonso_woon" TargetMode="External"/><Relationship Id="rId58" Type="http://schemas.openxmlformats.org/officeDocument/2006/relationships/hyperlink" Target="https://fastcampus.co.kr/fin_online_auction200" TargetMode="External"/><Relationship Id="rId349" Type="http://schemas.openxmlformats.org/officeDocument/2006/relationships/hyperlink" Target="https://www.youtube.com/@truepark" TargetMode="External"/><Relationship Id="rId348" Type="http://schemas.openxmlformats.org/officeDocument/2006/relationships/hyperlink" Target="https://www.youtube.com/@truepark" TargetMode="External"/><Relationship Id="rId347" Type="http://schemas.openxmlformats.org/officeDocument/2006/relationships/hyperlink" Target="https://www.youtube.com/@N%EC%9E%A1%EC%97%B0%EA%B5%AC%EC%86%8C/videos" TargetMode="External"/><Relationship Id="rId346" Type="http://schemas.openxmlformats.org/officeDocument/2006/relationships/hyperlink" Target="https://yellowmedia.liveklass.com/classes/227484" TargetMode="External"/><Relationship Id="rId341" Type="http://schemas.openxmlformats.org/officeDocument/2006/relationships/hyperlink" Target="https://www.youtube.com/@%EB%98%91%EC%82%AC%EC%9E%A5" TargetMode="External"/><Relationship Id="rId340" Type="http://schemas.openxmlformats.org/officeDocument/2006/relationships/hyperlink" Target="https://www.uppage.com/yeonwooj21/yeonwooj214" TargetMode="External"/><Relationship Id="rId345" Type="http://schemas.openxmlformats.org/officeDocument/2006/relationships/hyperlink" Target="https://www.youtube.com/@N%EC%9E%A1%EC%97%B0%EA%B5%AC%EC%86%8C/videos" TargetMode="External"/><Relationship Id="rId344" Type="http://schemas.openxmlformats.org/officeDocument/2006/relationships/hyperlink" Target="https://www.youtube.com/@%EC%96%91%EC%9E%91%EA%B0%802/videos" TargetMode="External"/><Relationship Id="rId343" Type="http://schemas.openxmlformats.org/officeDocument/2006/relationships/hyperlink" Target="https://www.youtube.com/@%EC%96%91%EC%9E%91%EA%B0%802/videos" TargetMode="External"/><Relationship Id="rId342" Type="http://schemas.openxmlformats.org/officeDocument/2006/relationships/hyperlink" Target="https://www.instagram.com/ttok_sajang/" TargetMode="External"/><Relationship Id="rId338" Type="http://schemas.openxmlformats.org/officeDocument/2006/relationships/hyperlink" Target="https://kmong.com/" TargetMode="External"/><Relationship Id="rId337" Type="http://schemas.openxmlformats.org/officeDocument/2006/relationships/hyperlink" Target="https://kmong.com/knowhow/gig/465529" TargetMode="External"/><Relationship Id="rId336" Type="http://schemas.openxmlformats.org/officeDocument/2006/relationships/hyperlink" Target="https://kmong.com/" TargetMode="External"/><Relationship Id="rId335" Type="http://schemas.openxmlformats.org/officeDocument/2006/relationships/hyperlink" Target="https://kmong.com/knowhow/gig/693678" TargetMode="External"/><Relationship Id="rId339" Type="http://schemas.openxmlformats.org/officeDocument/2006/relationships/hyperlink" Target="https://www.youtube.com/watch?v=fPyyvOL0AIU" TargetMode="External"/><Relationship Id="rId330" Type="http://schemas.openxmlformats.org/officeDocument/2006/relationships/hyperlink" Target="https://kmong.com/" TargetMode="External"/><Relationship Id="rId334" Type="http://schemas.openxmlformats.org/officeDocument/2006/relationships/hyperlink" Target="https://kmong.com/" TargetMode="External"/><Relationship Id="rId333" Type="http://schemas.openxmlformats.org/officeDocument/2006/relationships/hyperlink" Target="https://kmong.com/knowhow/gig/687492" TargetMode="External"/><Relationship Id="rId332" Type="http://schemas.openxmlformats.org/officeDocument/2006/relationships/hyperlink" Target="https://kmong.com/" TargetMode="External"/><Relationship Id="rId331" Type="http://schemas.openxmlformats.org/officeDocument/2006/relationships/hyperlink" Target="https://kmong.com/knowhow/gig/700013" TargetMode="External"/><Relationship Id="rId370" Type="http://schemas.openxmlformats.org/officeDocument/2006/relationships/hyperlink" Target="https://www.youtube.com/@%EB%AC%B4B%EA%B3%B0/videos" TargetMode="External"/><Relationship Id="rId369" Type="http://schemas.openxmlformats.org/officeDocument/2006/relationships/hyperlink" Target="https://www.youtube.com/@%EB%AF%B8%EA%B5%AD%ED%98%95-x4u" TargetMode="External"/><Relationship Id="rId368" Type="http://schemas.openxmlformats.org/officeDocument/2006/relationships/hyperlink" Target="https://sparta.ezcampus.me/" TargetMode="External"/><Relationship Id="rId363" Type="http://schemas.openxmlformats.org/officeDocument/2006/relationships/hyperlink" Target="https://www.youtube.com/@captain_nana" TargetMode="External"/><Relationship Id="rId362" Type="http://schemas.openxmlformats.org/officeDocument/2006/relationships/hyperlink" Target="https://booupplay.com/23" TargetMode="External"/><Relationship Id="rId361" Type="http://schemas.openxmlformats.org/officeDocument/2006/relationships/hyperlink" Target="https://booupplay.com/23" TargetMode="External"/><Relationship Id="rId360" Type="http://schemas.openxmlformats.org/officeDocument/2006/relationships/hyperlink" Target="https://www.youtube.com/@ruangday/videos" TargetMode="External"/><Relationship Id="rId367" Type="http://schemas.openxmlformats.org/officeDocument/2006/relationships/hyperlink" Target="https://www.youtube.com/@%EB%AF%B8%EA%B5%AD%ED%98%95-x4u" TargetMode="External"/><Relationship Id="rId366" Type="http://schemas.openxmlformats.org/officeDocument/2006/relationships/hyperlink" Target="http://instagram.com/its_captain.nana" TargetMode="External"/><Relationship Id="rId365" Type="http://schemas.openxmlformats.org/officeDocument/2006/relationships/hyperlink" Target="https://www.youtube.com/@captain_nana" TargetMode="External"/><Relationship Id="rId364" Type="http://schemas.openxmlformats.org/officeDocument/2006/relationships/hyperlink" Target="https://cafe.naver.com/withcaptainnana/2507" TargetMode="External"/><Relationship Id="rId95" Type="http://schemas.openxmlformats.org/officeDocument/2006/relationships/hyperlink" Target="mailto:ailifeinnovation@gmail.com" TargetMode="External"/><Relationship Id="rId94" Type="http://schemas.openxmlformats.org/officeDocument/2006/relationships/hyperlink" Target="http://instagram.com/ailifeinnovation" TargetMode="External"/><Relationship Id="rId97" Type="http://schemas.openxmlformats.org/officeDocument/2006/relationships/hyperlink" Target="https://www.youtube.com/@CreatorProfitLabKR/shorts" TargetMode="External"/><Relationship Id="rId96" Type="http://schemas.openxmlformats.org/officeDocument/2006/relationships/hyperlink" Target="mailto:ailifeinnovation@gmail.com" TargetMode="External"/><Relationship Id="rId99" Type="http://schemas.openxmlformats.org/officeDocument/2006/relationships/hyperlink" Target="http://instagram.com/adaisy.click24" TargetMode="External"/><Relationship Id="rId98" Type="http://schemas.openxmlformats.org/officeDocument/2006/relationships/hyperlink" Target="https://www.youtube.com/@CreatorProfitLabKR/shorts" TargetMode="External"/><Relationship Id="rId91" Type="http://schemas.openxmlformats.org/officeDocument/2006/relationships/hyperlink" Target="https://www.youtube.com/@ailifeinnovation" TargetMode="External"/><Relationship Id="rId90" Type="http://schemas.openxmlformats.org/officeDocument/2006/relationships/hyperlink" Target="https://cafe.naver.com/dino870" TargetMode="External"/><Relationship Id="rId93" Type="http://schemas.openxmlformats.org/officeDocument/2006/relationships/hyperlink" Target="https://www.youtube.com/@ailifeinnovation" TargetMode="External"/><Relationship Id="rId92" Type="http://schemas.openxmlformats.org/officeDocument/2006/relationships/hyperlink" Target="https://www.alinn.co.kr/channels/L2NoYW5uZWxzLzE4Mjc0/pages/home" TargetMode="External"/><Relationship Id="rId359" Type="http://schemas.openxmlformats.org/officeDocument/2006/relationships/hyperlink" Target="https://blog.naver.com/ruangday/224051598799" TargetMode="External"/><Relationship Id="rId358" Type="http://schemas.openxmlformats.org/officeDocument/2006/relationships/hyperlink" Target="https://inpk.link/ruangday" TargetMode="External"/><Relationship Id="rId357" Type="http://schemas.openxmlformats.org/officeDocument/2006/relationships/hyperlink" Target="https://www.instagram.com/idle_youtuber/" TargetMode="External"/><Relationship Id="rId352" Type="http://schemas.openxmlformats.org/officeDocument/2006/relationships/hyperlink" Target="https://www.youtube.com/@jarrylancer/videos" TargetMode="External"/><Relationship Id="rId351" Type="http://schemas.openxmlformats.org/officeDocument/2006/relationships/hyperlink" Target="http://bit.ly/true_chat" TargetMode="External"/><Relationship Id="rId350" Type="http://schemas.openxmlformats.org/officeDocument/2006/relationships/hyperlink" Target="https://www.instagram.com/trueparkpro/" TargetMode="External"/><Relationship Id="rId356" Type="http://schemas.openxmlformats.org/officeDocument/2006/relationships/hyperlink" Target="https://youtube.com/channel/UCDATvKmotWRx5B3dAGSW6Ng?si=TyRAlkVZJGgWmcfL" TargetMode="External"/><Relationship Id="rId355" Type="http://schemas.openxmlformats.org/officeDocument/2006/relationships/hyperlink" Target="https://litt.ly/goldmoon" TargetMode="External"/><Relationship Id="rId354" Type="http://schemas.openxmlformats.org/officeDocument/2006/relationships/hyperlink" Target="https://www.youtube.com/@jarrylancer/videos" TargetMode="External"/><Relationship Id="rId353" Type="http://schemas.openxmlformats.org/officeDocument/2006/relationships/hyperlink" Target="https://cafe.naver.com/hg10djr" TargetMode="External"/><Relationship Id="rId305" Type="http://schemas.openxmlformats.org/officeDocument/2006/relationships/hyperlink" Target="https://tpschool.co.kr/classes/215059?utm_source=youtube&amp;utm_medium=video_org&amp;utm_campaign=mungdi3_20250816" TargetMode="External"/><Relationship Id="rId304" Type="http://schemas.openxmlformats.org/officeDocument/2006/relationships/hyperlink" Target="https://www.youtube.com/watch?v=DBGfHRzI33M" TargetMode="External"/><Relationship Id="rId303" Type="http://schemas.openxmlformats.org/officeDocument/2006/relationships/hyperlink" Target="http://pf.kakao.com/_Pqiws" TargetMode="External"/><Relationship Id="rId787" Type="http://schemas.openxmlformats.org/officeDocument/2006/relationships/vmlDrawing" Target="../drawings/vmlDrawing3.vml"/><Relationship Id="rId302" Type="http://schemas.openxmlformats.org/officeDocument/2006/relationships/hyperlink" Target="http://www.youtube.com/@twotrack584" TargetMode="External"/><Relationship Id="rId786" Type="http://schemas.openxmlformats.org/officeDocument/2006/relationships/drawing" Target="../drawings/drawing4.xml"/><Relationship Id="rId309" Type="http://schemas.openxmlformats.org/officeDocument/2006/relationships/hyperlink" Target="https://www.youtube.com/@jocoding/videos" TargetMode="External"/><Relationship Id="rId308" Type="http://schemas.openxmlformats.org/officeDocument/2006/relationships/hyperlink" Target="https://www.youtube.com/@jocoding/videos" TargetMode="External"/><Relationship Id="rId307" Type="http://schemas.openxmlformats.org/officeDocument/2006/relationships/hyperlink" Target="https://jocoding.net/" TargetMode="External"/><Relationship Id="rId306" Type="http://schemas.openxmlformats.org/officeDocument/2006/relationships/hyperlink" Target="https://www.instagram.com/mungdi_/" TargetMode="External"/><Relationship Id="rId781" Type="http://schemas.openxmlformats.org/officeDocument/2006/relationships/hyperlink" Target="https://www.wadiz.kr/web/campaign/detail/373546" TargetMode="External"/><Relationship Id="rId780" Type="http://schemas.openxmlformats.org/officeDocument/2006/relationships/hyperlink" Target="https://www.youtube.com/watch?v=Nic2gNOGHkk" TargetMode="External"/><Relationship Id="rId301" Type="http://schemas.openxmlformats.org/officeDocument/2006/relationships/hyperlink" Target="https://cafe.naver.com/onggumsa" TargetMode="External"/><Relationship Id="rId785" Type="http://schemas.openxmlformats.org/officeDocument/2006/relationships/hyperlink" Target="https://blog.naver.com/rusia4678" TargetMode="External"/><Relationship Id="rId300" Type="http://schemas.openxmlformats.org/officeDocument/2006/relationships/hyperlink" Target="http://www.youtube.com/@twotrack584" TargetMode="External"/><Relationship Id="rId784" Type="http://schemas.openxmlformats.org/officeDocument/2006/relationships/hyperlink" Target="https://open.kakao.com/o/sqGw8Rne" TargetMode="External"/><Relationship Id="rId783" Type="http://schemas.openxmlformats.org/officeDocument/2006/relationships/hyperlink" Target="https://www.instagram.com/sein_invest.ai?igsh=MThlNDlwamtyM3Uzeg==" TargetMode="External"/><Relationship Id="rId782" Type="http://schemas.openxmlformats.org/officeDocument/2006/relationships/hyperlink" Target="https://www.youtube.com/@AI%EB%A7%88%EC%8A%A4%ED%84%B0_%EC%84%B8%EC%9D%B8%ED%88%AC" TargetMode="External"/><Relationship Id="rId778" Type="http://schemas.openxmlformats.org/officeDocument/2006/relationships/hyperlink" Target="https://www.youtube.com/@dapernam" TargetMode="External"/><Relationship Id="rId777" Type="http://schemas.openxmlformats.org/officeDocument/2006/relationships/hyperlink" Target="https://www.classu.co.kr/class/classDetail/1013033" TargetMode="External"/><Relationship Id="rId776" Type="http://schemas.openxmlformats.org/officeDocument/2006/relationships/hyperlink" Target="https://www.youtube.com/@dapernam" TargetMode="External"/><Relationship Id="rId775" Type="http://schemas.openxmlformats.org/officeDocument/2006/relationships/hyperlink" Target="mailto:miraclekorean77@gmail.com" TargetMode="External"/><Relationship Id="rId779" Type="http://schemas.openxmlformats.org/officeDocument/2006/relationships/hyperlink" Target="https://www.instagram.com/dapernam_79/" TargetMode="External"/><Relationship Id="rId770" Type="http://schemas.openxmlformats.org/officeDocument/2006/relationships/hyperlink" Target="https://www.instagram.com/ooo_rora/" TargetMode="External"/><Relationship Id="rId774" Type="http://schemas.openxmlformats.org/officeDocument/2006/relationships/hyperlink" Target="https://www.instagram.com/miraclekorean_koreanteacher" TargetMode="External"/><Relationship Id="rId773" Type="http://schemas.openxmlformats.org/officeDocument/2006/relationships/hyperlink" Target="https://www.youtube.com/@KoreanMiracle" TargetMode="External"/><Relationship Id="rId772" Type="http://schemas.openxmlformats.org/officeDocument/2006/relationships/hyperlink" Target="https://smartstore.naver.com/miracle2m/products/11478043962" TargetMode="External"/><Relationship Id="rId771" Type="http://schemas.openxmlformats.org/officeDocument/2006/relationships/hyperlink" Target="https://www.youtube.com/watch?v=F3ulZ7VT0sU" TargetMode="External"/><Relationship Id="rId327" Type="http://schemas.openxmlformats.org/officeDocument/2006/relationships/hyperlink" Target="https://kmong.com/knowhow/gig/606381" TargetMode="External"/><Relationship Id="rId326" Type="http://schemas.openxmlformats.org/officeDocument/2006/relationships/hyperlink" Target="https://kmong.com/" TargetMode="External"/><Relationship Id="rId325" Type="http://schemas.openxmlformats.org/officeDocument/2006/relationships/hyperlink" Target="https://kmong.com/knowhow/gig/619713" TargetMode="External"/><Relationship Id="rId324" Type="http://schemas.openxmlformats.org/officeDocument/2006/relationships/hyperlink" Target="https://kmong.com/" TargetMode="External"/><Relationship Id="rId329" Type="http://schemas.openxmlformats.org/officeDocument/2006/relationships/hyperlink" Target="https://kmong.com/knowhow/gig/704242" TargetMode="External"/><Relationship Id="rId328" Type="http://schemas.openxmlformats.org/officeDocument/2006/relationships/hyperlink" Target="https://kmong.com/" TargetMode="External"/><Relationship Id="rId323" Type="http://schemas.openxmlformats.org/officeDocument/2006/relationships/hyperlink" Target="https://kmong.com/knowhow/gig/658326" TargetMode="External"/><Relationship Id="rId322" Type="http://schemas.openxmlformats.org/officeDocument/2006/relationships/hyperlink" Target="https://www.instagram.com/iris__shorts/" TargetMode="External"/><Relationship Id="rId321" Type="http://schemas.openxmlformats.org/officeDocument/2006/relationships/hyperlink" Target="https://m.blog.naver.com/gmltmd03/223783670085" TargetMode="External"/><Relationship Id="rId320" Type="http://schemas.openxmlformats.org/officeDocument/2006/relationships/hyperlink" Target="https://www.threads.com/@iris__shorts" TargetMode="External"/><Relationship Id="rId316" Type="http://schemas.openxmlformats.org/officeDocument/2006/relationships/hyperlink" Target="https://www.youtube.com/@rpumkey" TargetMode="External"/><Relationship Id="rId315" Type="http://schemas.openxmlformats.org/officeDocument/2006/relationships/hyperlink" Target="https://smartstore.naver.com/rpumkey/products/11458818544?fbclid=PAZXh0bgNhZW0CMTEAAadDLOga3Uj_kMsaUUS5z8BPG4vUlYrAmiCZdYVufz2Lx7ayQXMYAG_3EIfNOA_aem_Txj_Nb2hKPIqRLaI8dOSbw" TargetMode="External"/><Relationship Id="rId314" Type="http://schemas.openxmlformats.org/officeDocument/2006/relationships/hyperlink" Target="https://www.instagram.com/rpumkey/" TargetMode="External"/><Relationship Id="rId313" Type="http://schemas.openxmlformats.org/officeDocument/2006/relationships/hyperlink" Target="https://www.youtube.com/watch?v=3evSj5BG-H4" TargetMode="External"/><Relationship Id="rId319" Type="http://schemas.openxmlformats.org/officeDocument/2006/relationships/hyperlink" Target="https://www.instagram.com/zete.dream/" TargetMode="External"/><Relationship Id="rId318" Type="http://schemas.openxmlformats.org/officeDocument/2006/relationships/hyperlink" Target="https://www.wadiz.kr/web/campaign/detail/373557?utm_source=wadizshare_in&amp;utm_medium=share&amp;sharer=6584412808&amp;walinkid=82156836" TargetMode="External"/><Relationship Id="rId317" Type="http://schemas.openxmlformats.org/officeDocument/2006/relationships/hyperlink" Target="https://www.instagram.com/zete.dream/" TargetMode="External"/><Relationship Id="rId312" Type="http://schemas.openxmlformats.org/officeDocument/2006/relationships/hyperlink" Target="https://docs.google.com/forms/d/e/1FAIpQLSfhpqbuKED5Dsn9_RnuNIp91b61L5kOT-pmSz1EYybpGZgYoA/viewform" TargetMode="External"/><Relationship Id="rId311" Type="http://schemas.openxmlformats.org/officeDocument/2006/relationships/hyperlink" Target="https://www.youtube.com/watch?v=3evSj5BG-H4" TargetMode="External"/><Relationship Id="rId310" Type="http://schemas.openxmlformats.org/officeDocument/2006/relationships/hyperlink" Target="https://www.instagram.com/youtubejocoding/" TargetMode="External"/><Relationship Id="rId297" Type="http://schemas.openxmlformats.org/officeDocument/2006/relationships/hyperlink" Target="http://www.youtube.com/@%ED%8A%B8%EB%A6%AD%EB%B3%BC%EB%9F%AC" TargetMode="External"/><Relationship Id="rId296" Type="http://schemas.openxmlformats.org/officeDocument/2006/relationships/hyperlink" Target="https://www.instagram.com/donnori123?igsh=MTh3ZmxsMXlqeHl5dQ==" TargetMode="External"/><Relationship Id="rId295" Type="http://schemas.openxmlformats.org/officeDocument/2006/relationships/hyperlink" Target="https://m.youtube.com/channel/UCD6-S1HwLyfeJ1XulMJMxnw" TargetMode="External"/><Relationship Id="rId294" Type="http://schemas.openxmlformats.org/officeDocument/2006/relationships/hyperlink" Target="https://kmong.com/@%EB%8F%88%EB%85%B8%EB%A6%AC" TargetMode="External"/><Relationship Id="rId299" Type="http://schemas.openxmlformats.org/officeDocument/2006/relationships/hyperlink" Target="http://www.youtube.com/@%ED%8A%B8%EB%A6%AD%EB%B3%BC%EB%9F%AC" TargetMode="External"/><Relationship Id="rId298" Type="http://schemas.openxmlformats.org/officeDocument/2006/relationships/hyperlink" Target="https://www.booup1234.co.kr/classes/204315" TargetMode="External"/><Relationship Id="rId271" Type="http://schemas.openxmlformats.org/officeDocument/2006/relationships/hyperlink" Target="https://www.tubelens.kr/" TargetMode="External"/><Relationship Id="rId270" Type="http://schemas.openxmlformats.org/officeDocument/2006/relationships/hyperlink" Target="https://www.instagram.com/ai.m.art" TargetMode="External"/><Relationship Id="rId269" Type="http://schemas.openxmlformats.org/officeDocument/2006/relationships/hyperlink" Target="https://www.youtube.com/@AI%EB%A7%88%ED%8A%B8/featured" TargetMode="External"/><Relationship Id="rId264" Type="http://schemas.openxmlformats.org/officeDocument/2006/relationships/hyperlink" Target="https://www.youtube.com/watch?v=fbgHHV0zk4I" TargetMode="External"/><Relationship Id="rId263" Type="http://schemas.openxmlformats.org/officeDocument/2006/relationships/hyperlink" Target="https://www.youtube.com/@amazonseller_asell/videos" TargetMode="External"/><Relationship Id="rId262" Type="http://schemas.openxmlformats.org/officeDocument/2006/relationships/hyperlink" Target="https://weolbu.com/product/3476" TargetMode="External"/><Relationship Id="rId261" Type="http://schemas.openxmlformats.org/officeDocument/2006/relationships/hyperlink" Target="https://www.youtube.com/@amazonseller_asell/videos" TargetMode="External"/><Relationship Id="rId268" Type="http://schemas.openxmlformats.org/officeDocument/2006/relationships/hyperlink" Target="https://www.youtube.com/@AI%EB%A7%88%ED%8A%B8/featured" TargetMode="External"/><Relationship Id="rId267" Type="http://schemas.openxmlformats.org/officeDocument/2006/relationships/hyperlink" Target="https://great-mascara-4bc.notion.site/N-2-57-1c92a9b9f89a8016be99fe4834450546" TargetMode="External"/><Relationship Id="rId266" Type="http://schemas.openxmlformats.org/officeDocument/2006/relationships/hyperlink" Target="https://www.youtube.com/@N%EC%9E%A1%ED%95%99%EA%B5%90" TargetMode="External"/><Relationship Id="rId265" Type="http://schemas.openxmlformats.org/officeDocument/2006/relationships/hyperlink" Target="http://pf.kakao.com/_mCKIG" TargetMode="External"/><Relationship Id="rId260" Type="http://schemas.openxmlformats.org/officeDocument/2006/relationships/hyperlink" Target="https://www.instagram.com/ukwaehan_0sajang" TargetMode="External"/><Relationship Id="rId259" Type="http://schemas.openxmlformats.org/officeDocument/2006/relationships/hyperlink" Target="https://www.youtube.com/@%EA%B3%B5%EC%82%AC%EC%9E%A5-w1p/shorts" TargetMode="External"/><Relationship Id="rId258" Type="http://schemas.openxmlformats.org/officeDocument/2006/relationships/hyperlink" Target="https://www.inflearn.com/course/sns%EC%B4%88%EA%B3%A0%EC%86%8D-%EC%84%B1%EC%9E%A5-%EC%88%98%EC%9D%B5%ED%99%94" TargetMode="External"/><Relationship Id="rId253" Type="http://schemas.openxmlformats.org/officeDocument/2006/relationships/hyperlink" Target="https://www.wadiz.kr/web/campaign/detail/374683" TargetMode="External"/><Relationship Id="rId252" Type="http://schemas.openxmlformats.org/officeDocument/2006/relationships/hyperlink" Target="https://www.youtube.com/@%EB%A8%B8%EB%8B%88%ED%95%9C%EC%9E%94" TargetMode="External"/><Relationship Id="rId251" Type="http://schemas.openxmlformats.org/officeDocument/2006/relationships/hyperlink" Target="https://www.youtube.com/@%EB%A8%B8%EB%8B%88%ED%95%9C%EC%9E%94" TargetMode="External"/><Relationship Id="rId250" Type="http://schemas.openxmlformats.org/officeDocument/2006/relationships/hyperlink" Target="https://www.instagram.com/dreamlikeai_/" TargetMode="External"/><Relationship Id="rId257" Type="http://schemas.openxmlformats.org/officeDocument/2006/relationships/hyperlink" Target="http://litt.ly/0sajang" TargetMode="External"/><Relationship Id="rId256" Type="http://schemas.openxmlformats.org/officeDocument/2006/relationships/hyperlink" Target="http://www.youtube.com/@%EC%9C%A0%ED%8A%9C%EB%B8%8C%EC%8B%A0%EC%8C%A4" TargetMode="External"/><Relationship Id="rId255" Type="http://schemas.openxmlformats.org/officeDocument/2006/relationships/hyperlink" Target="http://www.youtube.com/@%EC%9C%A0%ED%8A%9C%EB%B8%8C%EC%8B%A0%EC%8C%A4" TargetMode="External"/><Relationship Id="rId254" Type="http://schemas.openxmlformats.org/officeDocument/2006/relationships/hyperlink" Target="https://www.instagram.com/adventure__dori/" TargetMode="External"/><Relationship Id="rId293" Type="http://schemas.openxmlformats.org/officeDocument/2006/relationships/hyperlink" Target="https://youtube.com/channel/UCh5tgh1WG_N1qdb62Qj2eUA?si=4OA1trGwnCkGmzqZ" TargetMode="External"/><Relationship Id="rId292" Type="http://schemas.openxmlformats.org/officeDocument/2006/relationships/hyperlink" Target="https://www.youtube.com/@%EC%9C%A0%ED%8A%9C%EB%B8%8C%ED%8C%A9%ED%86%A0%EB%A6%AC23" TargetMode="External"/><Relationship Id="rId291" Type="http://schemas.openxmlformats.org/officeDocument/2006/relationships/hyperlink" Target="https://blog.naver.com/waiwaiachi/224048074387" TargetMode="External"/><Relationship Id="rId290" Type="http://schemas.openxmlformats.org/officeDocument/2006/relationships/hyperlink" Target="https://www.youtube.com/@%EC%9C%A0%ED%8A%9C%EB%B8%8C%ED%8C%A9%ED%86%A0%EB%A6%AC23" TargetMode="External"/><Relationship Id="rId286" Type="http://schemas.openxmlformats.org/officeDocument/2006/relationships/hyperlink" Target="https://www.youtube.com/@ai_market" TargetMode="External"/><Relationship Id="rId285" Type="http://schemas.openxmlformats.org/officeDocument/2006/relationships/hyperlink" Target="https://www.youtube.com/@kihome15" TargetMode="External"/><Relationship Id="rId284" Type="http://schemas.openxmlformats.org/officeDocument/2006/relationships/hyperlink" Target="https://m.cafe.naver.com/ca-fe/web/cafes/chatgptcomm/articles/166?useCafeId=false&amp;tc" TargetMode="External"/><Relationship Id="rId283" Type="http://schemas.openxmlformats.org/officeDocument/2006/relationships/hyperlink" Target="https://www.youtube.com/watch?v=0qKaC-de0Bc" TargetMode="External"/><Relationship Id="rId289" Type="http://schemas.openxmlformats.org/officeDocument/2006/relationships/hyperlink" Target="https://www.youtube.com/@%EC%8B%9C%EB%8B%88%EC%96%B4%EB%B0%B1%EC%84%B8%EC%8A%B5%EA%B4%80/shorts" TargetMode="External"/><Relationship Id="rId288" Type="http://schemas.openxmlformats.org/officeDocument/2006/relationships/hyperlink" Target="https://www.youtube.com/@%EC%8B%9C%EB%8B%88%EC%96%B4%EB%B0%B1%EC%84%B8%EC%8A%B5%EA%B4%80/shorts" TargetMode="External"/><Relationship Id="rId287" Type="http://schemas.openxmlformats.org/officeDocument/2006/relationships/hyperlink" Target="https://www.youtube.com/@ai_market" TargetMode="External"/><Relationship Id="rId282" Type="http://schemas.openxmlformats.org/officeDocument/2006/relationships/hyperlink" Target="https://www.youtube.com/@itbe467/videos" TargetMode="External"/><Relationship Id="rId281" Type="http://schemas.openxmlformats.org/officeDocument/2006/relationships/hyperlink" Target="https://itbe.kr/" TargetMode="External"/><Relationship Id="rId280" Type="http://schemas.openxmlformats.org/officeDocument/2006/relationships/hyperlink" Target="https://www.youtube.com/@itbe467/videos" TargetMode="External"/><Relationship Id="rId275" Type="http://schemas.openxmlformats.org/officeDocument/2006/relationships/hyperlink" Target="https://www.youtube.com/@AInspire_kr" TargetMode="External"/><Relationship Id="rId274" Type="http://schemas.openxmlformats.org/officeDocument/2006/relationships/hyperlink" Target="https://www.ainspire.co.kr/" TargetMode="External"/><Relationship Id="rId273" Type="http://schemas.openxmlformats.org/officeDocument/2006/relationships/hyperlink" Target="https://litt.ly/slit" TargetMode="External"/><Relationship Id="rId272" Type="http://schemas.openxmlformats.org/officeDocument/2006/relationships/hyperlink" Target="https://www.youtube.com/@%ED%8A%9C%EB%B8%8C%EB%A0%8C%EC%A6%88" TargetMode="External"/><Relationship Id="rId279" Type="http://schemas.openxmlformats.org/officeDocument/2006/relationships/hyperlink" Target="https://www.youtube.com/@donssulmee" TargetMode="External"/><Relationship Id="rId278" Type="http://schemas.openxmlformats.org/officeDocument/2006/relationships/hyperlink" Target="https://www.donssulmee.com/" TargetMode="External"/><Relationship Id="rId277" Type="http://schemas.openxmlformats.org/officeDocument/2006/relationships/hyperlink" Target="https://www.youtube.com/@donssulmee" TargetMode="External"/><Relationship Id="rId276" Type="http://schemas.openxmlformats.org/officeDocument/2006/relationships/hyperlink" Target="https://www.instagram.com/ainspire_kr" TargetMode="External"/><Relationship Id="rId629" Type="http://schemas.openxmlformats.org/officeDocument/2006/relationships/hyperlink" Target="https://www.youtube.com/@SOLVwithIT" TargetMode="External"/><Relationship Id="rId624" Type="http://schemas.openxmlformats.org/officeDocument/2006/relationships/hyperlink" Target="https://www.youtube.com/watch?v=XglX4V1q9sU&amp;t=24s" TargetMode="External"/><Relationship Id="rId623" Type="http://schemas.openxmlformats.org/officeDocument/2006/relationships/hyperlink" Target="https://www.youalnam.com/channels/L2NoYW5uZWxzLzIxNjQw/B00012/posts/672182" TargetMode="External"/><Relationship Id="rId622" Type="http://schemas.openxmlformats.org/officeDocument/2006/relationships/hyperlink" Target="https://www.youtube.com/watch?v=XglX4V1q9sU&amp;t=24s" TargetMode="External"/><Relationship Id="rId621" Type="http://schemas.openxmlformats.org/officeDocument/2006/relationships/hyperlink" Target="https://www.instagram.com/carryqueen_" TargetMode="External"/><Relationship Id="rId628" Type="http://schemas.openxmlformats.org/officeDocument/2006/relationships/hyperlink" Target="https://www.youtube.com/@SOLVwithIT" TargetMode="External"/><Relationship Id="rId627" Type="http://schemas.openxmlformats.org/officeDocument/2006/relationships/hyperlink" Target="https://www.instagram.com/jamjam.today/" TargetMode="External"/><Relationship Id="rId626" Type="http://schemas.openxmlformats.org/officeDocument/2006/relationships/hyperlink" Target="https://youtube.com/@jamjam0615?si=g-QenDDpHTj5mghy" TargetMode="External"/><Relationship Id="rId625" Type="http://schemas.openxmlformats.org/officeDocument/2006/relationships/hyperlink" Target="https://youtube.com/@jamjam0615?si=g-QenDDpHTj5mghy" TargetMode="External"/><Relationship Id="rId620" Type="http://schemas.openxmlformats.org/officeDocument/2006/relationships/hyperlink" Target="https://www.youtube.com/@%EC%BA%90%EB%A6%AC%ED%80%B8" TargetMode="External"/><Relationship Id="rId619" Type="http://schemas.openxmlformats.org/officeDocument/2006/relationships/hyperlink" Target="https://www.youtube.com/@%EC%BA%90%EB%A6%AC%ED%80%B8" TargetMode="External"/><Relationship Id="rId618" Type="http://schemas.openxmlformats.org/officeDocument/2006/relationships/hyperlink" Target="https://www.instagram.com/royce__story/" TargetMode="External"/><Relationship Id="rId613" Type="http://schemas.openxmlformats.org/officeDocument/2006/relationships/hyperlink" Target="https://ssulluragi.liveklass.com/" TargetMode="External"/><Relationship Id="rId612" Type="http://schemas.openxmlformats.org/officeDocument/2006/relationships/hyperlink" Target="https://www.threads.com/@ssul_luragi?hl=ko" TargetMode="External"/><Relationship Id="rId611" Type="http://schemas.openxmlformats.org/officeDocument/2006/relationships/hyperlink" Target="https://www.youtube.com/@Toaday_Ai_animation" TargetMode="External"/><Relationship Id="rId610" Type="http://schemas.openxmlformats.org/officeDocument/2006/relationships/hyperlink" Target="https://www.youtube.com/watch?v=AzCPPisbrUc" TargetMode="External"/><Relationship Id="rId617" Type="http://schemas.openxmlformats.org/officeDocument/2006/relationships/hyperlink" Target="https://www.youtube.com/@royce_story" TargetMode="External"/><Relationship Id="rId616" Type="http://schemas.openxmlformats.org/officeDocument/2006/relationships/hyperlink" Target="https://www.youtube.com/@royce_story" TargetMode="External"/><Relationship Id="rId615" Type="http://schemas.openxmlformats.org/officeDocument/2006/relationships/hyperlink" Target="https://www.instagram.com/ssul_luragi/" TargetMode="External"/><Relationship Id="rId614" Type="http://schemas.openxmlformats.org/officeDocument/2006/relationships/hyperlink" Target="https://www.youtube.com/@S_luragi/shorts" TargetMode="External"/><Relationship Id="rId646" Type="http://schemas.openxmlformats.org/officeDocument/2006/relationships/hyperlink" Target="https://youtu.be/Z1unCYK1qGY?si=5EDcxVe20kuisxpq" TargetMode="External"/><Relationship Id="rId645" Type="http://schemas.openxmlformats.org/officeDocument/2006/relationships/hyperlink" Target="https://www.instagram.com/ai_extreme/" TargetMode="External"/><Relationship Id="rId644" Type="http://schemas.openxmlformats.org/officeDocument/2006/relationships/hyperlink" Target="https://www.youtube.com/@spoop-v7v" TargetMode="External"/><Relationship Id="rId643" Type="http://schemas.openxmlformats.org/officeDocument/2006/relationships/hyperlink" Target="https://www.youtube.com/@spoop-v7v" TargetMode="External"/><Relationship Id="rId649" Type="http://schemas.openxmlformats.org/officeDocument/2006/relationships/hyperlink" Target="https://www.youtube.com/@CONNECT-AI-LAB/videos" TargetMode="External"/><Relationship Id="rId648" Type="http://schemas.openxmlformats.org/officeDocument/2006/relationships/hyperlink" Target="https://www.youtube.com/@%EA%B0%84%EB%8B%A8%EA%B2%BD%EC%A0%9C%ED%95%99" TargetMode="External"/><Relationship Id="rId647" Type="http://schemas.openxmlformats.org/officeDocument/2006/relationships/hyperlink" Target="https://www.youtube.com/@%EA%B0%84%EB%8B%A8%EA%B2%BD%EC%A0%9C%ED%95%99" TargetMode="External"/><Relationship Id="rId642" Type="http://schemas.openxmlformats.org/officeDocument/2006/relationships/hyperlink" Target="https://www.youtube.com/@mmohome" TargetMode="External"/><Relationship Id="rId641" Type="http://schemas.openxmlformats.org/officeDocument/2006/relationships/hyperlink" Target="https://mmohome.shop.blogpay.co.kr/good/product_view?goodNum=2185695" TargetMode="External"/><Relationship Id="rId640" Type="http://schemas.openxmlformats.org/officeDocument/2006/relationships/hyperlink" Target="https://www.instagram.com/mmo_home_/" TargetMode="External"/><Relationship Id="rId635" Type="http://schemas.openxmlformats.org/officeDocument/2006/relationships/hyperlink" Target="http://threads.com/@ddalgak.d" TargetMode="External"/><Relationship Id="rId634" Type="http://schemas.openxmlformats.org/officeDocument/2006/relationships/hyperlink" Target="https://ddalgakdesign.tistory.com/category/%EB%94%B8%EA%B9%8D%20AI%20%EB%94%94%EC%9E%90%EC%9D%B8%20%ED%88%B4%20%EA%B3%B5%EB%B6%80" TargetMode="External"/><Relationship Id="rId633" Type="http://schemas.openxmlformats.org/officeDocument/2006/relationships/hyperlink" Target="https://www.youtube.com/@%EC%9C%A0%ED%8A%9C%EB%B8%8C%EC%88%98%EC%9D%B5%ED%99%94%EB%B8%8C%EB%9E%9C%EB%94%A9" TargetMode="External"/><Relationship Id="rId632" Type="http://schemas.openxmlformats.org/officeDocument/2006/relationships/hyperlink" Target="https://www.youtube.com/watch?v=KXcojUfd_ck" TargetMode="External"/><Relationship Id="rId639" Type="http://schemas.openxmlformats.org/officeDocument/2006/relationships/hyperlink" Target="https://www.youtube.com/@%EB%8C%80%EB%AA%A8%EC%82%B0%EA%B0%9C%EB%B0%9C%EB%8B%A8/videos" TargetMode="External"/><Relationship Id="rId638" Type="http://schemas.openxmlformats.org/officeDocument/2006/relationships/hyperlink" Target="https://www.youtube.com/@%EB%8C%80%EB%AA%A8%EC%82%B0%EA%B0%9C%EB%B0%9C%EB%8B%A8/videos" TargetMode="External"/><Relationship Id="rId637" Type="http://schemas.openxmlformats.org/officeDocument/2006/relationships/hyperlink" Target="https://www.instagram.com/ddalgak.d" TargetMode="External"/><Relationship Id="rId636" Type="http://schemas.openxmlformats.org/officeDocument/2006/relationships/hyperlink" Target="http://www.youtube.com/@ddalgak_design" TargetMode="External"/><Relationship Id="rId631" Type="http://schemas.openxmlformats.org/officeDocument/2006/relationships/hyperlink" Target="https://www.youtube.com/@UnveilPersonality/videos" TargetMode="External"/><Relationship Id="rId630" Type="http://schemas.openxmlformats.org/officeDocument/2006/relationships/hyperlink" Target="https://www.youtube.com/@UnveilPersonality/videos" TargetMode="External"/><Relationship Id="rId609" Type="http://schemas.openxmlformats.org/officeDocument/2006/relationships/hyperlink" Target="https://www.youtube.com/@%EB%B2%A0%EC%9D%B4%EB%B9%84%ED%86%A1/shorts" TargetMode="External"/><Relationship Id="rId608" Type="http://schemas.openxmlformats.org/officeDocument/2006/relationships/hyperlink" Target="https://www.youtube.com/@%EB%B2%A0%EC%9D%B4%EB%B9%84%ED%86%A1/shorts" TargetMode="External"/><Relationship Id="rId607" Type="http://schemas.openxmlformats.org/officeDocument/2006/relationships/hyperlink" Target="https://www.youtube.com/@%EC%89%AC%EC%9A%B4%EB%94%94%EC%A7%80%ED%84%B8" TargetMode="External"/><Relationship Id="rId602" Type="http://schemas.openxmlformats.org/officeDocument/2006/relationships/hyperlink" Target="https://www.youtube.com/@theminicap" TargetMode="External"/><Relationship Id="rId601" Type="http://schemas.openxmlformats.org/officeDocument/2006/relationships/hyperlink" Target="https://www.youtube.com/@theminicap" TargetMode="External"/><Relationship Id="rId600" Type="http://schemas.openxmlformats.org/officeDocument/2006/relationships/hyperlink" Target="mailto:imagain07@gmail.com" TargetMode="External"/><Relationship Id="rId606" Type="http://schemas.openxmlformats.org/officeDocument/2006/relationships/hyperlink" Target="https://accontentlab.com/" TargetMode="External"/><Relationship Id="rId605" Type="http://schemas.openxmlformats.org/officeDocument/2006/relationships/hyperlink" Target="https://www.youtube.com/watch?v=rmcpE6Pf1HU" TargetMode="External"/><Relationship Id="rId604" Type="http://schemas.openxmlformats.org/officeDocument/2006/relationships/hyperlink" Target="https://www.youtube.com/@lazy4achiever" TargetMode="External"/><Relationship Id="rId603" Type="http://schemas.openxmlformats.org/officeDocument/2006/relationships/hyperlink" Target="https://www.youtube.com/watch?v=Pe5g8tOtvMM" TargetMode="External"/><Relationship Id="rId228" Type="http://schemas.openxmlformats.org/officeDocument/2006/relationships/hyperlink" Target="https://www.youtube.com/@BreezeMood" TargetMode="External"/><Relationship Id="rId227" Type="http://schemas.openxmlformats.org/officeDocument/2006/relationships/hyperlink" Target="https://www.threads.com/@autovee_ai" TargetMode="External"/><Relationship Id="rId226" Type="http://schemas.openxmlformats.org/officeDocument/2006/relationships/hyperlink" Target="https://www.threads.com/@autovee_ai" TargetMode="External"/><Relationship Id="rId225" Type="http://schemas.openxmlformats.org/officeDocument/2006/relationships/hyperlink" Target="https://www.instagram.com/aiguideaesop/" TargetMode="External"/><Relationship Id="rId229" Type="http://schemas.openxmlformats.org/officeDocument/2006/relationships/hyperlink" Target="https://www.youtube.com/@BreezeMood" TargetMode="External"/><Relationship Id="rId220" Type="http://schemas.openxmlformats.org/officeDocument/2006/relationships/hyperlink" Target="https://learningannex.kr/shop/item.php?it_id=1745811731&amp;utm_source=youtube&amp;utm_medium=strategy&amp;utm_campaign=exposure&amp;utm_content=cg250827" TargetMode="External"/><Relationship Id="rId224" Type="http://schemas.openxmlformats.org/officeDocument/2006/relationships/hyperlink" Target="https://www.youtube.com/@%EA%B9%80%EC%9D%B4%EC%86%9D%EC%9D%98AI%EA%B0%80%EC%9D%B4%EB%93%9C/videos" TargetMode="External"/><Relationship Id="rId223" Type="http://schemas.openxmlformats.org/officeDocument/2006/relationships/hyperlink" Target="https://www.youtube.com/@%EA%B9%80%EC%9D%B4%EC%86%9D%EC%9D%98AI%EA%B0%80%EC%9D%B4%EB%93%9C/videos" TargetMode="External"/><Relationship Id="rId222" Type="http://schemas.openxmlformats.org/officeDocument/2006/relationships/hyperlink" Target="https://www.learningannex.kr/shop/item.php?it_id=1702956191&amp;utm_source=youtube&amp;utm_medium=strategy&amp;utm_campaign=exposure&amp;utm_content=000" TargetMode="External"/><Relationship Id="rId221" Type="http://schemas.openxmlformats.org/officeDocument/2006/relationships/hyperlink" Target="https://www.youtube.com/@310-ty4ml/videos" TargetMode="External"/><Relationship Id="rId217" Type="http://schemas.openxmlformats.org/officeDocument/2006/relationships/hyperlink" Target="https://namsieon.com/" TargetMode="External"/><Relationship Id="rId216" Type="http://schemas.openxmlformats.org/officeDocument/2006/relationships/hyperlink" Target="https://www.youtube.com/@%EB%82%A8%EC%8B%9C%EC%96%B8%EC%BD%98%ED%85%90%EC%B8%A0%EB%9E%A9/videos" TargetMode="External"/><Relationship Id="rId215" Type="http://schemas.openxmlformats.org/officeDocument/2006/relationships/hyperlink" Target="https://www.youtube.com/@%EC%98%A8%EC%84%A0/videos" TargetMode="External"/><Relationship Id="rId699" Type="http://schemas.openxmlformats.org/officeDocument/2006/relationships/hyperlink" Target="https://www.youtube.com/@hotheus" TargetMode="External"/><Relationship Id="rId214" Type="http://schemas.openxmlformats.org/officeDocument/2006/relationships/hyperlink" Target="https://www.youtube.com/@%EC%98%A8%EC%84%A0/videos" TargetMode="External"/><Relationship Id="rId698" Type="http://schemas.openxmlformats.org/officeDocument/2006/relationships/hyperlink" Target="https://www.youtube.com/@hotheus" TargetMode="External"/><Relationship Id="rId219" Type="http://schemas.openxmlformats.org/officeDocument/2006/relationships/hyperlink" Target="https://www.youtube.com/@310-ty4ml" TargetMode="External"/><Relationship Id="rId218" Type="http://schemas.openxmlformats.org/officeDocument/2006/relationships/hyperlink" Target="https://www.youtube.com/@%EB%82%A8%EC%8B%9C%EC%96%B8%EC%BD%98%ED%85%90%EC%B8%A0%EB%9E%A9/videos" TargetMode="External"/><Relationship Id="rId693" Type="http://schemas.openxmlformats.org/officeDocument/2006/relationships/hyperlink" Target="http://www.youtube.com/@globalrizing" TargetMode="External"/><Relationship Id="rId692" Type="http://schemas.openxmlformats.org/officeDocument/2006/relationships/hyperlink" Target="https://class101.net/ko/live/liv_01khx8kesy1svprqtvsewwrwp2" TargetMode="External"/><Relationship Id="rId691" Type="http://schemas.openxmlformats.org/officeDocument/2006/relationships/hyperlink" Target="https://globalrizing.liveklass.com/" TargetMode="External"/><Relationship Id="rId690" Type="http://schemas.openxmlformats.org/officeDocument/2006/relationships/hyperlink" Target="https://blog.naver.com/dorumooc/224178146663" TargetMode="External"/><Relationship Id="rId213" Type="http://schemas.openxmlformats.org/officeDocument/2006/relationships/hyperlink" Target="https://www.youtube.com/@calarygirl" TargetMode="External"/><Relationship Id="rId697" Type="http://schemas.openxmlformats.org/officeDocument/2006/relationships/hyperlink" Target="https://pf.kakao.com/_rUtxfn" TargetMode="External"/><Relationship Id="rId212" Type="http://schemas.openxmlformats.org/officeDocument/2006/relationships/hyperlink" Target="https://www.taling.me/talent/61285" TargetMode="External"/><Relationship Id="rId696" Type="http://schemas.openxmlformats.org/officeDocument/2006/relationships/hyperlink" Target="https://www.youtube.com/@%EC%85%80%EB%9F%AC%EC%82%B4%EB%A1%B1" TargetMode="External"/><Relationship Id="rId211" Type="http://schemas.openxmlformats.org/officeDocument/2006/relationships/hyperlink" Target="https://www.youtube.com/@calarygirl" TargetMode="External"/><Relationship Id="rId695" Type="http://schemas.openxmlformats.org/officeDocument/2006/relationships/hyperlink" Target="https://77challenge.liveklass.com/" TargetMode="External"/><Relationship Id="rId210" Type="http://schemas.openxmlformats.org/officeDocument/2006/relationships/hyperlink" Target="https://www.youtube.com/@captain_ai/videos" TargetMode="External"/><Relationship Id="rId694" Type="http://schemas.openxmlformats.org/officeDocument/2006/relationships/hyperlink" Target="https://www.youtube.com/@%EC%85%80%EB%9F%AC%EC%82%B4%EB%A1%B1" TargetMode="External"/><Relationship Id="rId249" Type="http://schemas.openxmlformats.org/officeDocument/2006/relationships/hyperlink" Target="https://www.youtube.com/@DreamlikeAI-l6d/shorts" TargetMode="External"/><Relationship Id="rId248" Type="http://schemas.openxmlformats.org/officeDocument/2006/relationships/hyperlink" Target="https://www.youtube.com/@DreamlikeAI-l6d/shorts" TargetMode="External"/><Relationship Id="rId247" Type="http://schemas.openxmlformats.org/officeDocument/2006/relationships/hyperlink" Target="https://www.youtube.com/@%EA%B8%B0%EA%B3%84%EC%99%95%EA%B3%BD%EB%91%90%ED%8C%94" TargetMode="External"/><Relationship Id="rId242" Type="http://schemas.openxmlformats.org/officeDocument/2006/relationships/hyperlink" Target="https://youtube.com/channel/UCqZEEbX8I1B6Sl5rZoYpr_g?si=PcEQsXIJQc-50fVu" TargetMode="External"/><Relationship Id="rId241" Type="http://schemas.openxmlformats.org/officeDocument/2006/relationships/hyperlink" Target="https://m.cafe.naver.com/ca-fe/shaun1?tc=article" TargetMode="External"/><Relationship Id="rId240" Type="http://schemas.openxmlformats.org/officeDocument/2006/relationships/hyperlink" Target="https://youtube.com/channel/UCqZEEbX8I1B6Sl5rZoYpr_g?si=PcEQsXIJQc-50fVu" TargetMode="External"/><Relationship Id="rId246" Type="http://schemas.openxmlformats.org/officeDocument/2006/relationships/hyperlink" Target="https://www.instagram.com/hayoungdropship?utm_source=ig_web_button_share_sheet&amp;igsh=cWx5Nmc0dDh1aG94" TargetMode="External"/><Relationship Id="rId245" Type="http://schemas.openxmlformats.org/officeDocument/2006/relationships/hyperlink" Target="https://www.instagram.com/hayoungdropship?utm_source=ig_web_button_share_sheet&amp;igsh=cWx5Nmc0dDh1aG94" TargetMode="External"/><Relationship Id="rId244" Type="http://schemas.openxmlformats.org/officeDocument/2006/relationships/hyperlink" Target="https://m.cafe.naver.com/ca-fe/web/cafes/24193906/articles/7801?fromList=true&amp;tab=notice&amp;tc=cafe_home_notices" TargetMode="External"/><Relationship Id="rId243" Type="http://schemas.openxmlformats.org/officeDocument/2006/relationships/hyperlink" Target="https://www.instagram.com/ai_success_making?igsh=NDV4YWs5bGMyaHAy" TargetMode="External"/><Relationship Id="rId239" Type="http://schemas.openxmlformats.org/officeDocument/2006/relationships/hyperlink" Target="https://www.youtube.com/@nodaji_ai/videos" TargetMode="External"/><Relationship Id="rId238" Type="http://schemas.openxmlformats.org/officeDocument/2006/relationships/hyperlink" Target="https://nodajiai.liveklass.com/classes/226042" TargetMode="External"/><Relationship Id="rId237" Type="http://schemas.openxmlformats.org/officeDocument/2006/relationships/hyperlink" Target="https://www.youtube.com/@nodaji_ai/videos" TargetMode="External"/><Relationship Id="rId236" Type="http://schemas.openxmlformats.org/officeDocument/2006/relationships/hyperlink" Target="https://www.youtube.com/@qoonio" TargetMode="External"/><Relationship Id="rId231" Type="http://schemas.openxmlformats.org/officeDocument/2006/relationships/hyperlink" Target="https://www.youtube.com/@%EA%B7%B8%EB%A1%9C%EC%9A%B0mi/shorts" TargetMode="External"/><Relationship Id="rId230" Type="http://schemas.openxmlformats.org/officeDocument/2006/relationships/hyperlink" Target="https://www.instagram.com/breezemood_/" TargetMode="External"/><Relationship Id="rId235" Type="http://schemas.openxmlformats.org/officeDocument/2006/relationships/hyperlink" Target="https://docs.google.com/forms/d/e/1FAIpQLSelTvUGuFBb7NZYjMDsS5YJZRODwSl4TEERN2U0n1AOfdsPZQ/viewform" TargetMode="External"/><Relationship Id="rId234" Type="http://schemas.openxmlformats.org/officeDocument/2006/relationships/hyperlink" Target="https://www.youtube.com/@qoonio" TargetMode="External"/><Relationship Id="rId233" Type="http://schemas.openxmlformats.org/officeDocument/2006/relationships/hyperlink" Target="https://www.youtube.com/@%EA%B7%B8%EB%A1%9C%EC%9A%B0mi/shorts" TargetMode="External"/><Relationship Id="rId232" Type="http://schemas.openxmlformats.org/officeDocument/2006/relationships/hyperlink" Target="https://kmong.com/gig/473358?selfMarketingCode=Ptr8dPwdxJ" TargetMode="External"/><Relationship Id="rId668" Type="http://schemas.openxmlformats.org/officeDocument/2006/relationships/hyperlink" Target="https://www.youtube.com/@%EC%85%80%EB%9F%AC%EA%B3%B5/videos" TargetMode="External"/><Relationship Id="rId667" Type="http://schemas.openxmlformats.org/officeDocument/2006/relationships/hyperlink" Target="https://cafe.naver.com/f-e/cafes/31562407/articles/4?menuid=4&amp;referrerAllArticles=false" TargetMode="External"/><Relationship Id="rId666" Type="http://schemas.openxmlformats.org/officeDocument/2006/relationships/hyperlink" Target="https://www.instagram.com/ibwj/" TargetMode="External"/><Relationship Id="rId665" Type="http://schemas.openxmlformats.org/officeDocument/2006/relationships/hyperlink" Target="https://www.youtube.com/@ttj/videos" TargetMode="External"/><Relationship Id="rId669" Type="http://schemas.openxmlformats.org/officeDocument/2006/relationships/hyperlink" Target="https://www.youtube.com/@%EC%9C%84%ED%83%81%EA%B3%A0%EC%88%98_%EC%9E%A5%EB%8C%80%ED%91%9C" TargetMode="External"/><Relationship Id="rId660" Type="http://schemas.openxmlformats.org/officeDocument/2006/relationships/hyperlink" Target="https://www.threads.com/@builder.rich" TargetMode="External"/><Relationship Id="rId664" Type="http://schemas.openxmlformats.org/officeDocument/2006/relationships/hyperlink" Target="https://ttj.kr/regular_course" TargetMode="External"/><Relationship Id="rId663" Type="http://schemas.openxmlformats.org/officeDocument/2006/relationships/hyperlink" Target="https://www.youtube.com/@ttj/videos" TargetMode="External"/><Relationship Id="rId662" Type="http://schemas.openxmlformats.org/officeDocument/2006/relationships/hyperlink" Target="https://www.youtube.com/@doghoneyauction" TargetMode="External"/><Relationship Id="rId661" Type="http://schemas.openxmlformats.org/officeDocument/2006/relationships/hyperlink" Target="https://www.notion.so/3275d840623980cab999e08f77faa04b?source=copy_link" TargetMode="External"/><Relationship Id="rId657" Type="http://schemas.openxmlformats.org/officeDocument/2006/relationships/hyperlink" Target="https://levelupschool.kr/?idx=36" TargetMode="External"/><Relationship Id="rId656" Type="http://schemas.openxmlformats.org/officeDocument/2006/relationships/hyperlink" Target="https://www.threads.com/@fruit_matjip" TargetMode="External"/><Relationship Id="rId655" Type="http://schemas.openxmlformats.org/officeDocument/2006/relationships/hyperlink" Target="https://pudufu.co.kr/" TargetMode="External"/><Relationship Id="rId654" Type="http://schemas.openxmlformats.org/officeDocument/2006/relationships/hyperlink" Target="https://www.youtube.com/watch?v=Lazs6yt4_EI" TargetMode="External"/><Relationship Id="rId659" Type="http://schemas.openxmlformats.org/officeDocument/2006/relationships/hyperlink" Target="https://www.instagram.com/funnel_creator_/" TargetMode="External"/><Relationship Id="rId658" Type="http://schemas.openxmlformats.org/officeDocument/2006/relationships/hyperlink" Target="https://levelupschool.kr/?idx=36" TargetMode="External"/><Relationship Id="rId653" Type="http://schemas.openxmlformats.org/officeDocument/2006/relationships/hyperlink" Target="https://kmong.com/gig/661980" TargetMode="External"/><Relationship Id="rId652" Type="http://schemas.openxmlformats.org/officeDocument/2006/relationships/hyperlink" Target="https://www.ezerai.xyz/" TargetMode="External"/><Relationship Id="rId651" Type="http://schemas.openxmlformats.org/officeDocument/2006/relationships/hyperlink" Target="https://www.youtube.com/@CONNECT-AI-LAB/videos" TargetMode="External"/><Relationship Id="rId650" Type="http://schemas.openxmlformats.org/officeDocument/2006/relationships/hyperlink" Target="https://www.aicitybuilders.com/" TargetMode="External"/><Relationship Id="rId206" Type="http://schemas.openxmlformats.org/officeDocument/2006/relationships/hyperlink" Target="https://www.youtube.com/@figmaleon/featured" TargetMode="External"/><Relationship Id="rId205" Type="http://schemas.openxmlformats.org/officeDocument/2006/relationships/hyperlink" Target="https://litt.ly/itsjinakimacademy?fbclid=PAZXh0bgNhZW0CMTEAAad9k3uqMqi4nnRIOvHQzsnghY0I9GJbhMYXjxVpkdxPIw1bjRYGqNdD0usP2g_aem_uZ2iucCXSg4kp0HACmKnoA" TargetMode="External"/><Relationship Id="rId689" Type="http://schemas.openxmlformats.org/officeDocument/2006/relationships/hyperlink" Target="https://www.instagram.com/dorumooc_log?igsh=dnN2amc2a21qbGl1" TargetMode="External"/><Relationship Id="rId204" Type="http://schemas.openxmlformats.org/officeDocument/2006/relationships/hyperlink" Target="https://www.instagram.com/itsjinakim_academy?igsh=MWJxanp3dTFvaGZrdw%3D%3D" TargetMode="External"/><Relationship Id="rId688" Type="http://schemas.openxmlformats.org/officeDocument/2006/relationships/hyperlink" Target="https://www.instagram.com/dorumooc_log?igsh=dnN2amc2a21qbGl1" TargetMode="External"/><Relationship Id="rId203" Type="http://schemas.openxmlformats.org/officeDocument/2006/relationships/hyperlink" Target="https://shoppduddn.my.canva.site/" TargetMode="External"/><Relationship Id="rId687" Type="http://schemas.openxmlformats.org/officeDocument/2006/relationships/hyperlink" Target="https://www.youtube.com/@AI%EA%B0%9C%EB%B0%9C%EC%A2%8C" TargetMode="External"/><Relationship Id="rId209" Type="http://schemas.openxmlformats.org/officeDocument/2006/relationships/hyperlink" Target="https://captainai.framer.website/" TargetMode="External"/><Relationship Id="rId208" Type="http://schemas.openxmlformats.org/officeDocument/2006/relationships/hyperlink" Target="https://www.youtube.com/@captain_ai/videos" TargetMode="External"/><Relationship Id="rId207" Type="http://schemas.openxmlformats.org/officeDocument/2006/relationships/hyperlink" Target="https://www.youtube.com/@figmaleon/featured" TargetMode="External"/><Relationship Id="rId682" Type="http://schemas.openxmlformats.org/officeDocument/2006/relationships/hyperlink" Target="http://www.youtube.com/@tingssam_insight" TargetMode="External"/><Relationship Id="rId681" Type="http://schemas.openxmlformats.org/officeDocument/2006/relationships/hyperlink" Target="https://www.instagram.com/growthyoungduk/" TargetMode="External"/><Relationship Id="rId680" Type="http://schemas.openxmlformats.org/officeDocument/2006/relationships/hyperlink" Target="https://www.youtube.com/@growthyoungduk/videos" TargetMode="External"/><Relationship Id="rId202" Type="http://schemas.openxmlformats.org/officeDocument/2006/relationships/hyperlink" Target="https://www.instagram.com/shoppduddn_?igsh=M2F5MWdoOXVremY=" TargetMode="External"/><Relationship Id="rId686" Type="http://schemas.openxmlformats.org/officeDocument/2006/relationships/hyperlink" Target="https://www.youtube.com/@AI%EA%B0%9C%EB%B0%9C%EC%A2%8C" TargetMode="External"/><Relationship Id="rId201" Type="http://schemas.openxmlformats.org/officeDocument/2006/relationships/hyperlink" Target="https://www.youtube.com/@%ED%95%9C%EB%93%9C%EB%9E%98%EA%B3%A4TV" TargetMode="External"/><Relationship Id="rId685" Type="http://schemas.openxmlformats.org/officeDocument/2006/relationships/hyperlink" Target="mailto:artingmin@gmail.com" TargetMode="External"/><Relationship Id="rId200" Type="http://schemas.openxmlformats.org/officeDocument/2006/relationships/hyperlink" Target="https://cafe.naver.com/handragon88/261" TargetMode="External"/><Relationship Id="rId684" Type="http://schemas.openxmlformats.org/officeDocument/2006/relationships/hyperlink" Target="http://www.youtube.com/@tingssam_insight" TargetMode="External"/><Relationship Id="rId683" Type="http://schemas.openxmlformats.org/officeDocument/2006/relationships/hyperlink" Target="https://www.amazingtalker.co.kr/teachers-and-tutors/lee-jungmin" TargetMode="External"/><Relationship Id="rId679" Type="http://schemas.openxmlformats.org/officeDocument/2006/relationships/hyperlink" Target="https://www.youtube.com/@growthyoungduk/videos" TargetMode="External"/><Relationship Id="rId678" Type="http://schemas.openxmlformats.org/officeDocument/2006/relationships/hyperlink" Target="https://www.youtube.com/@AION%EB%8F%88%EB%B2%84%EB%8A%94%EB%B2%95/featured" TargetMode="External"/><Relationship Id="rId677" Type="http://schemas.openxmlformats.org/officeDocument/2006/relationships/hyperlink" Target="https://www.latpeed.com/products/0DcFQ" TargetMode="External"/><Relationship Id="rId676" Type="http://schemas.openxmlformats.org/officeDocument/2006/relationships/hyperlink" Target="https://www.youtube.com/@AION%EB%8F%88%EB%B2%84%EB%8A%94%EB%B2%95/featured" TargetMode="External"/><Relationship Id="rId671" Type="http://schemas.openxmlformats.org/officeDocument/2006/relationships/hyperlink" Target="https://www.youtube.com/@job_money/shorts" TargetMode="External"/><Relationship Id="rId670" Type="http://schemas.openxmlformats.org/officeDocument/2006/relationships/hyperlink" Target="https://www.youtube.com/@%EC%9C%84%ED%83%81%EA%B3%A0%EC%88%98_%EC%9E%A5%EB%8C%80%ED%91%9C" TargetMode="External"/><Relationship Id="rId675" Type="http://schemas.openxmlformats.org/officeDocument/2006/relationships/hyperlink" Target="https://www.instagram.com/ssophi_hi/" TargetMode="External"/><Relationship Id="rId674" Type="http://schemas.openxmlformats.org/officeDocument/2006/relationships/hyperlink" Target="https://www.instagram.com/ssophi_hi/" TargetMode="External"/><Relationship Id="rId673" Type="http://schemas.openxmlformats.org/officeDocument/2006/relationships/hyperlink" Target="https://www.instagram.com/jexsica_jobs/" TargetMode="External"/><Relationship Id="rId672" Type="http://schemas.openxmlformats.org/officeDocument/2006/relationships/hyperlink" Target="https://www.wadiz.kr/web/community/reward/signature/2818714?utm_source=signature&amp;utm_medium=url&amp;utm_campaign=share_in&amp;walinkid=6698758" TargetMode="External"/><Relationship Id="rId190" Type="http://schemas.openxmlformats.org/officeDocument/2006/relationships/hyperlink" Target="https://litt.ly/tuisy" TargetMode="External"/><Relationship Id="rId194" Type="http://schemas.openxmlformats.org/officeDocument/2006/relationships/hyperlink" Target="https://cafe.naver.com/youtobenomad" TargetMode="External"/><Relationship Id="rId193" Type="http://schemas.openxmlformats.org/officeDocument/2006/relationships/hyperlink" Target="https://link.inpock.co.kr/aishortguide?fbclid=PAZXh0bgNhZW0CMTEAAafANwDUOSsluuQF8S3RYpDXISOGM77hF8MRK2lh5uePSmi52WfvOj0t8QNjXw_aem_MNXNc6_0dl4Zlh0S547UFg" TargetMode="External"/><Relationship Id="rId192" Type="http://schemas.openxmlformats.org/officeDocument/2006/relationships/hyperlink" Target="https://www.instagram.com/aishortguide/" TargetMode="External"/><Relationship Id="rId191" Type="http://schemas.openxmlformats.org/officeDocument/2006/relationships/hyperlink" Target="https://www.youtube.com/@tuisydesign/featured" TargetMode="External"/><Relationship Id="rId187" Type="http://schemas.openxmlformats.org/officeDocument/2006/relationships/hyperlink" Target="https://www.class101.net/ko/products/67c163b09682a36b1f50a215?utm_campaign=pdp_share&amp;utm_content=share_feature&amp;utm_medium=referral&amp;utm_source=link_share_share&amp;utm_term=67c163b09682a36b1f50a215" TargetMode="External"/><Relationship Id="rId186" Type="http://schemas.openxmlformats.org/officeDocument/2006/relationships/hyperlink" Target="https://www.instagram.com/ari.neo/" TargetMode="External"/><Relationship Id="rId185" Type="http://schemas.openxmlformats.org/officeDocument/2006/relationships/hyperlink" Target="https://litt.ly/digitalturtle" TargetMode="External"/><Relationship Id="rId184" Type="http://schemas.openxmlformats.org/officeDocument/2006/relationships/hyperlink" Target="https://www.instagram.com/hyeoniji_kr" TargetMode="External"/><Relationship Id="rId189" Type="http://schemas.openxmlformats.org/officeDocument/2006/relationships/hyperlink" Target="https://www.youtube.com/@tuisydesign/featured" TargetMode="External"/><Relationship Id="rId188" Type="http://schemas.openxmlformats.org/officeDocument/2006/relationships/hyperlink" Target="https://www.instagram.com/ari.neo/" TargetMode="External"/><Relationship Id="rId183" Type="http://schemas.openxmlformats.org/officeDocument/2006/relationships/hyperlink" Target="https://www.youtube.com/@digital_turtle/videos" TargetMode="External"/><Relationship Id="rId182" Type="http://schemas.openxmlformats.org/officeDocument/2006/relationships/hyperlink" Target="https://www.ebs.co.kr/pass/serviceinfo/notice/30004178948?p=Yy5wYWdlPTEmYy5wYWdlU2l6ZT0xNSZzZWFyY2hLZXl3b3JkPSZzZWFyY2hDb25kaXRpb249" TargetMode="External"/><Relationship Id="rId181" Type="http://schemas.openxmlformats.org/officeDocument/2006/relationships/hyperlink" Target="https://www.youtube.com/@digital_turtle/videos" TargetMode="External"/><Relationship Id="rId180" Type="http://schemas.openxmlformats.org/officeDocument/2006/relationships/hyperlink" Target="https://www.youtube.com/@%EC%B2%9C%EC%9D%80%EC%98%81" TargetMode="External"/><Relationship Id="rId176" Type="http://schemas.openxmlformats.org/officeDocument/2006/relationships/hyperlink" Target="https://www.wadiz.kr/web/campaign/detailPost/344527/news/499118?srsltid=AfmBOooq42z2B129U5o-8eCMWgZiHxurCdYSe18jOZGZhumd28OzwH9z" TargetMode="External"/><Relationship Id="rId175" Type="http://schemas.openxmlformats.org/officeDocument/2006/relationships/hyperlink" Target="https://www.instagram.com/ai.sadari/" TargetMode="External"/><Relationship Id="rId174" Type="http://schemas.openxmlformats.org/officeDocument/2006/relationships/hyperlink" Target="https://www.youtube.com/@masterbot/videos" TargetMode="External"/><Relationship Id="rId173" Type="http://schemas.openxmlformats.org/officeDocument/2006/relationships/hyperlink" Target="https://www.youtube.com/@masterbot/videos" TargetMode="External"/><Relationship Id="rId179" Type="http://schemas.openxmlformats.org/officeDocument/2006/relationships/hyperlink" Target="https://1000is0.com/" TargetMode="External"/><Relationship Id="rId178" Type="http://schemas.openxmlformats.org/officeDocument/2006/relationships/hyperlink" Target="https://www.youtube.com/@%EC%B2%9C%EC%9D%80%EC%98%81" TargetMode="External"/><Relationship Id="rId177" Type="http://schemas.openxmlformats.org/officeDocument/2006/relationships/hyperlink" Target="https://www.instagram.com/ai.sadari/" TargetMode="External"/><Relationship Id="rId198" Type="http://schemas.openxmlformats.org/officeDocument/2006/relationships/hyperlink" Target="https://vimeo.com/maronkim" TargetMode="External"/><Relationship Id="rId197" Type="http://schemas.openxmlformats.org/officeDocument/2006/relationships/hyperlink" Target="https://www.youtube.com/@maronkim/videos" TargetMode="External"/><Relationship Id="rId196" Type="http://schemas.openxmlformats.org/officeDocument/2006/relationships/hyperlink" Target="https://coloso.co.kr/products/ai-maronkim" TargetMode="External"/><Relationship Id="rId195" Type="http://schemas.openxmlformats.org/officeDocument/2006/relationships/hyperlink" Target="https://www.youtube.com/@maronkim/videos" TargetMode="External"/><Relationship Id="rId199" Type="http://schemas.openxmlformats.org/officeDocument/2006/relationships/hyperlink" Target="https://www.youtube.com/@%ED%95%9C%EB%93%9C%EB%9E%98%EA%B3%A4TV" TargetMode="External"/><Relationship Id="rId150" Type="http://schemas.openxmlformats.org/officeDocument/2006/relationships/hyperlink" Target="https://www.youtube.com/watch?v=-_Fg1s79si0" TargetMode="External"/><Relationship Id="rId149" Type="http://schemas.openxmlformats.org/officeDocument/2006/relationships/hyperlink" Target="https://cafe.naver.com/nomadmark" TargetMode="External"/><Relationship Id="rId148" Type="http://schemas.openxmlformats.org/officeDocument/2006/relationships/hyperlink" Target="https://www.instagram.com/nomad_mark_?igsh=bHdnaWNldmttMGo2" TargetMode="External"/><Relationship Id="rId143" Type="http://schemas.openxmlformats.org/officeDocument/2006/relationships/hyperlink" Target="https://www.threads.com/@deki_lab" TargetMode="External"/><Relationship Id="rId142" Type="http://schemas.openxmlformats.org/officeDocument/2006/relationships/hyperlink" Target="https://www.youtube.com/@aiecor/featured" TargetMode="External"/><Relationship Id="rId141" Type="http://schemas.openxmlformats.org/officeDocument/2006/relationships/hyperlink" Target="https://www.youtube.com/watch?v=YFMIo9AJARo" TargetMode="External"/><Relationship Id="rId140" Type="http://schemas.openxmlformats.org/officeDocument/2006/relationships/hyperlink" Target="https://www.instagram.com/contents_easy/" TargetMode="External"/><Relationship Id="rId147" Type="http://schemas.openxmlformats.org/officeDocument/2006/relationships/hyperlink" Target="https://www.youtube.com/@nomad_mark" TargetMode="External"/><Relationship Id="rId146" Type="http://schemas.openxmlformats.org/officeDocument/2006/relationships/hyperlink" Target="https://www.youtube.com/@nomad_mark" TargetMode="External"/><Relationship Id="rId145" Type="http://schemas.openxmlformats.org/officeDocument/2006/relationships/hyperlink" Target="https://cafe.naver.com/dekilab" TargetMode="External"/><Relationship Id="rId144" Type="http://schemas.openxmlformats.org/officeDocument/2006/relationships/hyperlink" Target="https://www.youtube.com/@dekilab" TargetMode="External"/><Relationship Id="rId139" Type="http://schemas.openxmlformats.org/officeDocument/2006/relationships/hyperlink" Target="https://litt.ly/yinyingssam?fbclid=PAZXh0bgNhZW0CMTEAAaejt3cQQ_CMOjv5IWNbOE-1meMsq2K93RemhfF1hX5JDwXhBxtwXQrLuY2KGQ_aem_0RN-mgl-2TmEQ-1PxdJmRQ" TargetMode="External"/><Relationship Id="rId138" Type="http://schemas.openxmlformats.org/officeDocument/2006/relationships/hyperlink" Target="https://www.instagram.com/contents_easy/" TargetMode="External"/><Relationship Id="rId137" Type="http://schemas.openxmlformats.org/officeDocument/2006/relationships/hyperlink" Target="https://www.instagram.com/kooky.ai/" TargetMode="External"/><Relationship Id="rId132" Type="http://schemas.openxmlformats.org/officeDocument/2006/relationships/hyperlink" Target="https://www.youtube.com/@dingwitch7" TargetMode="External"/><Relationship Id="rId131" Type="http://schemas.openxmlformats.org/officeDocument/2006/relationships/hyperlink" Target="https://blog.naver.com/design413_/223521970330" TargetMode="External"/><Relationship Id="rId130" Type="http://schemas.openxmlformats.org/officeDocument/2006/relationships/hyperlink" Target="https://blog.naver.com/design413_/223521970330" TargetMode="External"/><Relationship Id="rId136" Type="http://schemas.openxmlformats.org/officeDocument/2006/relationships/hyperlink" Target="https://www.youtube.com/@kooky0ai" TargetMode="External"/><Relationship Id="rId135" Type="http://schemas.openxmlformats.org/officeDocument/2006/relationships/hyperlink" Target="https://kooky-ai.inblog.io/%EA%B1%B4%EC%96%91%EB%8C%80%ED%95%99%EA%B5%90-%EA%B5%90%EC%88%98%EB%8B%98%EA%B3%BC-%EC%9E%AC%ED%95%99%EC%83%9D%EC%9D%84-%EC%9C%84%ED%95%9C-ai-%ED%88%B4-%EC%8B%A4%EB%AC%B4-%ED%99%9C%EC%9A%A9-%EA%B0%95%EC%9D%98-21003" TargetMode="External"/><Relationship Id="rId134" Type="http://schemas.openxmlformats.org/officeDocument/2006/relationships/hyperlink" Target="https://www.instagram.com/kooky.ai/" TargetMode="External"/><Relationship Id="rId133" Type="http://schemas.openxmlformats.org/officeDocument/2006/relationships/hyperlink" Target="https://www.instagram.com/_dingwitch/" TargetMode="External"/><Relationship Id="rId172" Type="http://schemas.openxmlformats.org/officeDocument/2006/relationships/hyperlink" Target="https://www.instagram.com/leedain_leader_in/" TargetMode="External"/><Relationship Id="rId171" Type="http://schemas.openxmlformats.org/officeDocument/2006/relationships/hyperlink" Target="https://linktr.ee/leader_in?fbclid=PAZXh0bgNhZW0CMTEAAafWO_kml5ULVSypBNocDva8H2yq1KSlHZdK84pQBoNU_z83DWChQ8l3rZxzXg_aem_PZJpBv4YSeEygCuRe6HUmg" TargetMode="External"/><Relationship Id="rId170" Type="http://schemas.openxmlformats.org/officeDocument/2006/relationships/hyperlink" Target="https://www.instagram.com/leedain_leader_in/" TargetMode="External"/><Relationship Id="rId165" Type="http://schemas.openxmlformats.org/officeDocument/2006/relationships/hyperlink" Target="https://blog.naver.com/ai_guide" TargetMode="External"/><Relationship Id="rId164" Type="http://schemas.openxmlformats.org/officeDocument/2006/relationships/hyperlink" Target="https://litt.ly/dongtech" TargetMode="External"/><Relationship Id="rId163" Type="http://schemas.openxmlformats.org/officeDocument/2006/relationships/hyperlink" Target="https://www.youtube.com/watch?v=9f29bZaoxxs" TargetMode="External"/><Relationship Id="rId162" Type="http://schemas.openxmlformats.org/officeDocument/2006/relationships/hyperlink" Target="https://www.learningannex.kr/shop/item.php?it_id=1718256695&amp;utm_source=youtube&amp;utm_medium=longform&amp;utm_campaign=exposure&amp;utm_content=r008" TargetMode="External"/><Relationship Id="rId169" Type="http://schemas.openxmlformats.org/officeDocument/2006/relationships/hyperlink" Target="https://www.instagram.com/calix.son?igsh=MWpuMWIyd3RhMWg4bQ==" TargetMode="External"/><Relationship Id="rId168" Type="http://schemas.openxmlformats.org/officeDocument/2006/relationships/hyperlink" Target="https://www.instagram.com/calix.son?igsh=MWpuMWIyd3RhMWg4bQ==" TargetMode="External"/><Relationship Id="rId167" Type="http://schemas.openxmlformats.org/officeDocument/2006/relationships/hyperlink" Target="http://open.kakao.com/o/sZJ2EIfh" TargetMode="External"/><Relationship Id="rId166" Type="http://schemas.openxmlformats.org/officeDocument/2006/relationships/hyperlink" Target="https://www.youtube.com/@%EB%8F%99%ED%85%8C%ED%81%AC/videos" TargetMode="External"/><Relationship Id="rId161" Type="http://schemas.openxmlformats.org/officeDocument/2006/relationships/hyperlink" Target="https://www.instagram.com/rd_drawdream/" TargetMode="External"/><Relationship Id="rId160" Type="http://schemas.openxmlformats.org/officeDocument/2006/relationships/hyperlink" Target="https://www.youtube.com/channel/UCj5YYh6XsUC518L-pT7w_DQ" TargetMode="External"/><Relationship Id="rId159" Type="http://schemas.openxmlformats.org/officeDocument/2006/relationships/hyperlink" Target="https://www.learningannex.kr/" TargetMode="External"/><Relationship Id="rId154" Type="http://schemas.openxmlformats.org/officeDocument/2006/relationships/hyperlink" Target="https://www.youtube.com/@%ED%87%B4%EC%82%AC%EC%97%B0%EA%B5%AC%EC%86%8C" TargetMode="External"/><Relationship Id="rId153" Type="http://schemas.openxmlformats.org/officeDocument/2006/relationships/hyperlink" Target="https://moneyroot.co.kr/shop/product/view?product_id=52" TargetMode="External"/><Relationship Id="rId152" Type="http://schemas.openxmlformats.org/officeDocument/2006/relationships/hyperlink" Target="https://www.youtube.com/@%ED%87%B4%EC%82%AC%EC%97%B0%EA%B5%AC%EC%86%8C" TargetMode="External"/><Relationship Id="rId151" Type="http://schemas.openxmlformats.org/officeDocument/2006/relationships/hyperlink" Target="https://litt.ly/designingi" TargetMode="External"/><Relationship Id="rId158" Type="http://schemas.openxmlformats.org/officeDocument/2006/relationships/hyperlink" Target="https://www.youtube.com/channel/UCj5YYh6XsUC518L-pT7w_DQ" TargetMode="External"/><Relationship Id="rId157" Type="http://schemas.openxmlformats.org/officeDocument/2006/relationships/hyperlink" Target="http://pf.kakao.com/_xjxjxeqG" TargetMode="External"/><Relationship Id="rId156" Type="http://schemas.openxmlformats.org/officeDocument/2006/relationships/hyperlink" Target="https://m.cafe.naver.com/ca-fe/highnjob?tc=section_home_my_cafe" TargetMode="External"/><Relationship Id="rId155" Type="http://schemas.openxmlformats.org/officeDocument/2006/relationships/hyperlink" Target="https://m.blog.naver.com/PostList.naver?blogId=gmltmd03&amp;tab=1" TargetMode="External"/><Relationship Id="rId509" Type="http://schemas.openxmlformats.org/officeDocument/2006/relationships/hyperlink" Target="https://edurable.co.kr/" TargetMode="External"/><Relationship Id="rId508" Type="http://schemas.openxmlformats.org/officeDocument/2006/relationships/hyperlink" Target="https://www.youtube.com/@gonggamstar_gahee" TargetMode="External"/><Relationship Id="rId503" Type="http://schemas.openxmlformats.org/officeDocument/2006/relationships/hyperlink" Target="https://www.threads.com/@shorts_university_?hl=ko" TargetMode="External"/><Relationship Id="rId502" Type="http://schemas.openxmlformats.org/officeDocument/2006/relationships/hyperlink" Target="https://www.instagram.com/kongkey__/" TargetMode="External"/><Relationship Id="rId501" Type="http://schemas.openxmlformats.org/officeDocument/2006/relationships/hyperlink" Target="https://www.threads.com/@kongkey__?hl=ko" TargetMode="External"/><Relationship Id="rId500" Type="http://schemas.openxmlformats.org/officeDocument/2006/relationships/hyperlink" Target="http://instagram.com/yumyum_kingdom" TargetMode="External"/><Relationship Id="rId507" Type="http://schemas.openxmlformats.org/officeDocument/2006/relationships/hyperlink" Target="https://youtube.com/channel/UCssMAfwEpQF0GZ8V0a57vuQ?si=bVKjc4B4cvZHDp2_" TargetMode="External"/><Relationship Id="rId506" Type="http://schemas.openxmlformats.org/officeDocument/2006/relationships/hyperlink" Target="https://booup1234.co.kr/" TargetMode="External"/><Relationship Id="rId505" Type="http://schemas.openxmlformats.org/officeDocument/2006/relationships/hyperlink" Target="https://www.instagram.com/shorts_university_?igsh=OWlyb2p2cW5mZjlj" TargetMode="External"/><Relationship Id="rId504" Type="http://schemas.openxmlformats.org/officeDocument/2006/relationships/hyperlink" Target="https://m.blog.naver.com/gmltmd03/223783670085" TargetMode="External"/><Relationship Id="rId525" Type="http://schemas.openxmlformats.org/officeDocument/2006/relationships/hyperlink" Target="https://www.youtube.com/@SEO%EC%95%84%EB%A0%88%EB%82%98" TargetMode="External"/><Relationship Id="rId524" Type="http://schemas.openxmlformats.org/officeDocument/2006/relationships/hyperlink" Target="https://class.seoarenakr.com/classes/232817" TargetMode="External"/><Relationship Id="rId523" Type="http://schemas.openxmlformats.org/officeDocument/2006/relationships/hyperlink" Target="https://www.youtube.com/@SEO%EC%95%84%EB%A0%88%EB%82%98" TargetMode="External"/><Relationship Id="rId522" Type="http://schemas.openxmlformats.org/officeDocument/2006/relationships/hyperlink" Target="https://www.youtube.com/@toemalbu" TargetMode="External"/><Relationship Id="rId529" Type="http://schemas.openxmlformats.org/officeDocument/2006/relationships/hyperlink" Target="https://www.instagram.com/sats_shorts/" TargetMode="External"/><Relationship Id="rId528" Type="http://schemas.openxmlformats.org/officeDocument/2006/relationships/hyperlink" Target="https://www.youtube.com/@%EC%9D%B4%EC%83%81%ED%95%9C%EC%83%9D%EB%AC%BC%EB%8F%84%EA%B0%90" TargetMode="External"/><Relationship Id="rId527" Type="http://schemas.openxmlformats.org/officeDocument/2006/relationships/hyperlink" Target="https://cafe.naver.com/sats10000" TargetMode="External"/><Relationship Id="rId526" Type="http://schemas.openxmlformats.org/officeDocument/2006/relationships/hyperlink" Target="https://www.threads.com/@sats_shorts" TargetMode="External"/><Relationship Id="rId521" Type="http://schemas.openxmlformats.org/officeDocument/2006/relationships/hyperlink" Target="https://www.youtube.com/@toemalbu" TargetMode="External"/><Relationship Id="rId520" Type="http://schemas.openxmlformats.org/officeDocument/2006/relationships/hyperlink" Target="https://www.youtube.com/@BANGZOOZIGI" TargetMode="External"/><Relationship Id="rId519" Type="http://schemas.openxmlformats.org/officeDocument/2006/relationships/hyperlink" Target="https://bangzoo.co.kr/" TargetMode="External"/><Relationship Id="rId514" Type="http://schemas.openxmlformats.org/officeDocument/2006/relationships/hyperlink" Target="https://www.youtube.com/@dayNightCoding/videos" TargetMode="External"/><Relationship Id="rId513" Type="http://schemas.openxmlformats.org/officeDocument/2006/relationships/hyperlink" Target="https://www.inflearn.com/course/%EC%9B%90%ED%81%B4%EB%A6%AD%EC%9C%BC%EB%A1%9C-ai%EA%B0%80-%EC%83%9D%EC%84%B1%ED%95%B4%EC%A3%BC%EB%8A%94-yout" TargetMode="External"/><Relationship Id="rId512" Type="http://schemas.openxmlformats.org/officeDocument/2006/relationships/hyperlink" Target="https://www.inflearn.com/course/%EC%9B%90%ED%81%B4%EB%A6%AD%EC%9C%BC%EB%A1%9C-ai%EA%B0%80-%EC%83%9D%EC%84%B1%ED%95%B4%EC%A3%BC%EB%8A%94-yout" TargetMode="External"/><Relationship Id="rId511" Type="http://schemas.openxmlformats.org/officeDocument/2006/relationships/hyperlink" Target="https://www.instagram.com/edurable_ceo" TargetMode="External"/><Relationship Id="rId518" Type="http://schemas.openxmlformats.org/officeDocument/2006/relationships/hyperlink" Target="https://infobangzoo.notion.site/3-7-2b2d37aae34680379a9ae1cbd5e59a08" TargetMode="External"/><Relationship Id="rId517" Type="http://schemas.openxmlformats.org/officeDocument/2006/relationships/hyperlink" Target="https://www.youtube.com/@leenosence" TargetMode="External"/><Relationship Id="rId516" Type="http://schemas.openxmlformats.org/officeDocument/2006/relationships/hyperlink" Target="https://cafe.naver.com/slowfood" TargetMode="External"/><Relationship Id="rId515" Type="http://schemas.openxmlformats.org/officeDocument/2006/relationships/hyperlink" Target="https://www.youtube.com/@leenosence" TargetMode="External"/><Relationship Id="rId510" Type="http://schemas.openxmlformats.org/officeDocument/2006/relationships/hyperlink" Target="https://www.youtube.com/@gonggamstar_gahee" TargetMode="External"/><Relationship Id="rId590" Type="http://schemas.openxmlformats.org/officeDocument/2006/relationships/hyperlink" Target="https://www.youtube.com/@%EA%B2%BD%EC%A0%9C%ED%95%99%EB%98%91%EB%98%91" TargetMode="External"/><Relationship Id="rId107" Type="http://schemas.openxmlformats.org/officeDocument/2006/relationships/hyperlink" Target="https://litt.ly/cheonkkum?fbclid=PAZXh0bgNhZW0CMTEAAaeT9RVHqG91YMxUAEFy61Rck0j2zq3IdurKVCwnzJe3eX-r7VtoeOULBtWZZA_aem_Pn_u5xJH1yq3WKYJyu6aLg" TargetMode="External"/><Relationship Id="rId106" Type="http://schemas.openxmlformats.org/officeDocument/2006/relationships/hyperlink" Target="https://www.instagram.com/slow_life_kr/" TargetMode="External"/><Relationship Id="rId105" Type="http://schemas.openxmlformats.org/officeDocument/2006/relationships/hyperlink" Target="mailto:artist8012@naver.com" TargetMode="External"/><Relationship Id="rId589" Type="http://schemas.openxmlformats.org/officeDocument/2006/relationships/hyperlink" Target="https://www.youtube.com/@%EA%B2%BD%EC%A0%9C%ED%95%99%EB%98%91%EB%98%91%EC%9D%B4" TargetMode="External"/><Relationship Id="rId104" Type="http://schemas.openxmlformats.org/officeDocument/2006/relationships/hyperlink" Target="https://www.instagram.com/dondi_ai_/" TargetMode="External"/><Relationship Id="rId588" Type="http://schemas.openxmlformats.org/officeDocument/2006/relationships/hyperlink" Target="https://www.youtube.com/@AI-%EB%85%B8%EC%BD%94%EB%94%A9/videos" TargetMode="External"/><Relationship Id="rId109" Type="http://schemas.openxmlformats.org/officeDocument/2006/relationships/hyperlink" Target="https://www.instagram.com/limonsparkk/" TargetMode="External"/><Relationship Id="rId108" Type="http://schemas.openxmlformats.org/officeDocument/2006/relationships/hyperlink" Target="https://www.instagram.com/slow_life_kr/" TargetMode="External"/><Relationship Id="rId583" Type="http://schemas.openxmlformats.org/officeDocument/2006/relationships/hyperlink" Target="https://www.youtube.com/watch?v=iHBnmsmX62c" TargetMode="External"/><Relationship Id="rId582" Type="http://schemas.openxmlformats.org/officeDocument/2006/relationships/hyperlink" Target="https://www.bsdclass.co.kr/33" TargetMode="External"/><Relationship Id="rId581" Type="http://schemas.openxmlformats.org/officeDocument/2006/relationships/hyperlink" Target="https://www.youtube.com/watch?v=iHBnmsmX62c" TargetMode="External"/><Relationship Id="rId580" Type="http://schemas.openxmlformats.org/officeDocument/2006/relationships/hyperlink" Target="http://youtube.com/redirect?event=comments&amp;redir_token=QUFFLUhqbXJuRmRfbTdoZHNuZlQ2cTd5SC10amNtRC1OUXxBQ3Jtc0ttSXBGenoxem9MM1pXZzV0QjcyNFVSdjQ3LTJWazlxY2N5N2o0V2F5Z2ZTWV9NRFg0ZUhTSmJwUGY3d0xtekNISEpudmhRdmNrQlZ0UW5KaEcwZWgweVhFVm1ubTVORmNuTThNVEp6LXBYSUxOVmd5NA&amp;q=https%3A%2F%2Fbit.ly%2F4griipC" TargetMode="External"/><Relationship Id="rId103" Type="http://schemas.openxmlformats.org/officeDocument/2006/relationships/hyperlink" Target="https://www.youtube.com/@%EB%8F%88%EB%94%94AI" TargetMode="External"/><Relationship Id="rId587" Type="http://schemas.openxmlformats.org/officeDocument/2006/relationships/hyperlink" Target="https://www.youtube.com/@AI-%EB%85%B8%EC%BD%94%EB%94%A9/videos" TargetMode="External"/><Relationship Id="rId102" Type="http://schemas.openxmlformats.org/officeDocument/2006/relationships/hyperlink" Target="https://blog.naver.com/dondi_" TargetMode="External"/><Relationship Id="rId586" Type="http://schemas.openxmlformats.org/officeDocument/2006/relationships/hyperlink" Target="http://www.youtube.com/@jys-jinyongsung" TargetMode="External"/><Relationship Id="rId101" Type="http://schemas.openxmlformats.org/officeDocument/2006/relationships/hyperlink" Target="https://www.instagram.com/wonder_roy_world/" TargetMode="External"/><Relationship Id="rId585" Type="http://schemas.openxmlformats.org/officeDocument/2006/relationships/hyperlink" Target="https://www.youtube.com/watch?v=CuFKzJ5IKWQ" TargetMode="External"/><Relationship Id="rId100" Type="http://schemas.openxmlformats.org/officeDocument/2006/relationships/hyperlink" Target="https://cafe.naver.com/wonderroutine" TargetMode="External"/><Relationship Id="rId584" Type="http://schemas.openxmlformats.org/officeDocument/2006/relationships/hyperlink" Target="http://aibridge.co.kr/" TargetMode="External"/><Relationship Id="rId579" Type="http://schemas.openxmlformats.org/officeDocument/2006/relationships/hyperlink" Target="https://www.youtube.com/@%EB%8F%88%EB%B2%84%EB%8A%94%EC%97%84%EB%A7%88%EC%85%80%EB%9F%AC" TargetMode="External"/><Relationship Id="rId578" Type="http://schemas.openxmlformats.org/officeDocument/2006/relationships/hyperlink" Target="https://www.youtube.com/@%EC%A1%B0%ED%8C%80%EC%9E%A5%EC%9D%98AI%EA%B3%B5%EB%9E%B5%EC%A7%91" TargetMode="External"/><Relationship Id="rId577" Type="http://schemas.openxmlformats.org/officeDocument/2006/relationships/hyperlink" Target="https://docs.google.com/forms/d/e/1FAIpQLSfltf7UWNHCTmh6qT_I1bgpeLjUAEZJdjMGcy4ZUELF4pr4Vw/viewform?usp=send_form" TargetMode="External"/><Relationship Id="rId572" Type="http://schemas.openxmlformats.org/officeDocument/2006/relationships/hyperlink" Target="https://blog.naver.com/nkj2001" TargetMode="External"/><Relationship Id="rId571" Type="http://schemas.openxmlformats.org/officeDocument/2006/relationships/hyperlink" Target="https://www.inflearn.com/course/%EC%88%98%EC%9D%B5%ED%98%95-ai-agent-n8n-%EC%A0%84%EB%AC%B8%EA%B0%80" TargetMode="External"/><Relationship Id="rId570" Type="http://schemas.openxmlformats.org/officeDocument/2006/relationships/hyperlink" Target="https://www.youtube.com/@nomad.notes80/videos" TargetMode="External"/><Relationship Id="rId576" Type="http://schemas.openxmlformats.org/officeDocument/2006/relationships/hyperlink" Target="https://www.youtube.com/@%EC%A1%B0%ED%8C%80%EC%9E%A5%EC%9D%98AI%EA%B3%B5%EB%9E%B5%EC%A7%91" TargetMode="External"/><Relationship Id="rId575" Type="http://schemas.openxmlformats.org/officeDocument/2006/relationships/hyperlink" Target="https://www.youtube.com/@%EB%94%A9%EC%BD%94%EB%94%A9%EC%BD%94" TargetMode="External"/><Relationship Id="rId574" Type="http://schemas.openxmlformats.org/officeDocument/2006/relationships/hyperlink" Target="https://www.inflearn.com/course/%EB%B9%84%EA%B0%9C%EB%B0%9C%EC%9E%90-4%EC%A3%BC%EB%A7%8C%EC%97%90-%EC%88%98%EC%9D%B5%ED%99%94-%EC%84%9C%EB%B9%84%EC%8A%A4-%EB%A7%8C%EB%93%A4" TargetMode="External"/><Relationship Id="rId573" Type="http://schemas.openxmlformats.org/officeDocument/2006/relationships/hyperlink" Target="https://www.youtube.com/channel/UCV2447slbPVMl1vP1QT-hiQ" TargetMode="External"/><Relationship Id="rId129" Type="http://schemas.openxmlformats.org/officeDocument/2006/relationships/hyperlink" Target="https://www.instagram.com/nomarketers/" TargetMode="External"/><Relationship Id="rId128" Type="http://schemas.openxmlformats.org/officeDocument/2006/relationships/hyperlink" Target="https://www.youtube.com/@nomarketers" TargetMode="External"/><Relationship Id="rId127" Type="http://schemas.openxmlformats.org/officeDocument/2006/relationships/hyperlink" Target="https://pudufu.co.kr/home/pdf_detail_page/652" TargetMode="External"/><Relationship Id="rId126" Type="http://schemas.openxmlformats.org/officeDocument/2006/relationships/hyperlink" Target="https://www.youtube.com/@nomarketers" TargetMode="External"/><Relationship Id="rId121" Type="http://schemas.openxmlformats.org/officeDocument/2006/relationships/hyperlink" Target="https://www.youtube.com/@Ai-dori?app=desktop" TargetMode="External"/><Relationship Id="rId120" Type="http://schemas.openxmlformats.org/officeDocument/2006/relationships/hyperlink" Target="https://litt.ly/ai.dori.design?fbclid=PAZXh0bgNhZW0CMTEAAac27CIrEsf8yVn6znqkCU-IvSlSsTGIc_J8trPTYE9wJjo4bqtvcUVEcIsW_A_aem_DidgHCW4LxasdlgRFC1Kew" TargetMode="External"/><Relationship Id="rId125" Type="http://schemas.openxmlformats.org/officeDocument/2006/relationships/hyperlink" Target="https://www.youtube.com/@%EB%A0%88%EB%B2%A8%EC%97%85%ED%81%B4%EB%9D%BC%EC%8A%A4" TargetMode="External"/><Relationship Id="rId124" Type="http://schemas.openxmlformats.org/officeDocument/2006/relationships/hyperlink" Target="https://litt.ly/levelupclass" TargetMode="External"/><Relationship Id="rId123" Type="http://schemas.openxmlformats.org/officeDocument/2006/relationships/hyperlink" Target="https://www.youtube.com/@%EB%A0%88%EB%B2%A8%EC%97%85%ED%81%B4%EB%9D%BC%EC%8A%A4" TargetMode="External"/><Relationship Id="rId122" Type="http://schemas.openxmlformats.org/officeDocument/2006/relationships/hyperlink" Target="https://www.instagram.com/ai_dori_/" TargetMode="External"/><Relationship Id="rId118" Type="http://schemas.openxmlformats.org/officeDocument/2006/relationships/hyperlink" Target="https://www.youtube.com/@%ED%99%8D%EC%95%84%EB%A6%B0AI%EB%94%94%EC%9E%90%EC%9D%B8%EB%9E%A9" TargetMode="External"/><Relationship Id="rId117" Type="http://schemas.openxmlformats.org/officeDocument/2006/relationships/hyperlink" Target="https://branderkey.notion.site/AI-3-1e2835c9591a80b4bb9fe0416baaccf9" TargetMode="External"/><Relationship Id="rId116" Type="http://schemas.openxmlformats.org/officeDocument/2006/relationships/hyperlink" Target="https://www.youtube.com/@%ED%99%8D%EC%95%84%EB%A6%B0AI%EB%94%94%EC%9E%90%EC%9D%B8%EB%9E%A9" TargetMode="External"/><Relationship Id="rId115" Type="http://schemas.openxmlformats.org/officeDocument/2006/relationships/hyperlink" Target="https://www.instagram.com/biggie_ai?utm_source=ig_web_button_share_sheet&amp;igsh=dzR2cjU1MXhncjBx" TargetMode="External"/><Relationship Id="rId599" Type="http://schemas.openxmlformats.org/officeDocument/2006/relationships/hyperlink" Target="https://www.youtube.com/@AiFi79" TargetMode="External"/><Relationship Id="rId119" Type="http://schemas.openxmlformats.org/officeDocument/2006/relationships/hyperlink" Target="https://www.instagram.com/ai_leading/" TargetMode="External"/><Relationship Id="rId110" Type="http://schemas.openxmlformats.org/officeDocument/2006/relationships/hyperlink" Target="https://litt.ly/limonsparkk?fbclid=PAZXh0bgNhZW0CMTEAAafS5sfoRDE7w3exdl5SsmE823TOrhB1YiKaAN7--kIrxebF3K7AM-_6u6-OeA_aem_--jV8fzbn6wvYnhc2YqPNg" TargetMode="External"/><Relationship Id="rId594" Type="http://schemas.openxmlformats.org/officeDocument/2006/relationships/hyperlink" Target="http://instagram.com/ai.play.ground" TargetMode="External"/><Relationship Id="rId593" Type="http://schemas.openxmlformats.org/officeDocument/2006/relationships/hyperlink" Target="https://class101.net/ko/products/68301bdb3227e6644876feb3" TargetMode="External"/><Relationship Id="rId592" Type="http://schemas.openxmlformats.org/officeDocument/2006/relationships/hyperlink" Target="https://class101.net/ko/products/68301bdb3227e6644876feb3" TargetMode="External"/><Relationship Id="rId591" Type="http://schemas.openxmlformats.org/officeDocument/2006/relationships/hyperlink" Target="https://www.instagram.com/economics_ddok?igsh=MW12ZmZ2bmIyb2cxZw%3D%3D" TargetMode="External"/><Relationship Id="rId114" Type="http://schemas.openxmlformats.org/officeDocument/2006/relationships/hyperlink" Target="https://link.inpock.co.kr/biggie_ai?fbclid=PAZXh0bgNhZW0CMTEAAafTdqOPveh6eI4KBa9c3MRC6jLgiCRZVxtmdX6X5qe_-0tyHPK-0JNJZOIstw_aem_zqDm-_JLvO6VUcLC6L_gbA" TargetMode="External"/><Relationship Id="rId598" Type="http://schemas.openxmlformats.org/officeDocument/2006/relationships/hyperlink" Target="https://cafe.naver.com/f-e/cafes/31511526/articles/1482?boardtype=L&amp;menuid=103&amp;referrerAllArticles=false" TargetMode="External"/><Relationship Id="rId113" Type="http://schemas.openxmlformats.org/officeDocument/2006/relationships/hyperlink" Target="https://www.instagram.com/biggie_ai?utm_source=ig_web_button_share_sheet&amp;igsh=dzR2cjU1MXhncjBx" TargetMode="External"/><Relationship Id="rId597" Type="http://schemas.openxmlformats.org/officeDocument/2006/relationships/hyperlink" Target="https://www.youtube.com/watch?v=JYnBWikRM0c" TargetMode="External"/><Relationship Id="rId112" Type="http://schemas.openxmlformats.org/officeDocument/2006/relationships/hyperlink" Target="https://www.instagram.com/limonsparkk/" TargetMode="External"/><Relationship Id="rId596" Type="http://schemas.openxmlformats.org/officeDocument/2006/relationships/hyperlink" Target="https://www.youtube.com/@AI_LEADERS_LAB" TargetMode="External"/><Relationship Id="rId111" Type="http://schemas.openxmlformats.org/officeDocument/2006/relationships/hyperlink" Target="https://www.youtube.com/@limonsparkk" TargetMode="External"/><Relationship Id="rId595" Type="http://schemas.openxmlformats.org/officeDocument/2006/relationships/hyperlink" Target="https://www.youtube.com/watch?v=3O13Q2A86_A" TargetMode="External"/><Relationship Id="rId547" Type="http://schemas.openxmlformats.org/officeDocument/2006/relationships/hyperlink" Target="https://www.youtube.com/@%ED%8A%B8%ED%8C%8CTrendFinder" TargetMode="External"/><Relationship Id="rId546" Type="http://schemas.openxmlformats.org/officeDocument/2006/relationships/hyperlink" Target="https://link.inpock.co.kr/tf_trendfinder" TargetMode="External"/><Relationship Id="rId545" Type="http://schemas.openxmlformats.org/officeDocument/2006/relationships/hyperlink" Target="https://www.youtube.com/watch?v=HZmPJJDYTwE" TargetMode="External"/><Relationship Id="rId544" Type="http://schemas.openxmlformats.org/officeDocument/2006/relationships/hyperlink" Target="https://www.instagram.com/k_pposong_/" TargetMode="External"/><Relationship Id="rId549" Type="http://schemas.openxmlformats.org/officeDocument/2006/relationships/hyperlink" Target="https://terai.kr/" TargetMode="External"/><Relationship Id="rId548" Type="http://schemas.openxmlformats.org/officeDocument/2006/relationships/hyperlink" Target="https://www.youtube.com/watch?v=nsMqhYQX4Xg" TargetMode="External"/><Relationship Id="rId543" Type="http://schemas.openxmlformats.org/officeDocument/2006/relationships/hyperlink" Target="https://www.youtube.com/@%EA%B9%80%EB%BD%80%EC%86%A1-z3y/shorts" TargetMode="External"/><Relationship Id="rId542" Type="http://schemas.openxmlformats.org/officeDocument/2006/relationships/hyperlink" Target="https://www.youtube.com/shorts/xOD4XLtAUAc" TargetMode="External"/><Relationship Id="rId541" Type="http://schemas.openxmlformats.org/officeDocument/2006/relationships/hyperlink" Target="https://www.youtube.com/@%EC%82%AC%EC%95%A0%EB%A7%8C" TargetMode="External"/><Relationship Id="rId540" Type="http://schemas.openxmlformats.org/officeDocument/2006/relationships/hyperlink" Target="https://www.youtube.com/shorts/vC5kGrAgtrQ" TargetMode="External"/><Relationship Id="rId536" Type="http://schemas.openxmlformats.org/officeDocument/2006/relationships/hyperlink" Target="https://www.youtube.com/shorts/RWf_oyv6BIk" TargetMode="External"/><Relationship Id="rId535" Type="http://schemas.openxmlformats.org/officeDocument/2006/relationships/hyperlink" Target="https://www.instagram.com/reels_hwan/" TargetMode="External"/><Relationship Id="rId534" Type="http://schemas.openxmlformats.org/officeDocument/2006/relationships/hyperlink" Target="https://www.youtube.com/@reels_hwan/featured" TargetMode="External"/><Relationship Id="rId533" Type="http://schemas.openxmlformats.org/officeDocument/2006/relationships/hyperlink" Target="https://litt.ly/reels_hwan/sale/uQ79hlNlMSq00k4vIJ9OuCESbxbZJsDH" TargetMode="External"/><Relationship Id="rId539" Type="http://schemas.openxmlformats.org/officeDocument/2006/relationships/hyperlink" Target="https://www.youtube.com/@%EA%B5%AC%EB%8F%85%EC%9D%80%ED%96%89%EB%B3%B5%ED%95%98%EB%8B%A4%EB%A9%8D%EB%83%A5/shorts" TargetMode="External"/><Relationship Id="rId538" Type="http://schemas.openxmlformats.org/officeDocument/2006/relationships/hyperlink" Target="https://youtube.com/shorts/FWAJG_Kkhpc?si=XxfmQKbsYgasiIdH" TargetMode="External"/><Relationship Id="rId537" Type="http://schemas.openxmlformats.org/officeDocument/2006/relationships/hyperlink" Target="https://www.youtube.com/@youngbossidea/shorts" TargetMode="External"/><Relationship Id="rId532" Type="http://schemas.openxmlformats.org/officeDocument/2006/relationships/hyperlink" Target="https://www.instagram.com/p/DQQ6iUEkabb/" TargetMode="External"/><Relationship Id="rId531" Type="http://schemas.openxmlformats.org/officeDocument/2006/relationships/hyperlink" Target="https://www.youtube.com/@jakdanglabs/videos" TargetMode="External"/><Relationship Id="rId530" Type="http://schemas.openxmlformats.org/officeDocument/2006/relationships/hyperlink" Target="https://www.youtube.com/@jakdanglabs/videos" TargetMode="External"/><Relationship Id="rId569" Type="http://schemas.openxmlformats.org/officeDocument/2006/relationships/hyperlink" Target="https://www.youtube.com/@nomad.notes80/videos" TargetMode="External"/><Relationship Id="rId568" Type="http://schemas.openxmlformats.org/officeDocument/2006/relationships/hyperlink" Target="http://www.youtube.com/@automation-holic" TargetMode="External"/><Relationship Id="rId567" Type="http://schemas.openxmlformats.org/officeDocument/2006/relationships/hyperlink" Target="https://www.youtube.com/watch?v=6Vr782pyQek" TargetMode="External"/><Relationship Id="rId566" Type="http://schemas.openxmlformats.org/officeDocument/2006/relationships/hyperlink" Target="http://www.youtube.com/@soy_lab" TargetMode="External"/><Relationship Id="rId561" Type="http://schemas.openxmlformats.org/officeDocument/2006/relationships/hyperlink" Target="https://www.instagram.com/huahua_diary/" TargetMode="External"/><Relationship Id="rId560" Type="http://schemas.openxmlformats.org/officeDocument/2006/relationships/hyperlink" Target="https://www.youtube.com/@huahua_diary" TargetMode="External"/><Relationship Id="rId565" Type="http://schemas.openxmlformats.org/officeDocument/2006/relationships/hyperlink" Target="https://fastcampus.co.kr/data_online_kontext" TargetMode="External"/><Relationship Id="rId564" Type="http://schemas.openxmlformats.org/officeDocument/2006/relationships/hyperlink" Target="https://www.soylab.ai/" TargetMode="External"/><Relationship Id="rId563" Type="http://schemas.openxmlformats.org/officeDocument/2006/relationships/hyperlink" Target="https://www.youtube.com/@ai_grant_truecampus/videos" TargetMode="External"/><Relationship Id="rId562" Type="http://schemas.openxmlformats.org/officeDocument/2006/relationships/hyperlink" Target="https://www.youtube.com/@ai_grant_truecampus/videos" TargetMode="External"/><Relationship Id="rId558" Type="http://schemas.openxmlformats.org/officeDocument/2006/relationships/hyperlink" Target="https://www.youtube.com/@huahua_diary" TargetMode="External"/><Relationship Id="rId557" Type="http://schemas.openxmlformats.org/officeDocument/2006/relationships/hyperlink" Target="https://www.youtube.com/@OrcMovieToon" TargetMode="External"/><Relationship Id="rId556" Type="http://schemas.openxmlformats.org/officeDocument/2006/relationships/hyperlink" Target="https://class101.net/ko/products/6884a9e2ce14772a5c517d44?from=home" TargetMode="External"/><Relationship Id="rId555" Type="http://schemas.openxmlformats.org/officeDocument/2006/relationships/hyperlink" Target="https://www.youtube.com/@OrcMovieToon" TargetMode="External"/><Relationship Id="rId559" Type="http://schemas.openxmlformats.org/officeDocument/2006/relationships/hyperlink" Target="https://class101.net/ko/products/6884a9e2ce14772a5c517d44?from=home" TargetMode="External"/><Relationship Id="rId550" Type="http://schemas.openxmlformats.org/officeDocument/2006/relationships/hyperlink" Target="https://www.youtube.com/@%ED%85%8C%EB%9D%BC%EC%95%84%EC%9D%B4/featured" TargetMode="External"/><Relationship Id="rId554" Type="http://schemas.openxmlformats.org/officeDocument/2006/relationships/hyperlink" Target="http://instagram.com/seungho__yeo" TargetMode="External"/><Relationship Id="rId553" Type="http://schemas.openxmlformats.org/officeDocument/2006/relationships/hyperlink" Target="https://www.youtube.com/@AIartistLab/featured" TargetMode="External"/><Relationship Id="rId552" Type="http://schemas.openxmlformats.org/officeDocument/2006/relationships/hyperlink" Target="https://coloso.co.kr/products/ai-yeoseungho?utm_source=lecture-openchat&amp;utm_medium=organic&amp;utm_campaign=ai-yeoseungho_auto_all&amp;utm_content=aiprogramming_ai-yeoseungho_lecture-openchat-referrals-250512&amp;fbclid=PAZXh0bgNhZW0CMTEAAafx1mza56OWuWHkzasMLncLkv2WCZuKSy9S1sJom22kYtxH5KmJzsUbAE0cqQ_aem_5tVeOJrkujWwzsnn2IOJxw" TargetMode="External"/><Relationship Id="rId551" Type="http://schemas.openxmlformats.org/officeDocument/2006/relationships/hyperlink" Target="https://www.classu.co.kr/class/classDetail/1019120" TargetMode="External"/><Relationship Id="rId495" Type="http://schemas.openxmlformats.org/officeDocument/2006/relationships/hyperlink" Target="https://resigndeput/" TargetMode="External"/><Relationship Id="rId494" Type="http://schemas.openxmlformats.org/officeDocument/2006/relationships/hyperlink" Target="https://www.youtube.com/watch?v=MsJfBArs01E" TargetMode="External"/><Relationship Id="rId493" Type="http://schemas.openxmlformats.org/officeDocument/2006/relationships/hyperlink" Target="https://www.youtube.com/@%EC%82%AC%EC%97%B0%EB%82%98%EB%AC%B4-l7d" TargetMode="External"/><Relationship Id="rId492" Type="http://schemas.openxmlformats.org/officeDocument/2006/relationships/hyperlink" Target="https://www.youtube.com/@%EC%82%AC%EC%97%B0%EB%82%98%EB%AC%B4-l7d" TargetMode="External"/><Relationship Id="rId499" Type="http://schemas.openxmlformats.org/officeDocument/2006/relationships/hyperlink" Target="https://www.youtube.com/@yumyum_kingdom%EB%83%A0%EB%83%A0%EC%99%95%EA%B5%AD" TargetMode="External"/><Relationship Id="rId498" Type="http://schemas.openxmlformats.org/officeDocument/2006/relationships/hyperlink" Target="https://www.youtube.com/@yumyum_kingdom%EB%83%A0%EB%83%A0%EC%99%95%EA%B5%AD" TargetMode="External"/><Relationship Id="rId497" Type="http://schemas.openxmlformats.org/officeDocument/2006/relationships/hyperlink" Target="https://www.youtube.com/@%EC%9B%83%EC%A7%A4%ED%8A%9C%EB%B8%8C/shorts" TargetMode="External"/><Relationship Id="rId496" Type="http://schemas.openxmlformats.org/officeDocument/2006/relationships/hyperlink" Target="https://www.youtube.com/@resigned-deputy" TargetMode="External"/><Relationship Id="rId409" Type="http://schemas.openxmlformats.org/officeDocument/2006/relationships/hyperlink" Target="https://coloso.co.kr/products/snack-branding-grimiart?utm_source=lecture-instagram&amp;utm_medium=organic&amp;utm_campaign=snack-branding-grimiart_auto_all&amp;utm_content=snack_snack-branding-grimiart_lecture-ig-referrals-250203&amp;fbclid=PAZXh0bgNhZW0CMTEAAafiwgQVyvJLkxPKk_xNY0Aa01aO-St8cUD-Cidv5CxjWT5Ulj_Ad8dyMUV9Mw_aem_SDO6Kq2DluFl7nBPr4_AyQ" TargetMode="External"/><Relationship Id="rId404" Type="http://schemas.openxmlformats.org/officeDocument/2006/relationships/hyperlink" Target="https://www.instagram.com/quick_richx/reels/" TargetMode="External"/><Relationship Id="rId403" Type="http://schemas.openxmlformats.org/officeDocument/2006/relationships/hyperlink" Target="https://www.wadiz.kr/web/store/detail/6008" TargetMode="External"/><Relationship Id="rId402" Type="http://schemas.openxmlformats.org/officeDocument/2006/relationships/hyperlink" Target="https://www.instagram.com/dreamatic_asmr/" TargetMode="External"/><Relationship Id="rId401" Type="http://schemas.openxmlformats.org/officeDocument/2006/relationships/hyperlink" Target="https://www.youtube.com/@Dreamaticasmr" TargetMode="External"/><Relationship Id="rId408" Type="http://schemas.openxmlformats.org/officeDocument/2006/relationships/hyperlink" Target="https://blog.naver.com/grimiartdesign" TargetMode="External"/><Relationship Id="rId407" Type="http://schemas.openxmlformats.org/officeDocument/2006/relationships/hyperlink" Target="https://www.instagram.com/song_ping7/reels/" TargetMode="External"/><Relationship Id="rId406" Type="http://schemas.openxmlformats.org/officeDocument/2006/relationships/hyperlink" Target="https://www.youtube.com/@%EB%9D%BC%EC%9D%B4%ED%94%84%EB%9F%AC%EB%8B%9D098" TargetMode="External"/><Relationship Id="rId405" Type="http://schemas.openxmlformats.org/officeDocument/2006/relationships/hyperlink" Target="https://www.instagram.com/song_ping7/reels/" TargetMode="External"/><Relationship Id="rId400" Type="http://schemas.openxmlformats.org/officeDocument/2006/relationships/hyperlink" Target="https://www.youtube.com/@Dreamaticasmr" TargetMode="External"/><Relationship Id="rId469" Type="http://schemas.openxmlformats.org/officeDocument/2006/relationships/hyperlink" Target="https://www.youtube.com/channel/UCDLl0e_r3Pj0fYOqb6hXRjw" TargetMode="External"/><Relationship Id="rId468" Type="http://schemas.openxmlformats.org/officeDocument/2006/relationships/hyperlink" Target="https://kmong.com/gig/421167" TargetMode="External"/><Relationship Id="rId467" Type="http://schemas.openxmlformats.org/officeDocument/2006/relationships/hyperlink" Target="https://www.instagram.com/anasdinonews/" TargetMode="External"/><Relationship Id="rId462" Type="http://schemas.openxmlformats.org/officeDocument/2006/relationships/hyperlink" Target="https://www.youtube.com/channel/UCr20bTgXCdu1svidhdnRXyg" TargetMode="External"/><Relationship Id="rId461" Type="http://schemas.openxmlformats.org/officeDocument/2006/relationships/hyperlink" Target="https://www.tiktok.com/@wanthowtip" TargetMode="External"/><Relationship Id="rId460" Type="http://schemas.openxmlformats.org/officeDocument/2006/relationships/hyperlink" Target="https://www.youtube.com/@life_trainer" TargetMode="External"/><Relationship Id="rId466" Type="http://schemas.openxmlformats.org/officeDocument/2006/relationships/hyperlink" Target="https://www.youtube.com/@anasdino" TargetMode="External"/><Relationship Id="rId465" Type="http://schemas.openxmlformats.org/officeDocument/2006/relationships/hyperlink" Target="https://anasdinolife.imweb.me/about" TargetMode="External"/><Relationship Id="rId464" Type="http://schemas.openxmlformats.org/officeDocument/2006/relationships/hyperlink" Target="https://www.tiktok.com/@anasdino_" TargetMode="External"/><Relationship Id="rId463" Type="http://schemas.openxmlformats.org/officeDocument/2006/relationships/hyperlink" Target="https://www.instagram.com/doyouwanthow" TargetMode="External"/><Relationship Id="rId459" Type="http://schemas.openxmlformats.org/officeDocument/2006/relationships/hyperlink" Target="https://the8-ent.com/" TargetMode="External"/><Relationship Id="rId458" Type="http://schemas.openxmlformats.org/officeDocument/2006/relationships/hyperlink" Target="https://kmong.com/gig/596604" TargetMode="External"/><Relationship Id="rId457" Type="http://schemas.openxmlformats.org/officeDocument/2006/relationships/hyperlink" Target="https://kmong.com/gig/596604" TargetMode="External"/><Relationship Id="rId456" Type="http://schemas.openxmlformats.org/officeDocument/2006/relationships/hyperlink" Target="https://www.youtube.com/@hwanghonromance" TargetMode="External"/><Relationship Id="rId451" Type="http://schemas.openxmlformats.org/officeDocument/2006/relationships/hyperlink" Target="https://www.youtube.com/@DeokDi/videos" TargetMode="External"/><Relationship Id="rId450" Type="http://schemas.openxmlformats.org/officeDocument/2006/relationships/hyperlink" Target="https://www.youtube.com/@DeokDi/videos" TargetMode="External"/><Relationship Id="rId455" Type="http://schemas.openxmlformats.org/officeDocument/2006/relationships/hyperlink" Target="https://www.youtube.com/@hwanghonromance" TargetMode="External"/><Relationship Id="rId454" Type="http://schemas.openxmlformats.org/officeDocument/2006/relationships/hyperlink" Target="https://www.youtube.com/@%EA%BD%83%EB%B3%B4%EB%8B%A4%ED%9B%84%EB%B0%98" TargetMode="External"/><Relationship Id="rId453" Type="http://schemas.openxmlformats.org/officeDocument/2006/relationships/hyperlink" Target="https://www.youtube.com/@%EA%BD%83%EB%B3%B4%EB%8B%A4%ED%9B%84%EB%B0%98" TargetMode="External"/><Relationship Id="rId452" Type="http://schemas.openxmlformats.org/officeDocument/2006/relationships/hyperlink" Target="http://instagram.com/deok_di" TargetMode="External"/><Relationship Id="rId491" Type="http://schemas.openxmlformats.org/officeDocument/2006/relationships/hyperlink" Target="https://www.instagram.com/youtub.r.nam?igsh=bzE5djJqMjQ1ZHQz" TargetMode="External"/><Relationship Id="rId490" Type="http://schemas.openxmlformats.org/officeDocument/2006/relationships/hyperlink" Target="https://www.youtube.com/@%EC%9C%A0%EC%95%8C%EB%82%A8%EC%9C%A0%ED%8A%9C%EB%B8%8C%EC%95%8C%EB%A0%A4%EC%A3%BC%EB%8A%94/featured" TargetMode="External"/><Relationship Id="rId489" Type="http://schemas.openxmlformats.org/officeDocument/2006/relationships/hyperlink" Target="https://www.instagram.com/rose_hiro__/" TargetMode="External"/><Relationship Id="rId484" Type="http://schemas.openxmlformats.org/officeDocument/2006/relationships/hyperlink" Target="https://www.youtube.com/watch?v=ibqPRzBBJeQ" TargetMode="External"/><Relationship Id="rId483" Type="http://schemas.openxmlformats.org/officeDocument/2006/relationships/hyperlink" Target="https://open.kakao.com/o/gqYjPkVh" TargetMode="External"/><Relationship Id="rId482" Type="http://schemas.openxmlformats.org/officeDocument/2006/relationships/hyperlink" Target="https://www.instagram.com/money_grylls?igsh=OWN4M3hzNXN2dmxm" TargetMode="External"/><Relationship Id="rId481" Type="http://schemas.openxmlformats.org/officeDocument/2006/relationships/hyperlink" Target="https://www.threads.com/@money_grylls" TargetMode="External"/><Relationship Id="rId488" Type="http://schemas.openxmlformats.org/officeDocument/2006/relationships/hyperlink" Target="https://www.threads.com/@rose_hiro__?xmt=AQF0_lyJ46E-ZtyZ5N4fPPLWgZyNW8rhx9aEnI2Nz1Ty-XQ" TargetMode="External"/><Relationship Id="rId487" Type="http://schemas.openxmlformats.org/officeDocument/2006/relationships/hyperlink" Target="https://www.youtube.com/@%EC%8B%9C%EB%8B%88%EC%96%B4%EC%A0%95%EB%B3%B4%EC%84%BC%ED%84%B0" TargetMode="External"/><Relationship Id="rId486" Type="http://schemas.openxmlformats.org/officeDocument/2006/relationships/hyperlink" Target="https://www.youtube.com/watch?v=wHWT9q42bKM" TargetMode="External"/><Relationship Id="rId485" Type="http://schemas.openxmlformats.org/officeDocument/2006/relationships/hyperlink" Target="https://www.youtube.com/@%EC%A7%80%ED%98%9C%EB%A1%9C%EC%9A%B4%EB%85%B8%EB%85%84-bestgene" TargetMode="External"/><Relationship Id="rId480" Type="http://schemas.openxmlformats.org/officeDocument/2006/relationships/hyperlink" Target="https://www.youtube.com/@gasinai/featured" TargetMode="External"/><Relationship Id="rId479" Type="http://schemas.openxmlformats.org/officeDocument/2006/relationships/hyperlink" Target="https://cafe.naver.com/easyshorts" TargetMode="External"/><Relationship Id="rId478" Type="http://schemas.openxmlformats.org/officeDocument/2006/relationships/hyperlink" Target="https://www.youtube.com/@gasinai/featured" TargetMode="External"/><Relationship Id="rId473" Type="http://schemas.openxmlformats.org/officeDocument/2006/relationships/hyperlink" Target="mailto:sojil.com@gmail.com" TargetMode="External"/><Relationship Id="rId472" Type="http://schemas.openxmlformats.org/officeDocument/2006/relationships/hyperlink" Target="https://www.youtube.com/@%EB%85%B8%EC%9D%B8%EB%B0%B1%EC%84%B8/" TargetMode="External"/><Relationship Id="rId471" Type="http://schemas.openxmlformats.org/officeDocument/2006/relationships/hyperlink" Target="https://kmong.com/gig/704355" TargetMode="External"/><Relationship Id="rId470" Type="http://schemas.openxmlformats.org/officeDocument/2006/relationships/hyperlink" Target="mailto:njobseed@gmail.com" TargetMode="External"/><Relationship Id="rId477" Type="http://schemas.openxmlformats.org/officeDocument/2006/relationships/hyperlink" Target="https://www.youtube.com/@w.fantasy" TargetMode="External"/><Relationship Id="rId476" Type="http://schemas.openxmlformats.org/officeDocument/2006/relationships/hyperlink" Target="https://www.tiktok.com/@wfantasyx?is_from_webapp=1&amp;sender_device=pc" TargetMode="External"/><Relationship Id="rId475" Type="http://schemas.openxmlformats.org/officeDocument/2006/relationships/hyperlink" Target="https://www.youtube.com/@%EB%8A%A6%EA%B2%8C%ED%95%80%EC%A7%80%ED%98%9C/featured" TargetMode="External"/><Relationship Id="rId474" Type="http://schemas.openxmlformats.org/officeDocument/2006/relationships/hyperlink" Target="https://www.youtube.com/@%EB%8A%A6%EA%B2%8C%ED%95%80%EC%A7%80%ED%98%9C/featured" TargetMode="External"/><Relationship Id="rId426" Type="http://schemas.openxmlformats.org/officeDocument/2006/relationships/hyperlink" Target="https://www.instagram.com/_edit.kim/" TargetMode="External"/><Relationship Id="rId425" Type="http://schemas.openxmlformats.org/officeDocument/2006/relationships/hyperlink" Target="https://www.taling.me/talent/61619" TargetMode="External"/><Relationship Id="rId424" Type="http://schemas.openxmlformats.org/officeDocument/2006/relationships/hyperlink" Target="https://www.taling.me/talent/61619" TargetMode="External"/><Relationship Id="rId423" Type="http://schemas.openxmlformats.org/officeDocument/2006/relationships/hyperlink" Target="https://www.instagram.com/grit_pick?utm_source=ig_web_button_share_sheet&amp;igsh=ZDNlZDc0MzIxNw==" TargetMode="External"/><Relationship Id="rId429" Type="http://schemas.openxmlformats.org/officeDocument/2006/relationships/hyperlink" Target="https://www.youtube.com/@sihyun_adventure" TargetMode="External"/><Relationship Id="rId428" Type="http://schemas.openxmlformats.org/officeDocument/2006/relationships/hyperlink" Target="https://www.mmusclass.com/" TargetMode="External"/><Relationship Id="rId427" Type="http://schemas.openxmlformats.org/officeDocument/2006/relationships/hyperlink" Target="https://litt.ly/gold_kobold" TargetMode="External"/><Relationship Id="rId422" Type="http://schemas.openxmlformats.org/officeDocument/2006/relationships/hyperlink" Target="https://shco.co.kr/21/?idx=19" TargetMode="External"/><Relationship Id="rId421" Type="http://schemas.openxmlformats.org/officeDocument/2006/relationships/hyperlink" Target="https://www.instagram.com/grit_pick?utm_source=ig_web_button_share_sheet&amp;igsh=ZDNlZDc0MzIxNw==" TargetMode="External"/><Relationship Id="rId420" Type="http://schemas.openxmlformats.org/officeDocument/2006/relationships/hyperlink" Target="https://www.instagram.com/tiktok_alnam?utm_source=ig_web_button_share_sheet&amp;igsh=ZDNlZDc0MzIxNw==" TargetMode="External"/><Relationship Id="rId415" Type="http://schemas.openxmlformats.org/officeDocument/2006/relationships/hyperlink" Target="https://www.taling.me/mkt/emoticon_1?utm_source=onsight&amp;utm_medium=organic&amp;utm_campaign=emoticon_purchase&amp;utm_content=homebanner&amp;utm_term=%7Bquery%7D" TargetMode="External"/><Relationship Id="rId414" Type="http://schemas.openxmlformats.org/officeDocument/2006/relationships/hyperlink" Target="https://www.instagram.com/hk3rb/" TargetMode="External"/><Relationship Id="rId413" Type="http://schemas.openxmlformats.org/officeDocument/2006/relationships/hyperlink" Target="https://www.wadiz.kr/web/maker/detail/5592940?path=reward_detail" TargetMode="External"/><Relationship Id="rId412" Type="http://schemas.openxmlformats.org/officeDocument/2006/relationships/hyperlink" Target="https://kmong.com/gig/688480" TargetMode="External"/><Relationship Id="rId419" Type="http://schemas.openxmlformats.org/officeDocument/2006/relationships/hyperlink" Target="https://youtube.com/channel/UCJwcwLKccXOK88Wqw6OcIzQ?si=xNsgZhS7W2VYxPTx" TargetMode="External"/><Relationship Id="rId418" Type="http://schemas.openxmlformats.org/officeDocument/2006/relationships/hyperlink" Target="https://www.instagram.com/tiktok_alnam/" TargetMode="External"/><Relationship Id="rId417" Type="http://schemas.openxmlformats.org/officeDocument/2006/relationships/hyperlink" Target="https://www.instagram.com/namukim_/" TargetMode="External"/><Relationship Id="rId416" Type="http://schemas.openxmlformats.org/officeDocument/2006/relationships/hyperlink" Target="https://www.taling.me/mkt/emoticon_1?utm_source=onsight&amp;utm_medium=organic&amp;utm_campaign=emoticon_purchase&amp;utm_content=homebanner&amp;utm_term=%7Bquery%7D" TargetMode="External"/><Relationship Id="rId411" Type="http://schemas.openxmlformats.org/officeDocument/2006/relationships/hyperlink" Target="https://kmong.com/gig/688480" TargetMode="External"/><Relationship Id="rId410" Type="http://schemas.openxmlformats.org/officeDocument/2006/relationships/hyperlink" Target="https://www.instagram.com/grimiartdesign/" TargetMode="External"/><Relationship Id="rId448" Type="http://schemas.openxmlformats.org/officeDocument/2006/relationships/hyperlink" Target="https://www.youtube.com/@AIFACT-GPTPARK" TargetMode="External"/><Relationship Id="rId447" Type="http://schemas.openxmlformats.org/officeDocument/2006/relationships/hyperlink" Target="https://www.youtube.com/@Thincademy/featured" TargetMode="External"/><Relationship Id="rId446" Type="http://schemas.openxmlformats.org/officeDocument/2006/relationships/hyperlink" Target="https://thincademy.com/" TargetMode="External"/><Relationship Id="rId445" Type="http://schemas.openxmlformats.org/officeDocument/2006/relationships/hyperlink" Target="https://www.youtube.com/watch?v=vQGGN-SbVj0" TargetMode="External"/><Relationship Id="rId449" Type="http://schemas.openxmlformats.org/officeDocument/2006/relationships/hyperlink" Target="https://www.youtube.com/@AIFACT-GPTPARK" TargetMode="External"/><Relationship Id="rId440" Type="http://schemas.openxmlformats.org/officeDocument/2006/relationships/hyperlink" Target="http://litt.ly/mugunghwa_ssam" TargetMode="External"/><Relationship Id="rId444" Type="http://schemas.openxmlformats.org/officeDocument/2006/relationships/hyperlink" Target="https://www.instagram.com/mugunghwa_ssam/" TargetMode="External"/><Relationship Id="rId443" Type="http://schemas.openxmlformats.org/officeDocument/2006/relationships/hyperlink" Target="https://www.youtube.com/@%EB%AC%B4%EA%B6%81%ED%99%94%EC%8C%A4/videos" TargetMode="External"/><Relationship Id="rId442" Type="http://schemas.openxmlformats.org/officeDocument/2006/relationships/hyperlink" Target="https://blog.naver.com/geun307" TargetMode="External"/><Relationship Id="rId441" Type="http://schemas.openxmlformats.org/officeDocument/2006/relationships/hyperlink" Target="https://www.youtube.com/watch?v=c5IoFs0E-_w" TargetMode="External"/><Relationship Id="rId437" Type="http://schemas.openxmlformats.org/officeDocument/2006/relationships/hyperlink" Target="https://www.youtube.com/watch?v=PCH_WgVP-pU" TargetMode="External"/><Relationship Id="rId436" Type="http://schemas.openxmlformats.org/officeDocument/2006/relationships/hyperlink" Target="https://www.tiktok.com/@joogoon.it?is_from_webapp=1&amp;sender_device=pc" TargetMode="External"/><Relationship Id="rId435" Type="http://schemas.openxmlformats.org/officeDocument/2006/relationships/hyperlink" Target="http://open.kakao.com/o/gQhMYkRh" TargetMode="External"/><Relationship Id="rId434" Type="http://schemas.openxmlformats.org/officeDocument/2006/relationships/hyperlink" Target="https://www.instagram.com/you.rang.ki/" TargetMode="External"/><Relationship Id="rId439" Type="http://schemas.openxmlformats.org/officeDocument/2006/relationships/hyperlink" Target="http://instagram.com/joogoon.it" TargetMode="External"/><Relationship Id="rId438" Type="http://schemas.openxmlformats.org/officeDocument/2006/relationships/hyperlink" Target="https://www.youtube.com/@joogoon_it" TargetMode="External"/><Relationship Id="rId433" Type="http://schemas.openxmlformats.org/officeDocument/2006/relationships/hyperlink" Target="https://www.youtube.com/@%EC%9C%A0%EB%9E%91%EC%9C%A0%ED%8A%9C%EB%B8%8C" TargetMode="External"/><Relationship Id="rId432" Type="http://schemas.openxmlformats.org/officeDocument/2006/relationships/hyperlink" Target="https://cafe.naver.com/dinohighclass/108591" TargetMode="External"/><Relationship Id="rId431" Type="http://schemas.openxmlformats.org/officeDocument/2006/relationships/hyperlink" Target="https://www.yoorang.kr/" TargetMode="External"/><Relationship Id="rId430" Type="http://schemas.openxmlformats.org/officeDocument/2006/relationships/hyperlink" Target="https://www.youtube.com/@sihyun_adventure"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youtube.com/@resell-leecoach" TargetMode="External"/><Relationship Id="rId3" Type="http://schemas.openxmlformats.org/officeDocument/2006/relationships/hyperlink" Target="https://www.instagram.com/namukim_/" TargetMode="External"/><Relationship Id="rId4" Type="http://schemas.openxmlformats.org/officeDocument/2006/relationships/hyperlink" Target="http://www.youtube.com/@tingssam_insight" TargetMode="External"/><Relationship Id="rId9" Type="http://schemas.openxmlformats.org/officeDocument/2006/relationships/hyperlink" Target="https://www.instagram.com/superbot_origin/" TargetMode="External"/><Relationship Id="rId5" Type="http://schemas.openxmlformats.org/officeDocument/2006/relationships/hyperlink" Target="https://open.kakao.com/o/sqGw8Rne" TargetMode="External"/><Relationship Id="rId6" Type="http://schemas.openxmlformats.org/officeDocument/2006/relationships/hyperlink" Target="https://www.youtube.com/@ddakeasy_auction" TargetMode="External"/><Relationship Id="rId7" Type="http://schemas.openxmlformats.org/officeDocument/2006/relationships/hyperlink" Target="https://www.instagram.com/dorumooc_log?igsh=dnN2amc2a21qbGl1" TargetMode="External"/><Relationship Id="rId8" Type="http://schemas.openxmlformats.org/officeDocument/2006/relationships/hyperlink" Target="https://www.instagram.com/direct/t/17843197293556881/" TargetMode="External"/><Relationship Id="rId11" Type="http://schemas.openxmlformats.org/officeDocument/2006/relationships/hyperlink" Target="https://www.youtube.com/@dj6ix9ine84/videos" TargetMode="External"/><Relationship Id="rId10" Type="http://schemas.openxmlformats.org/officeDocument/2006/relationships/hyperlink" Target="https://blog.naver.com/rusia4678" TargetMode="External"/><Relationship Id="rId13" Type="http://schemas.openxmlformats.org/officeDocument/2006/relationships/vmlDrawing" Target="../drawings/vmlDrawing4.vml"/><Relationship Id="rId1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fitchnic.com/" TargetMode="External"/><Relationship Id="rId2" Type="http://schemas.openxmlformats.org/officeDocument/2006/relationships/hyperlink" Target="http://fitchnic.com/"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fitchnic.com/" TargetMode="External"/><Relationship Id="rId2" Type="http://schemas.openxmlformats.org/officeDocument/2006/relationships/hyperlink" Target="http://fitchnic.com/"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fitchnic.com/"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roomfinder.kr" TargetMode="External"/><Relationship Id="rId3" Type="http://schemas.openxmlformats.org/officeDocument/2006/relationships/hyperlink" Target="http://gyeongju.si" TargetMode="External"/><Relationship Id="rId4" Type="http://schemas.openxmlformats.org/officeDocument/2006/relationships/hyperlink" Target="http://the.salim.kr" TargetMode="External"/><Relationship Id="rId9" Type="http://schemas.openxmlformats.org/officeDocument/2006/relationships/hyperlink" Target="http://prods.kr" TargetMode="External"/><Relationship Id="rId5" Type="http://schemas.openxmlformats.org/officeDocument/2006/relationships/hyperlink" Target="http://you.rang.ki" TargetMode="External"/><Relationship Id="rId6" Type="http://schemas.openxmlformats.org/officeDocument/2006/relationships/hyperlink" Target="http://seoyoung.me" TargetMode="External"/><Relationship Id="rId7" Type="http://schemas.openxmlformats.org/officeDocument/2006/relationships/hyperlink" Target="http://lhm86.im" TargetMode="External"/><Relationship Id="rId8" Type="http://schemas.openxmlformats.org/officeDocument/2006/relationships/hyperlink" Target="http://donkey.co.kr" TargetMode="External"/><Relationship Id="rId11" Type="http://schemas.openxmlformats.org/officeDocument/2006/relationships/hyperlink" Target="http://all.about.jobs" TargetMode="External"/><Relationship Id="rId10" Type="http://schemas.openxmlformats.org/officeDocument/2006/relationships/hyperlink" Target="http://10million.kr" TargetMode="External"/><Relationship Id="rId13" Type="http://schemas.openxmlformats.org/officeDocument/2006/relationships/hyperlink" Target="http://an.seo.in" TargetMode="External"/><Relationship Id="rId12" Type="http://schemas.openxmlformats.org/officeDocument/2006/relationships/hyperlink" Target="http://money_challenge.kr" TargetMode="External"/><Relationship Id="rId15" Type="http://schemas.openxmlformats.org/officeDocument/2006/relationships/vmlDrawing" Target="../drawings/vmlDrawing5.vml"/><Relationship Id="rId1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forms/d/16D_xEWHRggpGhUtjzAt-N86lFZkti8RFV5DJ7OUN1Zg/edit" TargetMode="External"/><Relationship Id="rId2" Type="http://schemas.openxmlformats.org/officeDocument/2006/relationships/hyperlink" Target="https://cyclehackers.com/product/283044/" TargetMode="External"/><Relationship Id="rId3" Type="http://schemas.openxmlformats.org/officeDocument/2006/relationships/hyperlink" Target="https://cafe.naver.com/mkjournal" TargetMode="External"/><Relationship Id="rId4" Type="http://schemas.openxmlformats.org/officeDocument/2006/relationships/hyperlink" Target="https://www.taling.me/talent/17095" TargetMode="External"/><Relationship Id="rId9" Type="http://schemas.openxmlformats.org/officeDocument/2006/relationships/hyperlink" Target="https://pf.kakao.com/_SxlAnG" TargetMode="External"/><Relationship Id="rId5" Type="http://schemas.openxmlformats.org/officeDocument/2006/relationships/hyperlink" Target="https://learningspoons.com/course/detail/health-free/" TargetMode="External"/><Relationship Id="rId6" Type="http://schemas.openxmlformats.org/officeDocument/2006/relationships/hyperlink" Target="https://youtu.be/iRC7PoSYjxk?si=TArhA2Bv-F7GP0PZ" TargetMode="External"/><Relationship Id="rId7" Type="http://schemas.openxmlformats.org/officeDocument/2006/relationships/hyperlink" Target="https://www.beyondclass.co.kr/course/course_view.jsp?id=186298&amp;cid=117712" TargetMode="External"/><Relationship Id="rId8" Type="http://schemas.openxmlformats.org/officeDocument/2006/relationships/hyperlink" Target="https://soomgo.com/profile/users/7673445" TargetMode="External"/><Relationship Id="rId11" Type="http://schemas.openxmlformats.org/officeDocument/2006/relationships/hyperlink" Target="https://booupnation.liveklass.com/classes/284309" TargetMode="External"/><Relationship Id="rId10" Type="http://schemas.openxmlformats.org/officeDocument/2006/relationships/hyperlink" Target="https://kmong.com/gig/691726" TargetMode="External"/><Relationship Id="rId13" Type="http://schemas.openxmlformats.org/officeDocument/2006/relationships/drawing" Target="../drawings/drawing14.xml"/><Relationship Id="rId12" Type="http://schemas.openxmlformats.org/officeDocument/2006/relationships/hyperlink" Target="https://levelupschool.kr/?idx=36"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tiktok.com/@youcanmall__?lang=ko-KR" TargetMode="External"/><Relationship Id="rId2" Type="http://schemas.openxmlformats.org/officeDocument/2006/relationships/hyperlink" Target="https://www.instagram.com/bachelor.saju" TargetMode="External"/><Relationship Id="rId3" Type="http://schemas.openxmlformats.org/officeDocument/2006/relationships/hyperlink" Target="https://www.550.kr/boksolution" TargetMode="External"/><Relationship Id="rId4" Type="http://schemas.openxmlformats.org/officeDocument/2006/relationships/hyperlink" Target="https://www.daangn.com/kr/groups/VPBz7l1P?utm_medium=copy_link" TargetMode="External"/><Relationship Id="rId5" Type="http://schemas.openxmlformats.org/officeDocument/2006/relationships/hyperlink" Target="https://www.linkedin.com/in/choi-ma/" TargetMode="External"/><Relationship Id="rId6" Type="http://schemas.openxmlformats.org/officeDocument/2006/relationships/hyperlink" Target="https://www.instagram.com/always_hungry92?igsh=MXhodnZvNzdpaWZlMA==" TargetMode="External"/><Relationship Id="rId7" Type="http://schemas.openxmlformats.org/officeDocument/2006/relationships/hyperlink" Target="https://aistein24.com" TargetMode="External"/><Relationship Id="rId8"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blog.naver.com/yougive89" TargetMode="External"/><Relationship Id="rId2" Type="http://schemas.openxmlformats.org/officeDocument/2006/relationships/hyperlink" Target="https://www.instagram.com/reel/DTPUCAegUln/?igsh=MWQ3M25lNmludW9xOQ=="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
    <col customWidth="1" min="2" max="2" width="16.38"/>
    <col customWidth="1" min="3" max="4" width="8.88"/>
    <col customWidth="1" min="5" max="5" width="1.13"/>
    <col customWidth="1" min="6" max="9" width="10.13"/>
  </cols>
  <sheetData>
    <row r="1" ht="33.0" customHeight="1">
      <c r="A1" s="1" t="s">
        <v>0</v>
      </c>
    </row>
    <row r="2" ht="15.0" customHeight="1">
      <c r="A2" s="2" t="str">
        <f>"기준일: "&amp;TEXT(TODAY(),"yyyy년 mm월 dd일")&amp;"  —  강사모집 탭 상태 자동 반영"</f>
        <v>기준일: 2026년 04월 01일  —  강사모집 탭 상태 자동 반영</v>
      </c>
    </row>
    <row r="3" ht="12.0" customHeight="1">
      <c r="B3" s="3" t="s">
        <v>1</v>
      </c>
      <c r="D3" s="4" t="s">
        <v>2</v>
      </c>
      <c r="F3" s="5" t="s">
        <v>3</v>
      </c>
      <c r="H3" s="6" t="s">
        <v>4</v>
      </c>
    </row>
    <row r="4" ht="33.0" customHeight="1">
      <c r="B4" s="7">
        <f>COUNTIF('강사모집'!B2:B996,"진행 중")+COUNTIF('강사모집'!B2:B996,"계약 완료")</f>
        <v>283</v>
      </c>
      <c r="D4" s="8">
        <f>COUNTIF('진행중'!X2:X1000,"진행 중")+COUNTIF('진행중'!X2:X1000,"미팅 완료")+COUNTIF('진행중'!X2:X1000,"계약 완료")</f>
        <v>9</v>
      </c>
      <c r="F4" s="9">
        <f>COUNTIF('진행중'!X2:X1000,"미팅 완료")+COUNTIF('진행중'!X2:X1000,"계약 완료")</f>
        <v>8</v>
      </c>
      <c r="H4" s="10">
        <f>COUNTIF('강사모집'!B2:B996,"계약 완료")</f>
        <v>8</v>
      </c>
    </row>
    <row r="5" ht="9.0" customHeight="1">
      <c r="B5" s="11"/>
      <c r="D5" s="12"/>
      <c r="F5" s="13"/>
      <c r="H5" s="14"/>
    </row>
    <row r="6" ht="13.5" customHeight="1">
      <c r="B6" s="15" t="s">
        <v>5</v>
      </c>
      <c r="D6" s="15" t="s">
        <v>6</v>
      </c>
      <c r="F6" s="15" t="s">
        <v>7</v>
      </c>
      <c r="H6" s="15" t="s">
        <v>8</v>
      </c>
    </row>
    <row r="7" ht="24.0" customHeight="1">
      <c r="B7" s="16">
        <f>IFERROR(D4/B4,0)</f>
        <v>0.03180212014</v>
      </c>
      <c r="D7" s="16">
        <f>IFERROR(F4/D4,0)</f>
        <v>0.8888888889</v>
      </c>
      <c r="F7" s="16">
        <f>IFERROR(H4/F4,0)</f>
        <v>1</v>
      </c>
      <c r="H7" s="16">
        <f>IFERROR(H4/B4,0)</f>
        <v>0.02826855124</v>
      </c>
    </row>
    <row r="8" ht="9.0" customHeight="1">
      <c r="B8" s="17"/>
      <c r="C8" s="17"/>
      <c r="D8" s="17"/>
      <c r="E8" s="17"/>
      <c r="F8" s="17"/>
      <c r="G8" s="17"/>
      <c r="H8" s="17"/>
      <c r="I8" s="17"/>
    </row>
    <row r="9" ht="16.5" customHeight="1">
      <c r="B9" s="18" t="s">
        <v>9</v>
      </c>
      <c r="F9" s="18" t="s">
        <v>10</v>
      </c>
    </row>
    <row r="10" ht="13.5" customHeight="1">
      <c r="B10" s="19" t="s">
        <v>11</v>
      </c>
      <c r="C10" s="19" t="s">
        <v>12</v>
      </c>
      <c r="D10" s="19" t="s">
        <v>13</v>
      </c>
      <c r="F10" s="20" t="s">
        <v>14</v>
      </c>
    </row>
    <row r="11" ht="33.0" customHeight="1">
      <c r="B11" s="21" t="s">
        <v>15</v>
      </c>
      <c r="C11" s="22">
        <f>COUNTIF('강사모집'!B2:B996,"미검토")</f>
        <v>15</v>
      </c>
      <c r="D11" s="23">
        <f t="shared" ref="D11:D18" si="1">IFERROR(C11/SUM(C$11:C$18),0)</f>
        <v>0.01849568434</v>
      </c>
      <c r="F11" s="24">
        <f>COUNTIF('강사모집'!B2:B996,"컨펌 필요")</f>
        <v>3</v>
      </c>
    </row>
    <row r="12" ht="15.0" customHeight="1">
      <c r="B12" s="25" t="s">
        <v>16</v>
      </c>
      <c r="C12" s="26">
        <f>COUNTIF('강사모집'!B2:B996,"컨펌 필요")</f>
        <v>3</v>
      </c>
      <c r="D12" s="27">
        <f t="shared" si="1"/>
        <v>0.003699136868</v>
      </c>
      <c r="F12" s="28" t="s">
        <v>17</v>
      </c>
    </row>
    <row r="13" ht="13.5" customHeight="1">
      <c r="B13" s="29" t="s">
        <v>18</v>
      </c>
      <c r="C13" s="30">
        <f>COUNTIF('강사모집'!B2:B996,"발송 예정")</f>
        <v>0</v>
      </c>
      <c r="D13" s="31">
        <f t="shared" si="1"/>
        <v>0</v>
      </c>
      <c r="F13" s="32" t="s">
        <v>19</v>
      </c>
    </row>
    <row r="14" ht="15.0" customHeight="1">
      <c r="B14" s="33" t="s">
        <v>20</v>
      </c>
      <c r="C14" s="34">
        <f>COUNTIF('강사모집'!B2:B996,"진행 중")</f>
        <v>275</v>
      </c>
      <c r="D14" s="35">
        <f t="shared" si="1"/>
        <v>0.3390875462</v>
      </c>
    </row>
    <row r="15" ht="13.5" customHeight="1">
      <c r="B15" s="36" t="s">
        <v>21</v>
      </c>
      <c r="C15" s="37">
        <f>COUNTIF('강사모집'!B2:B996,"계약 완료")</f>
        <v>8</v>
      </c>
      <c r="D15" s="38">
        <f t="shared" si="1"/>
        <v>0.009864364982</v>
      </c>
      <c r="F15" s="39" t="s">
        <v>22</v>
      </c>
    </row>
    <row r="16" ht="27.0" customHeight="1">
      <c r="B16" s="40" t="s">
        <v>23</v>
      </c>
      <c r="C16" s="41">
        <f>COUNTIF('강사모집'!B2:B996,"제외")</f>
        <v>485</v>
      </c>
      <c r="D16" s="42">
        <f t="shared" si="1"/>
        <v>0.598027127</v>
      </c>
      <c r="F16" s="43">
        <f>COUNTA('강사모집'!F2:F996)</f>
        <v>810</v>
      </c>
    </row>
    <row r="17" ht="15.0" customHeight="1">
      <c r="B17" s="21" t="s">
        <v>24</v>
      </c>
      <c r="C17" s="22">
        <f>COUNTIF('강사모집'!B2:B996,"보류")</f>
        <v>19</v>
      </c>
      <c r="D17" s="23">
        <f t="shared" si="1"/>
        <v>0.02342786683</v>
      </c>
    </row>
    <row r="18" ht="15.0" customHeight="1">
      <c r="B18" s="40" t="s">
        <v>25</v>
      </c>
      <c r="C18" s="41">
        <f>COUNTIF('강사모집'!B2:B996,"거절")</f>
        <v>6</v>
      </c>
      <c r="D18" s="42">
        <f t="shared" si="1"/>
        <v>0.007398273736</v>
      </c>
    </row>
    <row r="20" ht="16.5" customHeight="1">
      <c r="B20" s="18" t="s">
        <v>26</v>
      </c>
    </row>
    <row r="21" ht="16.5" customHeight="1">
      <c r="B21" s="19" t="s">
        <v>27</v>
      </c>
      <c r="C21" s="19" t="s">
        <v>28</v>
      </c>
      <c r="D21" s="19" t="s">
        <v>29</v>
      </c>
    </row>
    <row r="22" ht="15.0" customHeight="1">
      <c r="B22" s="44" t="s">
        <v>30</v>
      </c>
      <c r="C22" s="45">
        <f>IFERROR(COUNTIF('핏크닉메타'!N4:N500,"미확인")+COUNTBLANK('핏크닉메타'!N4:N500)-COUNTBLANK('핏크닉메타'!A4:A500),0)</f>
        <v>-83</v>
      </c>
      <c r="D22" s="45">
        <f>IFERROR(COUNTIF('핏크닉메타'!N4:N500,"확인완료"),0)</f>
        <v>83</v>
      </c>
    </row>
    <row r="23" ht="15.0" customHeight="1">
      <c r="B23" s="46" t="s">
        <v>31</v>
      </c>
      <c r="C23" s="47">
        <f>IFERROR(COUNTIF('핏크닉홈'!M4:M500,"미확인")+COUNTBLANK('핏크닉홈'!M4:M500)-COUNTBLANK('핏크닉홈'!A4:A500),0)</f>
        <v>1</v>
      </c>
      <c r="D23" s="47">
        <f>IFERROR(COUNTIF('핏크닉홈'!M4:M500,"확인완료"),0)</f>
        <v>60</v>
      </c>
    </row>
    <row r="24" ht="15.0" customHeight="1">
      <c r="B24" s="44" t="s">
        <v>32</v>
      </c>
      <c r="C24" s="45">
        <f>IFERROR(COUNTIF('머니업홈'!M4:M500,"미확인")+COUNTBLANK('머니업홈'!M4:M500)-COUNTBLANK('머니업홈'!A4:A500),0)</f>
        <v>3</v>
      </c>
      <c r="D24" s="45">
        <f>IFERROR(COUNTIF('머니업홈'!M4:M500,"확인완료"),0)</f>
        <v>32</v>
      </c>
    </row>
    <row r="25" ht="15.0" customHeight="1">
      <c r="B25" s="46" t="s">
        <v>33</v>
      </c>
      <c r="C25" s="47">
        <f>IFERROR(COUNTIF('핏크닉카'!L4:L500,"미확인")+COUNTBLANK('핏크닉카'!L4:L500)-COUNTBLANK('핏크닉카'!A4:A500),0)</f>
        <v>2</v>
      </c>
      <c r="D25" s="47">
        <f>IFERROR(COUNTIF('핏크닉카'!L4:L500,"확인완료"),0)</f>
        <v>2</v>
      </c>
    </row>
    <row r="26" ht="15.0" customHeight="1">
      <c r="B26" s="44" t="s">
        <v>34</v>
      </c>
      <c r="C26" s="45">
        <f>IFERROR(COUNTIF('머니업카'!L4:L500,"미확인")+COUNTBLANK('머니업카'!L4:L500)-COUNTBLANK('머니업카'!A4:A500),0)</f>
        <v>1</v>
      </c>
      <c r="D26" s="45">
        <f>IFERROR(COUNTIF('머니업카'!L4:L500,"확인완료"),0)</f>
        <v>2</v>
      </c>
    </row>
    <row r="27" ht="16.5" customHeight="1">
      <c r="B27" s="48" t="s">
        <v>35</v>
      </c>
      <c r="C27" s="49">
        <f t="shared" ref="C27:D27" si="2">SUM(C22:C26)</f>
        <v>-76</v>
      </c>
      <c r="D27" s="49">
        <f t="shared" si="2"/>
        <v>179</v>
      </c>
    </row>
  </sheetData>
  <mergeCells count="28">
    <mergeCell ref="A1:L1"/>
    <mergeCell ref="A2:L2"/>
    <mergeCell ref="B3:C3"/>
    <mergeCell ref="D3:E3"/>
    <mergeCell ref="F3:G3"/>
    <mergeCell ref="H3:I3"/>
    <mergeCell ref="B4:C4"/>
    <mergeCell ref="H4:I4"/>
    <mergeCell ref="D6:E6"/>
    <mergeCell ref="F6:G6"/>
    <mergeCell ref="D4:E4"/>
    <mergeCell ref="F4:G4"/>
    <mergeCell ref="B5:C5"/>
    <mergeCell ref="D5:E5"/>
    <mergeCell ref="F5:G5"/>
    <mergeCell ref="H5:I5"/>
    <mergeCell ref="H6:I6"/>
    <mergeCell ref="F12:I12"/>
    <mergeCell ref="F13:I13"/>
    <mergeCell ref="F15:I15"/>
    <mergeCell ref="F16:I16"/>
    <mergeCell ref="B6:C6"/>
    <mergeCell ref="B7:C7"/>
    <mergeCell ref="D7:E7"/>
    <mergeCell ref="F7:G7"/>
    <mergeCell ref="H7:I7"/>
    <mergeCell ref="F10:I10"/>
    <mergeCell ref="F11:I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0E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3.25"/>
    <col collapsed="1" customWidth="1" min="2" max="2" width="13.88"/>
    <col customWidth="1" hidden="1" min="3" max="3" width="26.88" outlineLevel="1"/>
    <col customWidth="1" min="4" max="4" width="25.13"/>
    <col customWidth="1" min="5" max="5" width="10.0"/>
    <col customWidth="1" min="6" max="6" width="23.5"/>
    <col customWidth="1" min="7" max="7" width="21.38"/>
    <col customWidth="1" min="8" max="8" width="12.38"/>
    <col customWidth="1" min="9" max="9" width="22.5"/>
    <col customWidth="1" min="10" max="10" width="22.38"/>
    <col customWidth="1" min="11" max="11" width="27.88"/>
    <col customWidth="1" min="12" max="12" width="36.38"/>
    <col customWidth="1" min="13" max="13" width="32.0"/>
    <col collapsed="1" customWidth="1" min="14" max="14" width="1.63"/>
    <col customWidth="1" hidden="1" min="15" max="15" width="13.5" outlineLevel="1"/>
    <col customWidth="1" hidden="1" min="16" max="17" width="5.75" outlineLevel="1"/>
    <col customWidth="1" hidden="1" min="18" max="24" width="12.63" outlineLevel="1"/>
    <col customWidth="1" hidden="1" min="25" max="25" width="13.38" outlineLevel="1"/>
    <col customWidth="1" hidden="1" min="26" max="26" width="12.63" outlineLevel="1"/>
  </cols>
  <sheetData>
    <row r="1" ht="27.0" customHeight="1">
      <c r="A1" s="50" t="s">
        <v>36</v>
      </c>
      <c r="B1" s="51" t="s">
        <v>11</v>
      </c>
      <c r="C1" s="51" t="s">
        <v>37</v>
      </c>
      <c r="D1" s="50" t="s">
        <v>38</v>
      </c>
      <c r="E1" s="50" t="s">
        <v>39</v>
      </c>
      <c r="F1" s="50" t="s">
        <v>40</v>
      </c>
      <c r="G1" s="50" t="s">
        <v>41</v>
      </c>
      <c r="H1" s="50" t="s">
        <v>42</v>
      </c>
      <c r="I1" s="50" t="s">
        <v>43</v>
      </c>
      <c r="J1" s="50" t="s">
        <v>44</v>
      </c>
      <c r="K1" s="52" t="s">
        <v>45</v>
      </c>
      <c r="L1" s="50" t="s">
        <v>46</v>
      </c>
      <c r="M1" s="53" t="s">
        <v>47</v>
      </c>
      <c r="N1" s="54"/>
      <c r="O1" s="55" t="s">
        <v>48</v>
      </c>
      <c r="P1" s="51" t="s">
        <v>49</v>
      </c>
      <c r="Q1" s="51" t="s">
        <v>50</v>
      </c>
      <c r="R1" s="56" t="s">
        <v>51</v>
      </c>
      <c r="S1" s="56" t="s">
        <v>52</v>
      </c>
      <c r="T1" s="57" t="s">
        <v>53</v>
      </c>
      <c r="U1" s="57" t="s">
        <v>54</v>
      </c>
      <c r="V1" s="58" t="s">
        <v>55</v>
      </c>
      <c r="W1" s="58" t="s">
        <v>56</v>
      </c>
      <c r="X1" s="59" t="s">
        <v>57</v>
      </c>
      <c r="Y1" s="59" t="s">
        <v>58</v>
      </c>
      <c r="Z1" s="59" t="s">
        <v>47</v>
      </c>
    </row>
    <row r="2" ht="18.75" customHeight="1">
      <c r="A2" s="60"/>
      <c r="B2" s="61" t="s">
        <v>23</v>
      </c>
      <c r="C2" s="61" t="s">
        <v>59</v>
      </c>
      <c r="D2" s="61" t="s">
        <v>60</v>
      </c>
      <c r="E2" s="61" t="s">
        <v>61</v>
      </c>
      <c r="F2" s="61" t="s">
        <v>62</v>
      </c>
      <c r="G2" s="62" t="s">
        <v>63</v>
      </c>
      <c r="H2" s="61" t="s">
        <v>64</v>
      </c>
      <c r="I2" s="61" t="s">
        <v>65</v>
      </c>
      <c r="J2" s="62" t="s">
        <v>66</v>
      </c>
      <c r="K2" s="63" t="s">
        <v>67</v>
      </c>
      <c r="L2" s="64"/>
      <c r="M2" s="65"/>
      <c r="N2" s="66"/>
      <c r="O2" s="66" t="str">
        <f t="shared" ref="O2:O789" si="1">IF(AND(P2=1,Q2=0),"DM",IF(AND(P2=0,Q2=1),"이메일",IF(AND(P2=1,Q2=1),"DM+이메일","")))</f>
        <v/>
      </c>
      <c r="P2" s="67">
        <v>0.0</v>
      </c>
      <c r="Q2" s="66">
        <v>0.0</v>
      </c>
      <c r="R2" s="67"/>
      <c r="S2" s="67"/>
      <c r="T2" s="67"/>
      <c r="U2" s="67"/>
      <c r="V2" s="67"/>
      <c r="W2" s="67"/>
      <c r="X2" s="67"/>
      <c r="Y2" s="67"/>
      <c r="Z2" s="68"/>
    </row>
    <row r="3" ht="18.75" customHeight="1">
      <c r="A3" s="69"/>
      <c r="B3" s="70" t="s">
        <v>23</v>
      </c>
      <c r="C3" s="70"/>
      <c r="D3" s="70" t="s">
        <v>68</v>
      </c>
      <c r="E3" s="70" t="s">
        <v>69</v>
      </c>
      <c r="F3" s="70" t="s">
        <v>70</v>
      </c>
      <c r="G3" s="71" t="s">
        <v>71</v>
      </c>
      <c r="H3" s="70" t="s">
        <v>64</v>
      </c>
      <c r="I3" s="70" t="s">
        <v>72</v>
      </c>
      <c r="J3" s="72" t="s">
        <v>73</v>
      </c>
      <c r="K3" s="71" t="s">
        <v>74</v>
      </c>
      <c r="L3" s="73"/>
      <c r="M3" s="74" t="s">
        <v>75</v>
      </c>
      <c r="N3" s="75"/>
      <c r="O3" s="75" t="str">
        <f t="shared" si="1"/>
        <v/>
      </c>
      <c r="P3" s="75">
        <v>0.0</v>
      </c>
      <c r="Q3" s="75">
        <v>0.0</v>
      </c>
      <c r="R3" s="75"/>
      <c r="S3" s="75"/>
      <c r="T3" s="75"/>
      <c r="U3" s="75"/>
      <c r="V3" s="75"/>
      <c r="W3" s="75"/>
      <c r="X3" s="75"/>
      <c r="Y3" s="75"/>
      <c r="Z3" s="75"/>
    </row>
    <row r="4" ht="18.75" customHeight="1">
      <c r="A4" s="69"/>
      <c r="B4" s="70" t="s">
        <v>23</v>
      </c>
      <c r="C4" s="70"/>
      <c r="D4" s="70" t="s">
        <v>76</v>
      </c>
      <c r="E4" s="70" t="s">
        <v>77</v>
      </c>
      <c r="F4" s="70" t="s">
        <v>78</v>
      </c>
      <c r="G4" s="72" t="s">
        <v>79</v>
      </c>
      <c r="H4" s="70" t="s">
        <v>64</v>
      </c>
      <c r="I4" s="70" t="s">
        <v>80</v>
      </c>
      <c r="J4" s="72" t="s">
        <v>81</v>
      </c>
      <c r="K4" s="71" t="s">
        <v>82</v>
      </c>
      <c r="L4" s="73"/>
      <c r="M4" s="74" t="s">
        <v>83</v>
      </c>
      <c r="N4" s="75"/>
      <c r="O4" s="75" t="str">
        <f t="shared" si="1"/>
        <v/>
      </c>
      <c r="P4" s="75">
        <v>0.0</v>
      </c>
      <c r="Q4" s="75">
        <v>0.0</v>
      </c>
      <c r="R4" s="75"/>
      <c r="S4" s="75"/>
      <c r="T4" s="75"/>
      <c r="U4" s="75"/>
      <c r="V4" s="75"/>
      <c r="W4" s="75"/>
      <c r="X4" s="75"/>
      <c r="Y4" s="75"/>
      <c r="Z4" s="75"/>
    </row>
    <row r="5" ht="18.75" customHeight="1">
      <c r="A5" s="76"/>
      <c r="B5" s="77" t="s">
        <v>23</v>
      </c>
      <c r="C5" s="77"/>
      <c r="D5" s="77" t="s">
        <v>84</v>
      </c>
      <c r="E5" s="77" t="s">
        <v>85</v>
      </c>
      <c r="F5" s="77" t="s">
        <v>62</v>
      </c>
      <c r="G5" s="78"/>
      <c r="H5" s="77" t="s">
        <v>64</v>
      </c>
      <c r="I5" s="77" t="s">
        <v>86</v>
      </c>
      <c r="J5" s="79"/>
      <c r="K5" s="78"/>
      <c r="L5" s="80"/>
      <c r="M5" s="81" t="s">
        <v>87</v>
      </c>
      <c r="N5" s="66"/>
      <c r="O5" s="66" t="str">
        <f t="shared" si="1"/>
        <v/>
      </c>
      <c r="P5" s="66">
        <v>0.0</v>
      </c>
      <c r="Q5" s="66">
        <v>0.0</v>
      </c>
      <c r="R5" s="66"/>
      <c r="S5" s="66"/>
      <c r="T5" s="66"/>
      <c r="U5" s="66"/>
      <c r="V5" s="66"/>
      <c r="W5" s="66"/>
      <c r="X5" s="66"/>
      <c r="Y5" s="66"/>
      <c r="Z5" s="82"/>
    </row>
    <row r="6" ht="18.75" customHeight="1">
      <c r="A6" s="69"/>
      <c r="B6" s="70" t="s">
        <v>21</v>
      </c>
      <c r="C6" s="70"/>
      <c r="D6" s="70" t="s">
        <v>88</v>
      </c>
      <c r="E6" s="70" t="s">
        <v>89</v>
      </c>
      <c r="F6" s="70" t="s">
        <v>90</v>
      </c>
      <c r="G6" s="71" t="s">
        <v>91</v>
      </c>
      <c r="H6" s="70" t="s">
        <v>64</v>
      </c>
      <c r="I6" s="70" t="s">
        <v>65</v>
      </c>
      <c r="J6" s="83" t="s">
        <v>92</v>
      </c>
      <c r="K6" s="84"/>
      <c r="L6" s="85"/>
      <c r="M6" s="74" t="s">
        <v>93</v>
      </c>
      <c r="N6" s="75"/>
      <c r="O6" s="75" t="str">
        <f t="shared" si="1"/>
        <v/>
      </c>
      <c r="P6" s="75">
        <v>0.0</v>
      </c>
      <c r="Q6" s="75">
        <v>0.0</v>
      </c>
      <c r="R6" s="75"/>
      <c r="S6" s="75"/>
      <c r="T6" s="75"/>
      <c r="U6" s="75"/>
      <c r="V6" s="75"/>
      <c r="W6" s="75"/>
      <c r="X6" s="75"/>
      <c r="Y6" s="75"/>
      <c r="Z6" s="75"/>
    </row>
    <row r="7" ht="18.75" customHeight="1">
      <c r="A7" s="69"/>
      <c r="B7" s="70" t="s">
        <v>21</v>
      </c>
      <c r="C7" s="70"/>
      <c r="D7" s="70" t="s">
        <v>94</v>
      </c>
      <c r="E7" s="70" t="s">
        <v>77</v>
      </c>
      <c r="F7" s="70" t="s">
        <v>95</v>
      </c>
      <c r="G7" s="71" t="s">
        <v>96</v>
      </c>
      <c r="H7" s="70" t="s">
        <v>97</v>
      </c>
      <c r="I7" s="70" t="s">
        <v>98</v>
      </c>
      <c r="J7" s="83" t="s">
        <v>99</v>
      </c>
      <c r="K7" s="86" t="s">
        <v>100</v>
      </c>
      <c r="L7" s="70"/>
      <c r="M7" s="74" t="s">
        <v>93</v>
      </c>
      <c r="N7" s="75"/>
      <c r="O7" s="75" t="str">
        <f t="shared" si="1"/>
        <v/>
      </c>
      <c r="P7" s="75">
        <v>0.0</v>
      </c>
      <c r="Q7" s="75">
        <v>0.0</v>
      </c>
      <c r="R7" s="75"/>
      <c r="S7" s="75"/>
      <c r="T7" s="75"/>
      <c r="U7" s="75"/>
      <c r="V7" s="75"/>
      <c r="W7" s="75"/>
      <c r="X7" s="75"/>
      <c r="Y7" s="75"/>
      <c r="Z7" s="75"/>
    </row>
    <row r="8" ht="18.75" customHeight="1">
      <c r="A8" s="69"/>
      <c r="B8" s="70" t="s">
        <v>21</v>
      </c>
      <c r="C8" s="70"/>
      <c r="G8" s="72" t="s">
        <v>101</v>
      </c>
      <c r="I8" s="85" t="s">
        <v>102</v>
      </c>
      <c r="J8" s="87"/>
      <c r="K8" s="84"/>
      <c r="L8" s="73"/>
      <c r="M8" s="74"/>
      <c r="N8" s="75"/>
      <c r="O8" s="75" t="str">
        <f t="shared" si="1"/>
        <v/>
      </c>
      <c r="P8" s="75">
        <v>0.0</v>
      </c>
      <c r="Q8" s="75">
        <v>0.0</v>
      </c>
      <c r="R8" s="75"/>
      <c r="S8" s="75"/>
      <c r="T8" s="75"/>
      <c r="U8" s="75"/>
      <c r="V8" s="75"/>
      <c r="W8" s="75"/>
      <c r="X8" s="75"/>
      <c r="Y8" s="75"/>
      <c r="Z8" s="75"/>
    </row>
    <row r="9" ht="18.75" customHeight="1">
      <c r="A9" s="69"/>
      <c r="B9" s="70" t="s">
        <v>21</v>
      </c>
      <c r="C9" s="70"/>
      <c r="D9" s="70" t="s">
        <v>103</v>
      </c>
      <c r="E9" s="70" t="s">
        <v>61</v>
      </c>
      <c r="F9" s="70" t="s">
        <v>104</v>
      </c>
      <c r="G9" s="71" t="s">
        <v>105</v>
      </c>
      <c r="H9" s="70" t="s">
        <v>106</v>
      </c>
      <c r="I9" s="88"/>
      <c r="J9" s="87"/>
      <c r="K9" s="84"/>
      <c r="L9" s="73"/>
      <c r="M9" s="89" t="s">
        <v>107</v>
      </c>
      <c r="N9" s="75"/>
      <c r="O9" s="75" t="str">
        <f t="shared" si="1"/>
        <v/>
      </c>
      <c r="P9" s="75">
        <v>0.0</v>
      </c>
      <c r="Q9" s="75">
        <v>0.0</v>
      </c>
      <c r="R9" s="75"/>
      <c r="S9" s="75"/>
      <c r="T9" s="75"/>
      <c r="U9" s="75"/>
      <c r="V9" s="75"/>
      <c r="W9" s="75"/>
      <c r="X9" s="75"/>
      <c r="Y9" s="75"/>
      <c r="Z9" s="75"/>
    </row>
    <row r="10" ht="18.75" customHeight="1">
      <c r="A10" s="90"/>
      <c r="B10" s="91" t="s">
        <v>21</v>
      </c>
      <c r="C10" s="91"/>
      <c r="D10" s="91" t="s">
        <v>108</v>
      </c>
      <c r="E10" s="91" t="s">
        <v>109</v>
      </c>
      <c r="F10" s="91" t="s">
        <v>110</v>
      </c>
      <c r="G10" s="92" t="s">
        <v>44</v>
      </c>
      <c r="H10" s="91" t="s">
        <v>106</v>
      </c>
      <c r="I10" s="93"/>
      <c r="J10" s="92" t="s">
        <v>44</v>
      </c>
      <c r="K10" s="93"/>
      <c r="L10" s="94"/>
      <c r="M10" s="95" t="s">
        <v>111</v>
      </c>
      <c r="N10" s="66"/>
      <c r="O10" s="66" t="str">
        <f t="shared" si="1"/>
        <v/>
      </c>
      <c r="P10" s="66">
        <v>0.0</v>
      </c>
      <c r="Q10" s="66">
        <v>0.0</v>
      </c>
      <c r="R10" s="66"/>
      <c r="S10" s="66"/>
      <c r="T10" s="66"/>
      <c r="U10" s="66"/>
      <c r="V10" s="66"/>
      <c r="W10" s="66"/>
      <c r="X10" s="66"/>
      <c r="Y10" s="66"/>
      <c r="Z10" s="82"/>
    </row>
    <row r="11">
      <c r="A11" s="96"/>
      <c r="B11" s="61" t="s">
        <v>21</v>
      </c>
      <c r="C11" s="97"/>
      <c r="D11" s="97" t="s">
        <v>112</v>
      </c>
      <c r="E11" s="97" t="s">
        <v>113</v>
      </c>
      <c r="F11" s="97" t="s">
        <v>114</v>
      </c>
      <c r="G11" s="98" t="s">
        <v>115</v>
      </c>
      <c r="H11" s="97" t="s">
        <v>116</v>
      </c>
      <c r="I11" s="97" t="s">
        <v>117</v>
      </c>
      <c r="J11" s="99" t="s">
        <v>118</v>
      </c>
      <c r="K11" s="100" t="s">
        <v>119</v>
      </c>
      <c r="L11" s="101" t="s">
        <v>120</v>
      </c>
      <c r="M11" s="102"/>
      <c r="N11" s="66"/>
      <c r="O11" s="66" t="str">
        <f t="shared" si="1"/>
        <v/>
      </c>
      <c r="P11" s="66">
        <v>0.0</v>
      </c>
      <c r="Q11" s="66">
        <v>0.0</v>
      </c>
      <c r="R11" s="66"/>
      <c r="S11" s="66"/>
      <c r="T11" s="66"/>
      <c r="U11" s="66"/>
      <c r="V11" s="66"/>
      <c r="W11" s="66"/>
      <c r="X11" s="66"/>
      <c r="Y11" s="66"/>
      <c r="Z11" s="82"/>
    </row>
    <row r="12" ht="18.75" customHeight="1">
      <c r="A12" s="90"/>
      <c r="B12" s="61" t="s">
        <v>21</v>
      </c>
      <c r="C12" s="61"/>
      <c r="D12" s="61" t="s">
        <v>121</v>
      </c>
      <c r="E12" s="61" t="s">
        <v>122</v>
      </c>
      <c r="F12" s="61" t="s">
        <v>123</v>
      </c>
      <c r="G12" s="62" t="s">
        <v>45</v>
      </c>
      <c r="H12" s="61" t="s">
        <v>124</v>
      </c>
      <c r="I12" s="62" t="s">
        <v>125</v>
      </c>
      <c r="J12" s="103"/>
      <c r="K12" s="104" t="s">
        <v>126</v>
      </c>
      <c r="L12" s="105"/>
      <c r="M12" s="65"/>
      <c r="N12" s="66"/>
      <c r="O12" s="66" t="str">
        <f t="shared" si="1"/>
        <v/>
      </c>
      <c r="P12" s="66">
        <v>0.0</v>
      </c>
      <c r="Q12" s="66">
        <v>0.0</v>
      </c>
      <c r="R12" s="66"/>
      <c r="S12" s="66"/>
      <c r="T12" s="66"/>
      <c r="U12" s="66"/>
      <c r="V12" s="66"/>
      <c r="W12" s="66"/>
      <c r="X12" s="66"/>
      <c r="Y12" s="66"/>
      <c r="Z12" s="82"/>
    </row>
    <row r="13" ht="18.75" customHeight="1">
      <c r="A13" s="96"/>
      <c r="B13" s="61" t="s">
        <v>21</v>
      </c>
      <c r="C13" s="97"/>
      <c r="D13" s="97" t="s">
        <v>103</v>
      </c>
      <c r="E13" s="97" t="s">
        <v>109</v>
      </c>
      <c r="F13" s="106" t="s">
        <v>127</v>
      </c>
      <c r="G13" s="98" t="s">
        <v>44</v>
      </c>
      <c r="H13" s="97" t="s">
        <v>64</v>
      </c>
      <c r="I13" s="98" t="s">
        <v>128</v>
      </c>
      <c r="J13" s="99" t="s">
        <v>129</v>
      </c>
      <c r="K13" s="107" t="s">
        <v>130</v>
      </c>
      <c r="L13" s="97" t="s">
        <v>131</v>
      </c>
      <c r="M13" s="108" t="s">
        <v>132</v>
      </c>
      <c r="N13" s="66"/>
      <c r="O13" s="66" t="str">
        <f t="shared" si="1"/>
        <v/>
      </c>
      <c r="P13" s="66">
        <v>0.0</v>
      </c>
      <c r="Q13" s="66">
        <v>0.0</v>
      </c>
      <c r="R13" s="66"/>
      <c r="S13" s="66"/>
      <c r="T13" s="66"/>
      <c r="U13" s="66"/>
      <c r="V13" s="66"/>
      <c r="W13" s="66"/>
      <c r="X13" s="66"/>
      <c r="Y13" s="66"/>
      <c r="Z13" s="82"/>
    </row>
    <row r="14" ht="18.75" customHeight="1">
      <c r="A14" s="109"/>
      <c r="B14" s="61" t="s">
        <v>20</v>
      </c>
      <c r="C14" s="61"/>
      <c r="D14" s="61" t="s">
        <v>133</v>
      </c>
      <c r="E14" s="61" t="s">
        <v>77</v>
      </c>
      <c r="F14" s="61" t="s">
        <v>134</v>
      </c>
      <c r="G14" s="110" t="s">
        <v>135</v>
      </c>
      <c r="H14" s="61" t="s">
        <v>64</v>
      </c>
      <c r="I14" s="80" t="s">
        <v>98</v>
      </c>
      <c r="J14" s="99" t="s">
        <v>136</v>
      </c>
      <c r="K14" s="107" t="s">
        <v>137</v>
      </c>
      <c r="L14" s="111" t="s">
        <v>138</v>
      </c>
      <c r="M14" s="65"/>
      <c r="N14" s="66"/>
      <c r="O14" s="66" t="str">
        <f t="shared" si="1"/>
        <v>DM+이메일</v>
      </c>
      <c r="P14" s="67">
        <v>1.0</v>
      </c>
      <c r="Q14" s="67">
        <v>1.0</v>
      </c>
      <c r="R14" s="112"/>
      <c r="S14" s="113"/>
      <c r="T14" s="113">
        <v>46108.0</v>
      </c>
      <c r="U14" s="67" t="s">
        <v>139</v>
      </c>
      <c r="V14" s="113"/>
      <c r="W14" s="113"/>
      <c r="X14" s="113"/>
      <c r="Y14" s="113"/>
      <c r="Z14" s="114"/>
    </row>
    <row r="15" ht="18.75" customHeight="1">
      <c r="A15" s="69"/>
      <c r="B15" s="70" t="s">
        <v>23</v>
      </c>
      <c r="C15" s="70"/>
      <c r="D15" s="70" t="s">
        <v>76</v>
      </c>
      <c r="E15" s="70" t="s">
        <v>69</v>
      </c>
      <c r="F15" s="70" t="s">
        <v>140</v>
      </c>
      <c r="G15" s="115" t="s">
        <v>141</v>
      </c>
      <c r="H15" s="70" t="s">
        <v>64</v>
      </c>
      <c r="I15" s="70" t="s">
        <v>142</v>
      </c>
      <c r="J15" s="83" t="s">
        <v>143</v>
      </c>
      <c r="K15" s="86" t="s">
        <v>144</v>
      </c>
      <c r="L15" s="73"/>
      <c r="M15" s="116"/>
      <c r="N15" s="75"/>
      <c r="O15" s="75" t="str">
        <f t="shared" si="1"/>
        <v/>
      </c>
      <c r="P15" s="75">
        <v>0.0</v>
      </c>
      <c r="Q15" s="75">
        <v>0.0</v>
      </c>
      <c r="S15" s="75"/>
      <c r="T15" s="75"/>
      <c r="U15" s="75"/>
      <c r="V15" s="75"/>
      <c r="W15" s="75"/>
      <c r="X15" s="75"/>
      <c r="Y15" s="75"/>
      <c r="Z15" s="75"/>
    </row>
    <row r="16" ht="18.75" customHeight="1">
      <c r="A16" s="69"/>
      <c r="B16" s="70" t="s">
        <v>23</v>
      </c>
      <c r="C16" s="70"/>
      <c r="D16" s="70" t="s">
        <v>145</v>
      </c>
      <c r="E16" s="70" t="s">
        <v>146</v>
      </c>
      <c r="F16" s="70" t="s">
        <v>147</v>
      </c>
      <c r="G16" s="71" t="s">
        <v>148</v>
      </c>
      <c r="H16" s="70" t="s">
        <v>106</v>
      </c>
      <c r="I16" s="70" t="s">
        <v>149</v>
      </c>
      <c r="J16" s="87"/>
      <c r="K16" s="84"/>
      <c r="L16" s="73"/>
      <c r="M16" s="74" t="s">
        <v>93</v>
      </c>
      <c r="N16" s="75"/>
      <c r="O16" s="75" t="str">
        <f t="shared" si="1"/>
        <v/>
      </c>
      <c r="P16" s="75">
        <v>0.0</v>
      </c>
      <c r="Q16" s="75">
        <v>0.0</v>
      </c>
      <c r="S16" s="75"/>
      <c r="T16" s="75"/>
      <c r="U16" s="75"/>
      <c r="V16" s="75"/>
      <c r="W16" s="75"/>
      <c r="X16" s="75"/>
      <c r="Y16" s="75"/>
      <c r="Z16" s="75"/>
    </row>
    <row r="17" ht="18.75" customHeight="1">
      <c r="A17" s="69"/>
      <c r="B17" s="70" t="s">
        <v>23</v>
      </c>
      <c r="C17" s="70"/>
      <c r="D17" s="70" t="s">
        <v>150</v>
      </c>
      <c r="E17" s="70" t="s">
        <v>61</v>
      </c>
      <c r="F17" s="70" t="s">
        <v>151</v>
      </c>
      <c r="G17" s="88"/>
      <c r="H17" s="88"/>
      <c r="I17" s="88"/>
      <c r="J17" s="117"/>
      <c r="K17" s="84"/>
      <c r="L17" s="85"/>
      <c r="M17" s="74" t="s">
        <v>152</v>
      </c>
      <c r="N17" s="75"/>
      <c r="O17" s="75" t="str">
        <f t="shared" si="1"/>
        <v/>
      </c>
      <c r="P17" s="75">
        <v>0.0</v>
      </c>
      <c r="Q17" s="75">
        <v>0.0</v>
      </c>
      <c r="S17" s="75"/>
      <c r="T17" s="75"/>
      <c r="U17" s="75"/>
      <c r="V17" s="75"/>
      <c r="W17" s="75"/>
      <c r="X17" s="75"/>
      <c r="Y17" s="75"/>
      <c r="Z17" s="75"/>
    </row>
    <row r="18" ht="18.75" customHeight="1">
      <c r="A18" s="118"/>
      <c r="B18" s="70" t="s">
        <v>23</v>
      </c>
      <c r="C18" s="119" t="s">
        <v>59</v>
      </c>
      <c r="D18" s="119" t="s">
        <v>84</v>
      </c>
      <c r="E18" s="119" t="s">
        <v>85</v>
      </c>
      <c r="F18" s="119" t="s">
        <v>153</v>
      </c>
      <c r="G18" s="120"/>
      <c r="H18" s="119" t="s">
        <v>64</v>
      </c>
      <c r="I18" s="120"/>
      <c r="J18" s="117"/>
      <c r="K18" s="84"/>
      <c r="L18" s="85"/>
      <c r="M18" s="121"/>
      <c r="N18" s="75"/>
      <c r="O18" s="75" t="str">
        <f t="shared" si="1"/>
        <v/>
      </c>
      <c r="P18" s="75">
        <v>0.0</v>
      </c>
      <c r="Q18" s="75">
        <v>0.0</v>
      </c>
      <c r="S18" s="75"/>
      <c r="T18" s="75"/>
      <c r="U18" s="75"/>
      <c r="V18" s="75"/>
      <c r="W18" s="75"/>
      <c r="X18" s="75"/>
      <c r="Y18" s="75"/>
      <c r="Z18" s="75"/>
    </row>
    <row r="19" ht="18.75" customHeight="1">
      <c r="A19" s="118"/>
      <c r="B19" s="70" t="s">
        <v>23</v>
      </c>
      <c r="C19" s="70"/>
      <c r="D19" s="70" t="s">
        <v>154</v>
      </c>
      <c r="E19" s="70" t="s">
        <v>89</v>
      </c>
      <c r="F19" s="70" t="s">
        <v>155</v>
      </c>
      <c r="G19" s="72" t="s">
        <v>156</v>
      </c>
      <c r="H19" s="70" t="s">
        <v>64</v>
      </c>
      <c r="I19" s="70" t="s">
        <v>157</v>
      </c>
      <c r="J19" s="72" t="s">
        <v>158</v>
      </c>
      <c r="K19" s="72" t="s">
        <v>159</v>
      </c>
      <c r="L19" s="70"/>
      <c r="M19" s="74" t="s">
        <v>152</v>
      </c>
      <c r="N19" s="75"/>
      <c r="O19" s="75" t="str">
        <f t="shared" si="1"/>
        <v/>
      </c>
      <c r="P19" s="75">
        <v>0.0</v>
      </c>
      <c r="Q19" s="75">
        <v>0.0</v>
      </c>
      <c r="S19" s="75"/>
      <c r="T19" s="75"/>
      <c r="U19" s="75"/>
      <c r="V19" s="75"/>
      <c r="W19" s="75"/>
      <c r="X19" s="75"/>
      <c r="Y19" s="75"/>
      <c r="Z19" s="75"/>
    </row>
    <row r="20" ht="18.75" customHeight="1">
      <c r="A20" s="69"/>
      <c r="B20" s="70" t="s">
        <v>23</v>
      </c>
      <c r="C20" s="122"/>
      <c r="D20" s="70" t="s">
        <v>160</v>
      </c>
      <c r="E20" s="70" t="s">
        <v>77</v>
      </c>
      <c r="F20" s="70" t="s">
        <v>161</v>
      </c>
      <c r="G20" s="71" t="s">
        <v>162</v>
      </c>
      <c r="H20" s="70" t="s">
        <v>64</v>
      </c>
      <c r="I20" s="70" t="s">
        <v>163</v>
      </c>
      <c r="J20" s="83" t="s">
        <v>164</v>
      </c>
      <c r="K20" s="86" t="s">
        <v>165</v>
      </c>
      <c r="L20" s="73"/>
      <c r="M20" s="74" t="s">
        <v>166</v>
      </c>
      <c r="N20" s="75"/>
      <c r="O20" s="75" t="str">
        <f t="shared" si="1"/>
        <v/>
      </c>
      <c r="P20" s="75">
        <v>0.0</v>
      </c>
      <c r="Q20" s="75">
        <v>0.0</v>
      </c>
      <c r="S20" s="75"/>
      <c r="T20" s="75"/>
      <c r="U20" s="75"/>
      <c r="V20" s="75"/>
      <c r="W20" s="75"/>
      <c r="X20" s="75"/>
      <c r="Y20" s="75"/>
      <c r="Z20" s="75"/>
    </row>
    <row r="21" ht="18.75" customHeight="1">
      <c r="A21" s="69"/>
      <c r="B21" s="70" t="s">
        <v>23</v>
      </c>
      <c r="C21" s="70"/>
      <c r="D21" s="70" t="s">
        <v>167</v>
      </c>
      <c r="E21" s="70" t="s">
        <v>77</v>
      </c>
      <c r="F21" s="70" t="s">
        <v>168</v>
      </c>
      <c r="G21" s="72" t="s">
        <v>169</v>
      </c>
      <c r="H21" s="70" t="s">
        <v>64</v>
      </c>
      <c r="I21" s="70" t="s">
        <v>125</v>
      </c>
      <c r="J21" s="83" t="s">
        <v>170</v>
      </c>
      <c r="K21" s="84"/>
      <c r="L21" s="73"/>
      <c r="M21" s="74" t="s">
        <v>93</v>
      </c>
      <c r="N21" s="75"/>
      <c r="O21" s="75" t="str">
        <f t="shared" si="1"/>
        <v/>
      </c>
      <c r="P21" s="75">
        <v>0.0</v>
      </c>
      <c r="Q21" s="75">
        <v>0.0</v>
      </c>
      <c r="S21" s="75"/>
      <c r="T21" s="75"/>
      <c r="U21" s="75"/>
      <c r="V21" s="75"/>
      <c r="W21" s="75"/>
      <c r="X21" s="75"/>
      <c r="Y21" s="75"/>
      <c r="Z21" s="75"/>
    </row>
    <row r="22" ht="18.75" customHeight="1">
      <c r="A22" s="69"/>
      <c r="B22" s="70" t="s">
        <v>23</v>
      </c>
      <c r="C22" s="70"/>
      <c r="D22" s="70" t="s">
        <v>171</v>
      </c>
      <c r="E22" s="70" t="s">
        <v>146</v>
      </c>
      <c r="F22" s="70" t="s">
        <v>172</v>
      </c>
      <c r="G22" s="71" t="s">
        <v>173</v>
      </c>
      <c r="H22" s="70" t="s">
        <v>64</v>
      </c>
      <c r="I22" s="70" t="s">
        <v>174</v>
      </c>
      <c r="J22" s="83" t="s">
        <v>175</v>
      </c>
      <c r="K22" s="84"/>
      <c r="L22" s="73"/>
      <c r="M22" s="74" t="s">
        <v>176</v>
      </c>
      <c r="N22" s="75"/>
      <c r="O22" s="75" t="str">
        <f t="shared" si="1"/>
        <v/>
      </c>
      <c r="P22" s="75">
        <v>0.0</v>
      </c>
      <c r="Q22" s="75">
        <v>0.0</v>
      </c>
      <c r="S22" s="75"/>
      <c r="T22" s="75"/>
      <c r="U22" s="75"/>
      <c r="V22" s="75"/>
      <c r="W22" s="75"/>
      <c r="X22" s="75"/>
      <c r="Y22" s="75"/>
      <c r="Z22" s="75"/>
    </row>
    <row r="23" ht="18.75" customHeight="1">
      <c r="A23" s="109"/>
      <c r="B23" s="61" t="s">
        <v>20</v>
      </c>
      <c r="C23" s="61"/>
      <c r="D23" s="61" t="s">
        <v>177</v>
      </c>
      <c r="E23" s="61" t="s">
        <v>69</v>
      </c>
      <c r="F23" s="61" t="s">
        <v>178</v>
      </c>
      <c r="G23" s="123"/>
      <c r="H23" s="61" t="s">
        <v>64</v>
      </c>
      <c r="I23" s="61" t="s">
        <v>125</v>
      </c>
      <c r="J23" s="99" t="s">
        <v>179</v>
      </c>
      <c r="K23" s="124" t="s">
        <v>180</v>
      </c>
      <c r="L23" s="64" t="s">
        <v>181</v>
      </c>
      <c r="M23" s="125" t="s">
        <v>182</v>
      </c>
      <c r="N23" s="66"/>
      <c r="O23" s="66" t="str">
        <f t="shared" si="1"/>
        <v>DM+이메일</v>
      </c>
      <c r="P23" s="67">
        <v>1.0</v>
      </c>
      <c r="Q23" s="67">
        <v>1.0</v>
      </c>
      <c r="R23" s="112"/>
      <c r="S23" s="113"/>
      <c r="T23" s="113">
        <v>46108.0</v>
      </c>
      <c r="U23" s="67" t="s">
        <v>139</v>
      </c>
      <c r="V23" s="113"/>
      <c r="W23" s="113"/>
      <c r="X23" s="113"/>
      <c r="Y23" s="113"/>
      <c r="Z23" s="114"/>
    </row>
    <row r="24" ht="18.75" customHeight="1">
      <c r="A24" s="69"/>
      <c r="B24" s="70" t="s">
        <v>23</v>
      </c>
      <c r="C24" s="70"/>
      <c r="D24" s="70" t="s">
        <v>183</v>
      </c>
      <c r="E24" s="70" t="s">
        <v>61</v>
      </c>
      <c r="F24" s="70" t="s">
        <v>184</v>
      </c>
      <c r="G24" s="72" t="s">
        <v>185</v>
      </c>
      <c r="H24" s="70" t="s">
        <v>64</v>
      </c>
      <c r="I24" s="72" t="s">
        <v>186</v>
      </c>
      <c r="J24" s="83" t="s">
        <v>187</v>
      </c>
      <c r="K24" s="86" t="s">
        <v>188</v>
      </c>
      <c r="L24" s="85"/>
      <c r="M24" s="74" t="s">
        <v>93</v>
      </c>
      <c r="N24" s="75"/>
      <c r="O24" s="75" t="str">
        <f t="shared" si="1"/>
        <v/>
      </c>
      <c r="P24" s="75">
        <v>0.0</v>
      </c>
      <c r="Q24" s="75">
        <v>0.0</v>
      </c>
      <c r="S24" s="75"/>
      <c r="T24" s="75"/>
      <c r="U24" s="75"/>
      <c r="V24" s="75"/>
      <c r="W24" s="75"/>
      <c r="X24" s="75"/>
      <c r="Y24" s="75"/>
      <c r="Z24" s="75"/>
    </row>
    <row r="25" ht="18.75" customHeight="1">
      <c r="A25" s="69"/>
      <c r="B25" s="70" t="s">
        <v>23</v>
      </c>
      <c r="C25" s="122"/>
      <c r="D25" s="70" t="s">
        <v>189</v>
      </c>
      <c r="E25" s="70" t="s">
        <v>61</v>
      </c>
      <c r="F25" s="70" t="s">
        <v>190</v>
      </c>
      <c r="G25" s="72" t="s">
        <v>191</v>
      </c>
      <c r="H25" s="70" t="s">
        <v>64</v>
      </c>
      <c r="I25" s="72" t="s">
        <v>192</v>
      </c>
      <c r="J25" s="83" t="s">
        <v>193</v>
      </c>
      <c r="K25" s="84"/>
      <c r="L25" s="85"/>
      <c r="M25" s="74" t="s">
        <v>194</v>
      </c>
      <c r="N25" s="75"/>
      <c r="O25" s="75" t="str">
        <f t="shared" si="1"/>
        <v/>
      </c>
      <c r="P25" s="75">
        <v>0.0</v>
      </c>
      <c r="Q25" s="75">
        <v>0.0</v>
      </c>
      <c r="S25" s="75"/>
      <c r="T25" s="75"/>
      <c r="U25" s="75"/>
      <c r="V25" s="75"/>
      <c r="W25" s="75"/>
      <c r="X25" s="75"/>
      <c r="Y25" s="75"/>
      <c r="Z25" s="75"/>
    </row>
    <row r="26" ht="18.75" customHeight="1">
      <c r="A26" s="69"/>
      <c r="B26" s="70" t="s">
        <v>23</v>
      </c>
      <c r="C26" s="70"/>
      <c r="D26" s="70" t="s">
        <v>195</v>
      </c>
      <c r="E26" s="70" t="s">
        <v>61</v>
      </c>
      <c r="F26" s="70" t="s">
        <v>196</v>
      </c>
      <c r="G26" s="72" t="s">
        <v>197</v>
      </c>
      <c r="H26" s="70" t="s">
        <v>64</v>
      </c>
      <c r="I26" s="72" t="s">
        <v>198</v>
      </c>
      <c r="J26" s="83" t="s">
        <v>199</v>
      </c>
      <c r="K26" s="84"/>
      <c r="L26" s="70"/>
      <c r="M26" s="116"/>
      <c r="N26" s="75"/>
      <c r="O26" s="75" t="str">
        <f t="shared" si="1"/>
        <v/>
      </c>
      <c r="P26" s="75">
        <v>0.0</v>
      </c>
      <c r="Q26" s="75">
        <v>0.0</v>
      </c>
      <c r="S26" s="75"/>
      <c r="T26" s="75"/>
      <c r="U26" s="75"/>
      <c r="V26" s="75"/>
      <c r="W26" s="75"/>
      <c r="X26" s="75"/>
      <c r="Y26" s="75"/>
      <c r="Z26" s="75"/>
    </row>
    <row r="27" ht="18.75" customHeight="1">
      <c r="A27" s="76"/>
      <c r="B27" s="61" t="s">
        <v>23</v>
      </c>
      <c r="C27" s="126"/>
      <c r="D27" s="126" t="s">
        <v>200</v>
      </c>
      <c r="E27" s="126" t="s">
        <v>77</v>
      </c>
      <c r="F27" s="126" t="s">
        <v>201</v>
      </c>
      <c r="G27" s="127" t="s">
        <v>202</v>
      </c>
      <c r="H27" s="126" t="s">
        <v>64</v>
      </c>
      <c r="I27" s="127" t="s">
        <v>203</v>
      </c>
      <c r="J27" s="127" t="s">
        <v>204</v>
      </c>
      <c r="K27" s="126" t="s">
        <v>106</v>
      </c>
      <c r="L27" s="64"/>
      <c r="M27" s="125" t="s">
        <v>205</v>
      </c>
      <c r="N27" s="66"/>
      <c r="O27" s="66" t="str">
        <f t="shared" si="1"/>
        <v/>
      </c>
      <c r="P27" s="66">
        <v>0.0</v>
      </c>
      <c r="Q27" s="66">
        <v>0.0</v>
      </c>
      <c r="R27" s="112"/>
      <c r="S27" s="66"/>
      <c r="T27" s="66"/>
      <c r="U27" s="66"/>
      <c r="V27" s="66"/>
      <c r="W27" s="66"/>
      <c r="X27" s="66"/>
      <c r="Y27" s="66"/>
      <c r="Z27" s="82"/>
    </row>
    <row r="28" ht="18.75" customHeight="1">
      <c r="A28" s="69"/>
      <c r="B28" s="70" t="s">
        <v>23</v>
      </c>
      <c r="C28" s="70"/>
      <c r="D28" s="70" t="s">
        <v>206</v>
      </c>
      <c r="E28" s="70" t="s">
        <v>77</v>
      </c>
      <c r="F28" s="70" t="s">
        <v>207</v>
      </c>
      <c r="G28" s="71" t="s">
        <v>208</v>
      </c>
      <c r="H28" s="70" t="s">
        <v>64</v>
      </c>
      <c r="I28" s="72" t="s">
        <v>209</v>
      </c>
      <c r="J28" s="83" t="s">
        <v>210</v>
      </c>
      <c r="K28" s="84"/>
      <c r="L28" s="128"/>
      <c r="M28" s="116"/>
      <c r="N28" s="75"/>
      <c r="O28" s="75" t="str">
        <f t="shared" si="1"/>
        <v/>
      </c>
      <c r="P28" s="75">
        <v>0.0</v>
      </c>
      <c r="Q28" s="75">
        <v>0.0</v>
      </c>
      <c r="S28" s="75"/>
      <c r="T28" s="75"/>
      <c r="U28" s="75"/>
      <c r="V28" s="75"/>
      <c r="W28" s="75"/>
      <c r="X28" s="75"/>
      <c r="Y28" s="75"/>
      <c r="Z28" s="75"/>
    </row>
    <row r="29" ht="18.75" customHeight="1">
      <c r="A29" s="109"/>
      <c r="B29" s="61" t="s">
        <v>20</v>
      </c>
      <c r="C29" s="61"/>
      <c r="D29" s="61" t="s">
        <v>211</v>
      </c>
      <c r="E29" s="61" t="s">
        <v>89</v>
      </c>
      <c r="F29" s="61" t="s">
        <v>212</v>
      </c>
      <c r="G29" s="110" t="s">
        <v>213</v>
      </c>
      <c r="H29" s="61" t="s">
        <v>64</v>
      </c>
      <c r="I29" s="61" t="s">
        <v>214</v>
      </c>
      <c r="J29" s="99" t="s">
        <v>215</v>
      </c>
      <c r="K29" s="107" t="s">
        <v>216</v>
      </c>
      <c r="L29" s="64" t="s">
        <v>217</v>
      </c>
      <c r="M29" s="65"/>
      <c r="N29" s="66"/>
      <c r="O29" s="66" t="str">
        <f t="shared" si="1"/>
        <v>DM+이메일</v>
      </c>
      <c r="P29" s="67">
        <v>1.0</v>
      </c>
      <c r="Q29" s="67">
        <v>1.0</v>
      </c>
      <c r="R29" s="112"/>
      <c r="S29" s="113"/>
      <c r="T29" s="113">
        <v>46108.0</v>
      </c>
      <c r="U29" s="113"/>
      <c r="V29" s="67" t="s">
        <v>218</v>
      </c>
      <c r="W29" s="113"/>
      <c r="X29" s="113"/>
      <c r="Y29" s="113"/>
      <c r="Z29" s="114"/>
    </row>
    <row r="30" ht="18.75" customHeight="1">
      <c r="A30" s="69"/>
      <c r="B30" s="70" t="s">
        <v>23</v>
      </c>
      <c r="C30" s="70"/>
      <c r="D30" s="70" t="s">
        <v>177</v>
      </c>
      <c r="E30" s="70" t="s">
        <v>89</v>
      </c>
      <c r="F30" s="129" t="s">
        <v>219</v>
      </c>
      <c r="G30" s="72" t="s">
        <v>220</v>
      </c>
      <c r="H30" s="70" t="s">
        <v>64</v>
      </c>
      <c r="I30" s="70" t="s">
        <v>221</v>
      </c>
      <c r="J30" s="130"/>
      <c r="K30" s="86" t="s">
        <v>222</v>
      </c>
      <c r="L30" s="73"/>
      <c r="M30" s="116"/>
      <c r="N30" s="75"/>
      <c r="O30" s="75" t="str">
        <f t="shared" si="1"/>
        <v/>
      </c>
      <c r="P30" s="75">
        <v>0.0</v>
      </c>
      <c r="Q30" s="75">
        <v>0.0</v>
      </c>
      <c r="S30" s="75"/>
      <c r="T30" s="75"/>
      <c r="U30" s="75"/>
      <c r="V30" s="75"/>
      <c r="W30" s="75"/>
      <c r="X30" s="75"/>
      <c r="Y30" s="75"/>
      <c r="Z30" s="75"/>
    </row>
    <row r="31" ht="18.75" customHeight="1">
      <c r="A31" s="69"/>
      <c r="B31" s="70" t="s">
        <v>23</v>
      </c>
      <c r="C31" s="70"/>
      <c r="G31" s="72" t="s">
        <v>223</v>
      </c>
      <c r="J31" s="130"/>
      <c r="K31" s="86" t="s">
        <v>224</v>
      </c>
      <c r="L31" s="73"/>
      <c r="M31" s="116"/>
      <c r="N31" s="75"/>
      <c r="O31" s="75" t="str">
        <f t="shared" si="1"/>
        <v/>
      </c>
      <c r="P31" s="75">
        <v>0.0</v>
      </c>
      <c r="Q31" s="75">
        <v>0.0</v>
      </c>
      <c r="S31" s="75"/>
      <c r="T31" s="75"/>
      <c r="U31" s="75"/>
      <c r="V31" s="75"/>
      <c r="W31" s="75"/>
      <c r="X31" s="75"/>
      <c r="Y31" s="75"/>
      <c r="Z31" s="75"/>
    </row>
    <row r="32" ht="18.75" customHeight="1">
      <c r="A32" s="131"/>
      <c r="B32" s="61" t="s">
        <v>23</v>
      </c>
      <c r="C32" s="126"/>
      <c r="D32" s="126" t="s">
        <v>225</v>
      </c>
      <c r="E32" s="126" t="s">
        <v>69</v>
      </c>
      <c r="F32" s="126" t="s">
        <v>226</v>
      </c>
      <c r="G32" s="127" t="s">
        <v>227</v>
      </c>
      <c r="H32" s="126" t="s">
        <v>64</v>
      </c>
      <c r="I32" s="132" t="s">
        <v>228</v>
      </c>
      <c r="J32" s="132" t="s">
        <v>227</v>
      </c>
      <c r="K32" s="126" t="s">
        <v>106</v>
      </c>
      <c r="L32" s="80"/>
      <c r="M32" s="125" t="s">
        <v>205</v>
      </c>
      <c r="N32" s="66"/>
      <c r="O32" s="66" t="str">
        <f t="shared" si="1"/>
        <v/>
      </c>
      <c r="P32" s="66">
        <v>0.0</v>
      </c>
      <c r="Q32" s="66">
        <v>0.0</v>
      </c>
      <c r="R32" s="112"/>
      <c r="S32" s="66"/>
      <c r="T32" s="66"/>
      <c r="U32" s="66"/>
      <c r="V32" s="66"/>
      <c r="W32" s="66"/>
      <c r="X32" s="66"/>
      <c r="Y32" s="66"/>
      <c r="Z32" s="82"/>
    </row>
    <row r="33" ht="18.75" customHeight="1">
      <c r="A33" s="133"/>
      <c r="B33" s="61" t="s">
        <v>23</v>
      </c>
      <c r="C33" s="61"/>
      <c r="D33" s="61" t="s">
        <v>177</v>
      </c>
      <c r="E33" s="61" t="s">
        <v>89</v>
      </c>
      <c r="F33" s="61" t="s">
        <v>229</v>
      </c>
      <c r="G33" s="110" t="s">
        <v>230</v>
      </c>
      <c r="H33" s="61" t="s">
        <v>64</v>
      </c>
      <c r="I33" s="61" t="s">
        <v>65</v>
      </c>
      <c r="J33" s="63" t="s">
        <v>231</v>
      </c>
      <c r="K33" s="61" t="s">
        <v>106</v>
      </c>
      <c r="L33" s="80"/>
      <c r="M33" s="125"/>
      <c r="N33" s="66"/>
      <c r="O33" s="66" t="str">
        <f t="shared" si="1"/>
        <v/>
      </c>
      <c r="P33" s="66">
        <v>0.0</v>
      </c>
      <c r="Q33" s="66">
        <v>0.0</v>
      </c>
      <c r="R33" s="112"/>
      <c r="S33" s="66"/>
      <c r="T33" s="66"/>
      <c r="U33" s="66"/>
      <c r="V33" s="66"/>
      <c r="W33" s="66"/>
      <c r="X33" s="66"/>
      <c r="Y33" s="66"/>
      <c r="Z33" s="82"/>
    </row>
    <row r="34" ht="18.75" customHeight="1">
      <c r="A34" s="134"/>
      <c r="B34" s="70" t="s">
        <v>23</v>
      </c>
      <c r="C34" s="70"/>
      <c r="D34" s="70" t="s">
        <v>232</v>
      </c>
      <c r="E34" s="70" t="s">
        <v>89</v>
      </c>
      <c r="F34" s="70" t="s">
        <v>233</v>
      </c>
      <c r="G34" s="115" t="s">
        <v>234</v>
      </c>
      <c r="H34" s="70" t="s">
        <v>64</v>
      </c>
      <c r="I34" s="70" t="s">
        <v>65</v>
      </c>
      <c r="J34" s="83" t="s">
        <v>235</v>
      </c>
      <c r="K34" s="86" t="s">
        <v>236</v>
      </c>
      <c r="L34" s="70"/>
      <c r="M34" s="116"/>
      <c r="N34" s="75"/>
      <c r="O34" s="75" t="str">
        <f t="shared" si="1"/>
        <v/>
      </c>
      <c r="P34" s="75">
        <v>0.0</v>
      </c>
      <c r="Q34" s="75">
        <v>0.0</v>
      </c>
      <c r="S34" s="75"/>
      <c r="T34" s="75"/>
      <c r="U34" s="75"/>
      <c r="V34" s="75"/>
      <c r="W34" s="75"/>
      <c r="X34" s="75"/>
      <c r="Y34" s="75"/>
      <c r="Z34" s="75"/>
    </row>
    <row r="35" ht="18.75" customHeight="1">
      <c r="A35" s="60"/>
      <c r="B35" s="61" t="s">
        <v>23</v>
      </c>
      <c r="C35" s="61"/>
      <c r="D35" s="61" t="s">
        <v>237</v>
      </c>
      <c r="E35" s="126" t="s">
        <v>69</v>
      </c>
      <c r="F35" s="61" t="s">
        <v>238</v>
      </c>
      <c r="G35" s="62" t="s">
        <v>239</v>
      </c>
      <c r="H35" s="126" t="s">
        <v>64</v>
      </c>
      <c r="I35" s="62" t="s">
        <v>128</v>
      </c>
      <c r="J35" s="61" t="s">
        <v>106</v>
      </c>
      <c r="K35" s="62" t="s">
        <v>240</v>
      </c>
      <c r="L35" s="64"/>
      <c r="M35" s="135"/>
      <c r="N35" s="66"/>
      <c r="O35" s="66" t="str">
        <f t="shared" si="1"/>
        <v/>
      </c>
      <c r="P35" s="66">
        <v>0.0</v>
      </c>
      <c r="Q35" s="66">
        <v>0.0</v>
      </c>
      <c r="R35" s="112"/>
      <c r="S35" s="66"/>
      <c r="T35" s="66"/>
      <c r="U35" s="66"/>
      <c r="V35" s="66"/>
      <c r="W35" s="66"/>
      <c r="X35" s="66"/>
      <c r="Y35" s="66"/>
      <c r="Z35" s="82"/>
    </row>
    <row r="36" ht="18.75" customHeight="1">
      <c r="A36" s="69"/>
      <c r="B36" s="70" t="s">
        <v>23</v>
      </c>
      <c r="C36" s="70"/>
      <c r="D36" s="70" t="s">
        <v>241</v>
      </c>
      <c r="E36" s="136" t="s">
        <v>69</v>
      </c>
      <c r="F36" s="70" t="s">
        <v>242</v>
      </c>
      <c r="G36" s="137" t="s">
        <v>243</v>
      </c>
      <c r="H36" s="70" t="s">
        <v>64</v>
      </c>
      <c r="I36" s="72" t="s">
        <v>244</v>
      </c>
      <c r="J36" s="83" t="s">
        <v>245</v>
      </c>
      <c r="K36" s="86" t="s">
        <v>246</v>
      </c>
      <c r="L36" s="73"/>
      <c r="M36" s="138"/>
      <c r="N36" s="75"/>
      <c r="O36" s="75" t="str">
        <f t="shared" si="1"/>
        <v/>
      </c>
      <c r="P36" s="75">
        <v>0.0</v>
      </c>
      <c r="Q36" s="75">
        <v>0.0</v>
      </c>
      <c r="S36" s="75"/>
      <c r="T36" s="75"/>
      <c r="U36" s="75"/>
      <c r="V36" s="75"/>
      <c r="W36" s="75"/>
      <c r="X36" s="75"/>
      <c r="Y36" s="75"/>
      <c r="Z36" s="75"/>
    </row>
    <row r="37" ht="18.75" customHeight="1">
      <c r="A37" s="118"/>
      <c r="B37" s="70" t="s">
        <v>23</v>
      </c>
      <c r="C37" s="70"/>
      <c r="D37" s="70" t="s">
        <v>247</v>
      </c>
      <c r="E37" s="136" t="s">
        <v>69</v>
      </c>
      <c r="F37" s="70" t="s">
        <v>248</v>
      </c>
      <c r="G37" s="72" t="s">
        <v>249</v>
      </c>
      <c r="H37" s="70" t="s">
        <v>64</v>
      </c>
      <c r="I37" s="72" t="s">
        <v>250</v>
      </c>
      <c r="J37" s="72" t="s">
        <v>251</v>
      </c>
      <c r="K37" s="72" t="s">
        <v>252</v>
      </c>
      <c r="L37" s="73"/>
      <c r="M37" s="138"/>
      <c r="N37" s="75"/>
      <c r="O37" s="75" t="str">
        <f t="shared" si="1"/>
        <v/>
      </c>
      <c r="P37" s="75">
        <v>0.0</v>
      </c>
      <c r="Q37" s="75">
        <v>0.0</v>
      </c>
      <c r="S37" s="75"/>
      <c r="T37" s="75"/>
      <c r="U37" s="75"/>
      <c r="V37" s="75"/>
      <c r="W37" s="75"/>
      <c r="X37" s="75"/>
      <c r="Y37" s="75"/>
      <c r="Z37" s="75"/>
    </row>
    <row r="38" ht="18.75" customHeight="1">
      <c r="A38" s="118"/>
      <c r="B38" s="70" t="s">
        <v>23</v>
      </c>
      <c r="C38" s="70"/>
      <c r="D38" s="70" t="s">
        <v>253</v>
      </c>
      <c r="E38" s="70" t="s">
        <v>69</v>
      </c>
      <c r="F38" s="70" t="s">
        <v>254</v>
      </c>
      <c r="G38" s="71" t="s">
        <v>255</v>
      </c>
      <c r="H38" s="70" t="s">
        <v>64</v>
      </c>
      <c r="I38" s="72" t="s">
        <v>256</v>
      </c>
      <c r="J38" s="72" t="s">
        <v>257</v>
      </c>
      <c r="K38" s="72" t="s">
        <v>258</v>
      </c>
      <c r="L38" s="73"/>
      <c r="M38" s="138"/>
      <c r="N38" s="75"/>
      <c r="O38" s="75" t="str">
        <f t="shared" si="1"/>
        <v/>
      </c>
      <c r="P38" s="75">
        <v>0.0</v>
      </c>
      <c r="Q38" s="75">
        <v>0.0</v>
      </c>
      <c r="S38" s="75"/>
      <c r="T38" s="75"/>
      <c r="U38" s="75"/>
      <c r="V38" s="75"/>
      <c r="W38" s="75"/>
      <c r="X38" s="75"/>
      <c r="Y38" s="75"/>
      <c r="Z38" s="75"/>
    </row>
    <row r="39" ht="18.75" customHeight="1">
      <c r="A39" s="118"/>
      <c r="B39" s="70" t="s">
        <v>23</v>
      </c>
      <c r="C39" s="70"/>
      <c r="D39" s="70" t="s">
        <v>259</v>
      </c>
      <c r="E39" s="70" t="s">
        <v>260</v>
      </c>
      <c r="F39" s="70" t="s">
        <v>261</v>
      </c>
      <c r="G39" s="72" t="s">
        <v>262</v>
      </c>
      <c r="H39" s="70" t="s">
        <v>64</v>
      </c>
      <c r="I39" s="70" t="s">
        <v>244</v>
      </c>
      <c r="J39" s="71" t="s">
        <v>263</v>
      </c>
      <c r="K39" s="72" t="s">
        <v>264</v>
      </c>
      <c r="L39" s="85"/>
      <c r="M39" s="139"/>
      <c r="N39" s="75"/>
      <c r="O39" s="75" t="str">
        <f t="shared" si="1"/>
        <v/>
      </c>
      <c r="P39" s="75">
        <v>0.0</v>
      </c>
      <c r="Q39" s="75">
        <v>0.0</v>
      </c>
      <c r="S39" s="75"/>
      <c r="T39" s="75"/>
      <c r="U39" s="75"/>
      <c r="V39" s="75"/>
      <c r="W39" s="75"/>
      <c r="X39" s="75"/>
      <c r="Y39" s="75"/>
      <c r="Z39" s="75"/>
    </row>
    <row r="40" ht="18.75" customHeight="1">
      <c r="A40" s="109"/>
      <c r="B40" s="61" t="s">
        <v>23</v>
      </c>
      <c r="C40" s="61"/>
      <c r="D40" s="61" t="s">
        <v>265</v>
      </c>
      <c r="E40" s="61" t="s">
        <v>69</v>
      </c>
      <c r="F40" s="61" t="s">
        <v>266</v>
      </c>
      <c r="G40" s="62" t="s">
        <v>267</v>
      </c>
      <c r="H40" s="61" t="s">
        <v>64</v>
      </c>
      <c r="I40" s="62" t="s">
        <v>244</v>
      </c>
      <c r="J40" s="99" t="s">
        <v>268</v>
      </c>
      <c r="K40" s="107" t="s">
        <v>269</v>
      </c>
      <c r="L40" s="80"/>
      <c r="M40" s="140"/>
      <c r="N40" s="66"/>
      <c r="O40" s="66" t="str">
        <f t="shared" si="1"/>
        <v/>
      </c>
      <c r="P40" s="66">
        <v>0.0</v>
      </c>
      <c r="Q40" s="66">
        <v>0.0</v>
      </c>
      <c r="R40" s="112"/>
      <c r="S40" s="66"/>
      <c r="T40" s="66"/>
      <c r="U40" s="66"/>
      <c r="V40" s="66"/>
      <c r="W40" s="66"/>
      <c r="X40" s="66"/>
      <c r="Y40" s="66"/>
      <c r="Z40" s="82"/>
    </row>
    <row r="41" ht="18.75" customHeight="1">
      <c r="A41" s="133"/>
      <c r="B41" s="61" t="s">
        <v>23</v>
      </c>
      <c r="C41" s="61"/>
      <c r="D41" s="61" t="s">
        <v>270</v>
      </c>
      <c r="E41" s="141" t="s">
        <v>69</v>
      </c>
      <c r="F41" s="61" t="s">
        <v>271</v>
      </c>
      <c r="G41" s="62" t="s">
        <v>267</v>
      </c>
      <c r="H41" s="61" t="s">
        <v>64</v>
      </c>
      <c r="I41" s="62" t="s">
        <v>272</v>
      </c>
      <c r="J41" s="105"/>
      <c r="K41" s="63" t="s">
        <v>273</v>
      </c>
      <c r="L41" s="61"/>
      <c r="M41" s="125"/>
      <c r="N41" s="66"/>
      <c r="O41" s="66" t="str">
        <f t="shared" si="1"/>
        <v/>
      </c>
      <c r="P41" s="66">
        <v>0.0</v>
      </c>
      <c r="Q41" s="66">
        <v>0.0</v>
      </c>
      <c r="R41" s="112"/>
      <c r="S41" s="66"/>
      <c r="T41" s="66"/>
      <c r="U41" s="66"/>
      <c r="V41" s="66"/>
      <c r="W41" s="66"/>
      <c r="X41" s="66"/>
      <c r="Y41" s="66"/>
      <c r="Z41" s="82"/>
    </row>
    <row r="42" ht="18.75" customHeight="1">
      <c r="A42" s="133"/>
      <c r="B42" s="61" t="s">
        <v>23</v>
      </c>
      <c r="C42" s="61"/>
      <c r="D42" s="61" t="s">
        <v>274</v>
      </c>
      <c r="E42" s="141" t="s">
        <v>69</v>
      </c>
      <c r="F42" s="61" t="s">
        <v>275</v>
      </c>
      <c r="G42" s="62" t="s">
        <v>267</v>
      </c>
      <c r="H42" s="61" t="s">
        <v>64</v>
      </c>
      <c r="I42" s="62" t="s">
        <v>276</v>
      </c>
      <c r="J42" s="105"/>
      <c r="K42" s="63" t="s">
        <v>277</v>
      </c>
      <c r="L42" s="64"/>
      <c r="M42" s="135"/>
      <c r="N42" s="66"/>
      <c r="O42" s="66" t="str">
        <f t="shared" si="1"/>
        <v/>
      </c>
      <c r="P42" s="66">
        <v>0.0</v>
      </c>
      <c r="Q42" s="66">
        <v>0.0</v>
      </c>
      <c r="R42" s="112"/>
      <c r="S42" s="66"/>
      <c r="T42" s="66"/>
      <c r="U42" s="66"/>
      <c r="V42" s="66"/>
      <c r="W42" s="66"/>
      <c r="X42" s="66"/>
      <c r="Y42" s="66"/>
      <c r="Z42" s="82"/>
    </row>
    <row r="43" ht="18.75" customHeight="1">
      <c r="A43" s="142"/>
      <c r="B43" s="61" t="s">
        <v>23</v>
      </c>
      <c r="C43" s="61" t="s">
        <v>278</v>
      </c>
      <c r="D43" s="61" t="s">
        <v>279</v>
      </c>
      <c r="E43" s="141" t="s">
        <v>69</v>
      </c>
      <c r="F43" s="61" t="s">
        <v>280</v>
      </c>
      <c r="G43" s="62" t="s">
        <v>281</v>
      </c>
      <c r="H43" s="61" t="s">
        <v>64</v>
      </c>
      <c r="I43" s="62" t="s">
        <v>282</v>
      </c>
      <c r="J43" s="99" t="s">
        <v>283</v>
      </c>
      <c r="K43" s="107" t="s">
        <v>284</v>
      </c>
      <c r="L43" s="111"/>
      <c r="M43" s="143"/>
      <c r="N43" s="66"/>
      <c r="O43" s="66" t="str">
        <f t="shared" si="1"/>
        <v/>
      </c>
      <c r="P43" s="66">
        <v>0.0</v>
      </c>
      <c r="Q43" s="66">
        <v>0.0</v>
      </c>
      <c r="R43" s="112"/>
      <c r="S43" s="66"/>
      <c r="T43" s="66"/>
      <c r="U43" s="66"/>
      <c r="V43" s="66"/>
      <c r="W43" s="66"/>
      <c r="X43" s="66"/>
      <c r="Y43" s="66"/>
      <c r="Z43" s="82"/>
    </row>
    <row r="44" ht="18.75" customHeight="1">
      <c r="A44" s="133"/>
      <c r="B44" s="61" t="s">
        <v>23</v>
      </c>
      <c r="C44" s="61"/>
      <c r="D44" s="61" t="s">
        <v>285</v>
      </c>
      <c r="E44" s="141" t="s">
        <v>69</v>
      </c>
      <c r="F44" s="61" t="s">
        <v>286</v>
      </c>
      <c r="G44" s="62" t="s">
        <v>281</v>
      </c>
      <c r="H44" s="61" t="s">
        <v>106</v>
      </c>
      <c r="I44" s="105"/>
      <c r="J44" s="105"/>
      <c r="K44" s="63" t="s">
        <v>287</v>
      </c>
      <c r="L44" s="64"/>
      <c r="M44" s="135"/>
      <c r="N44" s="66"/>
      <c r="O44" s="66" t="str">
        <f t="shared" si="1"/>
        <v/>
      </c>
      <c r="P44" s="66">
        <v>0.0</v>
      </c>
      <c r="Q44" s="66">
        <v>0.0</v>
      </c>
      <c r="R44" s="112"/>
      <c r="S44" s="66"/>
      <c r="T44" s="66"/>
      <c r="U44" s="66"/>
      <c r="V44" s="66"/>
      <c r="W44" s="66"/>
      <c r="X44" s="66"/>
      <c r="Y44" s="66"/>
      <c r="Z44" s="82"/>
    </row>
    <row r="45" ht="18.75" customHeight="1">
      <c r="A45" s="144"/>
      <c r="B45" s="70" t="s">
        <v>23</v>
      </c>
      <c r="C45" s="70"/>
      <c r="D45" s="70" t="s">
        <v>288</v>
      </c>
      <c r="E45" s="145" t="s">
        <v>69</v>
      </c>
      <c r="F45" s="70" t="s">
        <v>289</v>
      </c>
      <c r="G45" s="72" t="s">
        <v>290</v>
      </c>
      <c r="H45" s="70" t="s">
        <v>64</v>
      </c>
      <c r="I45" s="72" t="s">
        <v>291</v>
      </c>
      <c r="J45" s="72" t="s">
        <v>292</v>
      </c>
      <c r="K45" s="72" t="s">
        <v>293</v>
      </c>
      <c r="L45" s="73"/>
      <c r="M45" s="138"/>
      <c r="N45" s="75"/>
      <c r="O45" s="75" t="str">
        <f t="shared" si="1"/>
        <v/>
      </c>
      <c r="P45" s="75">
        <v>0.0</v>
      </c>
      <c r="Q45" s="75">
        <v>0.0</v>
      </c>
      <c r="S45" s="75"/>
      <c r="T45" s="75"/>
      <c r="U45" s="75"/>
      <c r="V45" s="75"/>
      <c r="W45" s="75"/>
      <c r="X45" s="75"/>
      <c r="Y45" s="75"/>
      <c r="Z45" s="75"/>
    </row>
    <row r="46" ht="18.75" customHeight="1">
      <c r="A46" s="133"/>
      <c r="B46" s="61" t="s">
        <v>23</v>
      </c>
      <c r="C46" s="61"/>
      <c r="D46" s="61" t="s">
        <v>294</v>
      </c>
      <c r="E46" s="141" t="s">
        <v>69</v>
      </c>
      <c r="F46" s="61" t="s">
        <v>295</v>
      </c>
      <c r="G46" s="62" t="s">
        <v>281</v>
      </c>
      <c r="H46" s="61" t="s">
        <v>106</v>
      </c>
      <c r="I46" s="105"/>
      <c r="J46" s="105"/>
      <c r="K46" s="62" t="s">
        <v>296</v>
      </c>
      <c r="L46" s="64"/>
      <c r="M46" s="135"/>
      <c r="N46" s="66"/>
      <c r="O46" s="66" t="str">
        <f t="shared" si="1"/>
        <v/>
      </c>
      <c r="P46" s="66">
        <v>0.0</v>
      </c>
      <c r="Q46" s="66">
        <v>0.0</v>
      </c>
      <c r="R46" s="112"/>
      <c r="S46" s="66"/>
      <c r="T46" s="66"/>
      <c r="U46" s="66"/>
      <c r="V46" s="66"/>
      <c r="W46" s="66"/>
      <c r="X46" s="66"/>
      <c r="Y46" s="66"/>
      <c r="Z46" s="82"/>
    </row>
    <row r="47" ht="18.75" customHeight="1">
      <c r="A47" s="118"/>
      <c r="B47" s="70" t="s">
        <v>23</v>
      </c>
      <c r="C47" s="70"/>
      <c r="D47" s="70" t="s">
        <v>294</v>
      </c>
      <c r="E47" s="145" t="s">
        <v>69</v>
      </c>
      <c r="F47" s="70" t="s">
        <v>297</v>
      </c>
      <c r="G47" s="72" t="s">
        <v>298</v>
      </c>
      <c r="H47" s="70" t="s">
        <v>106</v>
      </c>
      <c r="I47" s="88"/>
      <c r="J47" s="88"/>
      <c r="K47" s="72" t="s">
        <v>298</v>
      </c>
      <c r="L47" s="85"/>
      <c r="M47" s="139"/>
      <c r="N47" s="75"/>
      <c r="O47" s="75" t="str">
        <f t="shared" si="1"/>
        <v/>
      </c>
      <c r="P47" s="75">
        <v>0.0</v>
      </c>
      <c r="Q47" s="75">
        <v>0.0</v>
      </c>
      <c r="S47" s="75"/>
      <c r="T47" s="75"/>
      <c r="U47" s="75"/>
      <c r="V47" s="75"/>
      <c r="W47" s="75"/>
      <c r="X47" s="75"/>
      <c r="Y47" s="75"/>
      <c r="Z47" s="75"/>
    </row>
    <row r="48" ht="18.75" customHeight="1">
      <c r="A48" s="133"/>
      <c r="B48" s="61" t="s">
        <v>23</v>
      </c>
      <c r="C48" s="61"/>
      <c r="D48" s="61" t="s">
        <v>299</v>
      </c>
      <c r="E48" s="111" t="s">
        <v>260</v>
      </c>
      <c r="F48" s="111" t="s">
        <v>300</v>
      </c>
      <c r="G48" s="62" t="s">
        <v>267</v>
      </c>
      <c r="H48" s="61" t="s">
        <v>64</v>
      </c>
      <c r="I48" s="61" t="s">
        <v>301</v>
      </c>
      <c r="J48" s="61" t="s">
        <v>106</v>
      </c>
      <c r="K48" s="62" t="s">
        <v>302</v>
      </c>
      <c r="L48" s="80"/>
      <c r="M48" s="140"/>
      <c r="N48" s="66"/>
      <c r="O48" s="66" t="str">
        <f t="shared" si="1"/>
        <v/>
      </c>
      <c r="P48" s="66">
        <v>0.0</v>
      </c>
      <c r="Q48" s="66">
        <v>0.0</v>
      </c>
      <c r="R48" s="112"/>
      <c r="S48" s="66"/>
      <c r="T48" s="66"/>
      <c r="U48" s="66"/>
      <c r="V48" s="66"/>
      <c r="W48" s="66"/>
      <c r="X48" s="66"/>
      <c r="Y48" s="66"/>
      <c r="Z48" s="82"/>
    </row>
    <row r="49" ht="18.75" customHeight="1">
      <c r="A49" s="118"/>
      <c r="B49" s="70" t="s">
        <v>23</v>
      </c>
      <c r="C49" s="70"/>
      <c r="D49" s="70" t="s">
        <v>303</v>
      </c>
      <c r="E49" s="145" t="s">
        <v>69</v>
      </c>
      <c r="F49" s="70" t="s">
        <v>304</v>
      </c>
      <c r="G49" s="71" t="s">
        <v>305</v>
      </c>
      <c r="H49" s="70" t="s">
        <v>64</v>
      </c>
      <c r="I49" s="72" t="s">
        <v>306</v>
      </c>
      <c r="J49" s="83" t="s">
        <v>307</v>
      </c>
      <c r="K49" s="86" t="s">
        <v>305</v>
      </c>
      <c r="L49" s="70"/>
      <c r="M49" s="74"/>
      <c r="N49" s="75"/>
      <c r="O49" s="75" t="str">
        <f t="shared" si="1"/>
        <v/>
      </c>
      <c r="P49" s="75">
        <v>0.0</v>
      </c>
      <c r="Q49" s="75">
        <v>0.0</v>
      </c>
      <c r="S49" s="75"/>
      <c r="T49" s="75"/>
      <c r="U49" s="75"/>
      <c r="V49" s="75"/>
      <c r="W49" s="75"/>
      <c r="X49" s="75"/>
      <c r="Y49" s="75"/>
      <c r="Z49" s="75"/>
    </row>
    <row r="50" ht="18.75" customHeight="1">
      <c r="A50" s="142"/>
      <c r="B50" s="61" t="s">
        <v>23</v>
      </c>
      <c r="C50" s="61"/>
      <c r="D50" s="61" t="s">
        <v>241</v>
      </c>
      <c r="E50" s="141" t="s">
        <v>69</v>
      </c>
      <c r="F50" s="61" t="s">
        <v>308</v>
      </c>
      <c r="G50" s="62" t="s">
        <v>267</v>
      </c>
      <c r="H50" s="61" t="s">
        <v>64</v>
      </c>
      <c r="I50" s="62" t="s">
        <v>301</v>
      </c>
      <c r="J50" s="103"/>
      <c r="K50" s="107" t="s">
        <v>309</v>
      </c>
      <c r="L50" s="64"/>
      <c r="M50" s="135"/>
      <c r="N50" s="66"/>
      <c r="O50" s="66" t="str">
        <f t="shared" si="1"/>
        <v/>
      </c>
      <c r="P50" s="66">
        <v>0.0</v>
      </c>
      <c r="Q50" s="66">
        <v>0.0</v>
      </c>
      <c r="R50" s="112"/>
      <c r="S50" s="66"/>
      <c r="T50" s="66"/>
      <c r="U50" s="66"/>
      <c r="V50" s="66"/>
      <c r="W50" s="66"/>
      <c r="X50" s="66"/>
      <c r="Y50" s="66"/>
      <c r="Z50" s="82"/>
    </row>
    <row r="51" ht="18.75" customHeight="1">
      <c r="A51" s="146"/>
      <c r="B51" s="70" t="s">
        <v>23</v>
      </c>
      <c r="C51" s="128"/>
      <c r="D51" s="128" t="s">
        <v>253</v>
      </c>
      <c r="E51" s="145" t="s">
        <v>69</v>
      </c>
      <c r="F51" s="128" t="s">
        <v>310</v>
      </c>
      <c r="G51" s="147" t="s">
        <v>311</v>
      </c>
      <c r="H51" s="70" t="s">
        <v>106</v>
      </c>
      <c r="I51" s="145"/>
      <c r="J51" s="147" t="s">
        <v>312</v>
      </c>
      <c r="K51" s="147" t="s">
        <v>311</v>
      </c>
      <c r="L51" s="73"/>
      <c r="M51" s="138"/>
      <c r="N51" s="75"/>
      <c r="O51" s="75" t="str">
        <f t="shared" si="1"/>
        <v/>
      </c>
      <c r="P51" s="75">
        <v>0.0</v>
      </c>
      <c r="Q51" s="75">
        <v>0.0</v>
      </c>
      <c r="S51" s="75"/>
      <c r="T51" s="75"/>
      <c r="U51" s="75"/>
      <c r="V51" s="75"/>
      <c r="W51" s="75"/>
      <c r="X51" s="75"/>
      <c r="Y51" s="75"/>
      <c r="Z51" s="75"/>
    </row>
    <row r="52" ht="18.75" customHeight="1">
      <c r="A52" s="148"/>
      <c r="B52" s="61" t="s">
        <v>20</v>
      </c>
      <c r="C52" s="111"/>
      <c r="D52" s="111" t="s">
        <v>313</v>
      </c>
      <c r="E52" s="141" t="s">
        <v>69</v>
      </c>
      <c r="F52" s="111" t="s">
        <v>314</v>
      </c>
      <c r="G52" s="62" t="s">
        <v>267</v>
      </c>
      <c r="H52" s="61" t="s">
        <v>106</v>
      </c>
      <c r="I52" s="141"/>
      <c r="J52" s="99" t="s">
        <v>315</v>
      </c>
      <c r="K52" s="107" t="s">
        <v>316</v>
      </c>
      <c r="L52" s="64" t="s">
        <v>317</v>
      </c>
      <c r="M52" s="135"/>
      <c r="N52" s="66"/>
      <c r="O52" s="66" t="str">
        <f t="shared" si="1"/>
        <v>DM+이메일</v>
      </c>
      <c r="P52" s="67">
        <v>1.0</v>
      </c>
      <c r="Q52" s="67">
        <v>1.0</v>
      </c>
      <c r="R52" s="112"/>
      <c r="S52" s="113"/>
      <c r="T52" s="113">
        <v>46108.0</v>
      </c>
      <c r="U52" s="113"/>
      <c r="V52" s="113"/>
      <c r="W52" s="113"/>
      <c r="X52" s="113"/>
      <c r="Y52" s="113"/>
      <c r="Z52" s="114"/>
    </row>
    <row r="53" ht="18.75" customHeight="1">
      <c r="A53" s="149"/>
      <c r="B53" s="61" t="s">
        <v>20</v>
      </c>
      <c r="C53" s="111"/>
      <c r="D53" s="111" t="s">
        <v>247</v>
      </c>
      <c r="E53" s="141" t="s">
        <v>69</v>
      </c>
      <c r="F53" s="111" t="s">
        <v>318</v>
      </c>
      <c r="G53" s="62" t="s">
        <v>267</v>
      </c>
      <c r="H53" s="61" t="s">
        <v>64</v>
      </c>
      <c r="I53" s="150" t="s">
        <v>319</v>
      </c>
      <c r="J53" s="99" t="s">
        <v>320</v>
      </c>
      <c r="K53" s="107" t="s">
        <v>321</v>
      </c>
      <c r="L53" s="64" t="s">
        <v>322</v>
      </c>
      <c r="M53" s="135"/>
      <c r="N53" s="66"/>
      <c r="O53" s="66" t="str">
        <f t="shared" si="1"/>
        <v>DM+이메일</v>
      </c>
      <c r="P53" s="67">
        <v>1.0</v>
      </c>
      <c r="Q53" s="67">
        <v>1.0</v>
      </c>
      <c r="R53" s="112"/>
      <c r="S53" s="113"/>
      <c r="T53" s="113">
        <v>46108.0</v>
      </c>
      <c r="U53" s="113"/>
      <c r="V53" s="113"/>
      <c r="W53" s="113"/>
      <c r="X53" s="113"/>
      <c r="Y53" s="113"/>
      <c r="Z53" s="114"/>
    </row>
    <row r="54" ht="18.75" customHeight="1">
      <c r="A54" s="151"/>
      <c r="B54" s="61" t="s">
        <v>23</v>
      </c>
      <c r="C54" s="111"/>
      <c r="D54" s="111" t="s">
        <v>323</v>
      </c>
      <c r="E54" s="141" t="s">
        <v>69</v>
      </c>
      <c r="F54" s="111" t="s">
        <v>324</v>
      </c>
      <c r="G54" s="62" t="s">
        <v>267</v>
      </c>
      <c r="H54" s="61" t="s">
        <v>64</v>
      </c>
      <c r="I54" s="150" t="s">
        <v>325</v>
      </c>
      <c r="J54" s="150" t="s">
        <v>326</v>
      </c>
      <c r="K54" s="150" t="s">
        <v>327</v>
      </c>
      <c r="L54" s="80"/>
      <c r="M54" s="140"/>
      <c r="N54" s="66"/>
      <c r="O54" s="66" t="str">
        <f t="shared" si="1"/>
        <v/>
      </c>
      <c r="P54" s="66">
        <v>0.0</v>
      </c>
      <c r="Q54" s="66">
        <v>0.0</v>
      </c>
      <c r="R54" s="112"/>
      <c r="S54" s="66"/>
      <c r="T54" s="66"/>
      <c r="U54" s="66"/>
      <c r="V54" s="66"/>
      <c r="W54" s="66"/>
      <c r="X54" s="66"/>
      <c r="Y54" s="66"/>
      <c r="Z54" s="82"/>
    </row>
    <row r="55" ht="18.75" customHeight="1">
      <c r="A55" s="149"/>
      <c r="B55" s="61" t="s">
        <v>20</v>
      </c>
      <c r="C55" s="111"/>
      <c r="D55" s="111" t="s">
        <v>328</v>
      </c>
      <c r="E55" s="141" t="s">
        <v>69</v>
      </c>
      <c r="F55" s="111" t="s">
        <v>329</v>
      </c>
      <c r="G55" s="62" t="s">
        <v>267</v>
      </c>
      <c r="H55" s="61" t="s">
        <v>64</v>
      </c>
      <c r="I55" s="150" t="s">
        <v>330</v>
      </c>
      <c r="J55" s="99" t="s">
        <v>326</v>
      </c>
      <c r="K55" s="107" t="s">
        <v>327</v>
      </c>
      <c r="L55" s="80"/>
      <c r="M55" s="140"/>
      <c r="N55" s="66"/>
      <c r="O55" s="66" t="str">
        <f t="shared" si="1"/>
        <v>DM</v>
      </c>
      <c r="P55" s="67">
        <v>1.0</v>
      </c>
      <c r="Q55" s="66">
        <v>0.0</v>
      </c>
      <c r="R55" s="112"/>
      <c r="S55" s="113"/>
      <c r="T55" s="113">
        <v>46108.0</v>
      </c>
      <c r="U55" s="113"/>
      <c r="V55" s="113"/>
      <c r="W55" s="113"/>
      <c r="X55" s="113"/>
      <c r="Y55" s="113"/>
      <c r="Z55" s="114"/>
    </row>
    <row r="56" ht="18.75" customHeight="1">
      <c r="A56" s="90"/>
      <c r="B56" s="61" t="s">
        <v>23</v>
      </c>
      <c r="C56" s="111"/>
      <c r="D56" s="111" t="s">
        <v>331</v>
      </c>
      <c r="E56" s="111" t="s">
        <v>332</v>
      </c>
      <c r="F56" s="111" t="s">
        <v>333</v>
      </c>
      <c r="G56" s="150" t="s">
        <v>334</v>
      </c>
      <c r="H56" s="61" t="s">
        <v>64</v>
      </c>
      <c r="I56" s="111" t="s">
        <v>335</v>
      </c>
      <c r="J56" s="64" t="s">
        <v>106</v>
      </c>
      <c r="K56" s="150" t="s">
        <v>336</v>
      </c>
      <c r="L56" s="64"/>
      <c r="M56" s="152" t="s">
        <v>337</v>
      </c>
      <c r="N56" s="66"/>
      <c r="O56" s="66" t="str">
        <f t="shared" si="1"/>
        <v/>
      </c>
      <c r="P56" s="66">
        <v>0.0</v>
      </c>
      <c r="Q56" s="66">
        <v>0.0</v>
      </c>
      <c r="R56" s="112"/>
      <c r="S56" s="66"/>
      <c r="T56" s="66"/>
      <c r="U56" s="66"/>
      <c r="V56" s="66"/>
      <c r="W56" s="66"/>
      <c r="X56" s="66"/>
      <c r="Y56" s="66"/>
      <c r="Z56" s="82"/>
    </row>
    <row r="57" ht="18.75" customHeight="1">
      <c r="A57" s="90"/>
      <c r="B57" s="61" t="s">
        <v>23</v>
      </c>
      <c r="C57" s="111"/>
      <c r="D57" s="111" t="s">
        <v>338</v>
      </c>
      <c r="E57" s="111" t="s">
        <v>332</v>
      </c>
      <c r="F57" s="111" t="s">
        <v>339</v>
      </c>
      <c r="G57" s="62" t="s">
        <v>340</v>
      </c>
      <c r="H57" s="61" t="s">
        <v>64</v>
      </c>
      <c r="I57" s="111" t="s">
        <v>335</v>
      </c>
      <c r="J57" s="111" t="s">
        <v>106</v>
      </c>
      <c r="K57" s="150" t="s">
        <v>341</v>
      </c>
      <c r="L57" s="64"/>
      <c r="M57" s="152" t="s">
        <v>342</v>
      </c>
      <c r="N57" s="66"/>
      <c r="O57" s="66" t="str">
        <f t="shared" si="1"/>
        <v/>
      </c>
      <c r="P57" s="66">
        <v>0.0</v>
      </c>
      <c r="Q57" s="66">
        <v>0.0</v>
      </c>
      <c r="R57" s="112"/>
      <c r="S57" s="66"/>
      <c r="T57" s="66"/>
      <c r="U57" s="66"/>
      <c r="V57" s="66"/>
      <c r="W57" s="66"/>
      <c r="X57" s="66"/>
      <c r="Y57" s="66"/>
      <c r="Z57" s="82"/>
    </row>
    <row r="58" ht="18.75" customHeight="1">
      <c r="A58" s="75"/>
      <c r="B58" s="70" t="s">
        <v>23</v>
      </c>
      <c r="C58" s="128"/>
      <c r="D58" s="128" t="s">
        <v>343</v>
      </c>
      <c r="E58" s="128" t="s">
        <v>332</v>
      </c>
      <c r="F58" s="128" t="s">
        <v>344</v>
      </c>
      <c r="G58" s="72" t="s">
        <v>345</v>
      </c>
      <c r="H58" s="70" t="s">
        <v>64</v>
      </c>
      <c r="I58" s="73" t="s">
        <v>335</v>
      </c>
      <c r="J58" s="153" t="s">
        <v>346</v>
      </c>
      <c r="K58" s="147" t="s">
        <v>347</v>
      </c>
      <c r="L58" s="85"/>
      <c r="M58" s="154" t="s">
        <v>348</v>
      </c>
      <c r="N58" s="75"/>
      <c r="O58" s="75" t="str">
        <f t="shared" si="1"/>
        <v/>
      </c>
      <c r="P58" s="75">
        <v>0.0</v>
      </c>
      <c r="Q58" s="75">
        <v>0.0</v>
      </c>
      <c r="S58" s="75"/>
      <c r="T58" s="75"/>
      <c r="U58" s="75"/>
      <c r="V58" s="75"/>
      <c r="W58" s="75"/>
      <c r="X58" s="75"/>
      <c r="Y58" s="75"/>
      <c r="Z58" s="75"/>
    </row>
    <row r="59" ht="18.75" customHeight="1">
      <c r="A59" s="75"/>
      <c r="B59" s="70" t="s">
        <v>23</v>
      </c>
      <c r="C59" s="155"/>
      <c r="D59" s="155" t="s">
        <v>112</v>
      </c>
      <c r="E59" s="156" t="s">
        <v>332</v>
      </c>
      <c r="F59" s="156" t="s">
        <v>349</v>
      </c>
      <c r="G59" s="157" t="s">
        <v>350</v>
      </c>
      <c r="H59" s="155"/>
      <c r="I59" s="155" t="s">
        <v>335</v>
      </c>
      <c r="J59" s="157" t="s">
        <v>351</v>
      </c>
      <c r="K59" s="158"/>
      <c r="L59" s="159"/>
      <c r="M59" s="160"/>
      <c r="N59" s="75"/>
      <c r="O59" s="75" t="str">
        <f t="shared" si="1"/>
        <v/>
      </c>
      <c r="P59" s="75">
        <v>0.0</v>
      </c>
      <c r="Q59" s="75">
        <v>0.0</v>
      </c>
      <c r="S59" s="75"/>
      <c r="T59" s="75"/>
      <c r="U59" s="75"/>
      <c r="V59" s="75"/>
      <c r="W59" s="75"/>
      <c r="X59" s="75"/>
      <c r="Y59" s="75"/>
      <c r="Z59" s="75"/>
    </row>
    <row r="60" ht="18.75" customHeight="1">
      <c r="A60" s="90"/>
      <c r="B60" s="61" t="s">
        <v>23</v>
      </c>
      <c r="C60" s="64"/>
      <c r="D60" s="64" t="s">
        <v>352</v>
      </c>
      <c r="E60" s="111" t="s">
        <v>353</v>
      </c>
      <c r="F60" s="111" t="s">
        <v>354</v>
      </c>
      <c r="G60" s="110" t="s">
        <v>355</v>
      </c>
      <c r="H60" s="61" t="s">
        <v>64</v>
      </c>
      <c r="I60" s="64" t="s">
        <v>335</v>
      </c>
      <c r="J60" s="150" t="s">
        <v>356</v>
      </c>
      <c r="K60" s="64" t="s">
        <v>106</v>
      </c>
      <c r="L60" s="80"/>
      <c r="M60" s="140"/>
      <c r="N60" s="66"/>
      <c r="O60" s="66" t="str">
        <f t="shared" si="1"/>
        <v/>
      </c>
      <c r="P60" s="66">
        <v>0.0</v>
      </c>
      <c r="Q60" s="66">
        <v>0.0</v>
      </c>
      <c r="R60" s="112"/>
      <c r="S60" s="66"/>
      <c r="T60" s="66"/>
      <c r="U60" s="66"/>
      <c r="V60" s="66"/>
      <c r="W60" s="66"/>
      <c r="X60" s="66"/>
      <c r="Y60" s="66"/>
      <c r="Z60" s="82"/>
    </row>
    <row r="61" ht="18.75" customHeight="1">
      <c r="A61" s="90"/>
      <c r="B61" s="61" t="s">
        <v>23</v>
      </c>
      <c r="C61" s="111"/>
      <c r="D61" s="111" t="s">
        <v>357</v>
      </c>
      <c r="E61" s="111" t="s">
        <v>353</v>
      </c>
      <c r="F61" s="111" t="s">
        <v>358</v>
      </c>
      <c r="G61" s="110" t="s">
        <v>359</v>
      </c>
      <c r="H61" s="61" t="s">
        <v>106</v>
      </c>
      <c r="I61" s="64"/>
      <c r="J61" s="64" t="s">
        <v>106</v>
      </c>
      <c r="K61" s="150" t="s">
        <v>360</v>
      </c>
      <c r="L61" s="61"/>
      <c r="M61" s="125"/>
      <c r="N61" s="66"/>
      <c r="O61" s="66" t="str">
        <f t="shared" si="1"/>
        <v/>
      </c>
      <c r="P61" s="66">
        <v>0.0</v>
      </c>
      <c r="Q61" s="66">
        <v>0.0</v>
      </c>
      <c r="R61" s="112"/>
      <c r="S61" s="66"/>
      <c r="T61" s="66"/>
      <c r="U61" s="66"/>
      <c r="V61" s="66"/>
      <c r="W61" s="66"/>
      <c r="X61" s="66"/>
      <c r="Y61" s="66"/>
      <c r="Z61" s="82"/>
    </row>
    <row r="62" ht="18.75" customHeight="1">
      <c r="A62" s="90"/>
      <c r="B62" s="61" t="s">
        <v>23</v>
      </c>
      <c r="C62" s="61"/>
      <c r="D62" s="61" t="s">
        <v>361</v>
      </c>
      <c r="E62" s="111" t="s">
        <v>353</v>
      </c>
      <c r="F62" s="111" t="s">
        <v>362</v>
      </c>
      <c r="G62" s="110" t="s">
        <v>363</v>
      </c>
      <c r="H62" s="61" t="s">
        <v>64</v>
      </c>
      <c r="I62" s="62" t="s">
        <v>364</v>
      </c>
      <c r="J62" s="61" t="s">
        <v>106</v>
      </c>
      <c r="K62" s="62" t="s">
        <v>365</v>
      </c>
      <c r="L62" s="64"/>
      <c r="M62" s="135"/>
      <c r="N62" s="66"/>
      <c r="O62" s="66" t="str">
        <f t="shared" si="1"/>
        <v/>
      </c>
      <c r="P62" s="66">
        <v>0.0</v>
      </c>
      <c r="Q62" s="66">
        <v>0.0</v>
      </c>
      <c r="R62" s="112"/>
      <c r="S62" s="66"/>
      <c r="T62" s="66"/>
      <c r="U62" s="66"/>
      <c r="V62" s="66"/>
      <c r="W62" s="66"/>
      <c r="X62" s="66"/>
      <c r="Y62" s="66"/>
      <c r="Z62" s="82"/>
    </row>
    <row r="63" ht="18.75" customHeight="1">
      <c r="A63" s="90"/>
      <c r="B63" s="61" t="s">
        <v>23</v>
      </c>
      <c r="C63" s="111"/>
      <c r="D63" s="111" t="s">
        <v>366</v>
      </c>
      <c r="E63" s="111" t="s">
        <v>332</v>
      </c>
      <c r="F63" s="111" t="s">
        <v>367</v>
      </c>
      <c r="G63" s="62" t="s">
        <v>368</v>
      </c>
      <c r="H63" s="161" t="s">
        <v>64</v>
      </c>
      <c r="I63" s="64" t="s">
        <v>335</v>
      </c>
      <c r="J63" s="111"/>
      <c r="K63" s="64" t="s">
        <v>106</v>
      </c>
      <c r="L63" s="80"/>
      <c r="M63" s="140" t="s">
        <v>369</v>
      </c>
      <c r="N63" s="66"/>
      <c r="O63" s="66" t="str">
        <f t="shared" si="1"/>
        <v/>
      </c>
      <c r="P63" s="66">
        <v>0.0</v>
      </c>
      <c r="Q63" s="66">
        <v>0.0</v>
      </c>
      <c r="R63" s="112"/>
      <c r="S63" s="66"/>
      <c r="T63" s="66"/>
      <c r="U63" s="66"/>
      <c r="V63" s="66"/>
      <c r="W63" s="66"/>
      <c r="X63" s="66"/>
      <c r="Y63" s="66"/>
      <c r="Z63" s="82"/>
    </row>
    <row r="64" ht="18.75" customHeight="1">
      <c r="A64" s="90"/>
      <c r="B64" s="61" t="s">
        <v>23</v>
      </c>
      <c r="C64" s="111"/>
      <c r="D64" s="111" t="s">
        <v>370</v>
      </c>
      <c r="E64" s="111" t="s">
        <v>260</v>
      </c>
      <c r="F64" s="111" t="s">
        <v>371</v>
      </c>
      <c r="G64" s="62" t="s">
        <v>372</v>
      </c>
      <c r="H64" s="61"/>
      <c r="I64" s="61" t="s">
        <v>301</v>
      </c>
      <c r="J64" s="150" t="s">
        <v>373</v>
      </c>
      <c r="K64" s="64"/>
      <c r="L64" s="80"/>
      <c r="M64" s="140"/>
      <c r="N64" s="66"/>
      <c r="O64" s="66" t="str">
        <f t="shared" si="1"/>
        <v/>
      </c>
      <c r="P64" s="66">
        <v>0.0</v>
      </c>
      <c r="Q64" s="66">
        <v>0.0</v>
      </c>
      <c r="R64" s="112"/>
      <c r="S64" s="66"/>
      <c r="T64" s="66"/>
      <c r="U64" s="66"/>
      <c r="V64" s="66"/>
      <c r="W64" s="66"/>
      <c r="X64" s="66"/>
      <c r="Y64" s="66"/>
      <c r="Z64" s="82"/>
    </row>
    <row r="65" ht="18.75" customHeight="1">
      <c r="A65" s="75"/>
      <c r="B65" s="70" t="s">
        <v>23</v>
      </c>
      <c r="C65" s="70"/>
      <c r="D65" s="70" t="s">
        <v>374</v>
      </c>
      <c r="E65" s="128" t="s">
        <v>260</v>
      </c>
      <c r="F65" s="70" t="s">
        <v>375</v>
      </c>
      <c r="G65" s="85"/>
      <c r="H65" s="70"/>
      <c r="I65" s="88"/>
      <c r="J65" s="88"/>
      <c r="K65" s="72" t="s">
        <v>376</v>
      </c>
      <c r="L65" s="85"/>
      <c r="M65" s="139"/>
      <c r="N65" s="75"/>
      <c r="O65" s="75" t="str">
        <f t="shared" si="1"/>
        <v/>
      </c>
      <c r="P65" s="75">
        <v>0.0</v>
      </c>
      <c r="Q65" s="75">
        <v>0.0</v>
      </c>
      <c r="S65" s="75"/>
      <c r="T65" s="75"/>
      <c r="U65" s="75"/>
      <c r="V65" s="75"/>
      <c r="W65" s="75"/>
      <c r="X65" s="75"/>
      <c r="Y65" s="75"/>
      <c r="Z65" s="75"/>
    </row>
    <row r="66" ht="18.75" customHeight="1">
      <c r="A66" s="75"/>
      <c r="B66" s="70" t="s">
        <v>23</v>
      </c>
      <c r="C66" s="70"/>
      <c r="D66" s="70" t="s">
        <v>377</v>
      </c>
      <c r="E66" s="128" t="s">
        <v>260</v>
      </c>
      <c r="F66" s="70" t="s">
        <v>378</v>
      </c>
      <c r="G66" s="72" t="s">
        <v>379</v>
      </c>
      <c r="H66" s="70" t="s">
        <v>64</v>
      </c>
      <c r="I66" s="70" t="s">
        <v>380</v>
      </c>
      <c r="J66" s="88"/>
      <c r="K66" s="72" t="s">
        <v>381</v>
      </c>
      <c r="L66" s="85"/>
      <c r="M66" s="139"/>
      <c r="N66" s="75"/>
      <c r="O66" s="75" t="str">
        <f t="shared" si="1"/>
        <v/>
      </c>
      <c r="P66" s="75">
        <v>0.0</v>
      </c>
      <c r="Q66" s="75">
        <v>0.0</v>
      </c>
      <c r="S66" s="75"/>
      <c r="T66" s="75"/>
      <c r="U66" s="75"/>
      <c r="V66" s="75"/>
      <c r="W66" s="75"/>
      <c r="X66" s="75"/>
      <c r="Y66" s="75"/>
      <c r="Z66" s="75"/>
    </row>
    <row r="67" ht="18.75" customHeight="1">
      <c r="A67" s="75"/>
      <c r="B67" s="70" t="s">
        <v>23</v>
      </c>
      <c r="C67" s="70"/>
      <c r="D67" s="70" t="s">
        <v>382</v>
      </c>
      <c r="E67" s="128" t="s">
        <v>260</v>
      </c>
      <c r="F67" s="70" t="s">
        <v>383</v>
      </c>
      <c r="G67" s="72" t="s">
        <v>384</v>
      </c>
      <c r="H67" s="70" t="s">
        <v>124</v>
      </c>
      <c r="I67" s="70"/>
      <c r="J67" s="72" t="s">
        <v>385</v>
      </c>
      <c r="K67" s="72" t="s">
        <v>386</v>
      </c>
      <c r="L67" s="85"/>
      <c r="M67" s="139" t="s">
        <v>387</v>
      </c>
      <c r="N67" s="75"/>
      <c r="O67" s="75" t="str">
        <f t="shared" si="1"/>
        <v/>
      </c>
      <c r="P67" s="75">
        <v>0.0</v>
      </c>
      <c r="Q67" s="75">
        <v>0.0</v>
      </c>
      <c r="S67" s="75"/>
      <c r="T67" s="75"/>
      <c r="U67" s="75"/>
      <c r="V67" s="75"/>
      <c r="W67" s="75"/>
      <c r="X67" s="75"/>
      <c r="Y67" s="75"/>
      <c r="Z67" s="75"/>
    </row>
    <row r="68" ht="18.75" customHeight="1">
      <c r="A68" s="75"/>
      <c r="B68" s="70" t="s">
        <v>23</v>
      </c>
      <c r="C68" s="70"/>
      <c r="D68" s="70" t="s">
        <v>388</v>
      </c>
      <c r="E68" s="128" t="s">
        <v>353</v>
      </c>
      <c r="F68" s="70" t="s">
        <v>389</v>
      </c>
      <c r="G68" s="72" t="s">
        <v>390</v>
      </c>
      <c r="H68" s="70" t="s">
        <v>64</v>
      </c>
      <c r="I68" s="70" t="s">
        <v>391</v>
      </c>
      <c r="J68" s="72" t="s">
        <v>392</v>
      </c>
      <c r="K68" s="72" t="s">
        <v>393</v>
      </c>
      <c r="L68" s="85"/>
      <c r="M68" s="139" t="s">
        <v>394</v>
      </c>
      <c r="N68" s="75"/>
      <c r="O68" s="75" t="str">
        <f t="shared" si="1"/>
        <v/>
      </c>
      <c r="P68" s="75">
        <v>0.0</v>
      </c>
      <c r="Q68" s="75">
        <v>0.0</v>
      </c>
      <c r="S68" s="75"/>
      <c r="T68" s="75"/>
      <c r="U68" s="75"/>
      <c r="V68" s="75"/>
      <c r="W68" s="75"/>
      <c r="X68" s="75"/>
      <c r="Y68" s="75"/>
      <c r="Z68" s="75"/>
    </row>
    <row r="69" ht="18.75" customHeight="1">
      <c r="A69" s="90"/>
      <c r="B69" s="61" t="s">
        <v>23</v>
      </c>
      <c r="C69" s="61"/>
      <c r="D69" s="61" t="s">
        <v>395</v>
      </c>
      <c r="E69" s="111" t="s">
        <v>353</v>
      </c>
      <c r="F69" s="61" t="s">
        <v>396</v>
      </c>
      <c r="G69" s="62" t="s">
        <v>397</v>
      </c>
      <c r="H69" s="61" t="s">
        <v>106</v>
      </c>
      <c r="I69" s="61"/>
      <c r="J69" s="61" t="s">
        <v>106</v>
      </c>
      <c r="K69" s="62" t="s">
        <v>398</v>
      </c>
      <c r="L69" s="80"/>
      <c r="M69" s="140" t="s">
        <v>399</v>
      </c>
      <c r="N69" s="66"/>
      <c r="O69" s="66" t="str">
        <f t="shared" si="1"/>
        <v/>
      </c>
      <c r="P69" s="66">
        <v>0.0</v>
      </c>
      <c r="Q69" s="66">
        <v>0.0</v>
      </c>
      <c r="R69" s="112"/>
      <c r="S69" s="66"/>
      <c r="T69" s="66"/>
      <c r="U69" s="66"/>
      <c r="V69" s="66"/>
      <c r="W69" s="66"/>
      <c r="X69" s="66"/>
      <c r="Y69" s="66"/>
      <c r="Z69" s="82"/>
    </row>
    <row r="70" ht="18.75" customHeight="1">
      <c r="A70" s="90"/>
      <c r="B70" s="61" t="s">
        <v>20</v>
      </c>
      <c r="C70" s="162"/>
      <c r="D70" s="162" t="s">
        <v>400</v>
      </c>
      <c r="E70" s="163" t="s">
        <v>260</v>
      </c>
      <c r="F70" s="162" t="s">
        <v>401</v>
      </c>
      <c r="G70" s="164" t="s">
        <v>402</v>
      </c>
      <c r="H70" s="162" t="s">
        <v>116</v>
      </c>
      <c r="I70" s="165"/>
      <c r="J70" s="99" t="s">
        <v>402</v>
      </c>
      <c r="K70" s="166"/>
      <c r="L70" s="167" t="s">
        <v>403</v>
      </c>
      <c r="M70" s="168"/>
      <c r="N70" s="66"/>
      <c r="O70" s="66" t="str">
        <f t="shared" si="1"/>
        <v>이메일</v>
      </c>
      <c r="P70" s="66">
        <v>0.0</v>
      </c>
      <c r="Q70" s="67">
        <v>1.0</v>
      </c>
      <c r="R70" s="112"/>
      <c r="S70" s="113"/>
      <c r="T70" s="113">
        <v>46108.0</v>
      </c>
      <c r="U70" s="113"/>
      <c r="V70" s="113"/>
      <c r="W70" s="113"/>
      <c r="X70" s="113"/>
      <c r="Y70" s="113"/>
      <c r="Z70" s="114"/>
    </row>
    <row r="71" ht="18.75" customHeight="1">
      <c r="A71" s="90"/>
      <c r="B71" s="61" t="s">
        <v>20</v>
      </c>
      <c r="C71" s="97"/>
      <c r="D71" s="97" t="s">
        <v>404</v>
      </c>
      <c r="E71" s="169" t="s">
        <v>405</v>
      </c>
      <c r="F71" s="97" t="s">
        <v>406</v>
      </c>
      <c r="G71" s="170"/>
      <c r="H71" s="97" t="s">
        <v>97</v>
      </c>
      <c r="I71" s="97" t="s">
        <v>407</v>
      </c>
      <c r="J71" s="99" t="s">
        <v>408</v>
      </c>
      <c r="K71" s="107" t="s">
        <v>409</v>
      </c>
      <c r="L71" s="170" t="s">
        <v>410</v>
      </c>
      <c r="M71" s="171" t="s">
        <v>411</v>
      </c>
      <c r="N71" s="66"/>
      <c r="O71" s="66" t="str">
        <f t="shared" si="1"/>
        <v>DM+이메일</v>
      </c>
      <c r="P71" s="67">
        <v>1.0</v>
      </c>
      <c r="Q71" s="67">
        <v>1.0</v>
      </c>
      <c r="R71" s="112"/>
      <c r="S71" s="113"/>
      <c r="T71" s="113">
        <v>46108.0</v>
      </c>
      <c r="U71" s="113"/>
      <c r="V71" s="113"/>
      <c r="W71" s="113"/>
      <c r="X71" s="113"/>
      <c r="Y71" s="113"/>
      <c r="Z71" s="114"/>
    </row>
    <row r="72" ht="18.75" customHeight="1">
      <c r="A72" s="75"/>
      <c r="B72" s="70" t="s">
        <v>23</v>
      </c>
      <c r="C72" s="119"/>
      <c r="D72" s="119" t="s">
        <v>404</v>
      </c>
      <c r="E72" s="172" t="s">
        <v>405</v>
      </c>
      <c r="F72" s="119" t="s">
        <v>412</v>
      </c>
      <c r="G72" s="173"/>
      <c r="H72" s="119" t="s">
        <v>97</v>
      </c>
      <c r="I72" s="119" t="s">
        <v>413</v>
      </c>
      <c r="J72" s="117"/>
      <c r="K72" s="86" t="s">
        <v>414</v>
      </c>
      <c r="L72" s="173"/>
      <c r="M72" s="174" t="s">
        <v>415</v>
      </c>
      <c r="N72" s="75"/>
      <c r="O72" s="75" t="str">
        <f t="shared" si="1"/>
        <v/>
      </c>
      <c r="P72" s="75">
        <v>0.0</v>
      </c>
      <c r="Q72" s="75">
        <v>0.0</v>
      </c>
      <c r="S72" s="75"/>
      <c r="T72" s="75"/>
      <c r="U72" s="75"/>
      <c r="V72" s="75"/>
      <c r="W72" s="75"/>
      <c r="X72" s="75"/>
      <c r="Y72" s="75"/>
      <c r="Z72" s="75"/>
    </row>
    <row r="73" ht="18.75" customHeight="1">
      <c r="A73" s="90"/>
      <c r="B73" s="61" t="s">
        <v>23</v>
      </c>
      <c r="C73" s="97"/>
      <c r="D73" s="97" t="s">
        <v>404</v>
      </c>
      <c r="E73" s="169" t="s">
        <v>405</v>
      </c>
      <c r="F73" s="97" t="s">
        <v>416</v>
      </c>
      <c r="G73" s="170"/>
      <c r="H73" s="97" t="s">
        <v>97</v>
      </c>
      <c r="I73" s="97" t="s">
        <v>417</v>
      </c>
      <c r="J73" s="175"/>
      <c r="K73" s="98" t="s">
        <v>418</v>
      </c>
      <c r="L73" s="170"/>
      <c r="M73" s="171"/>
      <c r="N73" s="66"/>
      <c r="O73" s="66" t="str">
        <f t="shared" si="1"/>
        <v/>
      </c>
      <c r="P73" s="66">
        <v>0.0</v>
      </c>
      <c r="Q73" s="66">
        <v>0.0</v>
      </c>
      <c r="R73" s="112"/>
      <c r="S73" s="66"/>
      <c r="T73" s="66"/>
      <c r="U73" s="66"/>
      <c r="V73" s="66"/>
      <c r="W73" s="66"/>
      <c r="X73" s="66"/>
      <c r="Y73" s="66"/>
      <c r="Z73" s="82"/>
    </row>
    <row r="74" ht="18.75" customHeight="1">
      <c r="A74" s="90"/>
      <c r="B74" s="61" t="s">
        <v>23</v>
      </c>
      <c r="C74" s="61"/>
      <c r="D74" s="61" t="s">
        <v>419</v>
      </c>
      <c r="E74" s="111" t="s">
        <v>109</v>
      </c>
      <c r="F74" s="61" t="s">
        <v>420</v>
      </c>
      <c r="G74" s="62" t="s">
        <v>44</v>
      </c>
      <c r="H74" s="61" t="s">
        <v>116</v>
      </c>
      <c r="I74" s="61" t="s">
        <v>421</v>
      </c>
      <c r="J74" s="62" t="s">
        <v>44</v>
      </c>
      <c r="K74" s="62" t="s">
        <v>422</v>
      </c>
      <c r="L74" s="80"/>
      <c r="M74" s="176" t="s">
        <v>423</v>
      </c>
      <c r="N74" s="66"/>
      <c r="O74" s="66" t="str">
        <f t="shared" si="1"/>
        <v/>
      </c>
      <c r="P74" s="66">
        <v>0.0</v>
      </c>
      <c r="Q74" s="66">
        <v>0.0</v>
      </c>
      <c r="R74" s="112"/>
      <c r="S74" s="66"/>
      <c r="T74" s="66"/>
      <c r="U74" s="66"/>
      <c r="V74" s="66"/>
      <c r="W74" s="66"/>
      <c r="X74" s="66"/>
      <c r="Y74" s="66"/>
      <c r="Z74" s="82"/>
    </row>
    <row r="75" ht="18.75" customHeight="1">
      <c r="A75" s="75"/>
      <c r="B75" s="70" t="s">
        <v>23</v>
      </c>
      <c r="C75" s="155"/>
      <c r="D75" s="155" t="s">
        <v>424</v>
      </c>
      <c r="E75" s="156" t="s">
        <v>405</v>
      </c>
      <c r="F75" s="155" t="s">
        <v>425</v>
      </c>
      <c r="G75" s="158"/>
      <c r="H75" s="155" t="s">
        <v>124</v>
      </c>
      <c r="I75" s="155" t="s">
        <v>426</v>
      </c>
      <c r="J75" s="177"/>
      <c r="K75" s="157" t="s">
        <v>427</v>
      </c>
      <c r="L75" s="158"/>
      <c r="M75" s="178" t="s">
        <v>428</v>
      </c>
      <c r="N75" s="75"/>
      <c r="O75" s="75" t="str">
        <f t="shared" si="1"/>
        <v/>
      </c>
      <c r="P75" s="75">
        <v>0.0</v>
      </c>
      <c r="Q75" s="75">
        <v>0.0</v>
      </c>
      <c r="S75" s="75"/>
      <c r="T75" s="75"/>
      <c r="U75" s="75"/>
      <c r="V75" s="75"/>
      <c r="W75" s="75"/>
      <c r="X75" s="75"/>
      <c r="Y75" s="75"/>
      <c r="Z75" s="75"/>
    </row>
    <row r="76" ht="18.75" customHeight="1">
      <c r="A76" s="90"/>
      <c r="B76" s="61" t="s">
        <v>20</v>
      </c>
      <c r="C76" s="61"/>
      <c r="D76" s="61" t="s">
        <v>103</v>
      </c>
      <c r="E76" s="111" t="s">
        <v>429</v>
      </c>
      <c r="F76" s="61" t="s">
        <v>430</v>
      </c>
      <c r="G76" s="80"/>
      <c r="H76" s="61" t="s">
        <v>431</v>
      </c>
      <c r="I76" s="105"/>
      <c r="J76" s="99" t="s">
        <v>432</v>
      </c>
      <c r="K76" s="107" t="s">
        <v>433</v>
      </c>
      <c r="L76" s="80" t="s">
        <v>434</v>
      </c>
      <c r="M76" s="140"/>
      <c r="N76" s="66"/>
      <c r="O76" s="66" t="str">
        <f t="shared" si="1"/>
        <v>DM+이메일</v>
      </c>
      <c r="P76" s="67">
        <v>1.0</v>
      </c>
      <c r="Q76" s="67">
        <v>1.0</v>
      </c>
      <c r="R76" s="112"/>
      <c r="S76" s="113"/>
      <c r="T76" s="113">
        <v>46108.0</v>
      </c>
      <c r="U76" s="113"/>
      <c r="V76" s="113"/>
      <c r="W76" s="113"/>
      <c r="X76" s="113"/>
      <c r="Y76" s="113"/>
      <c r="Z76" s="114"/>
    </row>
    <row r="77" ht="18.75" customHeight="1">
      <c r="A77" s="90"/>
      <c r="B77" s="61" t="s">
        <v>20</v>
      </c>
      <c r="C77" s="97"/>
      <c r="D77" s="97" t="s">
        <v>435</v>
      </c>
      <c r="E77" s="169" t="s">
        <v>89</v>
      </c>
      <c r="F77" s="97" t="s">
        <v>436</v>
      </c>
      <c r="G77" s="170"/>
      <c r="H77" s="97" t="s">
        <v>124</v>
      </c>
      <c r="I77" s="98" t="s">
        <v>437</v>
      </c>
      <c r="J77" s="99" t="s">
        <v>438</v>
      </c>
      <c r="K77" s="166"/>
      <c r="L77" s="170" t="s">
        <v>439</v>
      </c>
      <c r="M77" s="171"/>
      <c r="N77" s="66"/>
      <c r="O77" s="66" t="str">
        <f t="shared" si="1"/>
        <v>이메일</v>
      </c>
      <c r="P77" s="66">
        <v>0.0</v>
      </c>
      <c r="Q77" s="67">
        <v>1.0</v>
      </c>
      <c r="R77" s="112"/>
      <c r="S77" s="113"/>
      <c r="T77" s="113">
        <v>46108.0</v>
      </c>
      <c r="U77" s="113"/>
      <c r="V77" s="113"/>
      <c r="W77" s="113"/>
      <c r="X77" s="113"/>
      <c r="Y77" s="113"/>
      <c r="Z77" s="114"/>
    </row>
    <row r="78" ht="18.75" customHeight="1">
      <c r="A78" s="90"/>
      <c r="B78" s="61" t="s">
        <v>23</v>
      </c>
      <c r="C78" s="61"/>
      <c r="D78" s="61" t="s">
        <v>440</v>
      </c>
      <c r="E78" s="111" t="s">
        <v>109</v>
      </c>
      <c r="F78" s="61" t="s">
        <v>441</v>
      </c>
      <c r="G78" s="62" t="s">
        <v>44</v>
      </c>
      <c r="H78" s="61" t="s">
        <v>124</v>
      </c>
      <c r="I78" s="62" t="s">
        <v>442</v>
      </c>
      <c r="J78" s="62" t="s">
        <v>44</v>
      </c>
      <c r="K78" s="80"/>
      <c r="L78" s="80"/>
      <c r="M78" s="176" t="s">
        <v>428</v>
      </c>
      <c r="N78" s="66"/>
      <c r="O78" s="66" t="str">
        <f t="shared" si="1"/>
        <v/>
      </c>
      <c r="P78" s="66">
        <v>0.0</v>
      </c>
      <c r="Q78" s="66">
        <v>0.0</v>
      </c>
      <c r="R78" s="112"/>
      <c r="S78" s="66"/>
      <c r="T78" s="66"/>
      <c r="U78" s="66"/>
      <c r="V78" s="66"/>
      <c r="W78" s="66"/>
      <c r="X78" s="66"/>
      <c r="Y78" s="66"/>
      <c r="Z78" s="82"/>
    </row>
    <row r="79" ht="18.75" customHeight="1">
      <c r="A79" s="75"/>
      <c r="B79" s="70" t="s">
        <v>23</v>
      </c>
      <c r="C79" s="119"/>
      <c r="D79" s="119" t="s">
        <v>443</v>
      </c>
      <c r="E79" s="172" t="s">
        <v>109</v>
      </c>
      <c r="F79" s="119" t="s">
        <v>444</v>
      </c>
      <c r="G79" s="179" t="s">
        <v>445</v>
      </c>
      <c r="H79" s="119" t="s">
        <v>431</v>
      </c>
      <c r="I79" s="120"/>
      <c r="J79" s="83" t="s">
        <v>446</v>
      </c>
      <c r="K79" s="86" t="s">
        <v>447</v>
      </c>
      <c r="L79" s="173"/>
      <c r="M79" s="180" t="s">
        <v>448</v>
      </c>
      <c r="N79" s="75"/>
      <c r="O79" s="75" t="str">
        <f t="shared" si="1"/>
        <v/>
      </c>
      <c r="P79" s="75">
        <v>0.0</v>
      </c>
      <c r="Q79" s="75">
        <v>0.0</v>
      </c>
      <c r="S79" s="75"/>
      <c r="T79" s="75"/>
      <c r="U79" s="75"/>
      <c r="V79" s="75"/>
      <c r="W79" s="75"/>
      <c r="X79" s="75"/>
      <c r="Y79" s="75"/>
      <c r="Z79" s="75"/>
    </row>
    <row r="80" ht="18.75" customHeight="1">
      <c r="A80" s="90"/>
      <c r="B80" s="61" t="s">
        <v>20</v>
      </c>
      <c r="C80" s="97"/>
      <c r="D80" s="97" t="s">
        <v>449</v>
      </c>
      <c r="E80" s="169" t="s">
        <v>109</v>
      </c>
      <c r="F80" s="97" t="s">
        <v>450</v>
      </c>
      <c r="G80" s="98" t="s">
        <v>44</v>
      </c>
      <c r="H80" s="97" t="s">
        <v>124</v>
      </c>
      <c r="I80" s="98" t="s">
        <v>451</v>
      </c>
      <c r="J80" s="99" t="s">
        <v>452</v>
      </c>
      <c r="K80" s="107" t="s">
        <v>453</v>
      </c>
      <c r="L80" s="170" t="s">
        <v>454</v>
      </c>
      <c r="M80" s="171"/>
      <c r="N80" s="66"/>
      <c r="O80" s="66" t="str">
        <f t="shared" si="1"/>
        <v>DM+이메일</v>
      </c>
      <c r="P80" s="67">
        <v>1.0</v>
      </c>
      <c r="Q80" s="67">
        <v>1.0</v>
      </c>
      <c r="R80" s="112"/>
      <c r="S80" s="113"/>
      <c r="T80" s="113">
        <v>46108.0</v>
      </c>
      <c r="U80" s="113"/>
      <c r="V80" s="113"/>
      <c r="W80" s="113"/>
      <c r="X80" s="113"/>
      <c r="Y80" s="113"/>
      <c r="Z80" s="114"/>
    </row>
    <row r="81" ht="18.75" customHeight="1">
      <c r="A81" s="90"/>
      <c r="B81" s="61" t="s">
        <v>20</v>
      </c>
      <c r="C81" s="97"/>
      <c r="D81" s="97" t="s">
        <v>435</v>
      </c>
      <c r="E81" s="169" t="s">
        <v>89</v>
      </c>
      <c r="F81" s="97" t="s">
        <v>455</v>
      </c>
      <c r="G81" s="98" t="s">
        <v>456</v>
      </c>
      <c r="H81" s="97" t="s">
        <v>431</v>
      </c>
      <c r="I81" s="175"/>
      <c r="J81" s="99" t="s">
        <v>457</v>
      </c>
      <c r="K81" s="166"/>
      <c r="L81" s="170" t="s">
        <v>458</v>
      </c>
      <c r="M81" s="171"/>
      <c r="N81" s="66"/>
      <c r="O81" s="66" t="str">
        <f t="shared" si="1"/>
        <v>이메일</v>
      </c>
      <c r="P81" s="66">
        <v>0.0</v>
      </c>
      <c r="Q81" s="67">
        <v>1.0</v>
      </c>
      <c r="R81" s="112"/>
      <c r="S81" s="113"/>
      <c r="T81" s="113">
        <v>46108.0</v>
      </c>
      <c r="U81" s="113"/>
      <c r="V81" s="113"/>
      <c r="W81" s="113"/>
      <c r="X81" s="113"/>
      <c r="Y81" s="113"/>
      <c r="Z81" s="114"/>
    </row>
    <row r="82" ht="18.75" customHeight="1">
      <c r="A82" s="75"/>
      <c r="B82" s="70" t="s">
        <v>23</v>
      </c>
      <c r="C82" s="119"/>
      <c r="D82" s="119" t="s">
        <v>459</v>
      </c>
      <c r="E82" s="172" t="s">
        <v>332</v>
      </c>
      <c r="F82" s="119" t="s">
        <v>460</v>
      </c>
      <c r="G82" s="179" t="s">
        <v>461</v>
      </c>
      <c r="H82" s="119" t="s">
        <v>64</v>
      </c>
      <c r="I82" s="119" t="s">
        <v>462</v>
      </c>
      <c r="J82" s="83" t="s">
        <v>463</v>
      </c>
      <c r="K82" s="84"/>
      <c r="L82" s="173"/>
      <c r="M82" s="174" t="s">
        <v>464</v>
      </c>
      <c r="N82" s="75"/>
      <c r="O82" s="75" t="str">
        <f t="shared" si="1"/>
        <v/>
      </c>
      <c r="P82" s="75">
        <v>0.0</v>
      </c>
      <c r="Q82" s="75">
        <v>0.0</v>
      </c>
      <c r="S82" s="75"/>
      <c r="T82" s="75"/>
      <c r="U82" s="75"/>
      <c r="V82" s="75"/>
      <c r="W82" s="75"/>
      <c r="X82" s="75"/>
      <c r="Y82" s="75"/>
      <c r="Z82" s="75"/>
    </row>
    <row r="83" ht="18.75" customHeight="1">
      <c r="A83" s="75"/>
      <c r="B83" s="70" t="s">
        <v>24</v>
      </c>
      <c r="C83" s="119" t="s">
        <v>465</v>
      </c>
      <c r="D83" s="119" t="s">
        <v>466</v>
      </c>
      <c r="E83" s="172" t="s">
        <v>332</v>
      </c>
      <c r="F83" s="119" t="s">
        <v>467</v>
      </c>
      <c r="G83" s="179" t="s">
        <v>468</v>
      </c>
      <c r="H83" s="119" t="s">
        <v>64</v>
      </c>
      <c r="I83" s="119" t="s">
        <v>462</v>
      </c>
      <c r="J83" s="83" t="s">
        <v>469</v>
      </c>
      <c r="K83" s="84"/>
      <c r="L83" s="173"/>
      <c r="M83" s="174" t="s">
        <v>470</v>
      </c>
      <c r="N83" s="75"/>
      <c r="O83" s="75" t="str">
        <f t="shared" si="1"/>
        <v/>
      </c>
      <c r="P83" s="75">
        <v>0.0</v>
      </c>
      <c r="Q83" s="75">
        <v>0.0</v>
      </c>
      <c r="S83" s="75"/>
      <c r="T83" s="75"/>
      <c r="U83" s="75"/>
      <c r="V83" s="75"/>
      <c r="W83" s="75"/>
      <c r="X83" s="75"/>
      <c r="Y83" s="75"/>
      <c r="Z83" s="75"/>
    </row>
    <row r="84" ht="18.75" customHeight="1">
      <c r="A84" s="90"/>
      <c r="B84" s="61" t="s">
        <v>23</v>
      </c>
      <c r="C84" s="181"/>
      <c r="D84" s="181" t="s">
        <v>471</v>
      </c>
      <c r="E84" s="182" t="s">
        <v>353</v>
      </c>
      <c r="F84" s="181" t="s">
        <v>472</v>
      </c>
      <c r="G84" s="183" t="s">
        <v>473</v>
      </c>
      <c r="H84" s="181" t="s">
        <v>64</v>
      </c>
      <c r="I84" s="183" t="s">
        <v>474</v>
      </c>
      <c r="J84" s="183" t="s">
        <v>475</v>
      </c>
      <c r="K84" s="184"/>
      <c r="L84" s="184"/>
      <c r="M84" s="185" t="s">
        <v>476</v>
      </c>
      <c r="N84" s="66"/>
      <c r="O84" s="66" t="str">
        <f t="shared" si="1"/>
        <v/>
      </c>
      <c r="P84" s="66">
        <v>0.0</v>
      </c>
      <c r="Q84" s="66">
        <v>0.0</v>
      </c>
      <c r="R84" s="112"/>
      <c r="S84" s="66"/>
      <c r="T84" s="66"/>
      <c r="U84" s="66"/>
      <c r="V84" s="66"/>
      <c r="W84" s="66"/>
      <c r="X84" s="66"/>
      <c r="Y84" s="66"/>
      <c r="Z84" s="82"/>
    </row>
    <row r="85" ht="18.75" customHeight="1">
      <c r="A85" s="90"/>
      <c r="B85" s="61" t="s">
        <v>23</v>
      </c>
      <c r="C85" s="61"/>
      <c r="D85" s="61" t="s">
        <v>471</v>
      </c>
      <c r="E85" s="111" t="s">
        <v>353</v>
      </c>
      <c r="F85" s="61" t="s">
        <v>477</v>
      </c>
      <c r="G85" s="62" t="s">
        <v>473</v>
      </c>
      <c r="H85" s="61" t="s">
        <v>64</v>
      </c>
      <c r="I85" s="62" t="s">
        <v>478</v>
      </c>
      <c r="J85" s="62" t="s">
        <v>479</v>
      </c>
      <c r="K85" s="80"/>
      <c r="L85" s="80"/>
      <c r="M85" s="140" t="s">
        <v>480</v>
      </c>
      <c r="N85" s="66"/>
      <c r="O85" s="66" t="str">
        <f t="shared" si="1"/>
        <v/>
      </c>
      <c r="P85" s="66">
        <v>0.0</v>
      </c>
      <c r="Q85" s="66">
        <v>0.0</v>
      </c>
      <c r="R85" s="112"/>
      <c r="S85" s="66"/>
      <c r="T85" s="66"/>
      <c r="U85" s="66"/>
      <c r="V85" s="66"/>
      <c r="W85" s="66"/>
      <c r="X85" s="66"/>
      <c r="Y85" s="66"/>
      <c r="Z85" s="82"/>
    </row>
    <row r="86" ht="18.75" customHeight="1">
      <c r="A86" s="90"/>
      <c r="B86" s="61" t="s">
        <v>20</v>
      </c>
      <c r="C86" s="97"/>
      <c r="D86" s="97" t="s">
        <v>435</v>
      </c>
      <c r="E86" s="169" t="s">
        <v>89</v>
      </c>
      <c r="F86" s="97" t="s">
        <v>481</v>
      </c>
      <c r="G86" s="170"/>
      <c r="H86" s="97" t="s">
        <v>106</v>
      </c>
      <c r="I86" s="175"/>
      <c r="J86" s="99" t="s">
        <v>482</v>
      </c>
      <c r="K86" s="166"/>
      <c r="L86" s="170" t="s">
        <v>483</v>
      </c>
      <c r="M86" s="171"/>
      <c r="N86" s="66"/>
      <c r="O86" s="66" t="str">
        <f t="shared" si="1"/>
        <v>이메일</v>
      </c>
      <c r="P86" s="66">
        <v>0.0</v>
      </c>
      <c r="Q86" s="67">
        <v>1.0</v>
      </c>
      <c r="R86" s="112"/>
      <c r="S86" s="113"/>
      <c r="T86" s="113">
        <v>46108.0</v>
      </c>
      <c r="U86" s="113"/>
      <c r="V86" s="113"/>
      <c r="W86" s="113"/>
      <c r="X86" s="113"/>
      <c r="Y86" s="113"/>
      <c r="Z86" s="114"/>
    </row>
    <row r="87" ht="18.75" customHeight="1">
      <c r="A87" s="90"/>
      <c r="B87" s="61" t="s">
        <v>23</v>
      </c>
      <c r="C87" s="61"/>
      <c r="D87" s="61" t="s">
        <v>484</v>
      </c>
      <c r="E87" s="111" t="s">
        <v>122</v>
      </c>
      <c r="F87" s="61" t="s">
        <v>485</v>
      </c>
      <c r="G87" s="62" t="s">
        <v>486</v>
      </c>
      <c r="H87" s="61" t="s">
        <v>64</v>
      </c>
      <c r="I87" s="61" t="s">
        <v>301</v>
      </c>
      <c r="J87" s="63" t="s">
        <v>487</v>
      </c>
      <c r="K87" s="62" t="s">
        <v>488</v>
      </c>
      <c r="L87" s="80"/>
      <c r="M87" s="140"/>
      <c r="N87" s="66"/>
      <c r="O87" s="66" t="str">
        <f t="shared" si="1"/>
        <v/>
      </c>
      <c r="P87" s="66">
        <v>0.0</v>
      </c>
      <c r="Q87" s="66">
        <v>0.0</v>
      </c>
      <c r="R87" s="112"/>
      <c r="S87" s="66"/>
      <c r="T87" s="66"/>
      <c r="U87" s="66"/>
      <c r="V87" s="66"/>
      <c r="W87" s="66"/>
      <c r="X87" s="66"/>
      <c r="Y87" s="66"/>
      <c r="Z87" s="82"/>
    </row>
    <row r="88" ht="18.75" customHeight="1">
      <c r="A88" s="90"/>
      <c r="B88" s="61" t="s">
        <v>23</v>
      </c>
      <c r="C88" s="61"/>
      <c r="D88" s="61" t="s">
        <v>489</v>
      </c>
      <c r="E88" s="111" t="s">
        <v>109</v>
      </c>
      <c r="F88" s="61" t="s">
        <v>490</v>
      </c>
      <c r="G88" s="62" t="s">
        <v>44</v>
      </c>
      <c r="H88" s="61" t="s">
        <v>124</v>
      </c>
      <c r="I88" s="61" t="s">
        <v>491</v>
      </c>
      <c r="J88" s="62" t="s">
        <v>44</v>
      </c>
      <c r="K88" s="80"/>
      <c r="L88" s="80"/>
      <c r="M88" s="176" t="s">
        <v>492</v>
      </c>
      <c r="N88" s="66"/>
      <c r="O88" s="66" t="str">
        <f t="shared" si="1"/>
        <v/>
      </c>
      <c r="P88" s="66">
        <v>0.0</v>
      </c>
      <c r="Q88" s="66">
        <v>0.0</v>
      </c>
      <c r="R88" s="112"/>
      <c r="S88" s="66"/>
      <c r="T88" s="66"/>
      <c r="U88" s="66"/>
      <c r="V88" s="66"/>
      <c r="W88" s="66"/>
      <c r="X88" s="66"/>
      <c r="Y88" s="66"/>
      <c r="Z88" s="82"/>
    </row>
    <row r="89" ht="18.75" customHeight="1">
      <c r="A89" s="90"/>
      <c r="B89" s="61" t="s">
        <v>23</v>
      </c>
      <c r="C89" s="186"/>
      <c r="D89" s="186" t="s">
        <v>493</v>
      </c>
      <c r="E89" s="187" t="s">
        <v>494</v>
      </c>
      <c r="F89" s="186" t="s">
        <v>495</v>
      </c>
      <c r="G89" s="188" t="s">
        <v>496</v>
      </c>
      <c r="H89" s="186" t="s">
        <v>64</v>
      </c>
      <c r="I89" s="186" t="s">
        <v>496</v>
      </c>
      <c r="J89" s="99" t="s">
        <v>497</v>
      </c>
      <c r="K89" s="107" t="s">
        <v>498</v>
      </c>
      <c r="L89" s="189"/>
      <c r="M89" s="190" t="s">
        <v>499</v>
      </c>
      <c r="N89" s="66"/>
      <c r="O89" s="66" t="str">
        <f t="shared" si="1"/>
        <v/>
      </c>
      <c r="P89" s="66">
        <v>0.0</v>
      </c>
      <c r="Q89" s="66">
        <v>0.0</v>
      </c>
      <c r="R89" s="112"/>
      <c r="S89" s="66"/>
      <c r="T89" s="66"/>
      <c r="U89" s="66"/>
      <c r="V89" s="66"/>
      <c r="W89" s="66"/>
      <c r="X89" s="66"/>
      <c r="Y89" s="66"/>
      <c r="Z89" s="82"/>
    </row>
    <row r="90" ht="18.75" customHeight="1">
      <c r="A90" s="90"/>
      <c r="B90" s="61" t="s">
        <v>23</v>
      </c>
      <c r="C90" s="186"/>
      <c r="D90" s="186" t="s">
        <v>500</v>
      </c>
      <c r="E90" s="187" t="s">
        <v>494</v>
      </c>
      <c r="F90" s="186" t="s">
        <v>501</v>
      </c>
      <c r="G90" s="188" t="s">
        <v>496</v>
      </c>
      <c r="H90" s="186" t="s">
        <v>64</v>
      </c>
      <c r="I90" s="186" t="s">
        <v>496</v>
      </c>
      <c r="J90" s="99" t="s">
        <v>502</v>
      </c>
      <c r="K90" s="107" t="s">
        <v>503</v>
      </c>
      <c r="L90" s="189"/>
      <c r="M90" s="190" t="s">
        <v>504</v>
      </c>
      <c r="N90" s="66"/>
      <c r="O90" s="66" t="str">
        <f t="shared" si="1"/>
        <v/>
      </c>
      <c r="P90" s="66">
        <v>0.0</v>
      </c>
      <c r="Q90" s="66">
        <v>0.0</v>
      </c>
      <c r="R90" s="112"/>
      <c r="S90" s="66"/>
      <c r="T90" s="66"/>
      <c r="U90" s="66"/>
      <c r="V90" s="66"/>
      <c r="W90" s="66"/>
      <c r="X90" s="66"/>
      <c r="Y90" s="66"/>
      <c r="Z90" s="82"/>
    </row>
    <row r="91" ht="18.75" customHeight="1">
      <c r="A91" s="90"/>
      <c r="B91" s="61" t="s">
        <v>23</v>
      </c>
      <c r="C91" s="191"/>
      <c r="D91" s="191" t="s">
        <v>505</v>
      </c>
      <c r="E91" s="192" t="s">
        <v>506</v>
      </c>
      <c r="F91" s="191" t="s">
        <v>507</v>
      </c>
      <c r="G91" s="193"/>
      <c r="H91" s="191" t="s">
        <v>431</v>
      </c>
      <c r="I91" s="194"/>
      <c r="J91" s="195" t="s">
        <v>44</v>
      </c>
      <c r="K91" s="195" t="s">
        <v>45</v>
      </c>
      <c r="L91" s="193"/>
      <c r="M91" s="196"/>
      <c r="N91" s="66"/>
      <c r="O91" s="66" t="str">
        <f t="shared" si="1"/>
        <v/>
      </c>
      <c r="P91" s="66">
        <v>0.0</v>
      </c>
      <c r="Q91" s="66">
        <v>0.0</v>
      </c>
      <c r="R91" s="112"/>
      <c r="S91" s="66"/>
      <c r="T91" s="66"/>
      <c r="U91" s="66"/>
      <c r="V91" s="66"/>
      <c r="W91" s="66"/>
      <c r="X91" s="66"/>
      <c r="Y91" s="66"/>
      <c r="Z91" s="82"/>
    </row>
    <row r="92" ht="18.75" customHeight="1">
      <c r="A92" s="90"/>
      <c r="B92" s="61" t="s">
        <v>20</v>
      </c>
      <c r="C92" s="186"/>
      <c r="D92" s="186" t="s">
        <v>508</v>
      </c>
      <c r="E92" s="187" t="s">
        <v>494</v>
      </c>
      <c r="F92" s="186" t="s">
        <v>509</v>
      </c>
      <c r="G92" s="188" t="s">
        <v>496</v>
      </c>
      <c r="H92" s="186" t="s">
        <v>64</v>
      </c>
      <c r="I92" s="186" t="s">
        <v>496</v>
      </c>
      <c r="J92" s="197" t="s">
        <v>510</v>
      </c>
      <c r="K92" s="166"/>
      <c r="L92" s="189" t="s">
        <v>511</v>
      </c>
      <c r="M92" s="190" t="s">
        <v>512</v>
      </c>
      <c r="N92" s="66"/>
      <c r="O92" s="66" t="str">
        <f t="shared" si="1"/>
        <v>이메일</v>
      </c>
      <c r="P92" s="66">
        <v>0.0</v>
      </c>
      <c r="Q92" s="67">
        <v>1.0</v>
      </c>
      <c r="R92" s="112"/>
      <c r="S92" s="113"/>
      <c r="T92" s="113">
        <v>46108.0</v>
      </c>
      <c r="U92" s="113"/>
      <c r="V92" s="113"/>
      <c r="W92" s="113"/>
      <c r="X92" s="113"/>
      <c r="Y92" s="113"/>
      <c r="Z92" s="114"/>
    </row>
    <row r="93" ht="18.75" customHeight="1">
      <c r="A93" s="90"/>
      <c r="B93" s="61" t="s">
        <v>23</v>
      </c>
      <c r="C93" s="61"/>
      <c r="D93" s="61" t="s">
        <v>328</v>
      </c>
      <c r="E93" s="111" t="s">
        <v>513</v>
      </c>
      <c r="F93" s="61" t="s">
        <v>514</v>
      </c>
      <c r="G93" s="62" t="s">
        <v>515</v>
      </c>
      <c r="H93" s="61" t="s">
        <v>64</v>
      </c>
      <c r="I93" s="61" t="s">
        <v>426</v>
      </c>
      <c r="J93" s="62" t="s">
        <v>516</v>
      </c>
      <c r="K93" s="198" t="s">
        <v>45</v>
      </c>
      <c r="L93" s="80"/>
      <c r="M93" s="140" t="s">
        <v>517</v>
      </c>
      <c r="N93" s="66"/>
      <c r="O93" s="66" t="str">
        <f t="shared" si="1"/>
        <v/>
      </c>
      <c r="P93" s="66">
        <v>0.0</v>
      </c>
      <c r="Q93" s="66">
        <v>0.0</v>
      </c>
      <c r="R93" s="112"/>
      <c r="S93" s="66"/>
      <c r="T93" s="66"/>
      <c r="U93" s="66"/>
      <c r="V93" s="66"/>
      <c r="W93" s="66"/>
      <c r="X93" s="66"/>
      <c r="Y93" s="66"/>
      <c r="Z93" s="82"/>
    </row>
    <row r="94" ht="18.75" customHeight="1">
      <c r="A94" s="90"/>
      <c r="B94" s="61" t="s">
        <v>23</v>
      </c>
      <c r="C94" s="97"/>
      <c r="D94" s="97" t="s">
        <v>518</v>
      </c>
      <c r="E94" s="169" t="s">
        <v>513</v>
      </c>
      <c r="F94" s="97" t="s">
        <v>519</v>
      </c>
      <c r="G94" s="98" t="s">
        <v>515</v>
      </c>
      <c r="H94" s="97" t="s">
        <v>64</v>
      </c>
      <c r="I94" s="97" t="s">
        <v>426</v>
      </c>
      <c r="J94" s="99" t="s">
        <v>520</v>
      </c>
      <c r="K94" s="166"/>
      <c r="L94" s="170"/>
      <c r="M94" s="171" t="s">
        <v>521</v>
      </c>
      <c r="N94" s="66"/>
      <c r="O94" s="66" t="str">
        <f t="shared" si="1"/>
        <v/>
      </c>
      <c r="P94" s="66">
        <v>0.0</v>
      </c>
      <c r="Q94" s="66">
        <v>0.0</v>
      </c>
      <c r="R94" s="112"/>
      <c r="S94" s="66"/>
      <c r="T94" s="66"/>
      <c r="U94" s="66"/>
      <c r="V94" s="66"/>
      <c r="W94" s="66"/>
      <c r="X94" s="66"/>
      <c r="Y94" s="66"/>
      <c r="Z94" s="82"/>
    </row>
    <row r="95" ht="18.75" customHeight="1">
      <c r="A95" s="90"/>
      <c r="B95" s="61" t="s">
        <v>20</v>
      </c>
      <c r="C95" s="186"/>
      <c r="D95" s="186" t="s">
        <v>522</v>
      </c>
      <c r="E95" s="187" t="s">
        <v>494</v>
      </c>
      <c r="F95" s="186" t="s">
        <v>523</v>
      </c>
      <c r="G95" s="188" t="s">
        <v>496</v>
      </c>
      <c r="H95" s="186" t="s">
        <v>64</v>
      </c>
      <c r="I95" s="186" t="s">
        <v>496</v>
      </c>
      <c r="J95" s="99" t="s">
        <v>524</v>
      </c>
      <c r="K95" s="166"/>
      <c r="L95" s="189" t="s">
        <v>525</v>
      </c>
      <c r="M95" s="190" t="s">
        <v>512</v>
      </c>
      <c r="N95" s="66"/>
      <c r="O95" s="66" t="str">
        <f t="shared" si="1"/>
        <v>이메일</v>
      </c>
      <c r="P95" s="66">
        <v>0.0</v>
      </c>
      <c r="Q95" s="67">
        <v>1.0</v>
      </c>
      <c r="R95" s="112"/>
      <c r="S95" s="113"/>
      <c r="T95" s="113">
        <v>46108.0</v>
      </c>
      <c r="U95" s="113"/>
      <c r="V95" s="113"/>
      <c r="W95" s="113"/>
      <c r="X95" s="113"/>
      <c r="Y95" s="113"/>
      <c r="Z95" s="114"/>
    </row>
    <row r="96" ht="18.75" customHeight="1">
      <c r="A96" s="90"/>
      <c r="B96" s="61" t="s">
        <v>23</v>
      </c>
      <c r="C96" s="186"/>
      <c r="D96" s="186" t="s">
        <v>526</v>
      </c>
      <c r="E96" s="187" t="s">
        <v>506</v>
      </c>
      <c r="F96" s="186" t="s">
        <v>527</v>
      </c>
      <c r="G96" s="188" t="s">
        <v>473</v>
      </c>
      <c r="H96" s="186" t="s">
        <v>431</v>
      </c>
      <c r="I96" s="199"/>
      <c r="J96" s="99" t="s">
        <v>528</v>
      </c>
      <c r="K96" s="166"/>
      <c r="L96" s="189" t="s">
        <v>529</v>
      </c>
      <c r="M96" s="190"/>
      <c r="N96" s="66"/>
      <c r="O96" s="66" t="str">
        <f t="shared" si="1"/>
        <v/>
      </c>
      <c r="P96" s="66">
        <v>0.0</v>
      </c>
      <c r="Q96" s="66">
        <v>0.0</v>
      </c>
      <c r="R96" s="112"/>
      <c r="S96" s="66"/>
      <c r="T96" s="66"/>
      <c r="U96" s="66"/>
      <c r="V96" s="66"/>
      <c r="W96" s="66"/>
      <c r="X96" s="66"/>
      <c r="Y96" s="66"/>
      <c r="Z96" s="82"/>
    </row>
    <row r="97" ht="18.75" customHeight="1">
      <c r="A97" s="90"/>
      <c r="B97" s="61" t="s">
        <v>23</v>
      </c>
      <c r="C97" s="181"/>
      <c r="D97" s="181" t="s">
        <v>530</v>
      </c>
      <c r="E97" s="182" t="s">
        <v>531</v>
      </c>
      <c r="F97" s="181" t="s">
        <v>532</v>
      </c>
      <c r="G97" s="183" t="s">
        <v>533</v>
      </c>
      <c r="H97" s="181" t="s">
        <v>64</v>
      </c>
      <c r="I97" s="181" t="s">
        <v>534</v>
      </c>
      <c r="J97" s="183" t="s">
        <v>44</v>
      </c>
      <c r="K97" s="183" t="s">
        <v>535</v>
      </c>
      <c r="L97" s="184"/>
      <c r="M97" s="185" t="s">
        <v>536</v>
      </c>
      <c r="N97" s="66"/>
      <c r="O97" s="66" t="str">
        <f t="shared" si="1"/>
        <v/>
      </c>
      <c r="P97" s="66">
        <v>0.0</v>
      </c>
      <c r="Q97" s="66">
        <v>0.0</v>
      </c>
      <c r="R97" s="112"/>
      <c r="S97" s="66"/>
      <c r="T97" s="66"/>
      <c r="U97" s="66"/>
      <c r="V97" s="66"/>
      <c r="W97" s="66"/>
      <c r="X97" s="66"/>
      <c r="Y97" s="66"/>
      <c r="Z97" s="82"/>
    </row>
    <row r="98" ht="18.75" customHeight="1">
      <c r="A98" s="90"/>
      <c r="B98" s="61" t="s">
        <v>20</v>
      </c>
      <c r="C98" s="97"/>
      <c r="D98" s="97" t="s">
        <v>489</v>
      </c>
      <c r="E98" s="200" t="s">
        <v>531</v>
      </c>
      <c r="F98" s="201" t="s">
        <v>537</v>
      </c>
      <c r="G98" s="202" t="s">
        <v>538</v>
      </c>
      <c r="H98" s="97" t="s">
        <v>106</v>
      </c>
      <c r="I98" s="97" t="s">
        <v>539</v>
      </c>
      <c r="J98" s="99" t="s">
        <v>540</v>
      </c>
      <c r="K98" s="166"/>
      <c r="L98" s="170" t="s">
        <v>541</v>
      </c>
      <c r="M98" s="171" t="s">
        <v>542</v>
      </c>
      <c r="N98" s="66"/>
      <c r="O98" s="66" t="str">
        <f t="shared" si="1"/>
        <v>이메일</v>
      </c>
      <c r="P98" s="66">
        <v>0.0</v>
      </c>
      <c r="Q98" s="67">
        <v>1.0</v>
      </c>
      <c r="R98" s="112"/>
      <c r="S98" s="113"/>
      <c r="T98" s="113">
        <v>46108.0</v>
      </c>
      <c r="U98" s="113"/>
      <c r="V98" s="113"/>
      <c r="W98" s="113"/>
      <c r="X98" s="113"/>
      <c r="Y98" s="113"/>
      <c r="Z98" s="114"/>
    </row>
    <row r="99" ht="18.75" customHeight="1">
      <c r="A99" s="90"/>
      <c r="B99" s="61" t="s">
        <v>23</v>
      </c>
      <c r="C99" s="186"/>
      <c r="D99" s="186" t="s">
        <v>543</v>
      </c>
      <c r="E99" s="187" t="s">
        <v>506</v>
      </c>
      <c r="F99" s="186" t="s">
        <v>544</v>
      </c>
      <c r="G99" s="188" t="s">
        <v>473</v>
      </c>
      <c r="H99" s="186" t="s">
        <v>431</v>
      </c>
      <c r="I99" s="199"/>
      <c r="J99" s="99" t="s">
        <v>545</v>
      </c>
      <c r="K99" s="166"/>
      <c r="L99" s="189"/>
      <c r="M99" s="190"/>
      <c r="N99" s="66"/>
      <c r="O99" s="66" t="str">
        <f t="shared" si="1"/>
        <v/>
      </c>
      <c r="P99" s="66">
        <v>0.0</v>
      </c>
      <c r="Q99" s="66">
        <v>0.0</v>
      </c>
      <c r="R99" s="112"/>
      <c r="S99" s="66"/>
      <c r="T99" s="66"/>
      <c r="U99" s="66"/>
      <c r="V99" s="66"/>
      <c r="W99" s="66"/>
      <c r="X99" s="66"/>
      <c r="Y99" s="66"/>
      <c r="Z99" s="82"/>
    </row>
    <row r="100" ht="18.75" customHeight="1">
      <c r="A100" s="90"/>
      <c r="B100" s="61" t="s">
        <v>20</v>
      </c>
      <c r="C100" s="186"/>
      <c r="D100" s="186" t="s">
        <v>546</v>
      </c>
      <c r="E100" s="187" t="s">
        <v>494</v>
      </c>
      <c r="F100" s="186" t="s">
        <v>547</v>
      </c>
      <c r="G100" s="188" t="s">
        <v>548</v>
      </c>
      <c r="H100" s="186" t="s">
        <v>64</v>
      </c>
      <c r="I100" s="186" t="s">
        <v>548</v>
      </c>
      <c r="J100" s="103"/>
      <c r="K100" s="107" t="s">
        <v>549</v>
      </c>
      <c r="L100" s="189"/>
      <c r="M100" s="190" t="s">
        <v>550</v>
      </c>
      <c r="N100" s="66"/>
      <c r="O100" s="66" t="str">
        <f t="shared" si="1"/>
        <v>DM</v>
      </c>
      <c r="P100" s="67">
        <v>1.0</v>
      </c>
      <c r="Q100" s="66">
        <v>0.0</v>
      </c>
      <c r="R100" s="112"/>
      <c r="S100" s="113"/>
      <c r="T100" s="113">
        <v>46108.0</v>
      </c>
      <c r="U100" s="113"/>
      <c r="V100" s="113"/>
      <c r="W100" s="113"/>
      <c r="X100" s="113"/>
      <c r="Y100" s="113"/>
      <c r="Z100" s="114"/>
    </row>
    <row r="101" ht="18.75" customHeight="1">
      <c r="A101" s="90"/>
      <c r="B101" s="61" t="s">
        <v>24</v>
      </c>
      <c r="C101" s="186" t="s">
        <v>465</v>
      </c>
      <c r="D101" s="186" t="s">
        <v>551</v>
      </c>
      <c r="E101" s="187" t="s">
        <v>506</v>
      </c>
      <c r="F101" s="186" t="s">
        <v>552</v>
      </c>
      <c r="G101" s="188" t="s">
        <v>553</v>
      </c>
      <c r="H101" s="186" t="s">
        <v>124</v>
      </c>
      <c r="I101" s="186" t="s">
        <v>462</v>
      </c>
      <c r="J101" s="99" t="s">
        <v>554</v>
      </c>
      <c r="K101" s="166"/>
      <c r="L101" s="189"/>
      <c r="M101" s="190"/>
      <c r="N101" s="66"/>
      <c r="O101" s="66" t="str">
        <f t="shared" si="1"/>
        <v/>
      </c>
      <c r="P101" s="66">
        <v>0.0</v>
      </c>
      <c r="Q101" s="66">
        <v>0.0</v>
      </c>
      <c r="R101" s="112"/>
      <c r="S101" s="66"/>
      <c r="T101" s="66"/>
      <c r="U101" s="66"/>
      <c r="V101" s="66"/>
      <c r="W101" s="66"/>
      <c r="X101" s="66"/>
      <c r="Y101" s="66"/>
      <c r="Z101" s="82"/>
    </row>
    <row r="102" ht="18.75" customHeight="1">
      <c r="A102" s="90"/>
      <c r="B102" s="61" t="s">
        <v>23</v>
      </c>
      <c r="C102" s="191"/>
      <c r="D102" s="191" t="s">
        <v>555</v>
      </c>
      <c r="E102" s="192" t="s">
        <v>506</v>
      </c>
      <c r="F102" s="191" t="s">
        <v>556</v>
      </c>
      <c r="G102" s="195" t="s">
        <v>553</v>
      </c>
      <c r="H102" s="191" t="s">
        <v>64</v>
      </c>
      <c r="I102" s="191" t="s">
        <v>557</v>
      </c>
      <c r="J102" s="195" t="s">
        <v>44</v>
      </c>
      <c r="K102" s="195" t="s">
        <v>45</v>
      </c>
      <c r="L102" s="193"/>
      <c r="M102" s="196"/>
      <c r="N102" s="66"/>
      <c r="O102" s="66" t="str">
        <f t="shared" si="1"/>
        <v/>
      </c>
      <c r="P102" s="66">
        <v>0.0</v>
      </c>
      <c r="Q102" s="66">
        <v>0.0</v>
      </c>
      <c r="R102" s="112"/>
      <c r="S102" s="66"/>
      <c r="T102" s="66"/>
      <c r="U102" s="66"/>
      <c r="V102" s="66"/>
      <c r="W102" s="66"/>
      <c r="X102" s="66"/>
      <c r="Y102" s="66"/>
      <c r="Z102" s="82"/>
    </row>
    <row r="103" ht="18.75" customHeight="1">
      <c r="A103" s="90"/>
      <c r="B103" s="61" t="s">
        <v>23</v>
      </c>
      <c r="C103" s="61"/>
      <c r="D103" s="61" t="s">
        <v>558</v>
      </c>
      <c r="E103" s="111" t="s">
        <v>109</v>
      </c>
      <c r="F103" s="61" t="s">
        <v>559</v>
      </c>
      <c r="G103" s="62" t="s">
        <v>115</v>
      </c>
      <c r="H103" s="61" t="s">
        <v>560</v>
      </c>
      <c r="I103" s="61" t="s">
        <v>426</v>
      </c>
      <c r="J103" s="62" t="s">
        <v>44</v>
      </c>
      <c r="K103" s="62" t="s">
        <v>45</v>
      </c>
      <c r="L103" s="80"/>
      <c r="M103" s="140" t="s">
        <v>561</v>
      </c>
      <c r="N103" s="66"/>
      <c r="O103" s="66" t="str">
        <f t="shared" si="1"/>
        <v/>
      </c>
      <c r="P103" s="66">
        <v>0.0</v>
      </c>
      <c r="Q103" s="66">
        <v>0.0</v>
      </c>
      <c r="R103" s="112"/>
      <c r="S103" s="66"/>
      <c r="T103" s="66"/>
      <c r="U103" s="66"/>
      <c r="V103" s="66"/>
      <c r="W103" s="66"/>
      <c r="X103" s="66"/>
      <c r="Y103" s="66"/>
      <c r="Z103" s="82"/>
    </row>
    <row r="104" ht="18.75" customHeight="1">
      <c r="A104" s="90"/>
      <c r="B104" s="61" t="s">
        <v>20</v>
      </c>
      <c r="C104" s="97"/>
      <c r="D104" s="97" t="s">
        <v>562</v>
      </c>
      <c r="E104" s="169" t="s">
        <v>69</v>
      </c>
      <c r="F104" s="97" t="s">
        <v>563</v>
      </c>
      <c r="G104" s="98" t="s">
        <v>115</v>
      </c>
      <c r="H104" s="97" t="s">
        <v>64</v>
      </c>
      <c r="I104" s="97" t="s">
        <v>426</v>
      </c>
      <c r="J104" s="99" t="s">
        <v>564</v>
      </c>
      <c r="K104" s="107" t="s">
        <v>565</v>
      </c>
      <c r="L104" s="170"/>
      <c r="M104" s="171"/>
      <c r="N104" s="66"/>
      <c r="O104" s="66" t="str">
        <f t="shared" si="1"/>
        <v>DM</v>
      </c>
      <c r="P104" s="67">
        <v>1.0</v>
      </c>
      <c r="Q104" s="66">
        <v>0.0</v>
      </c>
      <c r="R104" s="112"/>
      <c r="S104" s="113"/>
      <c r="T104" s="113">
        <v>46108.0</v>
      </c>
      <c r="U104" s="113"/>
      <c r="V104" s="113"/>
      <c r="W104" s="113"/>
      <c r="X104" s="113"/>
      <c r="Y104" s="113"/>
      <c r="Z104" s="114"/>
    </row>
    <row r="105" ht="18.75" customHeight="1">
      <c r="A105" s="90"/>
      <c r="B105" s="61" t="s">
        <v>23</v>
      </c>
      <c r="C105" s="186"/>
      <c r="D105" s="186" t="s">
        <v>566</v>
      </c>
      <c r="E105" s="187" t="s">
        <v>506</v>
      </c>
      <c r="F105" s="186" t="s">
        <v>567</v>
      </c>
      <c r="G105" s="188" t="s">
        <v>44</v>
      </c>
      <c r="H105" s="186" t="s">
        <v>124</v>
      </c>
      <c r="I105" s="186" t="s">
        <v>568</v>
      </c>
      <c r="J105" s="99" t="s">
        <v>569</v>
      </c>
      <c r="K105" s="107" t="s">
        <v>570</v>
      </c>
      <c r="L105" s="170"/>
      <c r="M105" s="171"/>
      <c r="N105" s="66"/>
      <c r="O105" s="66" t="str">
        <f t="shared" si="1"/>
        <v/>
      </c>
      <c r="P105" s="66">
        <v>0.0</v>
      </c>
      <c r="Q105" s="66">
        <v>0.0</v>
      </c>
      <c r="R105" s="112"/>
      <c r="S105" s="66"/>
      <c r="T105" s="66"/>
      <c r="U105" s="66"/>
      <c r="V105" s="66"/>
      <c r="W105" s="66"/>
      <c r="X105" s="66"/>
      <c r="Y105" s="66"/>
      <c r="Z105" s="82"/>
    </row>
    <row r="106" ht="18.75" customHeight="1">
      <c r="A106" s="90"/>
      <c r="B106" s="61" t="s">
        <v>23</v>
      </c>
      <c r="C106" s="162"/>
      <c r="D106" s="162" t="s">
        <v>562</v>
      </c>
      <c r="E106" s="163" t="s">
        <v>69</v>
      </c>
      <c r="F106" s="162" t="s">
        <v>571</v>
      </c>
      <c r="G106" s="164" t="s">
        <v>44</v>
      </c>
      <c r="H106" s="203" t="s">
        <v>431</v>
      </c>
      <c r="I106" s="165"/>
      <c r="J106" s="99" t="s">
        <v>572</v>
      </c>
      <c r="K106" s="107" t="s">
        <v>573</v>
      </c>
      <c r="L106" s="167"/>
      <c r="M106" s="168"/>
      <c r="N106" s="66"/>
      <c r="O106" s="66" t="str">
        <f t="shared" si="1"/>
        <v/>
      </c>
      <c r="P106" s="66">
        <v>0.0</v>
      </c>
      <c r="Q106" s="66">
        <v>0.0</v>
      </c>
      <c r="R106" s="112"/>
      <c r="S106" s="66"/>
      <c r="T106" s="66"/>
      <c r="U106" s="66"/>
      <c r="V106" s="66"/>
      <c r="W106" s="66"/>
      <c r="X106" s="66"/>
      <c r="Y106" s="66"/>
      <c r="Z106" s="82"/>
    </row>
    <row r="107" ht="18.75" customHeight="1">
      <c r="A107" s="90"/>
      <c r="B107" s="61" t="s">
        <v>23</v>
      </c>
      <c r="C107" s="204"/>
      <c r="D107" s="204" t="s">
        <v>574</v>
      </c>
      <c r="E107" s="204" t="s">
        <v>122</v>
      </c>
      <c r="F107" s="204" t="s">
        <v>575</v>
      </c>
      <c r="G107" s="205" t="s">
        <v>576</v>
      </c>
      <c r="H107" s="204" t="s">
        <v>64</v>
      </c>
      <c r="I107" s="204" t="s">
        <v>462</v>
      </c>
      <c r="J107" s="205" t="s">
        <v>44</v>
      </c>
      <c r="K107" s="206" t="s">
        <v>486</v>
      </c>
      <c r="L107" s="207"/>
      <c r="M107" s="208"/>
      <c r="N107" s="66"/>
      <c r="O107" s="66" t="str">
        <f t="shared" si="1"/>
        <v/>
      </c>
      <c r="P107" s="66">
        <v>0.0</v>
      </c>
      <c r="Q107" s="66">
        <v>0.0</v>
      </c>
      <c r="R107" s="112"/>
      <c r="S107" s="66"/>
      <c r="T107" s="66"/>
      <c r="U107" s="66"/>
      <c r="V107" s="66"/>
      <c r="W107" s="66"/>
      <c r="X107" s="66"/>
      <c r="Y107" s="66"/>
      <c r="Z107" s="82"/>
    </row>
    <row r="108" ht="18.75" customHeight="1">
      <c r="A108" s="75"/>
      <c r="B108" s="70" t="s">
        <v>23</v>
      </c>
      <c r="C108" s="119"/>
      <c r="D108" s="119" t="s">
        <v>577</v>
      </c>
      <c r="E108" s="119" t="s">
        <v>578</v>
      </c>
      <c r="F108" s="119" t="s">
        <v>579</v>
      </c>
      <c r="G108" s="173"/>
      <c r="H108" s="119" t="s">
        <v>64</v>
      </c>
      <c r="I108" s="119" t="s">
        <v>426</v>
      </c>
      <c r="J108" s="87"/>
      <c r="K108" s="209" t="s">
        <v>580</v>
      </c>
      <c r="L108" s="120"/>
      <c r="M108" s="121"/>
      <c r="N108" s="75"/>
      <c r="O108" s="75" t="str">
        <f t="shared" si="1"/>
        <v/>
      </c>
      <c r="P108" s="75">
        <v>0.0</v>
      </c>
      <c r="Q108" s="75">
        <v>0.0</v>
      </c>
      <c r="S108" s="75"/>
      <c r="T108" s="75"/>
      <c r="U108" s="75"/>
      <c r="V108" s="75"/>
      <c r="W108" s="75"/>
      <c r="X108" s="75"/>
      <c r="Y108" s="75"/>
      <c r="Z108" s="75"/>
    </row>
    <row r="109" ht="18.75" customHeight="1">
      <c r="A109" s="90"/>
      <c r="B109" s="61" t="s">
        <v>23</v>
      </c>
      <c r="C109" s="61"/>
      <c r="D109" s="61" t="s">
        <v>581</v>
      </c>
      <c r="E109" s="61" t="s">
        <v>353</v>
      </c>
      <c r="F109" s="61" t="s">
        <v>582</v>
      </c>
      <c r="G109" s="62" t="s">
        <v>115</v>
      </c>
      <c r="H109" s="61" t="s">
        <v>64</v>
      </c>
      <c r="I109" s="62" t="s">
        <v>583</v>
      </c>
      <c r="J109" s="62" t="s">
        <v>44</v>
      </c>
      <c r="K109" s="105"/>
      <c r="L109" s="61"/>
      <c r="M109" s="125" t="s">
        <v>584</v>
      </c>
      <c r="N109" s="66"/>
      <c r="O109" s="66" t="str">
        <f t="shared" si="1"/>
        <v/>
      </c>
      <c r="P109" s="66">
        <v>0.0</v>
      </c>
      <c r="Q109" s="66">
        <v>0.0</v>
      </c>
      <c r="R109" s="112"/>
      <c r="S109" s="66"/>
      <c r="T109" s="66"/>
      <c r="U109" s="66"/>
      <c r="V109" s="66"/>
      <c r="W109" s="66"/>
      <c r="X109" s="66"/>
      <c r="Y109" s="66"/>
      <c r="Z109" s="82"/>
    </row>
    <row r="110" ht="18.75" customHeight="1">
      <c r="A110" s="90"/>
      <c r="B110" s="61" t="s">
        <v>23</v>
      </c>
      <c r="C110" s="61"/>
      <c r="D110" s="61" t="s">
        <v>585</v>
      </c>
      <c r="E110" s="61" t="s">
        <v>353</v>
      </c>
      <c r="F110" s="61" t="s">
        <v>586</v>
      </c>
      <c r="G110" s="62" t="s">
        <v>115</v>
      </c>
      <c r="H110" s="210" t="s">
        <v>64</v>
      </c>
      <c r="I110" s="62" t="s">
        <v>426</v>
      </c>
      <c r="J110" s="62" t="s">
        <v>44</v>
      </c>
      <c r="K110" s="105"/>
      <c r="L110" s="61"/>
      <c r="M110" s="125" t="s">
        <v>587</v>
      </c>
      <c r="N110" s="66"/>
      <c r="O110" s="66" t="str">
        <f t="shared" si="1"/>
        <v/>
      </c>
      <c r="P110" s="66">
        <v>0.0</v>
      </c>
      <c r="Q110" s="66">
        <v>0.0</v>
      </c>
      <c r="R110" s="112"/>
      <c r="S110" s="66"/>
      <c r="T110" s="66"/>
      <c r="U110" s="66"/>
      <c r="V110" s="66"/>
      <c r="W110" s="66"/>
      <c r="X110" s="66"/>
      <c r="Y110" s="66"/>
      <c r="Z110" s="82"/>
    </row>
    <row r="111" ht="18.75" customHeight="1">
      <c r="A111" s="90"/>
      <c r="B111" s="61" t="s">
        <v>23</v>
      </c>
      <c r="C111" s="61"/>
      <c r="D111" s="61" t="s">
        <v>588</v>
      </c>
      <c r="E111" s="61" t="s">
        <v>332</v>
      </c>
      <c r="F111" s="61" t="s">
        <v>589</v>
      </c>
      <c r="G111" s="62" t="s">
        <v>590</v>
      </c>
      <c r="H111" s="61" t="s">
        <v>106</v>
      </c>
      <c r="I111" s="105"/>
      <c r="J111" s="105"/>
      <c r="K111" s="62" t="s">
        <v>486</v>
      </c>
      <c r="L111" s="61"/>
      <c r="M111" s="125" t="s">
        <v>591</v>
      </c>
      <c r="N111" s="66"/>
      <c r="O111" s="66" t="str">
        <f t="shared" si="1"/>
        <v/>
      </c>
      <c r="P111" s="66">
        <v>0.0</v>
      </c>
      <c r="Q111" s="66">
        <v>0.0</v>
      </c>
      <c r="R111" s="112"/>
      <c r="S111" s="66"/>
      <c r="T111" s="66"/>
      <c r="U111" s="66"/>
      <c r="V111" s="66"/>
      <c r="W111" s="66"/>
      <c r="X111" s="66"/>
      <c r="Y111" s="66"/>
      <c r="Z111" s="82"/>
    </row>
    <row r="112" ht="18.75" customHeight="1">
      <c r="A112" s="90"/>
      <c r="B112" s="61" t="s">
        <v>23</v>
      </c>
      <c r="C112" s="61"/>
      <c r="D112" s="61" t="s">
        <v>592</v>
      </c>
      <c r="E112" s="61" t="s">
        <v>332</v>
      </c>
      <c r="F112" s="61" t="s">
        <v>593</v>
      </c>
      <c r="G112" s="62" t="s">
        <v>594</v>
      </c>
      <c r="H112" s="61" t="s">
        <v>64</v>
      </c>
      <c r="I112" s="62" t="s">
        <v>594</v>
      </c>
      <c r="J112" s="62" t="s">
        <v>44</v>
      </c>
      <c r="K112" s="62" t="s">
        <v>486</v>
      </c>
      <c r="L112" s="61"/>
      <c r="M112" s="125" t="s">
        <v>595</v>
      </c>
      <c r="N112" s="66"/>
      <c r="O112" s="66" t="str">
        <f t="shared" si="1"/>
        <v/>
      </c>
      <c r="P112" s="66">
        <v>0.0</v>
      </c>
      <c r="Q112" s="66">
        <v>0.0</v>
      </c>
      <c r="R112" s="112"/>
      <c r="S112" s="66"/>
      <c r="T112" s="66"/>
      <c r="U112" s="66"/>
      <c r="V112" s="66"/>
      <c r="W112" s="66"/>
      <c r="X112" s="66"/>
      <c r="Y112" s="66"/>
      <c r="Z112" s="82"/>
    </row>
    <row r="113" ht="18.75" customHeight="1">
      <c r="A113" s="90"/>
      <c r="B113" s="61" t="s">
        <v>23</v>
      </c>
      <c r="C113" s="61"/>
      <c r="D113" s="61" t="s">
        <v>596</v>
      </c>
      <c r="E113" s="61" t="s">
        <v>405</v>
      </c>
      <c r="F113" s="61" t="s">
        <v>586</v>
      </c>
      <c r="G113" s="62" t="s">
        <v>44</v>
      </c>
      <c r="H113" s="61" t="s">
        <v>64</v>
      </c>
      <c r="I113" s="62" t="s">
        <v>597</v>
      </c>
      <c r="J113" s="62" t="s">
        <v>44</v>
      </c>
      <c r="K113" s="105"/>
      <c r="L113" s="61"/>
      <c r="M113" s="125" t="s">
        <v>598</v>
      </c>
      <c r="N113" s="66"/>
      <c r="O113" s="66" t="str">
        <f t="shared" si="1"/>
        <v/>
      </c>
      <c r="P113" s="66">
        <v>0.0</v>
      </c>
      <c r="Q113" s="66">
        <v>0.0</v>
      </c>
      <c r="R113" s="112"/>
      <c r="S113" s="66"/>
      <c r="T113" s="66"/>
      <c r="U113" s="66"/>
      <c r="V113" s="66"/>
      <c r="W113" s="66"/>
      <c r="X113" s="66"/>
      <c r="Y113" s="66"/>
      <c r="Z113" s="82"/>
    </row>
    <row r="114" ht="18.75" customHeight="1">
      <c r="A114" s="90"/>
      <c r="B114" s="61" t="s">
        <v>23</v>
      </c>
      <c r="C114" s="61"/>
      <c r="D114" s="61" t="s">
        <v>599</v>
      </c>
      <c r="E114" s="61" t="s">
        <v>531</v>
      </c>
      <c r="F114" s="61" t="s">
        <v>600</v>
      </c>
      <c r="G114" s="62" t="s">
        <v>44</v>
      </c>
      <c r="H114" s="61" t="s">
        <v>106</v>
      </c>
      <c r="I114" s="105"/>
      <c r="J114" s="62" t="s">
        <v>601</v>
      </c>
      <c r="K114" s="62" t="s">
        <v>486</v>
      </c>
      <c r="L114" s="80"/>
      <c r="M114" s="176" t="s">
        <v>602</v>
      </c>
      <c r="N114" s="66"/>
      <c r="O114" s="66" t="str">
        <f t="shared" si="1"/>
        <v/>
      </c>
      <c r="P114" s="66">
        <v>0.0</v>
      </c>
      <c r="Q114" s="66">
        <v>0.0</v>
      </c>
      <c r="R114" s="112"/>
      <c r="S114" s="66"/>
      <c r="T114" s="66"/>
      <c r="U114" s="66"/>
      <c r="V114" s="66"/>
      <c r="W114" s="66"/>
      <c r="X114" s="66"/>
      <c r="Y114" s="66"/>
      <c r="Z114" s="82"/>
    </row>
    <row r="115" ht="18.75" customHeight="1">
      <c r="A115" s="90"/>
      <c r="B115" s="211" t="s">
        <v>23</v>
      </c>
      <c r="C115" s="211"/>
      <c r="D115" s="211" t="s">
        <v>435</v>
      </c>
      <c r="E115" s="211" t="s">
        <v>531</v>
      </c>
      <c r="F115" s="211" t="s">
        <v>603</v>
      </c>
      <c r="G115" s="205" t="s">
        <v>604</v>
      </c>
      <c r="H115" s="204" t="s">
        <v>64</v>
      </c>
      <c r="I115" s="205" t="s">
        <v>605</v>
      </c>
      <c r="J115" s="205" t="s">
        <v>44</v>
      </c>
      <c r="K115" s="207"/>
      <c r="L115" s="212"/>
      <c r="M115" s="213" t="s">
        <v>606</v>
      </c>
      <c r="N115" s="66"/>
      <c r="O115" s="66" t="str">
        <f t="shared" si="1"/>
        <v/>
      </c>
      <c r="P115" s="66">
        <v>0.0</v>
      </c>
      <c r="Q115" s="66">
        <v>0.0</v>
      </c>
      <c r="R115" s="112"/>
      <c r="S115" s="66"/>
      <c r="T115" s="66"/>
      <c r="U115" s="66"/>
      <c r="V115" s="66"/>
      <c r="W115" s="66"/>
      <c r="X115" s="66"/>
      <c r="Y115" s="66"/>
      <c r="Z115" s="82"/>
    </row>
    <row r="116" ht="18.75" customHeight="1">
      <c r="A116" s="90"/>
      <c r="B116" s="61" t="s">
        <v>20</v>
      </c>
      <c r="C116" s="61"/>
      <c r="D116" s="61" t="s">
        <v>607</v>
      </c>
      <c r="E116" s="61" t="s">
        <v>109</v>
      </c>
      <c r="F116" s="61" t="s">
        <v>608</v>
      </c>
      <c r="G116" s="62" t="s">
        <v>44</v>
      </c>
      <c r="H116" s="61" t="s">
        <v>64</v>
      </c>
      <c r="I116" s="62" t="s">
        <v>609</v>
      </c>
      <c r="J116" s="99" t="s">
        <v>610</v>
      </c>
      <c r="K116" s="107" t="s">
        <v>611</v>
      </c>
      <c r="L116" s="140" t="s">
        <v>612</v>
      </c>
      <c r="M116" s="140"/>
      <c r="N116" s="66"/>
      <c r="O116" s="66" t="str">
        <f t="shared" si="1"/>
        <v>DM+이메일</v>
      </c>
      <c r="P116" s="67">
        <v>1.0</v>
      </c>
      <c r="Q116" s="67">
        <v>1.0</v>
      </c>
      <c r="R116" s="112"/>
      <c r="S116" s="113"/>
      <c r="T116" s="113">
        <v>46108.0</v>
      </c>
      <c r="U116" s="113"/>
      <c r="V116" s="113"/>
      <c r="W116" s="113"/>
      <c r="X116" s="113"/>
      <c r="Y116" s="113"/>
      <c r="Z116" s="114"/>
    </row>
    <row r="117" ht="18.75" customHeight="1">
      <c r="A117" s="75"/>
      <c r="B117" s="70" t="s">
        <v>23</v>
      </c>
      <c r="C117" s="70"/>
      <c r="D117" s="70" t="s">
        <v>613</v>
      </c>
      <c r="E117" s="70" t="s">
        <v>61</v>
      </c>
      <c r="F117" s="70" t="s">
        <v>614</v>
      </c>
      <c r="G117" s="214" t="s">
        <v>615</v>
      </c>
      <c r="H117" s="70" t="s">
        <v>106</v>
      </c>
      <c r="I117" s="88"/>
      <c r="J117" s="83" t="s">
        <v>616</v>
      </c>
      <c r="K117" s="86" t="s">
        <v>617</v>
      </c>
      <c r="L117" s="74" t="s">
        <v>618</v>
      </c>
      <c r="M117" s="74"/>
      <c r="N117" s="75"/>
      <c r="O117" s="75" t="str">
        <f t="shared" si="1"/>
        <v/>
      </c>
      <c r="P117" s="75">
        <v>0.0</v>
      </c>
      <c r="Q117" s="75">
        <v>0.0</v>
      </c>
      <c r="S117" s="75"/>
      <c r="T117" s="75"/>
      <c r="U117" s="75"/>
      <c r="V117" s="75"/>
      <c r="W117" s="75"/>
      <c r="X117" s="75"/>
      <c r="Y117" s="75"/>
      <c r="Z117" s="75"/>
    </row>
    <row r="118" ht="18.75" customHeight="1">
      <c r="A118" s="90"/>
      <c r="B118" s="61" t="s">
        <v>20</v>
      </c>
      <c r="C118" s="61"/>
      <c r="D118" s="61" t="s">
        <v>619</v>
      </c>
      <c r="E118" s="215" t="s">
        <v>260</v>
      </c>
      <c r="F118" s="61" t="s">
        <v>620</v>
      </c>
      <c r="G118" s="61" t="s">
        <v>44</v>
      </c>
      <c r="H118" s="61" t="s">
        <v>116</v>
      </c>
      <c r="I118" s="105"/>
      <c r="J118" s="99" t="s">
        <v>621</v>
      </c>
      <c r="K118" s="166"/>
      <c r="L118" s="216" t="s">
        <v>622</v>
      </c>
      <c r="M118" s="216"/>
      <c r="N118" s="66"/>
      <c r="O118" s="66" t="str">
        <f t="shared" si="1"/>
        <v>이메일</v>
      </c>
      <c r="P118" s="66">
        <v>0.0</v>
      </c>
      <c r="Q118" s="67">
        <v>1.0</v>
      </c>
      <c r="R118" s="112"/>
      <c r="S118" s="113"/>
      <c r="T118" s="113">
        <v>46108.0</v>
      </c>
      <c r="U118" s="113"/>
      <c r="V118" s="113"/>
      <c r="W118" s="113"/>
      <c r="X118" s="113"/>
      <c r="Y118" s="113"/>
      <c r="Z118" s="114"/>
    </row>
    <row r="119" ht="18.75" customHeight="1">
      <c r="A119" s="90"/>
      <c r="B119" s="61" t="s">
        <v>20</v>
      </c>
      <c r="C119" s="61"/>
      <c r="D119" s="61" t="s">
        <v>623</v>
      </c>
      <c r="E119" s="215" t="s">
        <v>260</v>
      </c>
      <c r="F119" s="61" t="s">
        <v>624</v>
      </c>
      <c r="G119" s="61" t="s">
        <v>44</v>
      </c>
      <c r="H119" s="61" t="s">
        <v>64</v>
      </c>
      <c r="I119" s="61" t="s">
        <v>125</v>
      </c>
      <c r="J119" s="99" t="s">
        <v>625</v>
      </c>
      <c r="K119" s="107" t="s">
        <v>626</v>
      </c>
      <c r="L119" s="216" t="s">
        <v>627</v>
      </c>
      <c r="M119" s="140" t="s">
        <v>628</v>
      </c>
      <c r="N119" s="66"/>
      <c r="O119" s="66" t="str">
        <f t="shared" si="1"/>
        <v>DM+이메일</v>
      </c>
      <c r="P119" s="67">
        <v>1.0</v>
      </c>
      <c r="Q119" s="67">
        <v>1.0</v>
      </c>
      <c r="R119" s="112"/>
      <c r="S119" s="113"/>
      <c r="T119" s="113">
        <v>46108.0</v>
      </c>
      <c r="U119" s="113"/>
      <c r="V119" s="113"/>
      <c r="W119" s="113"/>
      <c r="X119" s="113"/>
      <c r="Y119" s="113"/>
      <c r="Z119" s="114"/>
    </row>
    <row r="120" ht="18.75" customHeight="1">
      <c r="A120" s="75"/>
      <c r="B120" s="70" t="s">
        <v>23</v>
      </c>
      <c r="C120" s="70"/>
      <c r="D120" s="70" t="s">
        <v>629</v>
      </c>
      <c r="E120" s="70" t="s">
        <v>405</v>
      </c>
      <c r="F120" s="70" t="s">
        <v>630</v>
      </c>
      <c r="G120" s="72" t="s">
        <v>462</v>
      </c>
      <c r="H120" s="70" t="s">
        <v>64</v>
      </c>
      <c r="I120" s="72" t="s">
        <v>631</v>
      </c>
      <c r="J120" s="88"/>
      <c r="K120" s="88"/>
      <c r="L120" s="70"/>
      <c r="M120" s="74" t="s">
        <v>632</v>
      </c>
      <c r="N120" s="75"/>
      <c r="O120" s="75" t="str">
        <f t="shared" si="1"/>
        <v/>
      </c>
      <c r="P120" s="75">
        <v>0.0</v>
      </c>
      <c r="Q120" s="75">
        <v>0.0</v>
      </c>
      <c r="S120" s="75"/>
      <c r="T120" s="75"/>
      <c r="U120" s="75"/>
      <c r="V120" s="75"/>
      <c r="W120" s="75"/>
      <c r="X120" s="75"/>
      <c r="Y120" s="75"/>
      <c r="Z120" s="75"/>
    </row>
    <row r="121" ht="18.75" customHeight="1">
      <c r="A121" s="75"/>
      <c r="B121" s="70" t="s">
        <v>23</v>
      </c>
      <c r="C121" s="70"/>
      <c r="D121" s="70" t="s">
        <v>435</v>
      </c>
      <c r="E121" s="217" t="s">
        <v>89</v>
      </c>
      <c r="F121" s="217" t="s">
        <v>633</v>
      </c>
      <c r="G121" s="122"/>
      <c r="H121" s="70" t="s">
        <v>106</v>
      </c>
      <c r="I121" s="122"/>
      <c r="J121" s="83" t="s">
        <v>634</v>
      </c>
      <c r="K121" s="84"/>
      <c r="L121" s="70"/>
      <c r="M121" s="74"/>
      <c r="N121" s="75"/>
      <c r="O121" s="75" t="str">
        <f t="shared" si="1"/>
        <v/>
      </c>
      <c r="P121" s="75">
        <v>0.0</v>
      </c>
      <c r="Q121" s="75">
        <v>0.0</v>
      </c>
      <c r="S121" s="75"/>
      <c r="T121" s="75"/>
      <c r="U121" s="75"/>
      <c r="V121" s="75"/>
      <c r="W121" s="75"/>
      <c r="X121" s="75"/>
      <c r="Y121" s="75"/>
      <c r="Z121" s="75"/>
    </row>
    <row r="122" ht="18.75" customHeight="1">
      <c r="A122" s="90"/>
      <c r="B122" s="61" t="s">
        <v>20</v>
      </c>
      <c r="C122" s="61"/>
      <c r="D122" s="61" t="s">
        <v>435</v>
      </c>
      <c r="E122" s="61" t="s">
        <v>89</v>
      </c>
      <c r="F122" s="61" t="s">
        <v>635</v>
      </c>
      <c r="G122" s="62" t="s">
        <v>636</v>
      </c>
      <c r="H122" s="61" t="s">
        <v>106</v>
      </c>
      <c r="I122" s="105"/>
      <c r="J122" s="99" t="s">
        <v>637</v>
      </c>
      <c r="K122" s="218"/>
      <c r="L122" s="61" t="s">
        <v>638</v>
      </c>
      <c r="M122" s="65"/>
      <c r="N122" s="66"/>
      <c r="O122" s="66" t="str">
        <f t="shared" si="1"/>
        <v>이메일</v>
      </c>
      <c r="P122" s="66">
        <v>0.0</v>
      </c>
      <c r="Q122" s="67">
        <v>1.0</v>
      </c>
      <c r="R122" s="112"/>
      <c r="S122" s="113"/>
      <c r="T122" s="113">
        <v>46108.0</v>
      </c>
      <c r="U122" s="113"/>
      <c r="V122" s="113"/>
      <c r="W122" s="113"/>
      <c r="X122" s="113"/>
      <c r="Y122" s="113"/>
      <c r="Z122" s="114"/>
    </row>
    <row r="123" ht="18.75" customHeight="1">
      <c r="A123" s="90"/>
      <c r="B123" s="61" t="s">
        <v>20</v>
      </c>
      <c r="C123" s="61"/>
      <c r="D123" s="61" t="s">
        <v>629</v>
      </c>
      <c r="E123" s="61" t="s">
        <v>405</v>
      </c>
      <c r="F123" s="61" t="s">
        <v>639</v>
      </c>
      <c r="G123" s="62" t="s">
        <v>44</v>
      </c>
      <c r="H123" s="61" t="s">
        <v>64</v>
      </c>
      <c r="I123" s="62" t="s">
        <v>640</v>
      </c>
      <c r="J123" s="99" t="s">
        <v>641</v>
      </c>
      <c r="K123" s="107" t="s">
        <v>642</v>
      </c>
      <c r="L123" s="61" t="s">
        <v>643</v>
      </c>
      <c r="M123" s="125" t="s">
        <v>644</v>
      </c>
      <c r="N123" s="66"/>
      <c r="O123" s="66" t="str">
        <f t="shared" si="1"/>
        <v>DM+이메일</v>
      </c>
      <c r="P123" s="67">
        <v>1.0</v>
      </c>
      <c r="Q123" s="67">
        <v>1.0</v>
      </c>
      <c r="R123" s="112"/>
      <c r="S123" s="113"/>
      <c r="T123" s="113">
        <v>46108.0</v>
      </c>
      <c r="U123" s="67" t="s">
        <v>2</v>
      </c>
      <c r="V123" s="113"/>
      <c r="W123" s="113"/>
      <c r="X123" s="113"/>
      <c r="Y123" s="67" t="s">
        <v>645</v>
      </c>
      <c r="Z123" s="114"/>
    </row>
    <row r="124" ht="18.75" customHeight="1">
      <c r="A124" s="90"/>
      <c r="B124" s="61" t="s">
        <v>20</v>
      </c>
      <c r="C124" s="61"/>
      <c r="D124" s="61" t="s">
        <v>646</v>
      </c>
      <c r="E124" s="61" t="s">
        <v>61</v>
      </c>
      <c r="F124" s="61" t="s">
        <v>174</v>
      </c>
      <c r="G124" s="62" t="s">
        <v>647</v>
      </c>
      <c r="H124" s="61" t="s">
        <v>64</v>
      </c>
      <c r="I124" s="62" t="s">
        <v>648</v>
      </c>
      <c r="J124" s="99" t="s">
        <v>649</v>
      </c>
      <c r="K124" s="166"/>
      <c r="L124" s="125" t="s">
        <v>650</v>
      </c>
      <c r="M124" s="125"/>
      <c r="N124" s="66"/>
      <c r="O124" s="66" t="str">
        <f t="shared" si="1"/>
        <v>이메일</v>
      </c>
      <c r="P124" s="66">
        <v>0.0</v>
      </c>
      <c r="Q124" s="67">
        <v>1.0</v>
      </c>
      <c r="R124" s="112"/>
      <c r="S124" s="113"/>
      <c r="T124" s="113">
        <v>46108.0</v>
      </c>
      <c r="U124" s="113"/>
      <c r="V124" s="113"/>
      <c r="W124" s="113"/>
      <c r="X124" s="113"/>
      <c r="Y124" s="113"/>
      <c r="Z124" s="114"/>
    </row>
    <row r="125">
      <c r="A125" s="219"/>
      <c r="B125" s="61" t="s">
        <v>20</v>
      </c>
      <c r="C125" s="210"/>
      <c r="D125" s="210" t="s">
        <v>574</v>
      </c>
      <c r="E125" s="210" t="s">
        <v>146</v>
      </c>
      <c r="F125" s="61" t="s">
        <v>651</v>
      </c>
      <c r="G125" s="198" t="s">
        <v>44</v>
      </c>
      <c r="H125" s="210" t="s">
        <v>106</v>
      </c>
      <c r="I125" s="220"/>
      <c r="J125" s="99" t="s">
        <v>652</v>
      </c>
      <c r="K125" s="166"/>
      <c r="L125" s="221" t="s">
        <v>653</v>
      </c>
      <c r="M125" s="222" t="s">
        <v>654</v>
      </c>
      <c r="N125" s="66"/>
      <c r="O125" s="66" t="str">
        <f t="shared" si="1"/>
        <v>이메일</v>
      </c>
      <c r="P125" s="66">
        <v>0.0</v>
      </c>
      <c r="Q125" s="67">
        <v>1.0</v>
      </c>
      <c r="R125" s="112"/>
      <c r="S125" s="113"/>
      <c r="T125" s="113">
        <v>46108.0</v>
      </c>
      <c r="U125" s="113"/>
      <c r="V125" s="113"/>
      <c r="W125" s="113"/>
      <c r="X125" s="113"/>
      <c r="Y125" s="113"/>
      <c r="Z125" s="114"/>
    </row>
    <row r="126" ht="18.75" customHeight="1">
      <c r="A126" s="90"/>
      <c r="B126" s="61" t="s">
        <v>23</v>
      </c>
      <c r="C126" s="61"/>
      <c r="D126" s="61" t="s">
        <v>655</v>
      </c>
      <c r="E126" s="61" t="s">
        <v>109</v>
      </c>
      <c r="F126" s="61" t="s">
        <v>656</v>
      </c>
      <c r="G126" s="62" t="s">
        <v>44</v>
      </c>
      <c r="H126" s="105"/>
      <c r="I126" s="62" t="s">
        <v>657</v>
      </c>
      <c r="J126" s="99" t="s">
        <v>658</v>
      </c>
      <c r="K126" s="223"/>
      <c r="L126" s="105"/>
      <c r="M126" s="65"/>
      <c r="N126" s="66"/>
      <c r="O126" s="66" t="str">
        <f t="shared" si="1"/>
        <v/>
      </c>
      <c r="P126" s="66">
        <v>0.0</v>
      </c>
      <c r="Q126" s="66">
        <v>0.0</v>
      </c>
      <c r="R126" s="112"/>
      <c r="S126" s="66"/>
      <c r="T126" s="66"/>
      <c r="U126" s="66"/>
      <c r="V126" s="66"/>
      <c r="W126" s="66"/>
      <c r="X126" s="66"/>
      <c r="Y126" s="66"/>
      <c r="Z126" s="82"/>
    </row>
    <row r="127" ht="18.75" customHeight="1">
      <c r="A127" s="90"/>
      <c r="B127" s="61" t="s">
        <v>20</v>
      </c>
      <c r="C127" s="61"/>
      <c r="D127" s="61" t="s">
        <v>659</v>
      </c>
      <c r="E127" s="61" t="s">
        <v>513</v>
      </c>
      <c r="F127" s="61" t="s">
        <v>660</v>
      </c>
      <c r="G127" s="62" t="s">
        <v>516</v>
      </c>
      <c r="H127" s="61" t="s">
        <v>106</v>
      </c>
      <c r="I127" s="105"/>
      <c r="J127" s="99" t="s">
        <v>661</v>
      </c>
      <c r="K127" s="166"/>
      <c r="L127" s="140" t="s">
        <v>662</v>
      </c>
      <c r="M127" s="176" t="s">
        <v>663</v>
      </c>
      <c r="N127" s="66"/>
      <c r="O127" s="66" t="str">
        <f t="shared" si="1"/>
        <v>이메일</v>
      </c>
      <c r="P127" s="66">
        <v>0.0</v>
      </c>
      <c r="Q127" s="67">
        <v>1.0</v>
      </c>
      <c r="R127" s="112"/>
      <c r="S127" s="113"/>
      <c r="T127" s="113">
        <v>46108.0</v>
      </c>
      <c r="U127" s="113"/>
      <c r="V127" s="113"/>
      <c r="W127" s="113"/>
      <c r="X127" s="113"/>
      <c r="Y127" s="113"/>
      <c r="Z127" s="114"/>
    </row>
    <row r="128" ht="18.75" customHeight="1">
      <c r="A128" s="90"/>
      <c r="B128" s="61" t="s">
        <v>20</v>
      </c>
      <c r="C128" s="61"/>
      <c r="D128" s="61" t="s">
        <v>664</v>
      </c>
      <c r="E128" s="61" t="s">
        <v>146</v>
      </c>
      <c r="F128" s="61" t="s">
        <v>665</v>
      </c>
      <c r="G128" s="62" t="s">
        <v>44</v>
      </c>
      <c r="H128" s="61" t="s">
        <v>64</v>
      </c>
      <c r="I128" s="62" t="s">
        <v>657</v>
      </c>
      <c r="J128" s="99" t="s">
        <v>666</v>
      </c>
      <c r="K128" s="107" t="s">
        <v>667</v>
      </c>
      <c r="L128" s="224" t="s">
        <v>668</v>
      </c>
      <c r="M128" s="225" t="s">
        <v>668</v>
      </c>
      <c r="N128" s="66"/>
      <c r="O128" s="66" t="str">
        <f t="shared" si="1"/>
        <v>DM+이메일</v>
      </c>
      <c r="P128" s="226">
        <v>1.0</v>
      </c>
      <c r="Q128" s="226">
        <v>1.0</v>
      </c>
      <c r="R128" s="112"/>
      <c r="S128" s="113"/>
      <c r="T128" s="113">
        <v>46108.0</v>
      </c>
      <c r="U128" s="113"/>
      <c r="V128" s="113"/>
      <c r="W128" s="113"/>
      <c r="X128" s="113"/>
      <c r="Y128" s="113"/>
      <c r="Z128" s="114"/>
    </row>
    <row r="129" ht="18.75" customHeight="1">
      <c r="A129" s="90"/>
      <c r="B129" s="61" t="s">
        <v>20</v>
      </c>
      <c r="C129" s="61"/>
      <c r="D129" s="61" t="s">
        <v>659</v>
      </c>
      <c r="E129" s="61" t="s">
        <v>513</v>
      </c>
      <c r="F129" s="61" t="s">
        <v>669</v>
      </c>
      <c r="G129" s="62" t="s">
        <v>516</v>
      </c>
      <c r="H129" s="61" t="s">
        <v>106</v>
      </c>
      <c r="I129" s="105"/>
      <c r="J129" s="99" t="s">
        <v>670</v>
      </c>
      <c r="K129" s="107" t="s">
        <v>671</v>
      </c>
      <c r="L129" s="125"/>
      <c r="M129" s="125" t="s">
        <v>672</v>
      </c>
      <c r="N129" s="66"/>
      <c r="O129" s="66" t="str">
        <f t="shared" si="1"/>
        <v>DM</v>
      </c>
      <c r="P129" s="226">
        <v>1.0</v>
      </c>
      <c r="Q129" s="227">
        <v>0.0</v>
      </c>
      <c r="R129" s="112"/>
      <c r="S129" s="113"/>
      <c r="T129" s="113">
        <v>46108.0</v>
      </c>
      <c r="U129" s="113"/>
      <c r="V129" s="113"/>
      <c r="W129" s="113"/>
      <c r="X129" s="113"/>
      <c r="Y129" s="113"/>
      <c r="Z129" s="114"/>
    </row>
    <row r="130" ht="18.75" customHeight="1">
      <c r="A130" s="90"/>
      <c r="B130" s="61" t="s">
        <v>20</v>
      </c>
      <c r="C130" s="61"/>
      <c r="D130" s="61" t="s">
        <v>256</v>
      </c>
      <c r="E130" s="61" t="s">
        <v>260</v>
      </c>
      <c r="F130" s="61" t="s">
        <v>673</v>
      </c>
      <c r="G130" s="62" t="s">
        <v>674</v>
      </c>
      <c r="H130" s="61" t="s">
        <v>124</v>
      </c>
      <c r="I130" s="61" t="s">
        <v>675</v>
      </c>
      <c r="J130" s="103"/>
      <c r="K130" s="104" t="s">
        <v>676</v>
      </c>
      <c r="L130" s="125" t="s">
        <v>677</v>
      </c>
      <c r="M130" s="65"/>
      <c r="N130" s="66"/>
      <c r="O130" s="66" t="str">
        <f t="shared" si="1"/>
        <v>DM+이메일</v>
      </c>
      <c r="P130" s="67">
        <v>1.0</v>
      </c>
      <c r="Q130" s="67">
        <v>1.0</v>
      </c>
      <c r="R130" s="112"/>
      <c r="S130" s="113"/>
      <c r="T130" s="113">
        <v>46108.0</v>
      </c>
      <c r="U130" s="113"/>
      <c r="V130" s="113"/>
      <c r="W130" s="113"/>
      <c r="X130" s="113"/>
      <c r="Y130" s="113"/>
      <c r="Z130" s="114"/>
    </row>
    <row r="131" ht="18.75" customHeight="1">
      <c r="A131" s="90"/>
      <c r="B131" s="61" t="s">
        <v>20</v>
      </c>
      <c r="C131" s="61"/>
      <c r="D131" s="61" t="s">
        <v>678</v>
      </c>
      <c r="E131" s="61" t="s">
        <v>109</v>
      </c>
      <c r="F131" s="61" t="s">
        <v>679</v>
      </c>
      <c r="G131" s="62" t="s">
        <v>115</v>
      </c>
      <c r="H131" s="105"/>
      <c r="I131" s="105"/>
      <c r="J131" s="99" t="s">
        <v>680</v>
      </c>
      <c r="K131" s="228" t="s">
        <v>681</v>
      </c>
      <c r="L131" s="229" t="s">
        <v>682</v>
      </c>
      <c r="M131" s="140"/>
      <c r="N131" s="66"/>
      <c r="O131" s="66" t="str">
        <f t="shared" si="1"/>
        <v>DM+이메일</v>
      </c>
      <c r="P131" s="226">
        <v>1.0</v>
      </c>
      <c r="Q131" s="226">
        <v>1.0</v>
      </c>
      <c r="R131" s="112"/>
      <c r="S131" s="113"/>
      <c r="T131" s="113">
        <v>46108.0</v>
      </c>
      <c r="U131" s="113"/>
      <c r="V131" s="113"/>
      <c r="W131" s="113"/>
      <c r="X131" s="113"/>
      <c r="Y131" s="113"/>
      <c r="Z131" s="114"/>
    </row>
    <row r="132" ht="18.75" customHeight="1">
      <c r="A132" s="90"/>
      <c r="B132" s="61" t="s">
        <v>20</v>
      </c>
      <c r="C132" s="61"/>
      <c r="D132" s="61" t="s">
        <v>664</v>
      </c>
      <c r="E132" s="61" t="s">
        <v>69</v>
      </c>
      <c r="F132" s="230" t="s">
        <v>683</v>
      </c>
      <c r="G132" s="62" t="s">
        <v>45</v>
      </c>
      <c r="H132" s="61" t="s">
        <v>124</v>
      </c>
      <c r="I132" s="62" t="s">
        <v>125</v>
      </c>
      <c r="J132" s="103"/>
      <c r="K132" s="107" t="s">
        <v>684</v>
      </c>
      <c r="L132" s="231" t="s">
        <v>685</v>
      </c>
      <c r="M132" s="140"/>
      <c r="N132" s="66"/>
      <c r="O132" s="66" t="str">
        <f t="shared" si="1"/>
        <v>DM+이메일</v>
      </c>
      <c r="P132" s="232">
        <v>1.0</v>
      </c>
      <c r="Q132" s="232">
        <v>1.0</v>
      </c>
      <c r="R132" s="112"/>
      <c r="S132" s="113"/>
      <c r="T132" s="113">
        <v>46108.0</v>
      </c>
      <c r="U132" s="113"/>
      <c r="V132" s="113"/>
      <c r="W132" s="113"/>
      <c r="X132" s="113"/>
      <c r="Y132" s="113"/>
      <c r="Z132" s="114"/>
    </row>
    <row r="133" ht="18.75" customHeight="1">
      <c r="A133" s="90"/>
      <c r="B133" s="61" t="s">
        <v>23</v>
      </c>
      <c r="C133" s="61"/>
      <c r="D133" s="61" t="s">
        <v>274</v>
      </c>
      <c r="E133" s="61" t="s">
        <v>69</v>
      </c>
      <c r="F133" s="230" t="s">
        <v>686</v>
      </c>
      <c r="G133" s="62" t="s">
        <v>45</v>
      </c>
      <c r="H133" s="61" t="s">
        <v>124</v>
      </c>
      <c r="I133" s="62" t="s">
        <v>125</v>
      </c>
      <c r="J133" s="103"/>
      <c r="K133" s="107" t="s">
        <v>687</v>
      </c>
      <c r="L133" s="80"/>
      <c r="M133" s="176" t="s">
        <v>267</v>
      </c>
      <c r="N133" s="66"/>
      <c r="O133" s="66" t="str">
        <f t="shared" si="1"/>
        <v/>
      </c>
      <c r="P133" s="66">
        <v>0.0</v>
      </c>
      <c r="Q133" s="66">
        <v>0.0</v>
      </c>
      <c r="R133" s="112"/>
      <c r="S133" s="66"/>
      <c r="T133" s="66"/>
      <c r="U133" s="66"/>
      <c r="V133" s="66"/>
      <c r="W133" s="66"/>
      <c r="X133" s="66"/>
      <c r="Y133" s="66"/>
      <c r="Z133" s="82"/>
    </row>
    <row r="134" ht="18.75" customHeight="1">
      <c r="A134" s="90"/>
      <c r="B134" s="61" t="s">
        <v>20</v>
      </c>
      <c r="C134" s="61"/>
      <c r="D134" s="61" t="s">
        <v>274</v>
      </c>
      <c r="E134" s="61" t="s">
        <v>69</v>
      </c>
      <c r="F134" s="230" t="s">
        <v>688</v>
      </c>
      <c r="G134" s="62" t="s">
        <v>45</v>
      </c>
      <c r="H134" s="61" t="s">
        <v>124</v>
      </c>
      <c r="I134" s="198" t="s">
        <v>125</v>
      </c>
      <c r="J134" s="99" t="s">
        <v>689</v>
      </c>
      <c r="K134" s="107" t="s">
        <v>690</v>
      </c>
      <c r="L134" s="112"/>
      <c r="M134" s="140"/>
      <c r="N134" s="66"/>
      <c r="O134" s="66" t="str">
        <f t="shared" si="1"/>
        <v>DM</v>
      </c>
      <c r="P134" s="67">
        <v>1.0</v>
      </c>
      <c r="Q134" s="66">
        <v>0.0</v>
      </c>
      <c r="R134" s="112"/>
      <c r="S134" s="113"/>
      <c r="T134" s="113">
        <v>46108.0</v>
      </c>
      <c r="U134" s="113"/>
      <c r="V134" s="113"/>
      <c r="W134" s="113"/>
      <c r="X134" s="113"/>
      <c r="Y134" s="113"/>
      <c r="Z134" s="114"/>
    </row>
    <row r="135" ht="18.75" customHeight="1">
      <c r="A135" s="90"/>
      <c r="B135" s="61" t="s">
        <v>20</v>
      </c>
      <c r="C135" s="61"/>
      <c r="D135" s="61" t="s">
        <v>121</v>
      </c>
      <c r="E135" s="61" t="s">
        <v>122</v>
      </c>
      <c r="F135" s="61" t="s">
        <v>691</v>
      </c>
      <c r="G135" s="62" t="s">
        <v>45</v>
      </c>
      <c r="H135" s="61" t="s">
        <v>124</v>
      </c>
      <c r="I135" s="62" t="s">
        <v>125</v>
      </c>
      <c r="J135" s="103"/>
      <c r="K135" s="107" t="s">
        <v>692</v>
      </c>
      <c r="L135" s="216" t="s">
        <v>693</v>
      </c>
      <c r="M135" s="140"/>
      <c r="N135" s="66"/>
      <c r="O135" s="66" t="str">
        <f t="shared" si="1"/>
        <v>DM+이메일</v>
      </c>
      <c r="P135" s="67">
        <v>1.0</v>
      </c>
      <c r="Q135" s="67">
        <v>1.0</v>
      </c>
      <c r="R135" s="112"/>
      <c r="S135" s="113"/>
      <c r="T135" s="113">
        <v>46108.0</v>
      </c>
      <c r="U135" s="113"/>
      <c r="V135" s="113"/>
      <c r="W135" s="113"/>
      <c r="X135" s="113"/>
      <c r="Y135" s="113"/>
      <c r="Z135" s="114"/>
    </row>
    <row r="136" ht="18.75" customHeight="1">
      <c r="A136" s="90"/>
      <c r="B136" s="61" t="s">
        <v>23</v>
      </c>
      <c r="C136" s="61"/>
      <c r="D136" s="61" t="s">
        <v>694</v>
      </c>
      <c r="E136" s="61" t="s">
        <v>578</v>
      </c>
      <c r="F136" s="61" t="s">
        <v>695</v>
      </c>
      <c r="G136" s="62" t="s">
        <v>44</v>
      </c>
      <c r="H136" s="61" t="s">
        <v>106</v>
      </c>
      <c r="I136" s="105"/>
      <c r="J136" s="62" t="s">
        <v>44</v>
      </c>
      <c r="K136" s="105"/>
      <c r="L136" s="105"/>
      <c r="M136" s="65"/>
      <c r="N136" s="66"/>
      <c r="O136" s="66" t="str">
        <f t="shared" si="1"/>
        <v/>
      </c>
      <c r="P136" s="66">
        <v>0.0</v>
      </c>
      <c r="Q136" s="66">
        <v>0.0</v>
      </c>
      <c r="R136" s="112"/>
      <c r="S136" s="66"/>
      <c r="T136" s="66"/>
      <c r="U136" s="66"/>
      <c r="V136" s="66"/>
      <c r="W136" s="66"/>
      <c r="X136" s="66"/>
      <c r="Y136" s="66"/>
      <c r="Z136" s="82"/>
    </row>
    <row r="137" ht="18.75" customHeight="1">
      <c r="A137" s="90"/>
      <c r="B137" s="61" t="s">
        <v>23</v>
      </c>
      <c r="C137" s="211"/>
      <c r="D137" s="211" t="s">
        <v>696</v>
      </c>
      <c r="E137" s="211" t="s">
        <v>578</v>
      </c>
      <c r="F137" s="211" t="s">
        <v>697</v>
      </c>
      <c r="G137" s="205" t="s">
        <v>115</v>
      </c>
      <c r="H137" s="204" t="s">
        <v>124</v>
      </c>
      <c r="I137" s="205" t="s">
        <v>657</v>
      </c>
      <c r="J137" s="205" t="s">
        <v>44</v>
      </c>
      <c r="K137" s="205" t="s">
        <v>486</v>
      </c>
      <c r="L137" s="207"/>
      <c r="M137" s="208"/>
      <c r="N137" s="66"/>
      <c r="O137" s="66" t="str">
        <f t="shared" si="1"/>
        <v/>
      </c>
      <c r="P137" s="66">
        <v>0.0</v>
      </c>
      <c r="Q137" s="66">
        <v>0.0</v>
      </c>
      <c r="R137" s="112"/>
      <c r="S137" s="66"/>
      <c r="T137" s="66"/>
      <c r="U137" s="66"/>
      <c r="V137" s="66"/>
      <c r="W137" s="66"/>
      <c r="X137" s="66"/>
      <c r="Y137" s="66"/>
      <c r="Z137" s="82"/>
    </row>
    <row r="138" ht="18.75" customHeight="1">
      <c r="A138" s="90"/>
      <c r="B138" s="61" t="s">
        <v>23</v>
      </c>
      <c r="C138" s="61"/>
      <c r="D138" s="61" t="s">
        <v>574</v>
      </c>
      <c r="E138" s="61" t="s">
        <v>578</v>
      </c>
      <c r="F138" s="61" t="s">
        <v>698</v>
      </c>
      <c r="G138" s="62" t="s">
        <v>699</v>
      </c>
      <c r="H138" s="61" t="s">
        <v>124</v>
      </c>
      <c r="I138" s="62" t="s">
        <v>700</v>
      </c>
      <c r="J138" s="62" t="s">
        <v>44</v>
      </c>
      <c r="K138" s="62" t="s">
        <v>486</v>
      </c>
      <c r="L138" s="61"/>
      <c r="M138" s="125" t="s">
        <v>701</v>
      </c>
      <c r="N138" s="66"/>
      <c r="O138" s="66" t="str">
        <f t="shared" si="1"/>
        <v/>
      </c>
      <c r="P138" s="66">
        <v>0.0</v>
      </c>
      <c r="Q138" s="66">
        <v>0.0</v>
      </c>
      <c r="R138" s="112"/>
      <c r="S138" s="66"/>
      <c r="T138" s="66"/>
      <c r="U138" s="66"/>
      <c r="V138" s="66"/>
      <c r="W138" s="66"/>
      <c r="X138" s="66"/>
      <c r="Y138" s="66"/>
      <c r="Z138" s="82"/>
    </row>
    <row r="139" ht="18.75" customHeight="1">
      <c r="A139" s="233"/>
      <c r="B139" s="61" t="s">
        <v>23</v>
      </c>
      <c r="C139" s="191"/>
      <c r="D139" s="191" t="s">
        <v>702</v>
      </c>
      <c r="E139" s="191" t="s">
        <v>506</v>
      </c>
      <c r="F139" s="191" t="s">
        <v>271</v>
      </c>
      <c r="G139" s="195" t="s">
        <v>703</v>
      </c>
      <c r="H139" s="191" t="s">
        <v>64</v>
      </c>
      <c r="I139" s="195" t="s">
        <v>704</v>
      </c>
      <c r="J139" s="195" t="s">
        <v>44</v>
      </c>
      <c r="K139" s="195" t="s">
        <v>486</v>
      </c>
      <c r="L139" s="194"/>
      <c r="M139" s="234"/>
      <c r="N139" s="66"/>
      <c r="O139" s="66" t="str">
        <f t="shared" si="1"/>
        <v/>
      </c>
      <c r="P139" s="235">
        <v>0.0</v>
      </c>
      <c r="Q139" s="235">
        <v>0.0</v>
      </c>
      <c r="R139" s="112"/>
      <c r="S139" s="235"/>
      <c r="T139" s="235"/>
      <c r="U139" s="235"/>
      <c r="V139" s="235"/>
      <c r="W139" s="235"/>
      <c r="X139" s="235"/>
      <c r="Y139" s="235"/>
      <c r="Z139" s="236"/>
    </row>
    <row r="140" ht="18.75" customHeight="1">
      <c r="A140" s="233"/>
      <c r="B140" s="61" t="s">
        <v>23</v>
      </c>
      <c r="C140" s="191"/>
      <c r="D140" s="191" t="s">
        <v>705</v>
      </c>
      <c r="E140" s="191" t="s">
        <v>506</v>
      </c>
      <c r="F140" s="191" t="s">
        <v>706</v>
      </c>
      <c r="G140" s="195" t="s">
        <v>703</v>
      </c>
      <c r="H140" s="191" t="s">
        <v>64</v>
      </c>
      <c r="I140" s="195" t="s">
        <v>703</v>
      </c>
      <c r="J140" s="195" t="s">
        <v>44</v>
      </c>
      <c r="K140" s="195" t="s">
        <v>486</v>
      </c>
      <c r="L140" s="194"/>
      <c r="M140" s="237" t="s">
        <v>707</v>
      </c>
      <c r="N140" s="66"/>
      <c r="O140" s="66" t="str">
        <f t="shared" si="1"/>
        <v/>
      </c>
      <c r="P140" s="238">
        <v>0.0</v>
      </c>
      <c r="Q140" s="238">
        <v>0.0</v>
      </c>
      <c r="R140" s="112"/>
      <c r="S140" s="238"/>
      <c r="T140" s="238"/>
      <c r="U140" s="238"/>
      <c r="V140" s="238"/>
      <c r="W140" s="238"/>
      <c r="X140" s="238"/>
      <c r="Y140" s="238"/>
      <c r="Z140" s="239"/>
    </row>
    <row r="141" ht="18.75" customHeight="1">
      <c r="A141" s="233"/>
      <c r="B141" s="61" t="s">
        <v>20</v>
      </c>
      <c r="C141" s="186"/>
      <c r="D141" s="186" t="s">
        <v>708</v>
      </c>
      <c r="E141" s="186" t="s">
        <v>506</v>
      </c>
      <c r="F141" s="186" t="s">
        <v>709</v>
      </c>
      <c r="G141" s="188" t="s">
        <v>44</v>
      </c>
      <c r="H141" s="186" t="s">
        <v>64</v>
      </c>
      <c r="I141" s="188" t="s">
        <v>125</v>
      </c>
      <c r="J141" s="99" t="s">
        <v>710</v>
      </c>
      <c r="K141" s="104" t="s">
        <v>711</v>
      </c>
      <c r="L141" s="240" t="s">
        <v>712</v>
      </c>
      <c r="M141" s="240"/>
      <c r="N141" s="66"/>
      <c r="O141" s="66" t="str">
        <f t="shared" si="1"/>
        <v>DM+이메일</v>
      </c>
      <c r="P141" s="67">
        <v>1.0</v>
      </c>
      <c r="Q141" s="67">
        <v>1.0</v>
      </c>
      <c r="R141" s="112"/>
      <c r="S141" s="113"/>
      <c r="T141" s="113">
        <v>46108.0</v>
      </c>
      <c r="U141" s="113"/>
      <c r="V141" s="113"/>
      <c r="W141" s="113"/>
      <c r="X141" s="113"/>
      <c r="Y141" s="113"/>
      <c r="Z141" s="114"/>
    </row>
    <row r="142" ht="18.75" customHeight="1">
      <c r="A142" s="96"/>
      <c r="B142" s="61" t="s">
        <v>23</v>
      </c>
      <c r="C142" s="61"/>
      <c r="D142" s="61" t="s">
        <v>713</v>
      </c>
      <c r="E142" s="61" t="s">
        <v>69</v>
      </c>
      <c r="F142" s="61" t="s">
        <v>714</v>
      </c>
      <c r="G142" s="61" t="s">
        <v>115</v>
      </c>
      <c r="H142" s="61" t="s">
        <v>124</v>
      </c>
      <c r="I142" s="62" t="s">
        <v>125</v>
      </c>
      <c r="J142" s="99" t="s">
        <v>715</v>
      </c>
      <c r="K142" s="104" t="s">
        <v>716</v>
      </c>
      <c r="L142" s="105"/>
      <c r="M142" s="65"/>
      <c r="N142" s="66"/>
      <c r="O142" s="66" t="str">
        <f t="shared" si="1"/>
        <v/>
      </c>
      <c r="P142" s="241">
        <v>0.0</v>
      </c>
      <c r="Q142" s="241">
        <v>0.0</v>
      </c>
      <c r="R142" s="112"/>
      <c r="S142" s="241"/>
      <c r="T142" s="241"/>
      <c r="U142" s="241"/>
      <c r="V142" s="241"/>
      <c r="W142" s="241"/>
      <c r="X142" s="241"/>
      <c r="Y142" s="241"/>
      <c r="Z142" s="242"/>
    </row>
    <row r="143" ht="18.75" customHeight="1">
      <c r="A143" s="90"/>
      <c r="B143" s="61" t="s">
        <v>20</v>
      </c>
      <c r="C143" s="97"/>
      <c r="D143" s="97" t="s">
        <v>274</v>
      </c>
      <c r="E143" s="97" t="s">
        <v>69</v>
      </c>
      <c r="F143" s="97" t="s">
        <v>717</v>
      </c>
      <c r="G143" s="98" t="s">
        <v>267</v>
      </c>
      <c r="H143" s="97" t="s">
        <v>124</v>
      </c>
      <c r="I143" s="175"/>
      <c r="J143" s="99" t="s">
        <v>718</v>
      </c>
      <c r="K143" s="104" t="s">
        <v>719</v>
      </c>
      <c r="L143" s="97" t="s">
        <v>720</v>
      </c>
      <c r="M143" s="102"/>
      <c r="N143" s="66"/>
      <c r="O143" s="66" t="str">
        <f t="shared" si="1"/>
        <v>DM+이메일</v>
      </c>
      <c r="P143" s="67">
        <v>1.0</v>
      </c>
      <c r="Q143" s="67">
        <v>1.0</v>
      </c>
      <c r="R143" s="112"/>
      <c r="S143" s="113"/>
      <c r="T143" s="113">
        <v>46108.0</v>
      </c>
      <c r="U143" s="113"/>
      <c r="V143" s="113"/>
      <c r="W143" s="113"/>
      <c r="X143" s="113"/>
      <c r="Y143" s="113"/>
      <c r="Z143" s="114"/>
    </row>
    <row r="144" ht="18.75" customHeight="1">
      <c r="A144" s="90"/>
      <c r="B144" s="61" t="s">
        <v>23</v>
      </c>
      <c r="C144" s="61"/>
      <c r="D144" s="61" t="s">
        <v>713</v>
      </c>
      <c r="E144" s="61" t="s">
        <v>69</v>
      </c>
      <c r="F144" s="61" t="s">
        <v>721</v>
      </c>
      <c r="G144" s="62" t="s">
        <v>267</v>
      </c>
      <c r="H144" s="61" t="s">
        <v>124</v>
      </c>
      <c r="I144" s="62" t="s">
        <v>65</v>
      </c>
      <c r="J144" s="105"/>
      <c r="K144" s="62" t="s">
        <v>486</v>
      </c>
      <c r="L144" s="105"/>
      <c r="M144" s="65"/>
      <c r="N144" s="66"/>
      <c r="O144" s="66" t="str">
        <f t="shared" si="1"/>
        <v/>
      </c>
      <c r="P144" s="66">
        <v>0.0</v>
      </c>
      <c r="Q144" s="66">
        <v>0.0</v>
      </c>
      <c r="R144" s="112"/>
      <c r="S144" s="66"/>
      <c r="T144" s="66"/>
      <c r="U144" s="66"/>
      <c r="V144" s="66"/>
      <c r="W144" s="66"/>
      <c r="X144" s="66"/>
      <c r="Y144" s="66"/>
      <c r="Z144" s="82"/>
    </row>
    <row r="145" ht="18.75" customHeight="1">
      <c r="A145" s="90"/>
      <c r="B145" s="61" t="s">
        <v>23</v>
      </c>
      <c r="C145" s="61"/>
      <c r="D145" s="61" t="s">
        <v>722</v>
      </c>
      <c r="E145" s="61" t="s">
        <v>531</v>
      </c>
      <c r="F145" s="61" t="s">
        <v>723</v>
      </c>
      <c r="G145" s="62" t="s">
        <v>44</v>
      </c>
      <c r="H145" s="61" t="s">
        <v>124</v>
      </c>
      <c r="I145" s="61" t="s">
        <v>724</v>
      </c>
      <c r="J145" s="62" t="s">
        <v>44</v>
      </c>
      <c r="K145" s="62" t="s">
        <v>486</v>
      </c>
      <c r="L145" s="61" t="s">
        <v>725</v>
      </c>
      <c r="M145" s="176" t="s">
        <v>726</v>
      </c>
      <c r="N145" s="66"/>
      <c r="O145" s="66" t="str">
        <f t="shared" si="1"/>
        <v/>
      </c>
      <c r="P145" s="66">
        <v>0.0</v>
      </c>
      <c r="Q145" s="66">
        <v>0.0</v>
      </c>
      <c r="R145" s="112"/>
      <c r="S145" s="66"/>
      <c r="T145" s="66"/>
      <c r="U145" s="66"/>
      <c r="V145" s="66"/>
      <c r="W145" s="66"/>
      <c r="X145" s="66"/>
      <c r="Y145" s="66"/>
      <c r="Z145" s="82"/>
    </row>
    <row r="146" ht="18.75" customHeight="1">
      <c r="A146" s="90"/>
      <c r="B146" s="61" t="s">
        <v>20</v>
      </c>
      <c r="C146" s="97"/>
      <c r="D146" s="97" t="s">
        <v>694</v>
      </c>
      <c r="E146" s="97" t="s">
        <v>531</v>
      </c>
      <c r="F146" s="97" t="s">
        <v>727</v>
      </c>
      <c r="G146" s="98" t="s">
        <v>44</v>
      </c>
      <c r="H146" s="97" t="s">
        <v>124</v>
      </c>
      <c r="I146" s="98" t="s">
        <v>125</v>
      </c>
      <c r="J146" s="99" t="s">
        <v>728</v>
      </c>
      <c r="K146" s="166"/>
      <c r="L146" s="97" t="s">
        <v>729</v>
      </c>
      <c r="M146" s="102"/>
      <c r="N146" s="66"/>
      <c r="O146" s="66" t="str">
        <f t="shared" si="1"/>
        <v>이메일</v>
      </c>
      <c r="P146" s="66">
        <v>0.0</v>
      </c>
      <c r="Q146" s="67">
        <v>1.0</v>
      </c>
      <c r="R146" s="112"/>
      <c r="S146" s="113"/>
      <c r="T146" s="113">
        <v>46108.0</v>
      </c>
      <c r="U146" s="113"/>
      <c r="V146" s="113"/>
      <c r="W146" s="113"/>
      <c r="X146" s="113"/>
      <c r="Y146" s="113"/>
      <c r="Z146" s="114"/>
    </row>
    <row r="147" ht="18.75" customHeight="1">
      <c r="A147" s="90"/>
      <c r="B147" s="61" t="s">
        <v>20</v>
      </c>
      <c r="C147" s="97"/>
      <c r="D147" s="97" t="s">
        <v>713</v>
      </c>
      <c r="E147" s="97" t="s">
        <v>69</v>
      </c>
      <c r="F147" s="97" t="s">
        <v>730</v>
      </c>
      <c r="G147" s="98" t="s">
        <v>44</v>
      </c>
      <c r="H147" s="97" t="s">
        <v>124</v>
      </c>
      <c r="I147" s="98" t="s">
        <v>731</v>
      </c>
      <c r="J147" s="99" t="s">
        <v>732</v>
      </c>
      <c r="K147" s="104" t="s">
        <v>733</v>
      </c>
      <c r="L147" s="97" t="s">
        <v>734</v>
      </c>
      <c r="M147" s="102"/>
      <c r="N147" s="66"/>
      <c r="O147" s="66" t="str">
        <f t="shared" si="1"/>
        <v>DM+이메일</v>
      </c>
      <c r="P147" s="67">
        <v>1.0</v>
      </c>
      <c r="Q147" s="67">
        <v>1.0</v>
      </c>
      <c r="R147" s="112"/>
      <c r="S147" s="113"/>
      <c r="T147" s="113">
        <v>46108.0</v>
      </c>
      <c r="U147" s="113"/>
      <c r="V147" s="113"/>
      <c r="W147" s="113"/>
      <c r="X147" s="113"/>
      <c r="Y147" s="113"/>
      <c r="Z147" s="114"/>
    </row>
    <row r="148" ht="18.75" customHeight="1">
      <c r="A148" s="90"/>
      <c r="B148" s="61" t="s">
        <v>23</v>
      </c>
      <c r="C148" s="61"/>
      <c r="D148" s="61" t="s">
        <v>713</v>
      </c>
      <c r="E148" s="61" t="s">
        <v>69</v>
      </c>
      <c r="F148" s="243" t="s">
        <v>735</v>
      </c>
      <c r="G148" s="62" t="s">
        <v>45</v>
      </c>
      <c r="H148" s="61" t="s">
        <v>124</v>
      </c>
      <c r="I148" s="62" t="s">
        <v>125</v>
      </c>
      <c r="J148" s="105"/>
      <c r="K148" s="62" t="s">
        <v>486</v>
      </c>
      <c r="L148" s="105"/>
      <c r="M148" s="65"/>
      <c r="N148" s="66"/>
      <c r="O148" s="66" t="str">
        <f t="shared" si="1"/>
        <v/>
      </c>
      <c r="P148" s="66">
        <v>0.0</v>
      </c>
      <c r="Q148" s="66">
        <v>0.0</v>
      </c>
      <c r="R148" s="112"/>
      <c r="S148" s="66"/>
      <c r="T148" s="66"/>
      <c r="U148" s="66"/>
      <c r="V148" s="66"/>
      <c r="W148" s="66"/>
      <c r="X148" s="66"/>
      <c r="Y148" s="66"/>
      <c r="Z148" s="82"/>
    </row>
    <row r="149" ht="18.75" customHeight="1">
      <c r="A149" s="96"/>
      <c r="B149" s="61" t="s">
        <v>20</v>
      </c>
      <c r="C149" s="97"/>
      <c r="D149" s="97" t="s">
        <v>713</v>
      </c>
      <c r="E149" s="97" t="s">
        <v>69</v>
      </c>
      <c r="F149" s="97" t="s">
        <v>736</v>
      </c>
      <c r="G149" s="98" t="s">
        <v>115</v>
      </c>
      <c r="H149" s="97" t="s">
        <v>124</v>
      </c>
      <c r="I149" s="98" t="s">
        <v>125</v>
      </c>
      <c r="J149" s="99" t="s">
        <v>737</v>
      </c>
      <c r="K149" s="107" t="s">
        <v>738</v>
      </c>
      <c r="L149" s="97" t="s">
        <v>739</v>
      </c>
      <c r="M149" s="102"/>
      <c r="N149" s="66"/>
      <c r="O149" s="66" t="str">
        <f t="shared" si="1"/>
        <v>DM+이메일</v>
      </c>
      <c r="P149" s="232">
        <v>1.0</v>
      </c>
      <c r="Q149" s="232">
        <v>1.0</v>
      </c>
      <c r="R149" s="112"/>
      <c r="S149" s="113"/>
      <c r="T149" s="113">
        <v>46108.0</v>
      </c>
      <c r="U149" s="113"/>
      <c r="V149" s="113"/>
      <c r="W149" s="113"/>
      <c r="X149" s="113"/>
      <c r="Y149" s="113"/>
      <c r="Z149" s="114"/>
    </row>
    <row r="150" ht="18.75" customHeight="1">
      <c r="A150" s="90"/>
      <c r="B150" s="61" t="s">
        <v>23</v>
      </c>
      <c r="C150" s="61"/>
      <c r="D150" s="61" t="s">
        <v>713</v>
      </c>
      <c r="E150" s="61" t="s">
        <v>69</v>
      </c>
      <c r="F150" s="61" t="s">
        <v>740</v>
      </c>
      <c r="G150" s="62" t="s">
        <v>45</v>
      </c>
      <c r="H150" s="61" t="s">
        <v>124</v>
      </c>
      <c r="I150" s="62" t="s">
        <v>125</v>
      </c>
      <c r="J150" s="105"/>
      <c r="K150" s="62" t="s">
        <v>486</v>
      </c>
      <c r="L150" s="105"/>
      <c r="M150" s="65"/>
      <c r="N150" s="66"/>
      <c r="O150" s="66" t="str">
        <f t="shared" si="1"/>
        <v/>
      </c>
      <c r="P150" s="66">
        <v>0.0</v>
      </c>
      <c r="Q150" s="66">
        <v>0.0</v>
      </c>
      <c r="R150" s="112"/>
      <c r="S150" s="66"/>
      <c r="T150" s="66"/>
      <c r="U150" s="66"/>
      <c r="V150" s="66"/>
      <c r="W150" s="66"/>
      <c r="X150" s="66"/>
      <c r="Y150" s="66"/>
      <c r="Z150" s="82"/>
    </row>
    <row r="151" ht="18.75" customHeight="1">
      <c r="A151" s="96"/>
      <c r="B151" s="61" t="s">
        <v>23</v>
      </c>
      <c r="C151" s="97"/>
      <c r="D151" s="97" t="s">
        <v>713</v>
      </c>
      <c r="E151" s="97" t="s">
        <v>69</v>
      </c>
      <c r="F151" s="244" t="s">
        <v>416</v>
      </c>
      <c r="G151" s="98" t="s">
        <v>45</v>
      </c>
      <c r="H151" s="97" t="s">
        <v>124</v>
      </c>
      <c r="I151" s="98" t="s">
        <v>125</v>
      </c>
      <c r="J151" s="103"/>
      <c r="K151" s="104" t="s">
        <v>741</v>
      </c>
      <c r="L151" s="175"/>
      <c r="M151" s="102"/>
      <c r="N151" s="66"/>
      <c r="O151" s="66" t="str">
        <f t="shared" si="1"/>
        <v/>
      </c>
      <c r="P151" s="241">
        <v>0.0</v>
      </c>
      <c r="Q151" s="241">
        <v>0.0</v>
      </c>
      <c r="R151" s="112"/>
      <c r="S151" s="241"/>
      <c r="T151" s="241"/>
      <c r="U151" s="241"/>
      <c r="V151" s="241"/>
      <c r="W151" s="241"/>
      <c r="X151" s="241"/>
      <c r="Y151" s="241"/>
      <c r="Z151" s="242"/>
    </row>
    <row r="152" ht="18.75" customHeight="1">
      <c r="A152" s="90"/>
      <c r="B152" s="61" t="s">
        <v>23</v>
      </c>
      <c r="C152" s="61"/>
      <c r="D152" s="61" t="s">
        <v>713</v>
      </c>
      <c r="E152" s="61" t="s">
        <v>69</v>
      </c>
      <c r="F152" s="61" t="s">
        <v>742</v>
      </c>
      <c r="G152" s="62" t="s">
        <v>45</v>
      </c>
      <c r="H152" s="61" t="s">
        <v>124</v>
      </c>
      <c r="I152" s="62" t="s">
        <v>125</v>
      </c>
      <c r="J152" s="105"/>
      <c r="K152" s="62" t="s">
        <v>486</v>
      </c>
      <c r="L152" s="105"/>
      <c r="M152" s="65"/>
      <c r="N152" s="66"/>
      <c r="O152" s="66" t="str">
        <f t="shared" si="1"/>
        <v/>
      </c>
      <c r="P152" s="66">
        <v>0.0</v>
      </c>
      <c r="Q152" s="66">
        <v>0.0</v>
      </c>
      <c r="R152" s="112"/>
      <c r="S152" s="66"/>
      <c r="T152" s="66"/>
      <c r="U152" s="66"/>
      <c r="V152" s="66"/>
      <c r="W152" s="66"/>
      <c r="X152" s="66"/>
      <c r="Y152" s="66"/>
      <c r="Z152" s="82"/>
    </row>
    <row r="153" ht="18.75" customHeight="1">
      <c r="A153" s="96"/>
      <c r="B153" s="61" t="s">
        <v>23</v>
      </c>
      <c r="C153" s="97"/>
      <c r="D153" s="97" t="s">
        <v>713</v>
      </c>
      <c r="E153" s="97" t="s">
        <v>69</v>
      </c>
      <c r="F153" s="97" t="s">
        <v>743</v>
      </c>
      <c r="G153" s="98" t="s">
        <v>45</v>
      </c>
      <c r="H153" s="97" t="s">
        <v>124</v>
      </c>
      <c r="I153" s="98" t="s">
        <v>125</v>
      </c>
      <c r="J153" s="103"/>
      <c r="K153" s="104" t="s">
        <v>744</v>
      </c>
      <c r="L153" s="175"/>
      <c r="M153" s="102"/>
      <c r="N153" s="66"/>
      <c r="O153" s="66" t="str">
        <f t="shared" si="1"/>
        <v/>
      </c>
      <c r="P153" s="241">
        <v>0.0</v>
      </c>
      <c r="Q153" s="241">
        <v>0.0</v>
      </c>
      <c r="R153" s="112"/>
      <c r="S153" s="241"/>
      <c r="T153" s="241"/>
      <c r="U153" s="241"/>
      <c r="V153" s="241"/>
      <c r="W153" s="241"/>
      <c r="X153" s="241"/>
      <c r="Y153" s="241"/>
      <c r="Z153" s="242"/>
    </row>
    <row r="154" ht="18.75" customHeight="1">
      <c r="A154" s="96"/>
      <c r="B154" s="61" t="s">
        <v>23</v>
      </c>
      <c r="C154" s="97"/>
      <c r="D154" s="97" t="s">
        <v>659</v>
      </c>
      <c r="E154" s="97" t="s">
        <v>69</v>
      </c>
      <c r="F154" s="244" t="s">
        <v>745</v>
      </c>
      <c r="G154" s="98" t="s">
        <v>45</v>
      </c>
      <c r="H154" s="97" t="s">
        <v>106</v>
      </c>
      <c r="I154" s="170"/>
      <c r="J154" s="103"/>
      <c r="K154" s="104" t="s">
        <v>746</v>
      </c>
      <c r="L154" s="175"/>
      <c r="M154" s="102"/>
      <c r="N154" s="66"/>
      <c r="O154" s="66" t="str">
        <f t="shared" si="1"/>
        <v/>
      </c>
      <c r="P154" s="241">
        <v>0.0</v>
      </c>
      <c r="Q154" s="241">
        <v>0.0</v>
      </c>
      <c r="R154" s="112"/>
      <c r="S154" s="241"/>
      <c r="T154" s="241"/>
      <c r="U154" s="241"/>
      <c r="V154" s="241"/>
      <c r="W154" s="241"/>
      <c r="X154" s="241"/>
      <c r="Y154" s="241"/>
      <c r="Z154" s="242"/>
    </row>
    <row r="155" ht="18.75" customHeight="1">
      <c r="A155" s="96"/>
      <c r="B155" s="61" t="s">
        <v>20</v>
      </c>
      <c r="C155" s="97"/>
      <c r="D155" s="97" t="s">
        <v>713</v>
      </c>
      <c r="E155" s="97" t="s">
        <v>69</v>
      </c>
      <c r="F155" s="97" t="s">
        <v>747</v>
      </c>
      <c r="G155" s="98" t="s">
        <v>45</v>
      </c>
      <c r="H155" s="97" t="s">
        <v>124</v>
      </c>
      <c r="I155" s="98" t="s">
        <v>125</v>
      </c>
      <c r="J155" s="99" t="s">
        <v>748</v>
      </c>
      <c r="K155" s="104" t="s">
        <v>749</v>
      </c>
      <c r="L155" s="97" t="s">
        <v>750</v>
      </c>
      <c r="M155" s="102"/>
      <c r="N155" s="66"/>
      <c r="O155" s="66" t="str">
        <f t="shared" si="1"/>
        <v>DM+이메일</v>
      </c>
      <c r="P155" s="232">
        <v>1.0</v>
      </c>
      <c r="Q155" s="232">
        <v>1.0</v>
      </c>
      <c r="R155" s="112"/>
      <c r="S155" s="113"/>
      <c r="T155" s="113">
        <v>46108.0</v>
      </c>
      <c r="U155" s="113"/>
      <c r="V155" s="113"/>
      <c r="W155" s="113"/>
      <c r="X155" s="113"/>
      <c r="Y155" s="113"/>
      <c r="Z155" s="114"/>
    </row>
    <row r="156" ht="18.75" customHeight="1">
      <c r="A156" s="96"/>
      <c r="B156" s="61" t="s">
        <v>23</v>
      </c>
      <c r="C156" s="97"/>
      <c r="D156" s="97" t="s">
        <v>751</v>
      </c>
      <c r="E156" s="97" t="s">
        <v>69</v>
      </c>
      <c r="F156" s="97" t="s">
        <v>752</v>
      </c>
      <c r="G156" s="98" t="s">
        <v>45</v>
      </c>
      <c r="H156" s="97" t="s">
        <v>106</v>
      </c>
      <c r="I156" s="175"/>
      <c r="J156" s="175"/>
      <c r="K156" s="98" t="s">
        <v>486</v>
      </c>
      <c r="L156" s="175"/>
      <c r="M156" s="102"/>
      <c r="N156" s="66"/>
      <c r="O156" s="66" t="str">
        <f t="shared" si="1"/>
        <v/>
      </c>
      <c r="P156" s="241">
        <v>0.0</v>
      </c>
      <c r="Q156" s="241">
        <v>0.0</v>
      </c>
      <c r="R156" s="112"/>
      <c r="S156" s="241"/>
      <c r="T156" s="241"/>
      <c r="U156" s="241"/>
      <c r="V156" s="241"/>
      <c r="W156" s="241"/>
      <c r="X156" s="241"/>
      <c r="Y156" s="241"/>
      <c r="Z156" s="242"/>
    </row>
    <row r="157" ht="18.75" customHeight="1">
      <c r="A157" s="90"/>
      <c r="B157" s="61" t="s">
        <v>23</v>
      </c>
      <c r="C157" s="61"/>
      <c r="D157" s="61" t="s">
        <v>753</v>
      </c>
      <c r="E157" s="61" t="s">
        <v>69</v>
      </c>
      <c r="F157" s="61" t="s">
        <v>754</v>
      </c>
      <c r="G157" s="62" t="s">
        <v>45</v>
      </c>
      <c r="H157" s="61" t="s">
        <v>106</v>
      </c>
      <c r="I157" s="105"/>
      <c r="J157" s="105"/>
      <c r="K157" s="62" t="s">
        <v>486</v>
      </c>
      <c r="L157" s="230" t="s">
        <v>755</v>
      </c>
      <c r="M157" s="65"/>
      <c r="N157" s="66"/>
      <c r="O157" s="66" t="str">
        <f t="shared" si="1"/>
        <v/>
      </c>
      <c r="P157" s="66">
        <v>0.0</v>
      </c>
      <c r="Q157" s="66">
        <v>0.0</v>
      </c>
      <c r="R157" s="112"/>
      <c r="S157" s="66"/>
      <c r="T157" s="66"/>
      <c r="U157" s="66"/>
      <c r="V157" s="66"/>
      <c r="W157" s="66"/>
      <c r="X157" s="66"/>
      <c r="Y157" s="66"/>
      <c r="Z157" s="82"/>
    </row>
    <row r="158" ht="18.75" customHeight="1">
      <c r="A158" s="90"/>
      <c r="B158" s="61" t="s">
        <v>23</v>
      </c>
      <c r="C158" s="61"/>
      <c r="D158" s="61" t="s">
        <v>713</v>
      </c>
      <c r="E158" s="61" t="s">
        <v>69</v>
      </c>
      <c r="F158" s="61" t="s">
        <v>371</v>
      </c>
      <c r="G158" s="105"/>
      <c r="H158" s="61" t="s">
        <v>124</v>
      </c>
      <c r="I158" s="62" t="s">
        <v>276</v>
      </c>
      <c r="J158" s="62" t="s">
        <v>44</v>
      </c>
      <c r="K158" s="105"/>
      <c r="L158" s="245" t="s">
        <v>756</v>
      </c>
      <c r="M158" s="65"/>
      <c r="N158" s="66"/>
      <c r="O158" s="66" t="str">
        <f t="shared" si="1"/>
        <v/>
      </c>
      <c r="P158" s="66">
        <v>0.0</v>
      </c>
      <c r="Q158" s="66">
        <v>0.0</v>
      </c>
      <c r="R158" s="112"/>
      <c r="S158" s="66"/>
      <c r="T158" s="66"/>
      <c r="U158" s="66"/>
      <c r="V158" s="66"/>
      <c r="W158" s="66"/>
      <c r="X158" s="66"/>
      <c r="Y158" s="66"/>
      <c r="Z158" s="82"/>
    </row>
    <row r="159" ht="18.75" customHeight="1">
      <c r="A159" s="90"/>
      <c r="B159" s="61" t="s">
        <v>23</v>
      </c>
      <c r="C159" s="61"/>
      <c r="D159" s="61" t="s">
        <v>757</v>
      </c>
      <c r="E159" s="61" t="s">
        <v>69</v>
      </c>
      <c r="F159" s="61" t="s">
        <v>758</v>
      </c>
      <c r="G159" s="62" t="s">
        <v>45</v>
      </c>
      <c r="H159" s="61" t="s">
        <v>124</v>
      </c>
      <c r="I159" s="62" t="s">
        <v>98</v>
      </c>
      <c r="J159" s="105"/>
      <c r="K159" s="62" t="s">
        <v>486</v>
      </c>
      <c r="L159" s="220"/>
      <c r="M159" s="65"/>
      <c r="N159" s="66"/>
      <c r="O159" s="66" t="str">
        <f t="shared" si="1"/>
        <v/>
      </c>
      <c r="P159" s="66">
        <v>0.0</v>
      </c>
      <c r="Q159" s="66">
        <v>0.0</v>
      </c>
      <c r="R159" s="112"/>
      <c r="S159" s="66"/>
      <c r="T159" s="66"/>
      <c r="U159" s="66"/>
      <c r="V159" s="66"/>
      <c r="W159" s="66"/>
      <c r="X159" s="66"/>
      <c r="Y159" s="66"/>
      <c r="Z159" s="82"/>
    </row>
    <row r="160" ht="18.75" customHeight="1">
      <c r="A160" s="90"/>
      <c r="B160" s="61" t="s">
        <v>23</v>
      </c>
      <c r="C160" s="61"/>
      <c r="D160" s="61" t="s">
        <v>759</v>
      </c>
      <c r="E160" s="61" t="s">
        <v>69</v>
      </c>
      <c r="F160" s="61" t="s">
        <v>760</v>
      </c>
      <c r="G160" s="62" t="s">
        <v>45</v>
      </c>
      <c r="H160" s="61" t="s">
        <v>124</v>
      </c>
      <c r="I160" s="62" t="s">
        <v>125</v>
      </c>
      <c r="J160" s="105"/>
      <c r="K160" s="62" t="s">
        <v>486</v>
      </c>
      <c r="L160" s="105"/>
      <c r="M160" s="65"/>
      <c r="N160" s="66"/>
      <c r="O160" s="66" t="str">
        <f t="shared" si="1"/>
        <v/>
      </c>
      <c r="P160" s="66">
        <v>0.0</v>
      </c>
      <c r="Q160" s="66">
        <v>0.0</v>
      </c>
      <c r="R160" s="112"/>
      <c r="S160" s="66"/>
      <c r="T160" s="66"/>
      <c r="U160" s="66"/>
      <c r="V160" s="66"/>
      <c r="W160" s="66"/>
      <c r="X160" s="66"/>
      <c r="Y160" s="66"/>
      <c r="Z160" s="82"/>
    </row>
    <row r="161" ht="18.75" customHeight="1">
      <c r="A161" s="90"/>
      <c r="B161" s="61" t="s">
        <v>23</v>
      </c>
      <c r="C161" s="61"/>
      <c r="D161" s="61" t="s">
        <v>574</v>
      </c>
      <c r="E161" s="61" t="s">
        <v>69</v>
      </c>
      <c r="F161" s="61" t="s">
        <v>761</v>
      </c>
      <c r="G161" s="62" t="s">
        <v>45</v>
      </c>
      <c r="H161" s="61" t="s">
        <v>124</v>
      </c>
      <c r="I161" s="62" t="s">
        <v>762</v>
      </c>
      <c r="J161" s="105"/>
      <c r="K161" s="62" t="s">
        <v>486</v>
      </c>
      <c r="L161" s="105"/>
      <c r="M161" s="65"/>
      <c r="N161" s="66"/>
      <c r="O161" s="66" t="str">
        <f t="shared" si="1"/>
        <v/>
      </c>
      <c r="P161" s="66">
        <v>0.0</v>
      </c>
      <c r="Q161" s="66">
        <v>0.0</v>
      </c>
      <c r="R161" s="112"/>
      <c r="S161" s="66"/>
      <c r="T161" s="66"/>
      <c r="U161" s="66"/>
      <c r="V161" s="66"/>
      <c r="W161" s="66"/>
      <c r="X161" s="66"/>
      <c r="Y161" s="66"/>
      <c r="Z161" s="82"/>
    </row>
    <row r="162" ht="18.75" customHeight="1">
      <c r="A162" s="96"/>
      <c r="B162" s="61" t="s">
        <v>23</v>
      </c>
      <c r="C162" s="97"/>
      <c r="D162" s="97" t="s">
        <v>763</v>
      </c>
      <c r="E162" s="97" t="s">
        <v>69</v>
      </c>
      <c r="F162" s="97" t="s">
        <v>764</v>
      </c>
      <c r="G162" s="98" t="s">
        <v>45</v>
      </c>
      <c r="H162" s="97" t="s">
        <v>124</v>
      </c>
      <c r="I162" s="98" t="s">
        <v>125</v>
      </c>
      <c r="J162" s="103"/>
      <c r="K162" s="104" t="s">
        <v>765</v>
      </c>
      <c r="L162" s="175"/>
      <c r="M162" s="102"/>
      <c r="N162" s="66"/>
      <c r="O162" s="66" t="str">
        <f t="shared" si="1"/>
        <v/>
      </c>
      <c r="P162" s="241">
        <v>0.0</v>
      </c>
      <c r="Q162" s="241">
        <v>0.0</v>
      </c>
      <c r="R162" s="112"/>
      <c r="S162" s="241"/>
      <c r="T162" s="241"/>
      <c r="U162" s="241"/>
      <c r="V162" s="241"/>
      <c r="W162" s="241"/>
      <c r="X162" s="241"/>
      <c r="Y162" s="241"/>
      <c r="Z162" s="242"/>
    </row>
    <row r="163" ht="18.75" customHeight="1">
      <c r="A163" s="90"/>
      <c r="B163" s="61" t="s">
        <v>23</v>
      </c>
      <c r="C163" s="61"/>
      <c r="D163" s="61" t="s">
        <v>713</v>
      </c>
      <c r="E163" s="61" t="s">
        <v>69</v>
      </c>
      <c r="F163" s="61" t="s">
        <v>766</v>
      </c>
      <c r="G163" s="62" t="s">
        <v>45</v>
      </c>
      <c r="H163" s="61" t="s">
        <v>124</v>
      </c>
      <c r="I163" s="62" t="s">
        <v>125</v>
      </c>
      <c r="J163" s="105"/>
      <c r="K163" s="62" t="s">
        <v>486</v>
      </c>
      <c r="L163" s="105"/>
      <c r="M163" s="65"/>
      <c r="N163" s="66"/>
      <c r="O163" s="66" t="str">
        <f t="shared" si="1"/>
        <v/>
      </c>
      <c r="P163" s="66">
        <v>0.0</v>
      </c>
      <c r="Q163" s="66">
        <v>0.0</v>
      </c>
      <c r="R163" s="112"/>
      <c r="S163" s="66"/>
      <c r="T163" s="66"/>
      <c r="U163" s="66"/>
      <c r="V163" s="66"/>
      <c r="W163" s="66"/>
      <c r="X163" s="66"/>
      <c r="Y163" s="66"/>
      <c r="Z163" s="82"/>
    </row>
    <row r="164" ht="18.75" customHeight="1">
      <c r="A164" s="96"/>
      <c r="B164" s="61" t="s">
        <v>20</v>
      </c>
      <c r="C164" s="97"/>
      <c r="D164" s="97" t="s">
        <v>767</v>
      </c>
      <c r="E164" s="97" t="s">
        <v>69</v>
      </c>
      <c r="F164" s="97" t="s">
        <v>768</v>
      </c>
      <c r="G164" s="98" t="s">
        <v>45</v>
      </c>
      <c r="H164" s="97" t="s">
        <v>124</v>
      </c>
      <c r="I164" s="98" t="s">
        <v>125</v>
      </c>
      <c r="J164" s="103"/>
      <c r="K164" s="104" t="s">
        <v>769</v>
      </c>
      <c r="L164" s="97" t="s">
        <v>770</v>
      </c>
      <c r="M164" s="102"/>
      <c r="N164" s="66"/>
      <c r="O164" s="66" t="str">
        <f t="shared" si="1"/>
        <v>DM+이메일</v>
      </c>
      <c r="P164" s="232">
        <v>1.0</v>
      </c>
      <c r="Q164" s="232">
        <v>1.0</v>
      </c>
      <c r="R164" s="112"/>
      <c r="S164" s="113"/>
      <c r="T164" s="113">
        <v>46108.0</v>
      </c>
      <c r="U164" s="113"/>
      <c r="V164" s="113"/>
      <c r="W164" s="113"/>
      <c r="X164" s="113"/>
      <c r="Y164" s="113"/>
      <c r="Z164" s="114"/>
    </row>
    <row r="165" ht="18.75" customHeight="1">
      <c r="A165" s="90"/>
      <c r="B165" s="61" t="s">
        <v>23</v>
      </c>
      <c r="C165" s="61"/>
      <c r="D165" s="61" t="s">
        <v>771</v>
      </c>
      <c r="E165" s="61" t="s">
        <v>531</v>
      </c>
      <c r="F165" s="61" t="s">
        <v>772</v>
      </c>
      <c r="G165" s="62" t="s">
        <v>44</v>
      </c>
      <c r="H165" s="61" t="s">
        <v>124</v>
      </c>
      <c r="I165" s="62" t="s">
        <v>539</v>
      </c>
      <c r="J165" s="62" t="s">
        <v>44</v>
      </c>
      <c r="K165" s="105"/>
      <c r="L165" s="61" t="s">
        <v>773</v>
      </c>
      <c r="M165" s="65"/>
      <c r="N165" s="66"/>
      <c r="O165" s="66" t="str">
        <f t="shared" si="1"/>
        <v/>
      </c>
      <c r="P165" s="67">
        <v>0.0</v>
      </c>
      <c r="Q165" s="67">
        <v>0.0</v>
      </c>
      <c r="R165" s="112"/>
      <c r="S165" s="67"/>
      <c r="T165" s="67"/>
      <c r="U165" s="67"/>
      <c r="V165" s="67"/>
      <c r="W165" s="67"/>
      <c r="X165" s="67"/>
      <c r="Y165" s="67"/>
      <c r="Z165" s="68"/>
    </row>
    <row r="166" ht="18.75" customHeight="1">
      <c r="A166" s="90"/>
      <c r="B166" s="61" t="s">
        <v>23</v>
      </c>
      <c r="C166" s="61"/>
      <c r="D166" s="61" t="s">
        <v>103</v>
      </c>
      <c r="E166" s="61" t="s">
        <v>353</v>
      </c>
      <c r="F166" s="61" t="s">
        <v>774</v>
      </c>
      <c r="G166" s="62" t="s">
        <v>44</v>
      </c>
      <c r="H166" s="61" t="s">
        <v>64</v>
      </c>
      <c r="I166" s="62" t="s">
        <v>775</v>
      </c>
      <c r="J166" s="105"/>
      <c r="K166" s="105"/>
      <c r="L166" s="105"/>
      <c r="M166" s="176" t="s">
        <v>776</v>
      </c>
      <c r="N166" s="66"/>
      <c r="O166" s="66" t="str">
        <f t="shared" si="1"/>
        <v/>
      </c>
      <c r="P166" s="66">
        <v>0.0</v>
      </c>
      <c r="Q166" s="66">
        <v>0.0</v>
      </c>
      <c r="R166" s="112"/>
      <c r="S166" s="66"/>
      <c r="T166" s="66"/>
      <c r="U166" s="66"/>
      <c r="V166" s="66"/>
      <c r="W166" s="66"/>
      <c r="X166" s="66"/>
      <c r="Y166" s="66"/>
      <c r="Z166" s="82"/>
    </row>
    <row r="167" ht="18.75" customHeight="1">
      <c r="A167" s="96"/>
      <c r="B167" s="61" t="s">
        <v>20</v>
      </c>
      <c r="C167" s="97"/>
      <c r="D167" s="97" t="s">
        <v>777</v>
      </c>
      <c r="E167" s="97" t="s">
        <v>353</v>
      </c>
      <c r="F167" s="97" t="s">
        <v>778</v>
      </c>
      <c r="G167" s="98" t="s">
        <v>44</v>
      </c>
      <c r="H167" s="97" t="s">
        <v>106</v>
      </c>
      <c r="I167" s="175"/>
      <c r="J167" s="99" t="s">
        <v>779</v>
      </c>
      <c r="K167" s="166"/>
      <c r="L167" s="97" t="s">
        <v>780</v>
      </c>
      <c r="M167" s="102"/>
      <c r="N167" s="66"/>
      <c r="O167" s="66" t="str">
        <f t="shared" si="1"/>
        <v>이메일</v>
      </c>
      <c r="P167" s="241">
        <v>0.0</v>
      </c>
      <c r="Q167" s="232">
        <v>1.0</v>
      </c>
      <c r="R167" s="112"/>
      <c r="S167" s="113"/>
      <c r="T167" s="113">
        <v>46108.0</v>
      </c>
      <c r="U167" s="113"/>
      <c r="V167" s="113"/>
      <c r="W167" s="113"/>
      <c r="X167" s="113"/>
      <c r="Y167" s="113"/>
      <c r="Z167" s="114"/>
    </row>
    <row r="168" ht="18.75" customHeight="1">
      <c r="A168" s="90"/>
      <c r="B168" s="61" t="s">
        <v>23</v>
      </c>
      <c r="C168" s="61"/>
      <c r="D168" s="61" t="s">
        <v>753</v>
      </c>
      <c r="E168" s="61" t="s">
        <v>69</v>
      </c>
      <c r="F168" s="61" t="s">
        <v>781</v>
      </c>
      <c r="G168" s="62" t="s">
        <v>45</v>
      </c>
      <c r="H168" s="61" t="s">
        <v>106</v>
      </c>
      <c r="I168" s="105"/>
      <c r="J168" s="105"/>
      <c r="K168" s="62" t="s">
        <v>486</v>
      </c>
      <c r="L168" s="230"/>
      <c r="M168" s="65"/>
      <c r="N168" s="66"/>
      <c r="O168" s="66" t="str">
        <f t="shared" si="1"/>
        <v/>
      </c>
      <c r="P168" s="66">
        <v>0.0</v>
      </c>
      <c r="Q168" s="66">
        <v>0.0</v>
      </c>
      <c r="R168" s="112"/>
      <c r="S168" s="66"/>
      <c r="T168" s="66"/>
      <c r="U168" s="66"/>
      <c r="V168" s="66"/>
      <c r="W168" s="66"/>
      <c r="X168" s="66"/>
      <c r="Y168" s="66"/>
      <c r="Z168" s="82"/>
    </row>
    <row r="169" ht="18.75" customHeight="1">
      <c r="A169" s="96"/>
      <c r="B169" s="61" t="s">
        <v>23</v>
      </c>
      <c r="C169" s="97"/>
      <c r="D169" s="97" t="s">
        <v>782</v>
      </c>
      <c r="E169" s="97" t="s">
        <v>332</v>
      </c>
      <c r="F169" s="97" t="s">
        <v>783</v>
      </c>
      <c r="G169" s="98" t="s">
        <v>45</v>
      </c>
      <c r="H169" s="97" t="s">
        <v>64</v>
      </c>
      <c r="I169" s="246" t="s">
        <v>657</v>
      </c>
      <c r="J169" s="99" t="s">
        <v>784</v>
      </c>
      <c r="K169" s="104" t="s">
        <v>785</v>
      </c>
      <c r="L169" s="175"/>
      <c r="M169" s="108" t="s">
        <v>786</v>
      </c>
      <c r="N169" s="66"/>
      <c r="O169" s="66" t="str">
        <f t="shared" si="1"/>
        <v/>
      </c>
      <c r="P169" s="241">
        <v>0.0</v>
      </c>
      <c r="Q169" s="241">
        <v>0.0</v>
      </c>
      <c r="R169" s="112"/>
      <c r="S169" s="241"/>
      <c r="T169" s="241"/>
      <c r="U169" s="241"/>
      <c r="V169" s="241"/>
      <c r="W169" s="241"/>
      <c r="X169" s="241"/>
      <c r="Y169" s="241"/>
      <c r="Z169" s="242"/>
    </row>
    <row r="170" ht="18.75" customHeight="1">
      <c r="A170" s="96"/>
      <c r="B170" s="61" t="s">
        <v>20</v>
      </c>
      <c r="C170" s="97"/>
      <c r="D170" s="97" t="s">
        <v>787</v>
      </c>
      <c r="E170" s="97" t="s">
        <v>513</v>
      </c>
      <c r="F170" s="97" t="s">
        <v>788</v>
      </c>
      <c r="G170" s="98" t="s">
        <v>789</v>
      </c>
      <c r="H170" s="97" t="s">
        <v>106</v>
      </c>
      <c r="I170" s="175"/>
      <c r="J170" s="99" t="s">
        <v>790</v>
      </c>
      <c r="K170" s="166"/>
      <c r="L170" s="97" t="s">
        <v>791</v>
      </c>
      <c r="M170" s="247" t="s">
        <v>663</v>
      </c>
      <c r="N170" s="66"/>
      <c r="O170" s="66" t="str">
        <f t="shared" si="1"/>
        <v>이메일</v>
      </c>
      <c r="P170" s="241">
        <v>0.0</v>
      </c>
      <c r="Q170" s="232">
        <v>1.0</v>
      </c>
      <c r="R170" s="112"/>
      <c r="S170" s="113"/>
      <c r="T170" s="113">
        <v>46108.0</v>
      </c>
      <c r="U170" s="113"/>
      <c r="V170" s="113"/>
      <c r="W170" s="113"/>
      <c r="X170" s="113"/>
      <c r="Y170" s="113"/>
      <c r="Z170" s="114"/>
    </row>
    <row r="171">
      <c r="A171" s="248"/>
      <c r="B171" s="61" t="s">
        <v>20</v>
      </c>
      <c r="C171" s="97"/>
      <c r="D171" s="97" t="s">
        <v>787</v>
      </c>
      <c r="E171" s="97" t="s">
        <v>513</v>
      </c>
      <c r="F171" s="97" t="s">
        <v>792</v>
      </c>
      <c r="G171" s="98" t="s">
        <v>44</v>
      </c>
      <c r="H171" s="97" t="s">
        <v>106</v>
      </c>
      <c r="I171" s="249"/>
      <c r="J171" s="99" t="s">
        <v>793</v>
      </c>
      <c r="K171" s="104" t="s">
        <v>794</v>
      </c>
      <c r="L171" s="106" t="s">
        <v>795</v>
      </c>
      <c r="M171" s="247" t="s">
        <v>663</v>
      </c>
      <c r="N171" s="66"/>
      <c r="O171" s="66" t="str">
        <f t="shared" si="1"/>
        <v>DM+이메일</v>
      </c>
      <c r="P171" s="250">
        <v>1.0</v>
      </c>
      <c r="Q171" s="250">
        <v>1.0</v>
      </c>
      <c r="R171" s="112"/>
      <c r="S171" s="113"/>
      <c r="T171" s="113">
        <v>46108.0</v>
      </c>
      <c r="U171" s="113"/>
      <c r="V171" s="113"/>
      <c r="W171" s="113"/>
      <c r="X171" s="113"/>
      <c r="Y171" s="113"/>
      <c r="Z171" s="114"/>
    </row>
    <row r="172" ht="18.75" customHeight="1">
      <c r="A172" s="96"/>
      <c r="B172" s="61" t="s">
        <v>20</v>
      </c>
      <c r="C172" s="97"/>
      <c r="D172" s="97" t="s">
        <v>274</v>
      </c>
      <c r="E172" s="97" t="s">
        <v>353</v>
      </c>
      <c r="F172" s="97" t="s">
        <v>796</v>
      </c>
      <c r="G172" s="98" t="s">
        <v>44</v>
      </c>
      <c r="H172" s="97" t="s">
        <v>106</v>
      </c>
      <c r="I172" s="175"/>
      <c r="J172" s="251"/>
      <c r="K172" s="166"/>
      <c r="L172" s="97" t="s">
        <v>797</v>
      </c>
      <c r="M172" s="247" t="s">
        <v>798</v>
      </c>
      <c r="N172" s="66"/>
      <c r="O172" s="66" t="str">
        <f t="shared" si="1"/>
        <v>이메일</v>
      </c>
      <c r="P172" s="241">
        <v>0.0</v>
      </c>
      <c r="Q172" s="232">
        <v>1.0</v>
      </c>
      <c r="R172" s="112"/>
      <c r="S172" s="113"/>
      <c r="T172" s="113">
        <v>46108.0</v>
      </c>
      <c r="U172" s="113"/>
      <c r="V172" s="113"/>
      <c r="W172" s="113"/>
      <c r="X172" s="113"/>
      <c r="Y172" s="113"/>
      <c r="Z172" s="114"/>
    </row>
    <row r="173" ht="18.75" customHeight="1">
      <c r="A173" s="96"/>
      <c r="B173" s="61" t="s">
        <v>20</v>
      </c>
      <c r="C173" s="97"/>
      <c r="D173" s="97" t="s">
        <v>44</v>
      </c>
      <c r="E173" s="97" t="s">
        <v>429</v>
      </c>
      <c r="F173" s="97" t="s">
        <v>799</v>
      </c>
      <c r="G173" s="98" t="s">
        <v>44</v>
      </c>
      <c r="H173" s="97" t="s">
        <v>64</v>
      </c>
      <c r="I173" s="98" t="s">
        <v>800</v>
      </c>
      <c r="J173" s="99" t="s">
        <v>801</v>
      </c>
      <c r="K173" s="166"/>
      <c r="L173" s="252" t="s">
        <v>802</v>
      </c>
      <c r="M173" s="108" t="s">
        <v>803</v>
      </c>
      <c r="N173" s="66"/>
      <c r="O173" s="66" t="str">
        <f t="shared" si="1"/>
        <v>이메일</v>
      </c>
      <c r="P173" s="241">
        <v>0.0</v>
      </c>
      <c r="Q173" s="232">
        <v>1.0</v>
      </c>
      <c r="R173" s="112"/>
      <c r="S173" s="113"/>
      <c r="T173" s="113">
        <v>46108.0</v>
      </c>
      <c r="U173" s="113"/>
      <c r="V173" s="113"/>
      <c r="W173" s="113"/>
      <c r="X173" s="113"/>
      <c r="Y173" s="113"/>
      <c r="Z173" s="114"/>
    </row>
    <row r="174" ht="18.75" customHeight="1">
      <c r="A174" s="96"/>
      <c r="B174" s="61" t="s">
        <v>20</v>
      </c>
      <c r="C174" s="97"/>
      <c r="D174" s="97" t="s">
        <v>804</v>
      </c>
      <c r="E174" s="106" t="s">
        <v>260</v>
      </c>
      <c r="F174" s="97" t="s">
        <v>805</v>
      </c>
      <c r="G174" s="98" t="s">
        <v>115</v>
      </c>
      <c r="H174" s="97" t="s">
        <v>64</v>
      </c>
      <c r="I174" s="98" t="s">
        <v>806</v>
      </c>
      <c r="J174" s="103"/>
      <c r="K174" s="166"/>
      <c r="L174" s="170" t="s">
        <v>803</v>
      </c>
      <c r="M174" s="98" t="s">
        <v>807</v>
      </c>
      <c r="N174" s="66"/>
      <c r="O174" s="66" t="str">
        <f t="shared" si="1"/>
        <v>이메일</v>
      </c>
      <c r="P174" s="241">
        <v>0.0</v>
      </c>
      <c r="Q174" s="232">
        <v>1.0</v>
      </c>
      <c r="R174" s="112"/>
      <c r="S174" s="113"/>
      <c r="T174" s="113">
        <v>46108.0</v>
      </c>
      <c r="U174" s="113"/>
      <c r="V174" s="113"/>
      <c r="W174" s="113"/>
      <c r="X174" s="113"/>
      <c r="Y174" s="113"/>
      <c r="Z174" s="114"/>
    </row>
    <row r="175" ht="18.75" customHeight="1">
      <c r="A175" s="96"/>
      <c r="B175" s="61" t="s">
        <v>20</v>
      </c>
      <c r="C175" s="97"/>
      <c r="D175" s="97" t="s">
        <v>103</v>
      </c>
      <c r="E175" s="97" t="s">
        <v>109</v>
      </c>
      <c r="F175" s="97" t="s">
        <v>808</v>
      </c>
      <c r="G175" s="98" t="s">
        <v>44</v>
      </c>
      <c r="H175" s="97" t="s">
        <v>64</v>
      </c>
      <c r="I175" s="98" t="s">
        <v>809</v>
      </c>
      <c r="J175" s="99" t="s">
        <v>810</v>
      </c>
      <c r="K175" s="107" t="s">
        <v>811</v>
      </c>
      <c r="L175" s="97" t="s">
        <v>812</v>
      </c>
      <c r="M175" s="247" t="s">
        <v>813</v>
      </c>
      <c r="N175" s="66"/>
      <c r="O175" s="66" t="str">
        <f t="shared" si="1"/>
        <v>DM+이메일</v>
      </c>
      <c r="P175" s="232">
        <v>1.0</v>
      </c>
      <c r="Q175" s="232">
        <v>1.0</v>
      </c>
      <c r="R175" s="112"/>
      <c r="S175" s="113"/>
      <c r="T175" s="113">
        <v>46108.0</v>
      </c>
      <c r="U175" s="113"/>
      <c r="V175" s="113"/>
      <c r="W175" s="113"/>
      <c r="X175" s="113"/>
      <c r="Y175" s="113"/>
      <c r="Z175" s="114"/>
    </row>
    <row r="176" ht="18.75" customHeight="1">
      <c r="A176" s="96"/>
      <c r="B176" s="61" t="s">
        <v>20</v>
      </c>
      <c r="C176" s="97"/>
      <c r="D176" s="97" t="s">
        <v>814</v>
      </c>
      <c r="E176" s="97" t="s">
        <v>109</v>
      </c>
      <c r="F176" s="97" t="s">
        <v>815</v>
      </c>
      <c r="G176" s="98" t="s">
        <v>44</v>
      </c>
      <c r="H176" s="97" t="s">
        <v>106</v>
      </c>
      <c r="I176" s="175"/>
      <c r="J176" s="103"/>
      <c r="K176" s="166"/>
      <c r="L176" s="97" t="s">
        <v>816</v>
      </c>
      <c r="M176" s="102"/>
      <c r="N176" s="66"/>
      <c r="O176" s="66" t="str">
        <f t="shared" si="1"/>
        <v>이메일</v>
      </c>
      <c r="P176" s="241">
        <v>0.0</v>
      </c>
      <c r="Q176" s="232">
        <v>1.0</v>
      </c>
      <c r="R176" s="112"/>
      <c r="S176" s="113"/>
      <c r="T176" s="113">
        <v>46108.0</v>
      </c>
      <c r="U176" s="113"/>
      <c r="V176" s="113"/>
      <c r="W176" s="113"/>
      <c r="X176" s="113"/>
      <c r="Y176" s="113"/>
      <c r="Z176" s="114"/>
    </row>
    <row r="177" ht="18.75" customHeight="1">
      <c r="A177" s="96"/>
      <c r="B177" s="61" t="s">
        <v>20</v>
      </c>
      <c r="C177" s="97"/>
      <c r="D177" s="97" t="s">
        <v>817</v>
      </c>
      <c r="E177" s="97" t="s">
        <v>353</v>
      </c>
      <c r="F177" s="97" t="s">
        <v>818</v>
      </c>
      <c r="G177" s="98" t="s">
        <v>267</v>
      </c>
      <c r="H177" s="97" t="s">
        <v>64</v>
      </c>
      <c r="I177" s="98" t="s">
        <v>819</v>
      </c>
      <c r="J177" s="99" t="s">
        <v>820</v>
      </c>
      <c r="K177" s="166"/>
      <c r="L177" s="97" t="s">
        <v>821</v>
      </c>
      <c r="M177" s="247" t="s">
        <v>822</v>
      </c>
      <c r="N177" s="66"/>
      <c r="O177" s="66" t="str">
        <f t="shared" si="1"/>
        <v>이메일</v>
      </c>
      <c r="P177" s="241">
        <v>0.0</v>
      </c>
      <c r="Q177" s="232">
        <v>1.0</v>
      </c>
      <c r="R177" s="112"/>
      <c r="S177" s="113"/>
      <c r="T177" s="113">
        <v>46108.0</v>
      </c>
      <c r="U177" s="113"/>
      <c r="V177" s="113"/>
      <c r="W177" s="113"/>
      <c r="X177" s="113"/>
      <c r="Y177" s="113"/>
      <c r="Z177" s="114"/>
    </row>
    <row r="178" ht="18.75" customHeight="1">
      <c r="A178" s="90"/>
      <c r="B178" s="61" t="s">
        <v>23</v>
      </c>
      <c r="C178" s="61"/>
      <c r="D178" s="61" t="s">
        <v>823</v>
      </c>
      <c r="E178" s="61" t="s">
        <v>405</v>
      </c>
      <c r="F178" s="61" t="s">
        <v>824</v>
      </c>
      <c r="G178" s="62" t="s">
        <v>45</v>
      </c>
      <c r="H178" s="61" t="s">
        <v>97</v>
      </c>
      <c r="I178" s="105"/>
      <c r="J178" s="105"/>
      <c r="K178" s="253" t="s">
        <v>825</v>
      </c>
      <c r="L178" s="61" t="s">
        <v>826</v>
      </c>
      <c r="M178" s="65"/>
      <c r="N178" s="66"/>
      <c r="O178" s="66" t="str">
        <f t="shared" si="1"/>
        <v/>
      </c>
      <c r="P178" s="66">
        <v>0.0</v>
      </c>
      <c r="Q178" s="66">
        <v>0.0</v>
      </c>
      <c r="R178" s="112"/>
      <c r="S178" s="66"/>
      <c r="T178" s="66"/>
      <c r="U178" s="66"/>
      <c r="V178" s="66"/>
      <c r="W178" s="66"/>
      <c r="X178" s="66"/>
      <c r="Y178" s="66"/>
      <c r="Z178" s="82"/>
    </row>
    <row r="179" ht="18.75" customHeight="1">
      <c r="A179" s="96"/>
      <c r="B179" s="61" t="s">
        <v>20</v>
      </c>
      <c r="C179" s="97"/>
      <c r="D179" s="97" t="s">
        <v>827</v>
      </c>
      <c r="E179" s="97" t="s">
        <v>405</v>
      </c>
      <c r="F179" s="97" t="s">
        <v>828</v>
      </c>
      <c r="G179" s="98" t="s">
        <v>45</v>
      </c>
      <c r="H179" s="175"/>
      <c r="I179" s="175"/>
      <c r="J179" s="103"/>
      <c r="K179" s="104" t="s">
        <v>829</v>
      </c>
      <c r="L179" s="97" t="s">
        <v>830</v>
      </c>
      <c r="M179" s="102"/>
      <c r="N179" s="66"/>
      <c r="O179" s="66" t="str">
        <f t="shared" si="1"/>
        <v>DM+이메일</v>
      </c>
      <c r="P179" s="232">
        <v>1.0</v>
      </c>
      <c r="Q179" s="232">
        <v>1.0</v>
      </c>
      <c r="R179" s="112"/>
      <c r="S179" s="113"/>
      <c r="T179" s="113">
        <v>46108.0</v>
      </c>
      <c r="U179" s="67" t="s">
        <v>25</v>
      </c>
      <c r="V179" s="113"/>
      <c r="W179" s="113"/>
      <c r="X179" s="113"/>
      <c r="Y179" s="113"/>
      <c r="Z179" s="68" t="s">
        <v>831</v>
      </c>
    </row>
    <row r="180" ht="18.75" customHeight="1">
      <c r="A180" s="90"/>
      <c r="B180" s="61" t="s">
        <v>23</v>
      </c>
      <c r="C180" s="61"/>
      <c r="D180" s="61" t="s">
        <v>832</v>
      </c>
      <c r="E180" s="61" t="s">
        <v>429</v>
      </c>
      <c r="F180" s="254" t="s">
        <v>833</v>
      </c>
      <c r="G180" s="62" t="s">
        <v>789</v>
      </c>
      <c r="H180" s="61" t="s">
        <v>106</v>
      </c>
      <c r="I180" s="105"/>
      <c r="J180" s="62" t="s">
        <v>44</v>
      </c>
      <c r="K180" s="62" t="s">
        <v>486</v>
      </c>
      <c r="L180" s="215" t="s">
        <v>834</v>
      </c>
      <c r="M180" s="176" t="s">
        <v>835</v>
      </c>
      <c r="N180" s="66"/>
      <c r="O180" s="66" t="str">
        <f t="shared" si="1"/>
        <v/>
      </c>
      <c r="P180" s="66">
        <v>0.0</v>
      </c>
      <c r="Q180" s="66">
        <v>0.0</v>
      </c>
      <c r="R180" s="112"/>
      <c r="S180" s="66"/>
      <c r="T180" s="66"/>
      <c r="U180" s="66"/>
      <c r="V180" s="66"/>
      <c r="W180" s="66"/>
      <c r="X180" s="66"/>
      <c r="Y180" s="66"/>
      <c r="Z180" s="82"/>
    </row>
    <row r="181" ht="18.75" customHeight="1">
      <c r="A181" s="90"/>
      <c r="B181" s="61" t="s">
        <v>23</v>
      </c>
      <c r="C181" s="61"/>
      <c r="D181" s="61" t="s">
        <v>836</v>
      </c>
      <c r="E181" s="61" t="s">
        <v>332</v>
      </c>
      <c r="F181" s="61" t="s">
        <v>837</v>
      </c>
      <c r="G181" s="62" t="s">
        <v>838</v>
      </c>
      <c r="H181" s="105"/>
      <c r="I181" s="62" t="s">
        <v>125</v>
      </c>
      <c r="J181" s="62" t="s">
        <v>44</v>
      </c>
      <c r="K181" s="62" t="s">
        <v>486</v>
      </c>
      <c r="L181" s="105"/>
      <c r="M181" s="125" t="s">
        <v>839</v>
      </c>
      <c r="N181" s="66"/>
      <c r="O181" s="66" t="str">
        <f t="shared" si="1"/>
        <v/>
      </c>
      <c r="P181" s="66">
        <v>0.0</v>
      </c>
      <c r="Q181" s="66">
        <v>0.0</v>
      </c>
      <c r="R181" s="112"/>
      <c r="S181" s="66"/>
      <c r="T181" s="66"/>
      <c r="U181" s="66"/>
      <c r="V181" s="66"/>
      <c r="W181" s="66"/>
      <c r="X181" s="66"/>
      <c r="Y181" s="66"/>
      <c r="Z181" s="82"/>
    </row>
    <row r="182" ht="18.75" customHeight="1">
      <c r="A182" s="255"/>
      <c r="B182" s="61" t="s">
        <v>20</v>
      </c>
      <c r="C182" s="256"/>
      <c r="D182" s="256" t="s">
        <v>659</v>
      </c>
      <c r="E182" s="256" t="s">
        <v>69</v>
      </c>
      <c r="F182" s="257" t="s">
        <v>840</v>
      </c>
      <c r="G182" s="258" t="s">
        <v>45</v>
      </c>
      <c r="H182" s="97" t="s">
        <v>64</v>
      </c>
      <c r="I182" s="258" t="s">
        <v>125</v>
      </c>
      <c r="J182" s="103"/>
      <c r="K182" s="104" t="s">
        <v>841</v>
      </c>
      <c r="L182" s="256"/>
      <c r="M182" s="259"/>
      <c r="N182" s="66"/>
      <c r="O182" s="66" t="str">
        <f t="shared" si="1"/>
        <v>DM</v>
      </c>
      <c r="P182" s="260">
        <v>1.0</v>
      </c>
      <c r="Q182" s="261">
        <v>0.0</v>
      </c>
      <c r="R182" s="112"/>
      <c r="S182" s="113"/>
      <c r="T182" s="113">
        <v>46108.0</v>
      </c>
      <c r="U182" s="113"/>
      <c r="V182" s="113"/>
      <c r="W182" s="113"/>
      <c r="X182" s="113"/>
      <c r="Y182" s="113"/>
      <c r="Z182" s="114"/>
    </row>
    <row r="183" ht="18.75" customHeight="1">
      <c r="A183" s="90"/>
      <c r="B183" s="61" t="s">
        <v>23</v>
      </c>
      <c r="C183" s="61"/>
      <c r="D183" s="61" t="s">
        <v>842</v>
      </c>
      <c r="E183" s="61" t="s">
        <v>260</v>
      </c>
      <c r="F183" s="61" t="s">
        <v>843</v>
      </c>
      <c r="G183" s="62" t="s">
        <v>44</v>
      </c>
      <c r="H183" s="61" t="s">
        <v>97</v>
      </c>
      <c r="I183" s="62" t="s">
        <v>125</v>
      </c>
      <c r="J183" s="62" t="s">
        <v>44</v>
      </c>
      <c r="K183" s="62" t="s">
        <v>486</v>
      </c>
      <c r="L183" s="61" t="s">
        <v>844</v>
      </c>
      <c r="M183" s="65"/>
      <c r="N183" s="66"/>
      <c r="O183" s="66" t="str">
        <f t="shared" si="1"/>
        <v/>
      </c>
      <c r="P183" s="66">
        <v>0.0</v>
      </c>
      <c r="Q183" s="66">
        <v>0.0</v>
      </c>
      <c r="R183" s="112"/>
      <c r="S183" s="66"/>
      <c r="T183" s="66"/>
      <c r="U183" s="66"/>
      <c r="V183" s="66"/>
      <c r="W183" s="66"/>
      <c r="X183" s="66"/>
      <c r="Y183" s="66"/>
      <c r="Z183" s="82"/>
    </row>
    <row r="184" ht="18.75" customHeight="1">
      <c r="A184" s="90"/>
      <c r="B184" s="61" t="s">
        <v>23</v>
      </c>
      <c r="C184" s="61"/>
      <c r="D184" s="61" t="s">
        <v>845</v>
      </c>
      <c r="E184" s="61" t="s">
        <v>578</v>
      </c>
      <c r="F184" s="61" t="s">
        <v>846</v>
      </c>
      <c r="G184" s="62" t="s">
        <v>267</v>
      </c>
      <c r="H184" s="61" t="s">
        <v>106</v>
      </c>
      <c r="I184" s="105"/>
      <c r="J184" s="105"/>
      <c r="K184" s="62" t="s">
        <v>486</v>
      </c>
      <c r="L184" s="105"/>
      <c r="M184" s="65"/>
      <c r="N184" s="66"/>
      <c r="O184" s="66" t="str">
        <f t="shared" si="1"/>
        <v/>
      </c>
      <c r="P184" s="66">
        <v>0.0</v>
      </c>
      <c r="Q184" s="66">
        <v>0.0</v>
      </c>
      <c r="R184" s="112"/>
      <c r="S184" s="66"/>
      <c r="T184" s="66"/>
      <c r="U184" s="66"/>
      <c r="V184" s="66"/>
      <c r="W184" s="66"/>
      <c r="X184" s="66"/>
      <c r="Y184" s="66"/>
      <c r="Z184" s="82"/>
    </row>
    <row r="185" ht="18.75" customHeight="1">
      <c r="A185" s="96"/>
      <c r="B185" s="61" t="s">
        <v>20</v>
      </c>
      <c r="C185" s="97"/>
      <c r="D185" s="97" t="s">
        <v>847</v>
      </c>
      <c r="E185" s="97" t="s">
        <v>89</v>
      </c>
      <c r="F185" s="97" t="s">
        <v>848</v>
      </c>
      <c r="G185" s="98" t="s">
        <v>44</v>
      </c>
      <c r="H185" s="97" t="s">
        <v>106</v>
      </c>
      <c r="I185" s="175"/>
      <c r="J185" s="99" t="s">
        <v>849</v>
      </c>
      <c r="K185" s="166"/>
      <c r="L185" s="97" t="s">
        <v>850</v>
      </c>
      <c r="M185" s="102"/>
      <c r="N185" s="66"/>
      <c r="O185" s="66" t="str">
        <f t="shared" si="1"/>
        <v>이메일</v>
      </c>
      <c r="P185" s="241">
        <v>0.0</v>
      </c>
      <c r="Q185" s="232">
        <v>1.0</v>
      </c>
      <c r="R185" s="112"/>
      <c r="S185" s="113"/>
      <c r="T185" s="113">
        <v>46108.0</v>
      </c>
      <c r="U185" s="113"/>
      <c r="V185" s="113"/>
      <c r="W185" s="113"/>
      <c r="X185" s="113"/>
      <c r="Y185" s="113"/>
      <c r="Z185" s="114"/>
    </row>
    <row r="186" ht="18.75" customHeight="1">
      <c r="A186" s="90"/>
      <c r="B186" s="61" t="s">
        <v>23</v>
      </c>
      <c r="C186" s="61"/>
      <c r="D186" s="61" t="s">
        <v>121</v>
      </c>
      <c r="E186" s="61" t="s">
        <v>122</v>
      </c>
      <c r="F186" s="61" t="s">
        <v>851</v>
      </c>
      <c r="G186" s="62" t="s">
        <v>45</v>
      </c>
      <c r="H186" s="61" t="s">
        <v>64</v>
      </c>
      <c r="I186" s="62" t="s">
        <v>852</v>
      </c>
      <c r="J186" s="103"/>
      <c r="K186" s="104" t="s">
        <v>853</v>
      </c>
      <c r="L186" s="105"/>
      <c r="M186" s="125" t="s">
        <v>854</v>
      </c>
      <c r="N186" s="66"/>
      <c r="O186" s="66" t="str">
        <f t="shared" si="1"/>
        <v/>
      </c>
      <c r="P186" s="262">
        <v>0.0</v>
      </c>
      <c r="Q186" s="262">
        <v>0.0</v>
      </c>
      <c r="R186" s="112"/>
      <c r="S186" s="262"/>
      <c r="T186" s="262"/>
      <c r="U186" s="262"/>
      <c r="V186" s="262"/>
      <c r="W186" s="262"/>
      <c r="X186" s="262"/>
      <c r="Y186" s="262"/>
      <c r="Z186" s="263"/>
    </row>
    <row r="187" ht="18.75" customHeight="1">
      <c r="A187" s="90"/>
      <c r="B187" s="61" t="s">
        <v>23</v>
      </c>
      <c r="C187" s="61"/>
      <c r="D187" s="61" t="s">
        <v>855</v>
      </c>
      <c r="E187" s="61" t="s">
        <v>578</v>
      </c>
      <c r="F187" s="61" t="s">
        <v>856</v>
      </c>
      <c r="G187" s="62" t="s">
        <v>115</v>
      </c>
      <c r="H187" s="61" t="s">
        <v>64</v>
      </c>
      <c r="I187" s="61" t="s">
        <v>125</v>
      </c>
      <c r="J187" s="62" t="s">
        <v>44</v>
      </c>
      <c r="K187" s="62" t="s">
        <v>486</v>
      </c>
      <c r="L187" s="105"/>
      <c r="M187" s="65"/>
      <c r="N187" s="66"/>
      <c r="O187" s="66" t="str">
        <f t="shared" si="1"/>
        <v/>
      </c>
      <c r="P187" s="66">
        <v>0.0</v>
      </c>
      <c r="Q187" s="66">
        <v>0.0</v>
      </c>
      <c r="R187" s="112"/>
      <c r="S187" s="66"/>
      <c r="T187" s="66"/>
      <c r="U187" s="66"/>
      <c r="V187" s="66"/>
      <c r="W187" s="66"/>
      <c r="X187" s="66"/>
      <c r="Y187" s="66"/>
      <c r="Z187" s="82"/>
    </row>
    <row r="188" ht="18.75" customHeight="1">
      <c r="A188" s="90"/>
      <c r="B188" s="61" t="s">
        <v>23</v>
      </c>
      <c r="C188" s="61"/>
      <c r="D188" s="61" t="s">
        <v>857</v>
      </c>
      <c r="E188" s="61" t="s">
        <v>109</v>
      </c>
      <c r="F188" s="61" t="s">
        <v>858</v>
      </c>
      <c r="G188" s="62" t="s">
        <v>44</v>
      </c>
      <c r="H188" s="61" t="s">
        <v>64</v>
      </c>
      <c r="I188" s="62" t="s">
        <v>859</v>
      </c>
      <c r="J188" s="62" t="s">
        <v>44</v>
      </c>
      <c r="K188" s="62" t="s">
        <v>486</v>
      </c>
      <c r="L188" s="61" t="s">
        <v>860</v>
      </c>
      <c r="M188" s="65"/>
      <c r="N188" s="66"/>
      <c r="O188" s="66" t="str">
        <f t="shared" si="1"/>
        <v/>
      </c>
      <c r="P188" s="66">
        <v>0.0</v>
      </c>
      <c r="Q188" s="66">
        <v>0.0</v>
      </c>
      <c r="R188" s="112"/>
      <c r="S188" s="66"/>
      <c r="T188" s="66"/>
      <c r="U188" s="66"/>
      <c r="V188" s="66"/>
      <c r="W188" s="66"/>
      <c r="X188" s="66"/>
      <c r="Y188" s="66"/>
      <c r="Z188" s="82"/>
    </row>
    <row r="189" ht="18.75" customHeight="1">
      <c r="A189" s="90"/>
      <c r="B189" s="61" t="s">
        <v>23</v>
      </c>
      <c r="C189" s="61"/>
      <c r="D189" s="61" t="s">
        <v>861</v>
      </c>
      <c r="E189" s="61" t="s">
        <v>122</v>
      </c>
      <c r="F189" s="61" t="s">
        <v>862</v>
      </c>
      <c r="G189" s="62" t="s">
        <v>45</v>
      </c>
      <c r="H189" s="61" t="s">
        <v>64</v>
      </c>
      <c r="I189" s="62" t="s">
        <v>125</v>
      </c>
      <c r="J189" s="62" t="s">
        <v>44</v>
      </c>
      <c r="K189" s="62" t="s">
        <v>486</v>
      </c>
      <c r="L189" s="105"/>
      <c r="M189" s="65"/>
      <c r="N189" s="66"/>
      <c r="O189" s="66" t="str">
        <f t="shared" si="1"/>
        <v/>
      </c>
      <c r="P189" s="66">
        <v>0.0</v>
      </c>
      <c r="Q189" s="66">
        <v>0.0</v>
      </c>
      <c r="R189" s="112"/>
      <c r="S189" s="66"/>
      <c r="T189" s="66"/>
      <c r="U189" s="66"/>
      <c r="V189" s="66"/>
      <c r="W189" s="66"/>
      <c r="X189" s="66"/>
      <c r="Y189" s="66"/>
      <c r="Z189" s="82"/>
    </row>
    <row r="190" ht="18.75" customHeight="1">
      <c r="A190" s="96"/>
      <c r="B190" s="61" t="s">
        <v>23</v>
      </c>
      <c r="C190" s="97"/>
      <c r="D190" s="97" t="s">
        <v>804</v>
      </c>
      <c r="E190" s="256" t="s">
        <v>69</v>
      </c>
      <c r="F190" s="97" t="s">
        <v>863</v>
      </c>
      <c r="G190" s="98" t="s">
        <v>45</v>
      </c>
      <c r="H190" s="97" t="s">
        <v>106</v>
      </c>
      <c r="I190" s="175"/>
      <c r="J190" s="99" t="s">
        <v>864</v>
      </c>
      <c r="K190" s="107" t="s">
        <v>865</v>
      </c>
      <c r="L190" s="97" t="s">
        <v>866</v>
      </c>
      <c r="M190" s="102"/>
      <c r="N190" s="66"/>
      <c r="O190" s="66" t="str">
        <f t="shared" si="1"/>
        <v/>
      </c>
      <c r="P190" s="241">
        <v>0.0</v>
      </c>
      <c r="Q190" s="241">
        <v>0.0</v>
      </c>
      <c r="R190" s="112"/>
      <c r="S190" s="241"/>
      <c r="T190" s="241"/>
      <c r="U190" s="241"/>
      <c r="V190" s="241"/>
      <c r="W190" s="241"/>
      <c r="X190" s="241"/>
      <c r="Y190" s="241"/>
      <c r="Z190" s="242"/>
    </row>
    <row r="191" ht="18.75" customHeight="1">
      <c r="A191" s="90"/>
      <c r="B191" s="61" t="s">
        <v>23</v>
      </c>
      <c r="C191" s="61"/>
      <c r="D191" s="61" t="s">
        <v>867</v>
      </c>
      <c r="E191" s="264" t="s">
        <v>69</v>
      </c>
      <c r="F191" s="61" t="s">
        <v>868</v>
      </c>
      <c r="G191" s="62" t="s">
        <v>45</v>
      </c>
      <c r="H191" s="61" t="s">
        <v>64</v>
      </c>
      <c r="I191" s="62" t="s">
        <v>125</v>
      </c>
      <c r="J191" s="62" t="s">
        <v>44</v>
      </c>
      <c r="K191" s="62" t="s">
        <v>486</v>
      </c>
      <c r="L191" s="105"/>
      <c r="M191" s="65"/>
      <c r="N191" s="66"/>
      <c r="O191" s="66" t="str">
        <f t="shared" si="1"/>
        <v/>
      </c>
      <c r="P191" s="66">
        <v>0.0</v>
      </c>
      <c r="Q191" s="66">
        <v>0.0</v>
      </c>
      <c r="R191" s="112"/>
      <c r="S191" s="66"/>
      <c r="T191" s="66"/>
      <c r="U191" s="66"/>
      <c r="V191" s="66"/>
      <c r="W191" s="66"/>
      <c r="X191" s="66"/>
      <c r="Y191" s="66"/>
      <c r="Z191" s="82"/>
    </row>
    <row r="192" ht="18.75" customHeight="1">
      <c r="A192" s="265"/>
      <c r="B192" s="61" t="s">
        <v>23</v>
      </c>
      <c r="C192" s="61"/>
      <c r="D192" s="61" t="s">
        <v>767</v>
      </c>
      <c r="E192" s="61" t="s">
        <v>69</v>
      </c>
      <c r="F192" s="61" t="s">
        <v>752</v>
      </c>
      <c r="G192" s="62" t="s">
        <v>45</v>
      </c>
      <c r="H192" s="61"/>
      <c r="I192" s="80"/>
      <c r="J192" s="103"/>
      <c r="K192" s="104" t="s">
        <v>869</v>
      </c>
      <c r="L192" s="105"/>
      <c r="M192" s="176" t="s">
        <v>267</v>
      </c>
      <c r="N192" s="66"/>
      <c r="O192" s="66" t="str">
        <f t="shared" si="1"/>
        <v/>
      </c>
      <c r="P192" s="262">
        <v>0.0</v>
      </c>
      <c r="Q192" s="262">
        <v>0.0</v>
      </c>
      <c r="R192" s="112"/>
      <c r="S192" s="262"/>
      <c r="T192" s="262"/>
      <c r="U192" s="262"/>
      <c r="V192" s="262"/>
      <c r="W192" s="262"/>
      <c r="X192" s="262"/>
      <c r="Y192" s="262"/>
      <c r="Z192" s="263"/>
    </row>
    <row r="193" ht="18.75" customHeight="1">
      <c r="A193" s="90"/>
      <c r="B193" s="61" t="s">
        <v>23</v>
      </c>
      <c r="C193" s="266"/>
      <c r="D193" s="266" t="s">
        <v>713</v>
      </c>
      <c r="E193" s="266" t="s">
        <v>69</v>
      </c>
      <c r="F193" s="266" t="s">
        <v>870</v>
      </c>
      <c r="G193" s="267" t="s">
        <v>45</v>
      </c>
      <c r="H193" s="266" t="s">
        <v>64</v>
      </c>
      <c r="I193" s="268" t="s">
        <v>871</v>
      </c>
      <c r="J193" s="269"/>
      <c r="K193" s="268" t="s">
        <v>486</v>
      </c>
      <c r="L193" s="269"/>
      <c r="M193" s="270" t="s">
        <v>267</v>
      </c>
      <c r="N193" s="66"/>
      <c r="O193" s="66" t="str">
        <f t="shared" si="1"/>
        <v/>
      </c>
      <c r="P193" s="66">
        <v>0.0</v>
      </c>
      <c r="Q193" s="66">
        <v>0.0</v>
      </c>
      <c r="R193" s="112"/>
      <c r="S193" s="66"/>
      <c r="T193" s="66"/>
      <c r="U193" s="66"/>
      <c r="V193" s="66"/>
      <c r="W193" s="66"/>
      <c r="X193" s="66"/>
      <c r="Y193" s="66"/>
      <c r="Z193" s="82"/>
    </row>
    <row r="194" ht="18.75" customHeight="1">
      <c r="A194" s="96"/>
      <c r="B194" s="61" t="s">
        <v>20</v>
      </c>
      <c r="C194" s="97"/>
      <c r="D194" s="97" t="s">
        <v>767</v>
      </c>
      <c r="E194" s="97" t="s">
        <v>69</v>
      </c>
      <c r="F194" s="97" t="s">
        <v>872</v>
      </c>
      <c r="G194" s="98" t="s">
        <v>45</v>
      </c>
      <c r="H194" s="97" t="s">
        <v>64</v>
      </c>
      <c r="I194" s="98" t="s">
        <v>553</v>
      </c>
      <c r="J194" s="103"/>
      <c r="K194" s="104" t="s">
        <v>873</v>
      </c>
      <c r="L194" s="97" t="s">
        <v>874</v>
      </c>
      <c r="M194" s="171"/>
      <c r="N194" s="66"/>
      <c r="O194" s="66" t="str">
        <f t="shared" si="1"/>
        <v>DM+이메일</v>
      </c>
      <c r="P194" s="232">
        <v>1.0</v>
      </c>
      <c r="Q194" s="232">
        <v>1.0</v>
      </c>
      <c r="R194" s="112"/>
      <c r="S194" s="113"/>
      <c r="T194" s="113">
        <v>46108.0</v>
      </c>
      <c r="U194" s="113"/>
      <c r="V194" s="113"/>
      <c r="W194" s="113"/>
      <c r="X194" s="113"/>
      <c r="Y194" s="113"/>
      <c r="Z194" s="114"/>
    </row>
    <row r="195" ht="18.75" customHeight="1">
      <c r="A195" s="90"/>
      <c r="B195" s="61" t="s">
        <v>23</v>
      </c>
      <c r="C195" s="266"/>
      <c r="D195" s="266" t="s">
        <v>875</v>
      </c>
      <c r="E195" s="266" t="s">
        <v>531</v>
      </c>
      <c r="F195" s="266" t="s">
        <v>876</v>
      </c>
      <c r="G195" s="268" t="s">
        <v>44</v>
      </c>
      <c r="H195" s="266" t="s">
        <v>64</v>
      </c>
      <c r="I195" s="268" t="s">
        <v>125</v>
      </c>
      <c r="J195" s="268" t="s">
        <v>44</v>
      </c>
      <c r="K195" s="269"/>
      <c r="L195" s="266" t="s">
        <v>877</v>
      </c>
      <c r="M195" s="270" t="s">
        <v>115</v>
      </c>
      <c r="N195" s="66"/>
      <c r="O195" s="66" t="str">
        <f t="shared" si="1"/>
        <v/>
      </c>
      <c r="P195" s="66">
        <v>0.0</v>
      </c>
      <c r="Q195" s="66">
        <v>0.0</v>
      </c>
      <c r="R195" s="112"/>
      <c r="S195" s="66"/>
      <c r="T195" s="66"/>
      <c r="U195" s="66"/>
      <c r="V195" s="66"/>
      <c r="W195" s="66"/>
      <c r="X195" s="66"/>
      <c r="Y195" s="66"/>
      <c r="Z195" s="82"/>
    </row>
    <row r="196" ht="18.75" customHeight="1">
      <c r="A196" s="96"/>
      <c r="B196" s="61" t="s">
        <v>20</v>
      </c>
      <c r="C196" s="97"/>
      <c r="D196" s="97" t="s">
        <v>121</v>
      </c>
      <c r="E196" s="97" t="s">
        <v>531</v>
      </c>
      <c r="F196" s="97" t="s">
        <v>878</v>
      </c>
      <c r="G196" s="98" t="s">
        <v>44</v>
      </c>
      <c r="H196" s="97" t="s">
        <v>64</v>
      </c>
      <c r="I196" s="98" t="s">
        <v>125</v>
      </c>
      <c r="J196" s="99" t="s">
        <v>879</v>
      </c>
      <c r="K196" s="166"/>
      <c r="L196" s="97" t="s">
        <v>880</v>
      </c>
      <c r="M196" s="102"/>
      <c r="N196" s="66"/>
      <c r="O196" s="66" t="str">
        <f t="shared" si="1"/>
        <v>이메일</v>
      </c>
      <c r="P196" s="241">
        <v>0.0</v>
      </c>
      <c r="Q196" s="232">
        <v>1.0</v>
      </c>
      <c r="R196" s="112"/>
      <c r="S196" s="113"/>
      <c r="T196" s="113">
        <v>46108.0</v>
      </c>
      <c r="U196" s="113"/>
      <c r="V196" s="113"/>
      <c r="W196" s="113"/>
      <c r="X196" s="113"/>
      <c r="Y196" s="113"/>
      <c r="Z196" s="114"/>
    </row>
    <row r="197" ht="18.75" customHeight="1">
      <c r="A197" s="233"/>
      <c r="B197" s="61" t="s">
        <v>23</v>
      </c>
      <c r="C197" s="191"/>
      <c r="D197" s="191" t="s">
        <v>881</v>
      </c>
      <c r="E197" s="191" t="s">
        <v>506</v>
      </c>
      <c r="F197" s="191" t="s">
        <v>882</v>
      </c>
      <c r="G197" s="195" t="s">
        <v>45</v>
      </c>
      <c r="H197" s="191" t="s">
        <v>64</v>
      </c>
      <c r="I197" s="195" t="s">
        <v>125</v>
      </c>
      <c r="J197" s="195" t="s">
        <v>44</v>
      </c>
      <c r="K197" s="195" t="s">
        <v>45</v>
      </c>
      <c r="L197" s="194"/>
      <c r="M197" s="234"/>
      <c r="N197" s="66"/>
      <c r="O197" s="66" t="str">
        <f t="shared" si="1"/>
        <v/>
      </c>
      <c r="P197" s="235">
        <v>0.0</v>
      </c>
      <c r="Q197" s="235">
        <v>0.0</v>
      </c>
      <c r="R197" s="112"/>
      <c r="S197" s="235"/>
      <c r="T197" s="235"/>
      <c r="U197" s="235"/>
      <c r="V197" s="235"/>
      <c r="W197" s="235"/>
      <c r="X197" s="235"/>
      <c r="Y197" s="235"/>
      <c r="Z197" s="236"/>
    </row>
    <row r="198" ht="18.75" customHeight="1">
      <c r="A198" s="96"/>
      <c r="B198" s="61" t="s">
        <v>20</v>
      </c>
      <c r="C198" s="97"/>
      <c r="D198" s="97" t="s">
        <v>121</v>
      </c>
      <c r="E198" s="97" t="s">
        <v>69</v>
      </c>
      <c r="F198" s="97" t="s">
        <v>883</v>
      </c>
      <c r="G198" s="98" t="s">
        <v>44</v>
      </c>
      <c r="H198" s="97" t="s">
        <v>64</v>
      </c>
      <c r="I198" s="98" t="s">
        <v>125</v>
      </c>
      <c r="J198" s="99" t="s">
        <v>884</v>
      </c>
      <c r="K198" s="104" t="s">
        <v>885</v>
      </c>
      <c r="L198" s="97" t="s">
        <v>886</v>
      </c>
      <c r="M198" s="247" t="s">
        <v>267</v>
      </c>
      <c r="N198" s="66"/>
      <c r="O198" s="66" t="str">
        <f t="shared" si="1"/>
        <v>DM+이메일</v>
      </c>
      <c r="P198" s="232">
        <v>1.0</v>
      </c>
      <c r="Q198" s="232">
        <v>1.0</v>
      </c>
      <c r="R198" s="112"/>
      <c r="S198" s="113"/>
      <c r="T198" s="113">
        <v>46108.0</v>
      </c>
      <c r="U198" s="113"/>
      <c r="V198" s="113"/>
      <c r="W198" s="113"/>
      <c r="X198" s="113"/>
      <c r="Y198" s="113"/>
      <c r="Z198" s="114"/>
    </row>
    <row r="199" ht="18.75" customHeight="1">
      <c r="A199" s="96"/>
      <c r="B199" s="61" t="s">
        <v>25</v>
      </c>
      <c r="C199" s="97"/>
      <c r="D199" s="97" t="s">
        <v>121</v>
      </c>
      <c r="E199" s="97" t="s">
        <v>69</v>
      </c>
      <c r="F199" s="97" t="s">
        <v>887</v>
      </c>
      <c r="G199" s="98" t="s">
        <v>45</v>
      </c>
      <c r="H199" s="97" t="s">
        <v>64</v>
      </c>
      <c r="I199" s="98" t="s">
        <v>125</v>
      </c>
      <c r="J199" s="103"/>
      <c r="K199" s="104" t="s">
        <v>888</v>
      </c>
      <c r="L199" s="175"/>
      <c r="M199" s="102"/>
      <c r="N199" s="66"/>
      <c r="O199" s="66" t="str">
        <f t="shared" si="1"/>
        <v/>
      </c>
      <c r="P199" s="241">
        <v>0.0</v>
      </c>
      <c r="Q199" s="241">
        <v>0.0</v>
      </c>
      <c r="R199" s="112"/>
      <c r="S199" s="241"/>
      <c r="T199" s="241"/>
      <c r="U199" s="241"/>
      <c r="V199" s="241"/>
      <c r="W199" s="241"/>
      <c r="X199" s="241"/>
      <c r="Y199" s="241"/>
      <c r="Z199" s="242"/>
    </row>
    <row r="200" ht="18.75" customHeight="1">
      <c r="A200" s="96"/>
      <c r="B200" s="61" t="s">
        <v>20</v>
      </c>
      <c r="C200" s="97"/>
      <c r="D200" s="97" t="s">
        <v>121</v>
      </c>
      <c r="E200" s="97" t="s">
        <v>69</v>
      </c>
      <c r="F200" s="97" t="s">
        <v>889</v>
      </c>
      <c r="G200" s="98" t="s">
        <v>45</v>
      </c>
      <c r="H200" s="97" t="s">
        <v>64</v>
      </c>
      <c r="I200" s="271" t="s">
        <v>640</v>
      </c>
      <c r="J200" s="103"/>
      <c r="K200" s="104" t="s">
        <v>890</v>
      </c>
      <c r="L200" s="97" t="s">
        <v>891</v>
      </c>
      <c r="M200" s="102"/>
      <c r="N200" s="66"/>
      <c r="O200" s="66" t="str">
        <f t="shared" si="1"/>
        <v>DM+이메일</v>
      </c>
      <c r="P200" s="232">
        <v>1.0</v>
      </c>
      <c r="Q200" s="232">
        <v>1.0</v>
      </c>
      <c r="R200" s="112"/>
      <c r="S200" s="113"/>
      <c r="T200" s="113">
        <v>46108.0</v>
      </c>
      <c r="U200" s="113"/>
      <c r="V200" s="113"/>
      <c r="W200" s="113"/>
      <c r="X200" s="113"/>
      <c r="Y200" s="113"/>
      <c r="Z200" s="114"/>
    </row>
    <row r="201" ht="18.75" customHeight="1">
      <c r="A201" s="96"/>
      <c r="B201" s="61" t="s">
        <v>20</v>
      </c>
      <c r="C201" s="97"/>
      <c r="D201" s="97" t="s">
        <v>274</v>
      </c>
      <c r="E201" s="97" t="s">
        <v>353</v>
      </c>
      <c r="F201" s="97" t="s">
        <v>892</v>
      </c>
      <c r="G201" s="98" t="s">
        <v>44</v>
      </c>
      <c r="H201" s="97" t="s">
        <v>64</v>
      </c>
      <c r="I201" s="98" t="s">
        <v>125</v>
      </c>
      <c r="J201" s="99" t="s">
        <v>893</v>
      </c>
      <c r="K201" s="166"/>
      <c r="L201" s="97" t="s">
        <v>894</v>
      </c>
      <c r="M201" s="102"/>
      <c r="N201" s="66"/>
      <c r="O201" s="66" t="str">
        <f t="shared" si="1"/>
        <v>이메일</v>
      </c>
      <c r="P201" s="241">
        <v>0.0</v>
      </c>
      <c r="Q201" s="232">
        <v>1.0</v>
      </c>
      <c r="R201" s="112"/>
      <c r="S201" s="113"/>
      <c r="T201" s="113">
        <v>46108.0</v>
      </c>
      <c r="U201" s="113"/>
      <c r="V201" s="113"/>
      <c r="W201" s="113"/>
      <c r="X201" s="113"/>
      <c r="Y201" s="113"/>
      <c r="Z201" s="114"/>
    </row>
    <row r="202" ht="18.75" customHeight="1">
      <c r="A202" s="96"/>
      <c r="B202" s="61" t="s">
        <v>23</v>
      </c>
      <c r="C202" s="266"/>
      <c r="D202" s="266" t="s">
        <v>895</v>
      </c>
      <c r="E202" s="266" t="s">
        <v>332</v>
      </c>
      <c r="F202" s="266" t="s">
        <v>896</v>
      </c>
      <c r="G202" s="268" t="s">
        <v>45</v>
      </c>
      <c r="H202" s="266" t="s">
        <v>64</v>
      </c>
      <c r="I202" s="268" t="s">
        <v>125</v>
      </c>
      <c r="J202" s="269"/>
      <c r="K202" s="269"/>
      <c r="L202" s="269"/>
      <c r="M202" s="272"/>
      <c r="N202" s="66"/>
      <c r="O202" s="66" t="str">
        <f t="shared" si="1"/>
        <v/>
      </c>
      <c r="P202" s="241">
        <v>0.0</v>
      </c>
      <c r="Q202" s="241">
        <v>0.0</v>
      </c>
      <c r="R202" s="112"/>
      <c r="S202" s="241"/>
      <c r="T202" s="241"/>
      <c r="U202" s="241"/>
      <c r="V202" s="241"/>
      <c r="W202" s="241"/>
      <c r="X202" s="241"/>
      <c r="Y202" s="241"/>
      <c r="Z202" s="242"/>
    </row>
    <row r="203" ht="18.75" customHeight="1">
      <c r="A203" s="96"/>
      <c r="B203" s="61" t="s">
        <v>20</v>
      </c>
      <c r="C203" s="97"/>
      <c r="D203" s="97" t="s">
        <v>881</v>
      </c>
      <c r="E203" s="97" t="s">
        <v>332</v>
      </c>
      <c r="F203" s="97" t="s">
        <v>897</v>
      </c>
      <c r="G203" s="98" t="s">
        <v>45</v>
      </c>
      <c r="H203" s="97" t="s">
        <v>106</v>
      </c>
      <c r="I203" s="98" t="s">
        <v>125</v>
      </c>
      <c r="J203" s="103"/>
      <c r="K203" s="223"/>
      <c r="L203" s="97" t="s">
        <v>898</v>
      </c>
      <c r="M203" s="247" t="s">
        <v>535</v>
      </c>
      <c r="N203" s="66"/>
      <c r="O203" s="66" t="str">
        <f t="shared" si="1"/>
        <v>이메일</v>
      </c>
      <c r="P203" s="241">
        <v>0.0</v>
      </c>
      <c r="Q203" s="232">
        <v>1.0</v>
      </c>
      <c r="R203" s="112"/>
      <c r="S203" s="113"/>
      <c r="T203" s="113">
        <v>46108.0</v>
      </c>
      <c r="U203" s="113"/>
      <c r="V203" s="113"/>
      <c r="W203" s="113"/>
      <c r="X203" s="113"/>
      <c r="Y203" s="113"/>
      <c r="Z203" s="114"/>
    </row>
    <row r="204" ht="18.75" customHeight="1">
      <c r="A204" s="96"/>
      <c r="B204" s="61" t="s">
        <v>20</v>
      </c>
      <c r="C204" s="220"/>
      <c r="D204" s="97" t="s">
        <v>899</v>
      </c>
      <c r="E204" s="97" t="s">
        <v>353</v>
      </c>
      <c r="F204" s="97" t="s">
        <v>900</v>
      </c>
      <c r="G204" s="98" t="s">
        <v>44</v>
      </c>
      <c r="H204" s="97" t="s">
        <v>64</v>
      </c>
      <c r="I204" s="98" t="s">
        <v>276</v>
      </c>
      <c r="J204" s="99" t="s">
        <v>901</v>
      </c>
      <c r="K204" s="166"/>
      <c r="L204" s="106" t="s">
        <v>902</v>
      </c>
      <c r="M204" s="247" t="s">
        <v>903</v>
      </c>
      <c r="N204" s="66"/>
      <c r="O204" s="66" t="str">
        <f t="shared" si="1"/>
        <v>이메일</v>
      </c>
      <c r="P204" s="241">
        <v>0.0</v>
      </c>
      <c r="Q204" s="232">
        <v>1.0</v>
      </c>
      <c r="R204" s="112"/>
      <c r="S204" s="113"/>
      <c r="T204" s="113">
        <v>46108.0</v>
      </c>
      <c r="U204" s="113"/>
      <c r="V204" s="113"/>
      <c r="W204" s="113"/>
      <c r="X204" s="113"/>
      <c r="Y204" s="113"/>
      <c r="Z204" s="114"/>
    </row>
    <row r="205" ht="18.75" customHeight="1">
      <c r="A205" s="96"/>
      <c r="B205" s="61" t="s">
        <v>20</v>
      </c>
      <c r="C205" s="97"/>
      <c r="D205" s="97" t="s">
        <v>904</v>
      </c>
      <c r="E205" s="97" t="s">
        <v>109</v>
      </c>
      <c r="F205" s="97" t="s">
        <v>905</v>
      </c>
      <c r="G205" s="98" t="s">
        <v>44</v>
      </c>
      <c r="H205" s="97" t="s">
        <v>64</v>
      </c>
      <c r="I205" s="98" t="s">
        <v>125</v>
      </c>
      <c r="J205" s="99" t="s">
        <v>906</v>
      </c>
      <c r="K205" s="166"/>
      <c r="L205" s="97" t="s">
        <v>907</v>
      </c>
      <c r="M205" s="102"/>
      <c r="N205" s="66"/>
      <c r="O205" s="66" t="str">
        <f t="shared" si="1"/>
        <v>이메일</v>
      </c>
      <c r="P205" s="241">
        <v>0.0</v>
      </c>
      <c r="Q205" s="232">
        <v>1.0</v>
      </c>
      <c r="R205" s="112"/>
      <c r="S205" s="113"/>
      <c r="T205" s="113">
        <v>46108.0</v>
      </c>
      <c r="U205" s="113"/>
      <c r="V205" s="113"/>
      <c r="W205" s="113"/>
      <c r="X205" s="113"/>
      <c r="Y205" s="113"/>
      <c r="Z205" s="114"/>
    </row>
    <row r="206" ht="18.75" customHeight="1">
      <c r="A206" s="90"/>
      <c r="B206" s="61" t="s">
        <v>23</v>
      </c>
      <c r="C206" s="61"/>
      <c r="D206" s="61" t="s">
        <v>904</v>
      </c>
      <c r="E206" s="61" t="s">
        <v>109</v>
      </c>
      <c r="F206" s="61" t="s">
        <v>908</v>
      </c>
      <c r="G206" s="62" t="s">
        <v>44</v>
      </c>
      <c r="H206" s="61" t="s">
        <v>909</v>
      </c>
      <c r="I206" s="105"/>
      <c r="J206" s="62" t="s">
        <v>44</v>
      </c>
      <c r="K206" s="105"/>
      <c r="L206" s="61" t="s">
        <v>910</v>
      </c>
      <c r="M206" s="65"/>
      <c r="N206" s="66"/>
      <c r="O206" s="66" t="str">
        <f t="shared" si="1"/>
        <v/>
      </c>
      <c r="P206" s="66">
        <v>0.0</v>
      </c>
      <c r="Q206" s="66">
        <v>0.0</v>
      </c>
      <c r="R206" s="112"/>
      <c r="S206" s="66"/>
      <c r="T206" s="66"/>
      <c r="U206" s="66"/>
      <c r="V206" s="66"/>
      <c r="W206" s="66"/>
      <c r="X206" s="66"/>
      <c r="Y206" s="66"/>
      <c r="Z206" s="82"/>
    </row>
    <row r="207" ht="18.75" customHeight="1">
      <c r="A207" s="90"/>
      <c r="B207" s="61" t="s">
        <v>23</v>
      </c>
      <c r="C207" s="61"/>
      <c r="D207" s="61" t="s">
        <v>911</v>
      </c>
      <c r="E207" s="61" t="s">
        <v>109</v>
      </c>
      <c r="F207" s="61" t="s">
        <v>912</v>
      </c>
      <c r="G207" s="62" t="s">
        <v>44</v>
      </c>
      <c r="H207" s="61" t="s">
        <v>909</v>
      </c>
      <c r="I207" s="105"/>
      <c r="J207" s="62" t="s">
        <v>44</v>
      </c>
      <c r="K207" s="105"/>
      <c r="L207" s="61" t="s">
        <v>913</v>
      </c>
      <c r="M207" s="65"/>
      <c r="N207" s="66"/>
      <c r="O207" s="66" t="str">
        <f t="shared" si="1"/>
        <v/>
      </c>
      <c r="P207" s="66">
        <v>0.0</v>
      </c>
      <c r="Q207" s="66">
        <v>0.0</v>
      </c>
      <c r="R207" s="112"/>
      <c r="S207" s="66"/>
      <c r="T207" s="66"/>
      <c r="U207" s="66"/>
      <c r="V207" s="66"/>
      <c r="W207" s="66"/>
      <c r="X207" s="66"/>
      <c r="Y207" s="66"/>
      <c r="Z207" s="82"/>
    </row>
    <row r="208" ht="18.75" customHeight="1">
      <c r="A208" s="96"/>
      <c r="B208" s="61" t="s">
        <v>20</v>
      </c>
      <c r="C208" s="97"/>
      <c r="D208" s="97" t="s">
        <v>914</v>
      </c>
      <c r="E208" s="97" t="s">
        <v>122</v>
      </c>
      <c r="F208" s="97" t="s">
        <v>915</v>
      </c>
      <c r="G208" s="98" t="s">
        <v>45</v>
      </c>
      <c r="H208" s="97" t="s">
        <v>64</v>
      </c>
      <c r="I208" s="98" t="s">
        <v>125</v>
      </c>
      <c r="J208" s="103"/>
      <c r="K208" s="223"/>
      <c r="L208" s="97" t="s">
        <v>916</v>
      </c>
      <c r="M208" s="102"/>
      <c r="N208" s="66"/>
      <c r="O208" s="66" t="str">
        <f t="shared" si="1"/>
        <v>이메일</v>
      </c>
      <c r="P208" s="241">
        <v>0.0</v>
      </c>
      <c r="Q208" s="232">
        <v>1.0</v>
      </c>
      <c r="R208" s="112"/>
      <c r="S208" s="113"/>
      <c r="T208" s="113">
        <v>46108.0</v>
      </c>
      <c r="U208" s="113"/>
      <c r="V208" s="113"/>
      <c r="W208" s="113"/>
      <c r="X208" s="113"/>
      <c r="Y208" s="113"/>
      <c r="Z208" s="114"/>
    </row>
    <row r="209" ht="18.75" customHeight="1">
      <c r="A209" s="96"/>
      <c r="B209" s="61" t="s">
        <v>20</v>
      </c>
      <c r="C209" s="97"/>
      <c r="D209" s="97" t="s">
        <v>917</v>
      </c>
      <c r="E209" s="97" t="s">
        <v>122</v>
      </c>
      <c r="F209" s="97" t="s">
        <v>918</v>
      </c>
      <c r="G209" s="98" t="s">
        <v>45</v>
      </c>
      <c r="H209" s="97" t="s">
        <v>64</v>
      </c>
      <c r="I209" s="98" t="s">
        <v>125</v>
      </c>
      <c r="J209" s="103"/>
      <c r="K209" s="223"/>
      <c r="L209" s="97" t="s">
        <v>919</v>
      </c>
      <c r="M209" s="102"/>
      <c r="N209" s="66"/>
      <c r="O209" s="66" t="str">
        <f t="shared" si="1"/>
        <v>이메일</v>
      </c>
      <c r="P209" s="241">
        <v>0.0</v>
      </c>
      <c r="Q209" s="232">
        <v>1.0</v>
      </c>
      <c r="R209" s="112"/>
      <c r="S209" s="113"/>
      <c r="T209" s="113">
        <v>46108.0</v>
      </c>
      <c r="U209" s="113"/>
      <c r="V209" s="113"/>
      <c r="W209" s="113"/>
      <c r="X209" s="113"/>
      <c r="Y209" s="113"/>
      <c r="Z209" s="114"/>
    </row>
    <row r="210" ht="18.75" customHeight="1">
      <c r="A210" s="96"/>
      <c r="B210" s="61" t="s">
        <v>23</v>
      </c>
      <c r="C210" s="97"/>
      <c r="D210" s="97" t="s">
        <v>914</v>
      </c>
      <c r="E210" s="97" t="s">
        <v>69</v>
      </c>
      <c r="F210" s="97" t="s">
        <v>920</v>
      </c>
      <c r="G210" s="98" t="s">
        <v>45</v>
      </c>
      <c r="H210" s="97" t="s">
        <v>106</v>
      </c>
      <c r="I210" s="175"/>
      <c r="J210" s="103"/>
      <c r="K210" s="104" t="s">
        <v>921</v>
      </c>
      <c r="L210" s="175"/>
      <c r="M210" s="102"/>
      <c r="N210" s="66"/>
      <c r="O210" s="66" t="str">
        <f t="shared" si="1"/>
        <v/>
      </c>
      <c r="P210" s="241">
        <v>0.0</v>
      </c>
      <c r="Q210" s="241">
        <v>0.0</v>
      </c>
      <c r="R210" s="112"/>
      <c r="S210" s="241"/>
      <c r="T210" s="241"/>
      <c r="U210" s="241"/>
      <c r="V210" s="241"/>
      <c r="W210" s="241"/>
      <c r="X210" s="241"/>
      <c r="Y210" s="241"/>
      <c r="Z210" s="242"/>
    </row>
    <row r="211" ht="18.75" customHeight="1">
      <c r="A211" s="90"/>
      <c r="B211" s="61" t="s">
        <v>23</v>
      </c>
      <c r="C211" s="61"/>
      <c r="D211" s="61" t="s">
        <v>914</v>
      </c>
      <c r="E211" s="61" t="s">
        <v>69</v>
      </c>
      <c r="F211" s="61" t="s">
        <v>922</v>
      </c>
      <c r="G211" s="62" t="s">
        <v>45</v>
      </c>
      <c r="H211" s="61" t="s">
        <v>106</v>
      </c>
      <c r="I211" s="105"/>
      <c r="J211" s="105"/>
      <c r="K211" s="62" t="s">
        <v>486</v>
      </c>
      <c r="L211" s="105"/>
      <c r="M211" s="65"/>
      <c r="N211" s="66"/>
      <c r="O211" s="66" t="str">
        <f t="shared" si="1"/>
        <v/>
      </c>
      <c r="P211" s="66">
        <v>0.0</v>
      </c>
      <c r="Q211" s="66">
        <v>0.0</v>
      </c>
      <c r="R211" s="112"/>
      <c r="S211" s="66"/>
      <c r="T211" s="66"/>
      <c r="U211" s="66"/>
      <c r="V211" s="66"/>
      <c r="W211" s="66"/>
      <c r="X211" s="66"/>
      <c r="Y211" s="66"/>
      <c r="Z211" s="82"/>
    </row>
    <row r="212" ht="18.75" customHeight="1">
      <c r="A212" s="90"/>
      <c r="B212" s="61" t="s">
        <v>23</v>
      </c>
      <c r="C212" s="61"/>
      <c r="D212" s="61" t="s">
        <v>914</v>
      </c>
      <c r="E212" s="61" t="s">
        <v>69</v>
      </c>
      <c r="F212" s="61" t="s">
        <v>824</v>
      </c>
      <c r="G212" s="62" t="s">
        <v>45</v>
      </c>
      <c r="H212" s="61" t="s">
        <v>106</v>
      </c>
      <c r="I212" s="105"/>
      <c r="J212" s="105"/>
      <c r="K212" s="62" t="s">
        <v>486</v>
      </c>
      <c r="L212" s="105"/>
      <c r="M212" s="65"/>
      <c r="N212" s="66"/>
      <c r="O212" s="66" t="str">
        <f t="shared" si="1"/>
        <v/>
      </c>
      <c r="P212" s="66">
        <v>0.0</v>
      </c>
      <c r="Q212" s="66">
        <v>0.0</v>
      </c>
      <c r="R212" s="112"/>
      <c r="S212" s="66"/>
      <c r="T212" s="66"/>
      <c r="U212" s="66"/>
      <c r="V212" s="66"/>
      <c r="W212" s="66"/>
      <c r="X212" s="66"/>
      <c r="Y212" s="66"/>
      <c r="Z212" s="82"/>
    </row>
    <row r="213" ht="18.75" customHeight="1">
      <c r="A213" s="90"/>
      <c r="B213" s="61" t="s">
        <v>23</v>
      </c>
      <c r="C213" s="273"/>
      <c r="D213" s="273" t="s">
        <v>121</v>
      </c>
      <c r="E213" s="273" t="s">
        <v>494</v>
      </c>
      <c r="F213" s="274" t="s">
        <v>923</v>
      </c>
      <c r="G213" s="267" t="s">
        <v>44</v>
      </c>
      <c r="H213" s="273" t="s">
        <v>64</v>
      </c>
      <c r="I213" s="267" t="s">
        <v>125</v>
      </c>
      <c r="J213" s="267" t="s">
        <v>44</v>
      </c>
      <c r="K213" s="267" t="s">
        <v>924</v>
      </c>
      <c r="L213" s="269"/>
      <c r="M213" s="272"/>
      <c r="N213" s="66"/>
      <c r="O213" s="66" t="str">
        <f t="shared" si="1"/>
        <v/>
      </c>
      <c r="P213" s="66">
        <v>0.0</v>
      </c>
      <c r="Q213" s="66">
        <v>0.0</v>
      </c>
      <c r="R213" s="112"/>
      <c r="S213" s="66"/>
      <c r="T213" s="66"/>
      <c r="U213" s="66"/>
      <c r="V213" s="66"/>
      <c r="W213" s="66"/>
      <c r="X213" s="66"/>
      <c r="Y213" s="66"/>
      <c r="Z213" s="82"/>
    </row>
    <row r="214" ht="18.75" customHeight="1">
      <c r="A214" s="90"/>
      <c r="B214" s="61" t="s">
        <v>23</v>
      </c>
      <c r="C214" s="61"/>
      <c r="D214" s="61" t="s">
        <v>121</v>
      </c>
      <c r="E214" s="61" t="s">
        <v>69</v>
      </c>
      <c r="F214" s="61" t="s">
        <v>925</v>
      </c>
      <c r="G214" s="62" t="s">
        <v>45</v>
      </c>
      <c r="H214" s="61" t="s">
        <v>106</v>
      </c>
      <c r="I214" s="105"/>
      <c r="J214" s="105"/>
      <c r="K214" s="62" t="s">
        <v>486</v>
      </c>
      <c r="L214" s="105"/>
      <c r="M214" s="65"/>
      <c r="N214" s="66"/>
      <c r="O214" s="66" t="str">
        <f t="shared" si="1"/>
        <v/>
      </c>
      <c r="P214" s="66">
        <v>0.0</v>
      </c>
      <c r="Q214" s="66">
        <v>0.0</v>
      </c>
      <c r="R214" s="112"/>
      <c r="S214" s="66"/>
      <c r="T214" s="66"/>
      <c r="U214" s="66"/>
      <c r="V214" s="66"/>
      <c r="W214" s="66"/>
      <c r="X214" s="66"/>
      <c r="Y214" s="66"/>
      <c r="Z214" s="82"/>
    </row>
    <row r="215" ht="18.75" customHeight="1">
      <c r="A215" s="96"/>
      <c r="B215" s="61" t="s">
        <v>20</v>
      </c>
      <c r="C215" s="97"/>
      <c r="D215" s="97" t="s">
        <v>926</v>
      </c>
      <c r="E215" s="97" t="s">
        <v>109</v>
      </c>
      <c r="F215" s="97" t="s">
        <v>927</v>
      </c>
      <c r="G215" s="98" t="s">
        <v>44</v>
      </c>
      <c r="H215" s="97" t="s">
        <v>106</v>
      </c>
      <c r="I215" s="175"/>
      <c r="J215" s="99" t="s">
        <v>928</v>
      </c>
      <c r="K215" s="166"/>
      <c r="L215" s="97" t="s">
        <v>929</v>
      </c>
      <c r="M215" s="102"/>
      <c r="N215" s="66"/>
      <c r="O215" s="66" t="str">
        <f t="shared" si="1"/>
        <v>이메일</v>
      </c>
      <c r="P215" s="241">
        <v>0.0</v>
      </c>
      <c r="Q215" s="232">
        <v>1.0</v>
      </c>
      <c r="R215" s="112"/>
      <c r="S215" s="113"/>
      <c r="T215" s="113">
        <v>46108.0</v>
      </c>
      <c r="U215" s="113"/>
      <c r="V215" s="113"/>
      <c r="W215" s="113"/>
      <c r="X215" s="113"/>
      <c r="Y215" s="113"/>
      <c r="Z215" s="114"/>
    </row>
    <row r="216" ht="18.75" customHeight="1">
      <c r="A216" s="90"/>
      <c r="B216" s="61" t="s">
        <v>23</v>
      </c>
      <c r="C216" s="61"/>
      <c r="D216" s="61" t="s">
        <v>930</v>
      </c>
      <c r="E216" s="61" t="s">
        <v>109</v>
      </c>
      <c r="F216" s="61" t="s">
        <v>931</v>
      </c>
      <c r="G216" s="62" t="s">
        <v>44</v>
      </c>
      <c r="H216" s="61" t="s">
        <v>909</v>
      </c>
      <c r="I216" s="62" t="s">
        <v>125</v>
      </c>
      <c r="J216" s="62" t="s">
        <v>44</v>
      </c>
      <c r="K216" s="105"/>
      <c r="L216" s="61" t="s">
        <v>932</v>
      </c>
      <c r="M216" s="65"/>
      <c r="N216" s="66"/>
      <c r="O216" s="66" t="str">
        <f t="shared" si="1"/>
        <v/>
      </c>
      <c r="P216" s="66">
        <v>0.0</v>
      </c>
      <c r="Q216" s="66">
        <v>0.0</v>
      </c>
      <c r="R216" s="112"/>
      <c r="S216" s="66"/>
      <c r="T216" s="66"/>
      <c r="U216" s="66"/>
      <c r="V216" s="66"/>
      <c r="W216" s="66"/>
      <c r="X216" s="66"/>
      <c r="Y216" s="66"/>
      <c r="Z216" s="82"/>
    </row>
    <row r="217" ht="18.75" customHeight="1">
      <c r="A217" s="96"/>
      <c r="B217" s="61" t="s">
        <v>20</v>
      </c>
      <c r="C217" s="97"/>
      <c r="D217" s="97" t="s">
        <v>713</v>
      </c>
      <c r="E217" s="97" t="s">
        <v>109</v>
      </c>
      <c r="F217" s="97" t="s">
        <v>933</v>
      </c>
      <c r="G217" s="98" t="s">
        <v>44</v>
      </c>
      <c r="H217" s="97" t="s">
        <v>64</v>
      </c>
      <c r="I217" s="98" t="s">
        <v>125</v>
      </c>
      <c r="J217" s="99" t="s">
        <v>373</v>
      </c>
      <c r="K217" s="166"/>
      <c r="L217" s="97" t="s">
        <v>756</v>
      </c>
      <c r="M217" s="102"/>
      <c r="N217" s="66"/>
      <c r="O217" s="66" t="str">
        <f t="shared" si="1"/>
        <v>이메일</v>
      </c>
      <c r="P217" s="241">
        <v>0.0</v>
      </c>
      <c r="Q217" s="232">
        <v>1.0</v>
      </c>
      <c r="R217" s="112"/>
      <c r="S217" s="113"/>
      <c r="T217" s="113">
        <v>46108.0</v>
      </c>
      <c r="U217" s="113"/>
      <c r="V217" s="113"/>
      <c r="W217" s="113"/>
      <c r="X217" s="113"/>
      <c r="Y217" s="113"/>
      <c r="Z217" s="114"/>
    </row>
    <row r="218" ht="18.75" customHeight="1">
      <c r="A218" s="90"/>
      <c r="B218" s="61" t="s">
        <v>23</v>
      </c>
      <c r="C218" s="61"/>
      <c r="D218" s="61" t="s">
        <v>934</v>
      </c>
      <c r="E218" s="61" t="s">
        <v>109</v>
      </c>
      <c r="F218" s="61" t="s">
        <v>935</v>
      </c>
      <c r="G218" s="62" t="s">
        <v>44</v>
      </c>
      <c r="H218" s="61" t="s">
        <v>64</v>
      </c>
      <c r="I218" s="62" t="s">
        <v>936</v>
      </c>
      <c r="J218" s="62" t="s">
        <v>44</v>
      </c>
      <c r="K218" s="105"/>
      <c r="L218" s="61" t="s">
        <v>937</v>
      </c>
      <c r="M218" s="65"/>
      <c r="N218" s="66"/>
      <c r="O218" s="66" t="str">
        <f t="shared" si="1"/>
        <v/>
      </c>
      <c r="P218" s="66">
        <v>0.0</v>
      </c>
      <c r="Q218" s="66">
        <v>0.0</v>
      </c>
      <c r="R218" s="112"/>
      <c r="S218" s="66"/>
      <c r="T218" s="66"/>
      <c r="U218" s="66"/>
      <c r="V218" s="66"/>
      <c r="W218" s="66"/>
      <c r="X218" s="66"/>
      <c r="Y218" s="66"/>
      <c r="Z218" s="82"/>
    </row>
    <row r="219" ht="18.75" customHeight="1">
      <c r="A219" s="90"/>
      <c r="B219" s="61" t="s">
        <v>23</v>
      </c>
      <c r="C219" s="61"/>
      <c r="D219" s="61" t="s">
        <v>121</v>
      </c>
      <c r="E219" s="61" t="s">
        <v>69</v>
      </c>
      <c r="F219" s="61" t="s">
        <v>537</v>
      </c>
      <c r="G219" s="62" t="s">
        <v>44</v>
      </c>
      <c r="H219" s="61" t="s">
        <v>106</v>
      </c>
      <c r="I219" s="105"/>
      <c r="J219" s="62" t="s">
        <v>44</v>
      </c>
      <c r="K219" s="105"/>
      <c r="L219" s="61" t="s">
        <v>541</v>
      </c>
      <c r="M219" s="65"/>
      <c r="N219" s="66"/>
      <c r="O219" s="66" t="str">
        <f t="shared" si="1"/>
        <v/>
      </c>
      <c r="P219" s="66">
        <v>0.0</v>
      </c>
      <c r="Q219" s="66">
        <v>0.0</v>
      </c>
      <c r="R219" s="112"/>
      <c r="S219" s="66"/>
      <c r="T219" s="66"/>
      <c r="U219" s="66"/>
      <c r="V219" s="66"/>
      <c r="W219" s="66"/>
      <c r="X219" s="66"/>
      <c r="Y219" s="66"/>
      <c r="Z219" s="82"/>
    </row>
    <row r="220" ht="18.75" customHeight="1">
      <c r="A220" s="96"/>
      <c r="B220" s="61" t="s">
        <v>20</v>
      </c>
      <c r="C220" s="97"/>
      <c r="D220" s="97" t="s">
        <v>938</v>
      </c>
      <c r="E220" s="97" t="s">
        <v>531</v>
      </c>
      <c r="F220" s="97" t="s">
        <v>939</v>
      </c>
      <c r="G220" s="98" t="s">
        <v>44</v>
      </c>
      <c r="H220" s="97" t="s">
        <v>64</v>
      </c>
      <c r="I220" s="98" t="s">
        <v>548</v>
      </c>
      <c r="J220" s="99" t="s">
        <v>940</v>
      </c>
      <c r="K220" s="166"/>
      <c r="L220" s="97" t="s">
        <v>941</v>
      </c>
      <c r="M220" s="102"/>
      <c r="N220" s="66"/>
      <c r="O220" s="66" t="str">
        <f t="shared" si="1"/>
        <v>이메일</v>
      </c>
      <c r="P220" s="241">
        <v>0.0</v>
      </c>
      <c r="Q220" s="232">
        <v>1.0</v>
      </c>
      <c r="R220" s="112"/>
      <c r="S220" s="113"/>
      <c r="T220" s="113">
        <v>46108.0</v>
      </c>
      <c r="U220" s="113"/>
      <c r="V220" s="113"/>
      <c r="W220" s="113"/>
      <c r="X220" s="113"/>
      <c r="Y220" s="113"/>
      <c r="Z220" s="114"/>
    </row>
    <row r="221" ht="18.75" customHeight="1">
      <c r="A221" s="90"/>
      <c r="B221" s="61" t="s">
        <v>23</v>
      </c>
      <c r="C221" s="61"/>
      <c r="D221" s="61" t="s">
        <v>294</v>
      </c>
      <c r="E221" s="61" t="s">
        <v>531</v>
      </c>
      <c r="F221" s="61" t="s">
        <v>942</v>
      </c>
      <c r="G221" s="62" t="s">
        <v>115</v>
      </c>
      <c r="H221" s="61" t="s">
        <v>64</v>
      </c>
      <c r="I221" s="62" t="s">
        <v>548</v>
      </c>
      <c r="J221" s="105"/>
      <c r="K221" s="62" t="s">
        <v>486</v>
      </c>
      <c r="L221" s="105"/>
      <c r="M221" s="65"/>
      <c r="N221" s="66"/>
      <c r="O221" s="66" t="str">
        <f t="shared" si="1"/>
        <v/>
      </c>
      <c r="P221" s="66">
        <v>0.0</v>
      </c>
      <c r="Q221" s="66">
        <v>0.0</v>
      </c>
      <c r="R221" s="112"/>
      <c r="S221" s="66"/>
      <c r="T221" s="66"/>
      <c r="U221" s="66"/>
      <c r="V221" s="66"/>
      <c r="W221" s="66"/>
      <c r="X221" s="66"/>
      <c r="Y221" s="66"/>
      <c r="Z221" s="82"/>
    </row>
    <row r="222" ht="18.75" customHeight="1">
      <c r="A222" s="96"/>
      <c r="B222" s="61" t="s">
        <v>20</v>
      </c>
      <c r="C222" s="97"/>
      <c r="D222" s="97" t="s">
        <v>121</v>
      </c>
      <c r="E222" s="97" t="s">
        <v>69</v>
      </c>
      <c r="F222" s="97" t="s">
        <v>943</v>
      </c>
      <c r="G222" s="98" t="s">
        <v>44</v>
      </c>
      <c r="H222" s="97" t="s">
        <v>106</v>
      </c>
      <c r="I222" s="175"/>
      <c r="J222" s="99" t="s">
        <v>944</v>
      </c>
      <c r="K222" s="166"/>
      <c r="L222" s="275" t="s">
        <v>945</v>
      </c>
      <c r="M222" s="102"/>
      <c r="N222" s="66"/>
      <c r="O222" s="66" t="str">
        <f t="shared" si="1"/>
        <v>이메일</v>
      </c>
      <c r="P222" s="241">
        <v>0.0</v>
      </c>
      <c r="Q222" s="232">
        <v>1.0</v>
      </c>
      <c r="R222" s="112"/>
      <c r="S222" s="113"/>
      <c r="T222" s="113">
        <v>46108.0</v>
      </c>
      <c r="U222" s="113"/>
      <c r="V222" s="113"/>
      <c r="W222" s="113"/>
      <c r="X222" s="113"/>
      <c r="Y222" s="113"/>
      <c r="Z222" s="114"/>
    </row>
    <row r="223" ht="18.75" customHeight="1">
      <c r="A223" s="96"/>
      <c r="B223" s="61" t="s">
        <v>20</v>
      </c>
      <c r="C223" s="97"/>
      <c r="D223" s="97" t="s">
        <v>121</v>
      </c>
      <c r="E223" s="97" t="s">
        <v>69</v>
      </c>
      <c r="F223" s="97" t="s">
        <v>946</v>
      </c>
      <c r="G223" s="98" t="s">
        <v>44</v>
      </c>
      <c r="H223" s="97" t="s">
        <v>64</v>
      </c>
      <c r="I223" s="98" t="s">
        <v>125</v>
      </c>
      <c r="J223" s="99" t="s">
        <v>947</v>
      </c>
      <c r="K223" s="166"/>
      <c r="L223" s="97" t="s">
        <v>948</v>
      </c>
      <c r="M223" s="102"/>
      <c r="N223" s="66"/>
      <c r="O223" s="66" t="str">
        <f t="shared" si="1"/>
        <v>이메일</v>
      </c>
      <c r="P223" s="241">
        <v>0.0</v>
      </c>
      <c r="Q223" s="232">
        <v>1.0</v>
      </c>
      <c r="R223" s="112"/>
      <c r="S223" s="113"/>
      <c r="T223" s="113">
        <v>46108.0</v>
      </c>
      <c r="U223" s="113"/>
      <c r="V223" s="113"/>
      <c r="W223" s="113"/>
      <c r="X223" s="113"/>
      <c r="Y223" s="113"/>
      <c r="Z223" s="114"/>
    </row>
    <row r="224" ht="18.75" customHeight="1">
      <c r="A224" s="96"/>
      <c r="B224" s="61" t="s">
        <v>20</v>
      </c>
      <c r="C224" s="97"/>
      <c r="D224" s="97" t="s">
        <v>949</v>
      </c>
      <c r="E224" s="97" t="s">
        <v>89</v>
      </c>
      <c r="F224" s="97" t="s">
        <v>950</v>
      </c>
      <c r="G224" s="98" t="s">
        <v>44</v>
      </c>
      <c r="H224" s="97" t="s">
        <v>106</v>
      </c>
      <c r="I224" s="98" t="s">
        <v>951</v>
      </c>
      <c r="J224" s="99" t="s">
        <v>952</v>
      </c>
      <c r="K224" s="166"/>
      <c r="L224" s="97" t="s">
        <v>953</v>
      </c>
      <c r="M224" s="247" t="s">
        <v>954</v>
      </c>
      <c r="N224" s="66"/>
      <c r="O224" s="66" t="str">
        <f t="shared" si="1"/>
        <v>이메일</v>
      </c>
      <c r="P224" s="241">
        <v>0.0</v>
      </c>
      <c r="Q224" s="232">
        <v>1.0</v>
      </c>
      <c r="R224" s="112"/>
      <c r="S224" s="113"/>
      <c r="T224" s="113">
        <v>46108.0</v>
      </c>
      <c r="U224" s="113"/>
      <c r="V224" s="113"/>
      <c r="W224" s="113"/>
      <c r="X224" s="113"/>
      <c r="Y224" s="113"/>
      <c r="Z224" s="114"/>
    </row>
    <row r="225" ht="18.75" customHeight="1">
      <c r="A225" s="96"/>
      <c r="B225" s="61" t="s">
        <v>20</v>
      </c>
      <c r="C225" s="97"/>
      <c r="D225" s="97" t="s">
        <v>435</v>
      </c>
      <c r="E225" s="97" t="s">
        <v>89</v>
      </c>
      <c r="F225" s="97" t="s">
        <v>955</v>
      </c>
      <c r="G225" s="98" t="s">
        <v>44</v>
      </c>
      <c r="H225" s="175"/>
      <c r="I225" s="175"/>
      <c r="J225" s="99" t="s">
        <v>956</v>
      </c>
      <c r="K225" s="107" t="s">
        <v>957</v>
      </c>
      <c r="L225" s="97" t="s">
        <v>958</v>
      </c>
      <c r="M225" s="102"/>
      <c r="N225" s="66"/>
      <c r="O225" s="66" t="str">
        <f t="shared" si="1"/>
        <v>DM+이메일</v>
      </c>
      <c r="P225" s="232">
        <v>1.0</v>
      </c>
      <c r="Q225" s="232">
        <v>1.0</v>
      </c>
      <c r="R225" s="112"/>
      <c r="S225" s="113"/>
      <c r="T225" s="113">
        <v>46108.0</v>
      </c>
      <c r="U225" s="113"/>
      <c r="V225" s="113"/>
      <c r="W225" s="113"/>
      <c r="X225" s="113"/>
      <c r="Y225" s="113"/>
      <c r="Z225" s="114"/>
    </row>
    <row r="226" ht="18.75" customHeight="1">
      <c r="A226" s="96"/>
      <c r="B226" s="61" t="s">
        <v>20</v>
      </c>
      <c r="C226" s="97"/>
      <c r="D226" s="97" t="s">
        <v>435</v>
      </c>
      <c r="E226" s="97" t="s">
        <v>69</v>
      </c>
      <c r="F226" s="97" t="s">
        <v>959</v>
      </c>
      <c r="G226" s="98" t="s">
        <v>789</v>
      </c>
      <c r="H226" s="97" t="s">
        <v>64</v>
      </c>
      <c r="I226" s="98" t="s">
        <v>125</v>
      </c>
      <c r="J226" s="103"/>
      <c r="K226" s="166"/>
      <c r="L226" s="106" t="s">
        <v>960</v>
      </c>
      <c r="M226" s="102"/>
      <c r="N226" s="66"/>
      <c r="O226" s="66" t="str">
        <f t="shared" si="1"/>
        <v>이메일</v>
      </c>
      <c r="P226" s="241">
        <v>0.0</v>
      </c>
      <c r="Q226" s="232">
        <v>1.0</v>
      </c>
      <c r="R226" s="112"/>
      <c r="S226" s="113"/>
      <c r="T226" s="113">
        <v>46108.0</v>
      </c>
      <c r="U226" s="113"/>
      <c r="V226" s="113"/>
      <c r="W226" s="113"/>
      <c r="X226" s="113"/>
      <c r="Y226" s="113"/>
      <c r="Z226" s="114"/>
    </row>
    <row r="227" ht="18.75" customHeight="1">
      <c r="A227" s="90"/>
      <c r="B227" s="61" t="s">
        <v>23</v>
      </c>
      <c r="C227" s="61"/>
      <c r="D227" s="61" t="s">
        <v>435</v>
      </c>
      <c r="E227" s="61" t="s">
        <v>69</v>
      </c>
      <c r="F227" s="61" t="s">
        <v>961</v>
      </c>
      <c r="G227" s="62" t="s">
        <v>44</v>
      </c>
      <c r="H227" s="61" t="s">
        <v>106</v>
      </c>
      <c r="I227" s="62" t="s">
        <v>951</v>
      </c>
      <c r="J227" s="62" t="s">
        <v>44</v>
      </c>
      <c r="K227" s="105"/>
      <c r="L227" s="105"/>
      <c r="M227" s="65"/>
      <c r="N227" s="66"/>
      <c r="O227" s="66" t="str">
        <f t="shared" si="1"/>
        <v/>
      </c>
      <c r="P227" s="66">
        <v>0.0</v>
      </c>
      <c r="Q227" s="66">
        <v>0.0</v>
      </c>
      <c r="R227" s="112"/>
      <c r="S227" s="66"/>
      <c r="T227" s="66"/>
      <c r="U227" s="66"/>
      <c r="V227" s="66"/>
      <c r="W227" s="66"/>
      <c r="X227" s="66"/>
      <c r="Y227" s="66"/>
      <c r="Z227" s="82"/>
    </row>
    <row r="228" ht="18.75" customHeight="1">
      <c r="A228" s="96"/>
      <c r="B228" s="61" t="s">
        <v>20</v>
      </c>
      <c r="C228" s="97"/>
      <c r="D228" s="97" t="s">
        <v>962</v>
      </c>
      <c r="E228" s="186" t="s">
        <v>494</v>
      </c>
      <c r="F228" s="186" t="s">
        <v>963</v>
      </c>
      <c r="G228" s="188" t="s">
        <v>44</v>
      </c>
      <c r="H228" s="186" t="s">
        <v>106</v>
      </c>
      <c r="I228" s="199"/>
      <c r="J228" s="99" t="s">
        <v>964</v>
      </c>
      <c r="K228" s="107" t="s">
        <v>965</v>
      </c>
      <c r="L228" s="276" t="s">
        <v>966</v>
      </c>
      <c r="M228" s="102"/>
      <c r="N228" s="66"/>
      <c r="O228" s="66" t="str">
        <f t="shared" si="1"/>
        <v>DM+이메일</v>
      </c>
      <c r="P228" s="232">
        <v>1.0</v>
      </c>
      <c r="Q228" s="232">
        <v>1.0</v>
      </c>
      <c r="R228" s="112"/>
      <c r="S228" s="113"/>
      <c r="T228" s="113">
        <v>46108.0</v>
      </c>
      <c r="U228" s="113"/>
      <c r="V228" s="113"/>
      <c r="W228" s="113"/>
      <c r="X228" s="113"/>
      <c r="Y228" s="113"/>
      <c r="Z228" s="114"/>
    </row>
    <row r="229" ht="18.75" customHeight="1">
      <c r="A229" s="96"/>
      <c r="B229" s="61" t="s">
        <v>20</v>
      </c>
      <c r="C229" s="61"/>
      <c r="D229" s="61" t="s">
        <v>435</v>
      </c>
      <c r="E229" s="61" t="s">
        <v>69</v>
      </c>
      <c r="F229" s="61" t="s">
        <v>967</v>
      </c>
      <c r="G229" s="62" t="s">
        <v>44</v>
      </c>
      <c r="H229" s="61" t="s">
        <v>106</v>
      </c>
      <c r="I229" s="62" t="s">
        <v>951</v>
      </c>
      <c r="J229" s="99" t="s">
        <v>968</v>
      </c>
      <c r="K229" s="223"/>
      <c r="L229" s="61" t="s">
        <v>969</v>
      </c>
      <c r="M229" s="65"/>
      <c r="N229" s="66"/>
      <c r="O229" s="66" t="str">
        <f t="shared" si="1"/>
        <v>이메일</v>
      </c>
      <c r="P229" s="241">
        <v>0.0</v>
      </c>
      <c r="Q229" s="232">
        <v>1.0</v>
      </c>
      <c r="R229" s="112"/>
      <c r="S229" s="113"/>
      <c r="T229" s="113">
        <v>46108.0</v>
      </c>
      <c r="U229" s="113"/>
      <c r="V229" s="113"/>
      <c r="W229" s="113"/>
      <c r="X229" s="113"/>
      <c r="Y229" s="113"/>
      <c r="Z229" s="114"/>
    </row>
    <row r="230" ht="18.75" customHeight="1">
      <c r="A230" s="90"/>
      <c r="B230" s="61" t="s">
        <v>23</v>
      </c>
      <c r="C230" s="61"/>
      <c r="D230" s="61" t="s">
        <v>970</v>
      </c>
      <c r="E230" s="61" t="s">
        <v>332</v>
      </c>
      <c r="F230" s="61" t="s">
        <v>971</v>
      </c>
      <c r="G230" s="62" t="s">
        <v>44</v>
      </c>
      <c r="H230" s="61" t="s">
        <v>64</v>
      </c>
      <c r="I230" s="62" t="s">
        <v>657</v>
      </c>
      <c r="J230" s="105"/>
      <c r="K230" s="277" t="s">
        <v>45</v>
      </c>
      <c r="L230" s="105"/>
      <c r="M230" s="65"/>
      <c r="N230" s="66"/>
      <c r="O230" s="66" t="str">
        <f t="shared" si="1"/>
        <v/>
      </c>
      <c r="P230" s="66">
        <v>0.0</v>
      </c>
      <c r="Q230" s="66">
        <v>0.0</v>
      </c>
      <c r="R230" s="112"/>
      <c r="S230" s="66"/>
      <c r="T230" s="66"/>
      <c r="U230" s="66"/>
      <c r="V230" s="66"/>
      <c r="W230" s="66"/>
      <c r="X230" s="66"/>
      <c r="Y230" s="66"/>
      <c r="Z230" s="82"/>
    </row>
    <row r="231" ht="18.75" customHeight="1">
      <c r="A231" s="96"/>
      <c r="B231" s="61" t="s">
        <v>23</v>
      </c>
      <c r="C231" s="97" t="s">
        <v>465</v>
      </c>
      <c r="D231" s="97" t="s">
        <v>435</v>
      </c>
      <c r="E231" s="97" t="s">
        <v>332</v>
      </c>
      <c r="F231" s="97" t="s">
        <v>972</v>
      </c>
      <c r="G231" s="98" t="s">
        <v>44</v>
      </c>
      <c r="H231" s="97" t="s">
        <v>106</v>
      </c>
      <c r="I231" s="175"/>
      <c r="J231" s="103"/>
      <c r="K231" s="107" t="s">
        <v>973</v>
      </c>
      <c r="L231" s="97"/>
      <c r="M231" s="102"/>
      <c r="N231" s="66"/>
      <c r="O231" s="66" t="str">
        <f t="shared" si="1"/>
        <v/>
      </c>
      <c r="P231" s="241">
        <v>0.0</v>
      </c>
      <c r="Q231" s="241">
        <v>0.0</v>
      </c>
      <c r="R231" s="112"/>
      <c r="S231" s="241"/>
      <c r="T231" s="241"/>
      <c r="U231" s="241"/>
      <c r="V231" s="241"/>
      <c r="W231" s="241"/>
      <c r="X231" s="241"/>
      <c r="Y231" s="241"/>
      <c r="Z231" s="242"/>
    </row>
    <row r="232" ht="18.75" customHeight="1">
      <c r="A232" s="96"/>
      <c r="B232" s="61" t="s">
        <v>20</v>
      </c>
      <c r="C232" s="97"/>
      <c r="D232" s="97" t="s">
        <v>974</v>
      </c>
      <c r="E232" s="97" t="s">
        <v>109</v>
      </c>
      <c r="F232" s="97" t="s">
        <v>975</v>
      </c>
      <c r="G232" s="98" t="s">
        <v>44</v>
      </c>
      <c r="H232" s="175"/>
      <c r="I232" s="98" t="s">
        <v>976</v>
      </c>
      <c r="J232" s="99" t="s">
        <v>977</v>
      </c>
      <c r="K232" s="166"/>
      <c r="L232" s="97" t="s">
        <v>978</v>
      </c>
      <c r="M232" s="102"/>
      <c r="N232" s="66"/>
      <c r="O232" s="66" t="str">
        <f t="shared" si="1"/>
        <v>이메일</v>
      </c>
      <c r="P232" s="241">
        <v>0.0</v>
      </c>
      <c r="Q232" s="232">
        <v>1.0</v>
      </c>
      <c r="R232" s="112"/>
      <c r="S232" s="113"/>
      <c r="T232" s="113">
        <v>46108.0</v>
      </c>
      <c r="U232" s="113"/>
      <c r="V232" s="113"/>
      <c r="W232" s="113"/>
      <c r="X232" s="113"/>
      <c r="Y232" s="113"/>
      <c r="Z232" s="114"/>
    </row>
    <row r="233" ht="18.75" customHeight="1">
      <c r="A233" s="90"/>
      <c r="B233" s="61" t="s">
        <v>23</v>
      </c>
      <c r="C233" s="61"/>
      <c r="D233" s="61" t="s">
        <v>471</v>
      </c>
      <c r="E233" s="61" t="s">
        <v>353</v>
      </c>
      <c r="F233" s="61" t="s">
        <v>979</v>
      </c>
      <c r="G233" s="62" t="s">
        <v>44</v>
      </c>
      <c r="H233" s="61" t="s">
        <v>106</v>
      </c>
      <c r="I233" s="105"/>
      <c r="J233" s="62" t="s">
        <v>44</v>
      </c>
      <c r="K233" s="105"/>
      <c r="L233" s="61" t="s">
        <v>980</v>
      </c>
      <c r="M233" s="65"/>
      <c r="N233" s="66"/>
      <c r="O233" s="66" t="str">
        <f t="shared" si="1"/>
        <v/>
      </c>
      <c r="P233" s="66">
        <v>0.0</v>
      </c>
      <c r="Q233" s="66">
        <v>0.0</v>
      </c>
      <c r="R233" s="112"/>
      <c r="S233" s="66"/>
      <c r="T233" s="66"/>
      <c r="U233" s="66"/>
      <c r="V233" s="66"/>
      <c r="W233" s="66"/>
      <c r="X233" s="66"/>
      <c r="Y233" s="66"/>
      <c r="Z233" s="82"/>
    </row>
    <row r="234" ht="18.75" customHeight="1">
      <c r="A234" s="90"/>
      <c r="B234" s="61" t="s">
        <v>23</v>
      </c>
      <c r="C234" s="61"/>
      <c r="D234" s="61" t="s">
        <v>471</v>
      </c>
      <c r="E234" s="61" t="s">
        <v>353</v>
      </c>
      <c r="F234" s="61" t="s">
        <v>981</v>
      </c>
      <c r="G234" s="62" t="s">
        <v>44</v>
      </c>
      <c r="H234" s="61" t="s">
        <v>64</v>
      </c>
      <c r="I234" s="254" t="s">
        <v>982</v>
      </c>
      <c r="J234" s="62" t="s">
        <v>44</v>
      </c>
      <c r="K234" s="105"/>
      <c r="L234" s="61" t="s">
        <v>983</v>
      </c>
      <c r="M234" s="176" t="s">
        <v>984</v>
      </c>
      <c r="N234" s="66"/>
      <c r="O234" s="66" t="str">
        <f t="shared" si="1"/>
        <v/>
      </c>
      <c r="P234" s="66">
        <v>0.0</v>
      </c>
      <c r="Q234" s="66">
        <v>0.0</v>
      </c>
      <c r="R234" s="112"/>
      <c r="S234" s="66"/>
      <c r="T234" s="66"/>
      <c r="U234" s="66"/>
      <c r="V234" s="66"/>
      <c r="W234" s="66"/>
      <c r="X234" s="66"/>
      <c r="Y234" s="66"/>
      <c r="Z234" s="82"/>
    </row>
    <row r="235" ht="18.75" customHeight="1">
      <c r="A235" s="96"/>
      <c r="B235" s="61" t="s">
        <v>20</v>
      </c>
      <c r="C235" s="97"/>
      <c r="D235" s="97" t="s">
        <v>985</v>
      </c>
      <c r="E235" s="97" t="s">
        <v>69</v>
      </c>
      <c r="F235" s="97" t="s">
        <v>986</v>
      </c>
      <c r="G235" s="98" t="s">
        <v>44</v>
      </c>
      <c r="H235" s="97" t="s">
        <v>64</v>
      </c>
      <c r="I235" s="98" t="s">
        <v>125</v>
      </c>
      <c r="J235" s="99" t="s">
        <v>987</v>
      </c>
      <c r="K235" s="166"/>
      <c r="L235" s="97" t="s">
        <v>988</v>
      </c>
      <c r="M235" s="102"/>
      <c r="N235" s="66"/>
      <c r="O235" s="66" t="str">
        <f t="shared" si="1"/>
        <v>이메일</v>
      </c>
      <c r="P235" s="241">
        <v>0.0</v>
      </c>
      <c r="Q235" s="232">
        <v>1.0</v>
      </c>
      <c r="R235" s="112"/>
      <c r="S235" s="113"/>
      <c r="T235" s="113">
        <v>46108.0</v>
      </c>
      <c r="U235" s="113"/>
      <c r="V235" s="113"/>
      <c r="W235" s="113"/>
      <c r="X235" s="113"/>
      <c r="Y235" s="113"/>
      <c r="Z235" s="114"/>
    </row>
    <row r="236" ht="18.75" customHeight="1">
      <c r="A236" s="90"/>
      <c r="B236" s="61" t="s">
        <v>23</v>
      </c>
      <c r="C236" s="61"/>
      <c r="D236" s="61" t="s">
        <v>435</v>
      </c>
      <c r="E236" s="61" t="s">
        <v>69</v>
      </c>
      <c r="F236" s="61" t="s">
        <v>989</v>
      </c>
      <c r="G236" s="62" t="s">
        <v>44</v>
      </c>
      <c r="H236" s="61" t="s">
        <v>106</v>
      </c>
      <c r="I236" s="105"/>
      <c r="J236" s="62" t="s">
        <v>44</v>
      </c>
      <c r="K236" s="105"/>
      <c r="L236" s="61" t="s">
        <v>990</v>
      </c>
      <c r="M236" s="65"/>
      <c r="N236" s="66"/>
      <c r="O236" s="66" t="str">
        <f t="shared" si="1"/>
        <v/>
      </c>
      <c r="P236" s="66">
        <v>0.0</v>
      </c>
      <c r="Q236" s="66">
        <v>0.0</v>
      </c>
      <c r="R236" s="112"/>
      <c r="S236" s="66"/>
      <c r="T236" s="66"/>
      <c r="U236" s="66"/>
      <c r="V236" s="66"/>
      <c r="W236" s="66"/>
      <c r="X236" s="66"/>
      <c r="Y236" s="66"/>
      <c r="Z236" s="82"/>
    </row>
    <row r="237" ht="18.75" customHeight="1">
      <c r="A237" s="96"/>
      <c r="B237" s="61" t="s">
        <v>20</v>
      </c>
      <c r="C237" s="97"/>
      <c r="D237" s="97" t="s">
        <v>574</v>
      </c>
      <c r="E237" s="97" t="s">
        <v>89</v>
      </c>
      <c r="F237" s="97" t="s">
        <v>991</v>
      </c>
      <c r="G237" s="98" t="s">
        <v>44</v>
      </c>
      <c r="H237" s="97" t="s">
        <v>64</v>
      </c>
      <c r="I237" s="98" t="s">
        <v>992</v>
      </c>
      <c r="J237" s="99" t="s">
        <v>993</v>
      </c>
      <c r="K237" s="107" t="s">
        <v>994</v>
      </c>
      <c r="L237" s="97" t="s">
        <v>995</v>
      </c>
      <c r="M237" s="247" t="s">
        <v>996</v>
      </c>
      <c r="N237" s="66"/>
      <c r="O237" s="66" t="str">
        <f t="shared" si="1"/>
        <v>DM+이메일</v>
      </c>
      <c r="P237" s="232">
        <v>1.0</v>
      </c>
      <c r="Q237" s="232">
        <v>1.0</v>
      </c>
      <c r="R237" s="112"/>
      <c r="S237" s="113"/>
      <c r="T237" s="113">
        <v>46108.0</v>
      </c>
      <c r="U237" s="113"/>
      <c r="V237" s="113"/>
      <c r="W237" s="113"/>
      <c r="X237" s="113"/>
      <c r="Y237" s="113"/>
      <c r="Z237" s="114"/>
    </row>
    <row r="238" ht="18.75" customHeight="1">
      <c r="A238" s="90"/>
      <c r="B238" s="61" t="s">
        <v>23</v>
      </c>
      <c r="C238" s="61"/>
      <c r="D238" s="61" t="s">
        <v>997</v>
      </c>
      <c r="E238" s="61" t="s">
        <v>89</v>
      </c>
      <c r="F238" s="61" t="s">
        <v>998</v>
      </c>
      <c r="G238" s="62" t="s">
        <v>44</v>
      </c>
      <c r="H238" s="61" t="s">
        <v>106</v>
      </c>
      <c r="I238" s="105"/>
      <c r="J238" s="62" t="s">
        <v>44</v>
      </c>
      <c r="K238" s="62" t="s">
        <v>45</v>
      </c>
      <c r="L238" s="61" t="s">
        <v>999</v>
      </c>
      <c r="M238" s="65"/>
      <c r="N238" s="66"/>
      <c r="O238" s="66" t="str">
        <f t="shared" si="1"/>
        <v/>
      </c>
      <c r="P238" s="66">
        <v>0.0</v>
      </c>
      <c r="Q238" s="66">
        <v>0.0</v>
      </c>
      <c r="R238" s="112"/>
      <c r="S238" s="66"/>
      <c r="T238" s="66"/>
      <c r="U238" s="66"/>
      <c r="V238" s="66"/>
      <c r="W238" s="66"/>
      <c r="X238" s="66"/>
      <c r="Y238" s="66"/>
      <c r="Z238" s="82"/>
    </row>
    <row r="239" ht="18.75" customHeight="1">
      <c r="A239" s="90"/>
      <c r="B239" s="61" t="s">
        <v>23</v>
      </c>
      <c r="C239" s="278"/>
      <c r="D239" s="278" t="s">
        <v>435</v>
      </c>
      <c r="E239" s="278" t="s">
        <v>69</v>
      </c>
      <c r="F239" s="278" t="s">
        <v>1000</v>
      </c>
      <c r="G239" s="279" t="s">
        <v>44</v>
      </c>
      <c r="H239" s="278" t="s">
        <v>106</v>
      </c>
      <c r="I239" s="280"/>
      <c r="J239" s="279" t="s">
        <v>44</v>
      </c>
      <c r="K239" s="280"/>
      <c r="L239" s="280"/>
      <c r="M239" s="281"/>
      <c r="N239" s="66"/>
      <c r="O239" s="66" t="str">
        <f t="shared" si="1"/>
        <v/>
      </c>
      <c r="P239" s="66">
        <v>0.0</v>
      </c>
      <c r="Q239" s="66">
        <v>0.0</v>
      </c>
      <c r="R239" s="112"/>
      <c r="S239" s="66"/>
      <c r="T239" s="66"/>
      <c r="U239" s="66"/>
      <c r="V239" s="66"/>
      <c r="W239" s="66"/>
      <c r="X239" s="66"/>
      <c r="Y239" s="66"/>
      <c r="Z239" s="82"/>
    </row>
    <row r="240" ht="18.75" customHeight="1">
      <c r="A240" s="90"/>
      <c r="B240" s="61" t="s">
        <v>23</v>
      </c>
      <c r="C240" s="61"/>
      <c r="D240" s="61" t="s">
        <v>713</v>
      </c>
      <c r="E240" s="61" t="s">
        <v>69</v>
      </c>
      <c r="F240" s="61" t="s">
        <v>1001</v>
      </c>
      <c r="G240" s="62" t="s">
        <v>44</v>
      </c>
      <c r="H240" s="61" t="s">
        <v>106</v>
      </c>
      <c r="I240" s="105"/>
      <c r="J240" s="62" t="s">
        <v>44</v>
      </c>
      <c r="K240" s="105"/>
      <c r="L240" s="105"/>
      <c r="M240" s="65"/>
      <c r="N240" s="66"/>
      <c r="O240" s="66" t="str">
        <f t="shared" si="1"/>
        <v/>
      </c>
      <c r="P240" s="66">
        <v>0.0</v>
      </c>
      <c r="Q240" s="66">
        <v>0.0</v>
      </c>
      <c r="R240" s="112"/>
      <c r="S240" s="66"/>
      <c r="T240" s="66"/>
      <c r="U240" s="66"/>
      <c r="V240" s="66"/>
      <c r="W240" s="66"/>
      <c r="X240" s="66"/>
      <c r="Y240" s="66"/>
      <c r="Z240" s="82"/>
    </row>
    <row r="241" ht="18.75" customHeight="1">
      <c r="A241" s="96"/>
      <c r="B241" s="61" t="s">
        <v>20</v>
      </c>
      <c r="C241" s="97"/>
      <c r="D241" s="97" t="s">
        <v>713</v>
      </c>
      <c r="E241" s="97" t="s">
        <v>122</v>
      </c>
      <c r="F241" s="97" t="s">
        <v>1002</v>
      </c>
      <c r="G241" s="98" t="s">
        <v>45</v>
      </c>
      <c r="H241" s="97" t="s">
        <v>106</v>
      </c>
      <c r="I241" s="175"/>
      <c r="J241" s="103"/>
      <c r="K241" s="104" t="s">
        <v>1003</v>
      </c>
      <c r="L241" s="97" t="s">
        <v>1004</v>
      </c>
      <c r="M241" s="102"/>
      <c r="N241" s="66"/>
      <c r="O241" s="66" t="str">
        <f t="shared" si="1"/>
        <v>DM+이메일</v>
      </c>
      <c r="P241" s="232">
        <v>1.0</v>
      </c>
      <c r="Q241" s="232">
        <v>1.0</v>
      </c>
      <c r="R241" s="112"/>
      <c r="S241" s="113"/>
      <c r="T241" s="113">
        <v>46108.0</v>
      </c>
      <c r="U241" s="67" t="s">
        <v>2</v>
      </c>
      <c r="V241" s="113"/>
      <c r="W241" s="113"/>
      <c r="X241" s="113"/>
      <c r="Y241" s="67" t="s">
        <v>645</v>
      </c>
      <c r="Z241" s="114"/>
    </row>
    <row r="242" ht="18.75" customHeight="1">
      <c r="A242" s="90"/>
      <c r="B242" s="61" t="s">
        <v>23</v>
      </c>
      <c r="C242" s="61"/>
      <c r="D242" s="61" t="s">
        <v>1005</v>
      </c>
      <c r="E242" s="61" t="s">
        <v>69</v>
      </c>
      <c r="F242" s="61" t="s">
        <v>1006</v>
      </c>
      <c r="G242" s="62" t="s">
        <v>44</v>
      </c>
      <c r="H242" s="61" t="s">
        <v>106</v>
      </c>
      <c r="I242" s="61"/>
      <c r="J242" s="62" t="s">
        <v>44</v>
      </c>
      <c r="K242" s="105"/>
      <c r="L242" s="105"/>
      <c r="M242" s="65"/>
      <c r="N242" s="66"/>
      <c r="O242" s="66" t="str">
        <f t="shared" si="1"/>
        <v/>
      </c>
      <c r="P242" s="66">
        <v>0.0</v>
      </c>
      <c r="Q242" s="66">
        <v>0.0</v>
      </c>
      <c r="R242" s="112"/>
      <c r="S242" s="66"/>
      <c r="T242" s="66"/>
      <c r="U242" s="66"/>
      <c r="V242" s="66"/>
      <c r="W242" s="66"/>
      <c r="X242" s="66"/>
      <c r="Y242" s="66"/>
      <c r="Z242" s="82"/>
    </row>
    <row r="243" ht="18.75" customHeight="1">
      <c r="A243" s="90"/>
      <c r="B243" s="61" t="s">
        <v>23</v>
      </c>
      <c r="C243" s="61"/>
      <c r="D243" s="61" t="s">
        <v>1007</v>
      </c>
      <c r="E243" s="61" t="s">
        <v>122</v>
      </c>
      <c r="F243" s="61" t="s">
        <v>1008</v>
      </c>
      <c r="G243" s="198" t="s">
        <v>45</v>
      </c>
      <c r="H243" s="61" t="s">
        <v>106</v>
      </c>
      <c r="I243" s="105"/>
      <c r="J243" s="80"/>
      <c r="K243" s="62" t="s">
        <v>45</v>
      </c>
      <c r="L243" s="105"/>
      <c r="M243" s="65"/>
      <c r="N243" s="66"/>
      <c r="O243" s="66" t="str">
        <f t="shared" si="1"/>
        <v/>
      </c>
      <c r="P243" s="66">
        <v>0.0</v>
      </c>
      <c r="Q243" s="66">
        <v>0.0</v>
      </c>
      <c r="R243" s="112"/>
      <c r="S243" s="66"/>
      <c r="T243" s="66"/>
      <c r="U243" s="66"/>
      <c r="V243" s="66"/>
      <c r="W243" s="66"/>
      <c r="X243" s="66"/>
      <c r="Y243" s="66"/>
      <c r="Z243" s="82"/>
    </row>
    <row r="244" ht="18.75" customHeight="1">
      <c r="A244" s="96"/>
      <c r="B244" s="61" t="s">
        <v>20</v>
      </c>
      <c r="C244" s="97"/>
      <c r="D244" s="97" t="s">
        <v>713</v>
      </c>
      <c r="E244" s="97" t="s">
        <v>332</v>
      </c>
      <c r="F244" s="97" t="s">
        <v>1009</v>
      </c>
      <c r="G244" s="98" t="s">
        <v>44</v>
      </c>
      <c r="H244" s="97" t="s">
        <v>106</v>
      </c>
      <c r="I244" s="175"/>
      <c r="J244" s="251"/>
      <c r="K244" s="166"/>
      <c r="L244" s="97" t="s">
        <v>1010</v>
      </c>
      <c r="M244" s="102"/>
      <c r="N244" s="66"/>
      <c r="O244" s="66" t="str">
        <f t="shared" si="1"/>
        <v>이메일</v>
      </c>
      <c r="P244" s="241">
        <v>0.0</v>
      </c>
      <c r="Q244" s="232">
        <v>1.0</v>
      </c>
      <c r="R244" s="112"/>
      <c r="S244" s="113"/>
      <c r="T244" s="113">
        <v>46108.0</v>
      </c>
      <c r="U244" s="113"/>
      <c r="V244" s="113"/>
      <c r="W244" s="113"/>
      <c r="X244" s="113"/>
      <c r="Y244" s="113"/>
      <c r="Z244" s="114"/>
    </row>
    <row r="245" ht="18.75" customHeight="1">
      <c r="A245" s="90"/>
      <c r="B245" s="61" t="s">
        <v>23</v>
      </c>
      <c r="C245" s="61"/>
      <c r="D245" s="61" t="s">
        <v>1011</v>
      </c>
      <c r="E245" s="61" t="s">
        <v>332</v>
      </c>
      <c r="F245" s="61" t="s">
        <v>1012</v>
      </c>
      <c r="G245" s="62" t="s">
        <v>44</v>
      </c>
      <c r="H245" s="61" t="s">
        <v>64</v>
      </c>
      <c r="I245" s="62" t="s">
        <v>657</v>
      </c>
      <c r="J245" s="105"/>
      <c r="K245" s="105"/>
      <c r="L245" s="61" t="s">
        <v>1013</v>
      </c>
      <c r="M245" s="65"/>
      <c r="N245" s="66"/>
      <c r="O245" s="66" t="str">
        <f t="shared" si="1"/>
        <v/>
      </c>
      <c r="P245" s="66">
        <v>0.0</v>
      </c>
      <c r="Q245" s="66">
        <v>0.0</v>
      </c>
      <c r="R245" s="112"/>
      <c r="S245" s="66"/>
      <c r="T245" s="66"/>
      <c r="U245" s="66"/>
      <c r="V245" s="66"/>
      <c r="W245" s="66"/>
      <c r="X245" s="66"/>
      <c r="Y245" s="66"/>
      <c r="Z245" s="82"/>
    </row>
    <row r="246" ht="18.75" customHeight="1">
      <c r="A246" s="90"/>
      <c r="B246" s="61" t="s">
        <v>23</v>
      </c>
      <c r="C246" s="61"/>
      <c r="D246" s="61" t="s">
        <v>1007</v>
      </c>
      <c r="E246" s="61" t="s">
        <v>69</v>
      </c>
      <c r="F246" s="61" t="s">
        <v>1014</v>
      </c>
      <c r="G246" s="62" t="s">
        <v>45</v>
      </c>
      <c r="H246" s="61" t="s">
        <v>106</v>
      </c>
      <c r="I246" s="105"/>
      <c r="J246" s="105"/>
      <c r="K246" s="62" t="s">
        <v>45</v>
      </c>
      <c r="L246" s="105"/>
      <c r="M246" s="65"/>
      <c r="N246" s="66"/>
      <c r="O246" s="66" t="str">
        <f t="shared" si="1"/>
        <v/>
      </c>
      <c r="P246" s="66">
        <v>0.0</v>
      </c>
      <c r="Q246" s="66">
        <v>0.0</v>
      </c>
      <c r="R246" s="112"/>
      <c r="S246" s="66"/>
      <c r="T246" s="66"/>
      <c r="U246" s="66"/>
      <c r="V246" s="66"/>
      <c r="W246" s="66"/>
      <c r="X246" s="66"/>
      <c r="Y246" s="66"/>
      <c r="Z246" s="82"/>
    </row>
    <row r="247" ht="18.75" customHeight="1">
      <c r="A247" s="90"/>
      <c r="B247" s="61" t="s">
        <v>23</v>
      </c>
      <c r="C247" s="210"/>
      <c r="D247" s="210" t="s">
        <v>121</v>
      </c>
      <c r="E247" s="61" t="s">
        <v>69</v>
      </c>
      <c r="F247" s="61" t="s">
        <v>1015</v>
      </c>
      <c r="G247" s="62" t="s">
        <v>44</v>
      </c>
      <c r="H247" s="61" t="s">
        <v>106</v>
      </c>
      <c r="I247" s="105"/>
      <c r="J247" s="62" t="s">
        <v>44</v>
      </c>
      <c r="K247" s="105"/>
      <c r="L247" s="61"/>
      <c r="M247" s="65"/>
      <c r="N247" s="66"/>
      <c r="O247" s="66" t="str">
        <f t="shared" si="1"/>
        <v/>
      </c>
      <c r="P247" s="66">
        <v>0.0</v>
      </c>
      <c r="Q247" s="66">
        <v>0.0</v>
      </c>
      <c r="R247" s="112"/>
      <c r="S247" s="66"/>
      <c r="T247" s="66"/>
      <c r="U247" s="66"/>
      <c r="V247" s="66"/>
      <c r="W247" s="66"/>
      <c r="X247" s="66"/>
      <c r="Y247" s="66"/>
      <c r="Z247" s="82"/>
    </row>
    <row r="248" ht="18.75" customHeight="1">
      <c r="A248" s="96"/>
      <c r="B248" s="61" t="s">
        <v>20</v>
      </c>
      <c r="C248" s="61"/>
      <c r="D248" s="61" t="s">
        <v>588</v>
      </c>
      <c r="E248" s="61" t="s">
        <v>89</v>
      </c>
      <c r="F248" s="61" t="s">
        <v>1016</v>
      </c>
      <c r="G248" s="62" t="s">
        <v>44</v>
      </c>
      <c r="H248" s="61" t="s">
        <v>106</v>
      </c>
      <c r="I248" s="105"/>
      <c r="J248" s="99" t="s">
        <v>1017</v>
      </c>
      <c r="K248" s="107" t="s">
        <v>1018</v>
      </c>
      <c r="L248" s="61" t="s">
        <v>1019</v>
      </c>
      <c r="M248" s="125" t="s">
        <v>1020</v>
      </c>
      <c r="N248" s="66"/>
      <c r="O248" s="66" t="str">
        <f t="shared" si="1"/>
        <v>DM+이메일</v>
      </c>
      <c r="P248" s="232">
        <v>1.0</v>
      </c>
      <c r="Q248" s="232">
        <v>1.0</v>
      </c>
      <c r="R248" s="112"/>
      <c r="S248" s="113"/>
      <c r="T248" s="113">
        <v>46108.0</v>
      </c>
      <c r="U248" s="113"/>
      <c r="V248" s="113"/>
      <c r="W248" s="113"/>
      <c r="X248" s="113"/>
      <c r="Y248" s="113"/>
      <c r="Z248" s="114"/>
    </row>
    <row r="249" ht="18.75" customHeight="1">
      <c r="A249" s="90"/>
      <c r="B249" s="61" t="s">
        <v>23</v>
      </c>
      <c r="C249" s="61"/>
      <c r="D249" s="61" t="s">
        <v>713</v>
      </c>
      <c r="E249" s="61" t="s">
        <v>69</v>
      </c>
      <c r="F249" s="61" t="s">
        <v>1021</v>
      </c>
      <c r="G249" s="62" t="s">
        <v>45</v>
      </c>
      <c r="H249" s="61" t="s">
        <v>106</v>
      </c>
      <c r="I249" s="105"/>
      <c r="J249" s="105"/>
      <c r="K249" s="62" t="s">
        <v>45</v>
      </c>
      <c r="L249" s="105"/>
      <c r="M249" s="65"/>
      <c r="N249" s="66"/>
      <c r="O249" s="66" t="str">
        <f t="shared" si="1"/>
        <v/>
      </c>
      <c r="P249" s="66">
        <v>0.0</v>
      </c>
      <c r="Q249" s="66">
        <v>0.0</v>
      </c>
      <c r="R249" s="112"/>
      <c r="S249" s="66"/>
      <c r="T249" s="66"/>
      <c r="U249" s="66"/>
      <c r="V249" s="66"/>
      <c r="W249" s="66"/>
      <c r="X249" s="66"/>
      <c r="Y249" s="66"/>
      <c r="Z249" s="82"/>
    </row>
    <row r="250" ht="18.75" customHeight="1">
      <c r="A250" s="90"/>
      <c r="B250" s="61" t="s">
        <v>23</v>
      </c>
      <c r="C250" s="266"/>
      <c r="D250" s="266" t="s">
        <v>713</v>
      </c>
      <c r="E250" s="266" t="s">
        <v>69</v>
      </c>
      <c r="F250" s="266" t="s">
        <v>1022</v>
      </c>
      <c r="G250" s="268" t="s">
        <v>44</v>
      </c>
      <c r="H250" s="266" t="s">
        <v>106</v>
      </c>
      <c r="I250" s="269"/>
      <c r="J250" s="268" t="s">
        <v>44</v>
      </c>
      <c r="K250" s="269"/>
      <c r="L250" s="269"/>
      <c r="M250" s="272"/>
      <c r="N250" s="66"/>
      <c r="O250" s="66" t="str">
        <f t="shared" si="1"/>
        <v/>
      </c>
      <c r="P250" s="66">
        <v>0.0</v>
      </c>
      <c r="Q250" s="66">
        <v>0.0</v>
      </c>
      <c r="R250" s="112"/>
      <c r="S250" s="66"/>
      <c r="T250" s="66"/>
      <c r="U250" s="66"/>
      <c r="V250" s="66"/>
      <c r="W250" s="66"/>
      <c r="X250" s="66"/>
      <c r="Y250" s="66"/>
      <c r="Z250" s="82"/>
    </row>
    <row r="251" ht="18.75" customHeight="1">
      <c r="A251" s="96"/>
      <c r="B251" s="61" t="s">
        <v>20</v>
      </c>
      <c r="C251" s="97"/>
      <c r="D251" s="97" t="s">
        <v>459</v>
      </c>
      <c r="E251" s="97" t="s">
        <v>69</v>
      </c>
      <c r="F251" s="97" t="s">
        <v>1023</v>
      </c>
      <c r="G251" s="98" t="s">
        <v>44</v>
      </c>
      <c r="H251" s="97" t="s">
        <v>106</v>
      </c>
      <c r="I251" s="175"/>
      <c r="J251" s="99" t="s">
        <v>1024</v>
      </c>
      <c r="K251" s="223"/>
      <c r="L251" s="97" t="s">
        <v>1025</v>
      </c>
      <c r="M251" s="102"/>
      <c r="N251" s="66"/>
      <c r="O251" s="66" t="str">
        <f t="shared" si="1"/>
        <v>이메일</v>
      </c>
      <c r="P251" s="241">
        <v>0.0</v>
      </c>
      <c r="Q251" s="232">
        <v>1.0</v>
      </c>
      <c r="R251" s="112"/>
      <c r="S251" s="113"/>
      <c r="T251" s="113">
        <v>46108.0</v>
      </c>
      <c r="U251" s="113"/>
      <c r="V251" s="113"/>
      <c r="W251" s="113"/>
      <c r="X251" s="113"/>
      <c r="Y251" s="113"/>
      <c r="Z251" s="114"/>
    </row>
    <row r="252" ht="18.75" customHeight="1">
      <c r="A252" s="90"/>
      <c r="B252" s="61" t="s">
        <v>23</v>
      </c>
      <c r="C252" s="266"/>
      <c r="D252" s="266" t="s">
        <v>1026</v>
      </c>
      <c r="E252" s="266" t="s">
        <v>353</v>
      </c>
      <c r="F252" s="266" t="s">
        <v>1027</v>
      </c>
      <c r="G252" s="268" t="s">
        <v>44</v>
      </c>
      <c r="H252" s="266" t="s">
        <v>106</v>
      </c>
      <c r="I252" s="269"/>
      <c r="J252" s="268" t="s">
        <v>44</v>
      </c>
      <c r="K252" s="269"/>
      <c r="L252" s="266" t="s">
        <v>1028</v>
      </c>
      <c r="M252" s="272"/>
      <c r="N252" s="66"/>
      <c r="O252" s="66" t="str">
        <f t="shared" si="1"/>
        <v/>
      </c>
      <c r="P252" s="66">
        <v>0.0</v>
      </c>
      <c r="Q252" s="66">
        <v>0.0</v>
      </c>
      <c r="R252" s="112"/>
      <c r="S252" s="66"/>
      <c r="T252" s="66"/>
      <c r="U252" s="66"/>
      <c r="V252" s="66"/>
      <c r="W252" s="66"/>
      <c r="X252" s="66"/>
      <c r="Y252" s="66"/>
      <c r="Z252" s="82"/>
    </row>
    <row r="253" ht="18.75" customHeight="1">
      <c r="A253" s="90"/>
      <c r="B253" s="61" t="s">
        <v>23</v>
      </c>
      <c r="C253" s="61"/>
      <c r="D253" s="61" t="s">
        <v>938</v>
      </c>
      <c r="E253" s="61" t="s">
        <v>353</v>
      </c>
      <c r="F253" s="61" t="s">
        <v>1029</v>
      </c>
      <c r="G253" s="62" t="s">
        <v>44</v>
      </c>
      <c r="H253" s="61" t="s">
        <v>106</v>
      </c>
      <c r="I253" s="105"/>
      <c r="J253" s="62" t="s">
        <v>44</v>
      </c>
      <c r="K253" s="105"/>
      <c r="L253" s="61" t="s">
        <v>1030</v>
      </c>
      <c r="M253" s="65"/>
      <c r="N253" s="66"/>
      <c r="O253" s="66" t="str">
        <f t="shared" si="1"/>
        <v/>
      </c>
      <c r="P253" s="66">
        <v>0.0</v>
      </c>
      <c r="Q253" s="66">
        <v>0.0</v>
      </c>
      <c r="R253" s="112"/>
      <c r="S253" s="66"/>
      <c r="T253" s="66"/>
      <c r="U253" s="66"/>
      <c r="V253" s="66"/>
      <c r="W253" s="66"/>
      <c r="X253" s="66"/>
      <c r="Y253" s="66"/>
      <c r="Z253" s="82"/>
    </row>
    <row r="254" ht="18.75" customHeight="1">
      <c r="A254" s="90"/>
      <c r="B254" s="61" t="s">
        <v>23</v>
      </c>
      <c r="C254" s="61"/>
      <c r="D254" s="61" t="s">
        <v>713</v>
      </c>
      <c r="E254" s="61" t="s">
        <v>69</v>
      </c>
      <c r="F254" s="110" t="s">
        <v>1031</v>
      </c>
      <c r="G254" s="62" t="s">
        <v>44</v>
      </c>
      <c r="H254" s="61" t="s">
        <v>106</v>
      </c>
      <c r="I254" s="282"/>
      <c r="J254" s="62" t="s">
        <v>44</v>
      </c>
      <c r="K254" s="80"/>
      <c r="L254" s="61" t="s">
        <v>1032</v>
      </c>
      <c r="M254" s="65"/>
      <c r="N254" s="66"/>
      <c r="O254" s="66" t="str">
        <f t="shared" si="1"/>
        <v/>
      </c>
      <c r="P254" s="66">
        <v>0.0</v>
      </c>
      <c r="Q254" s="66">
        <v>0.0</v>
      </c>
      <c r="R254" s="112"/>
      <c r="S254" s="66"/>
      <c r="T254" s="66"/>
      <c r="U254" s="66"/>
      <c r="V254" s="66"/>
      <c r="W254" s="66"/>
      <c r="X254" s="66"/>
      <c r="Y254" s="66"/>
      <c r="Z254" s="82"/>
    </row>
    <row r="255" ht="18.75" customHeight="1">
      <c r="A255" s="90"/>
      <c r="B255" s="61" t="s">
        <v>23</v>
      </c>
      <c r="C255" s="61"/>
      <c r="D255" s="61" t="s">
        <v>713</v>
      </c>
      <c r="E255" s="61" t="s">
        <v>69</v>
      </c>
      <c r="F255" s="61" t="s">
        <v>1033</v>
      </c>
      <c r="G255" s="62" t="s">
        <v>44</v>
      </c>
      <c r="H255" s="61" t="s">
        <v>106</v>
      </c>
      <c r="I255" s="105"/>
      <c r="J255" s="62" t="s">
        <v>44</v>
      </c>
      <c r="K255" s="105"/>
      <c r="L255" s="105"/>
      <c r="M255" s="65"/>
      <c r="N255" s="66"/>
      <c r="O255" s="66" t="str">
        <f t="shared" si="1"/>
        <v/>
      </c>
      <c r="P255" s="66">
        <v>0.0</v>
      </c>
      <c r="Q255" s="66">
        <v>0.0</v>
      </c>
      <c r="R255" s="112"/>
      <c r="S255" s="66"/>
      <c r="T255" s="66"/>
      <c r="U255" s="66"/>
      <c r="V255" s="66"/>
      <c r="W255" s="66"/>
      <c r="X255" s="66"/>
      <c r="Y255" s="66"/>
      <c r="Z255" s="82"/>
    </row>
    <row r="256" ht="18.75" customHeight="1">
      <c r="A256" s="90"/>
      <c r="B256" s="61" t="s">
        <v>23</v>
      </c>
      <c r="C256" s="61"/>
      <c r="D256" s="61" t="s">
        <v>713</v>
      </c>
      <c r="E256" s="61" t="s">
        <v>69</v>
      </c>
      <c r="F256" s="61" t="s">
        <v>1034</v>
      </c>
      <c r="G256" s="62" t="s">
        <v>44</v>
      </c>
      <c r="H256" s="61" t="s">
        <v>64</v>
      </c>
      <c r="I256" s="62" t="s">
        <v>657</v>
      </c>
      <c r="J256" s="62" t="s">
        <v>44</v>
      </c>
      <c r="K256" s="105"/>
      <c r="L256" s="61" t="s">
        <v>1035</v>
      </c>
      <c r="M256" s="65"/>
      <c r="N256" s="66"/>
      <c r="O256" s="66" t="str">
        <f t="shared" si="1"/>
        <v/>
      </c>
      <c r="P256" s="66">
        <v>0.0</v>
      </c>
      <c r="Q256" s="66">
        <v>0.0</v>
      </c>
      <c r="R256" s="112"/>
      <c r="S256" s="66"/>
      <c r="T256" s="66"/>
      <c r="U256" s="66"/>
      <c r="V256" s="66"/>
      <c r="W256" s="66"/>
      <c r="X256" s="66"/>
      <c r="Y256" s="66"/>
      <c r="Z256" s="82"/>
    </row>
    <row r="257" ht="18.75" customHeight="1">
      <c r="A257" s="90"/>
      <c r="B257" s="61" t="s">
        <v>23</v>
      </c>
      <c r="C257" s="61"/>
      <c r="D257" s="61" t="s">
        <v>1036</v>
      </c>
      <c r="E257" s="61" t="s">
        <v>353</v>
      </c>
      <c r="F257" s="61" t="s">
        <v>1037</v>
      </c>
      <c r="G257" s="62" t="s">
        <v>44</v>
      </c>
      <c r="H257" s="61" t="s">
        <v>64</v>
      </c>
      <c r="I257" s="62" t="s">
        <v>992</v>
      </c>
      <c r="J257" s="62" t="s">
        <v>44</v>
      </c>
      <c r="K257" s="105"/>
      <c r="L257" s="210" t="s">
        <v>1038</v>
      </c>
      <c r="M257" s="65"/>
      <c r="N257" s="66"/>
      <c r="O257" s="66" t="str">
        <f t="shared" si="1"/>
        <v/>
      </c>
      <c r="P257" s="66">
        <v>0.0</v>
      </c>
      <c r="Q257" s="66">
        <v>0.0</v>
      </c>
      <c r="R257" s="112"/>
      <c r="S257" s="66"/>
      <c r="T257" s="66"/>
      <c r="U257" s="66"/>
      <c r="V257" s="66"/>
      <c r="W257" s="66"/>
      <c r="X257" s="66"/>
      <c r="Y257" s="66"/>
      <c r="Z257" s="82"/>
    </row>
    <row r="258" ht="18.75" customHeight="1">
      <c r="A258" s="90"/>
      <c r="B258" s="61" t="s">
        <v>23</v>
      </c>
      <c r="C258" s="61"/>
      <c r="D258" s="61" t="s">
        <v>938</v>
      </c>
      <c r="E258" s="61" t="s">
        <v>353</v>
      </c>
      <c r="F258" s="61" t="s">
        <v>1039</v>
      </c>
      <c r="G258" s="62" t="s">
        <v>44</v>
      </c>
      <c r="H258" s="61" t="s">
        <v>64</v>
      </c>
      <c r="I258" s="62" t="s">
        <v>1040</v>
      </c>
      <c r="J258" s="62" t="s">
        <v>44</v>
      </c>
      <c r="K258" s="80"/>
      <c r="L258" s="61" t="s">
        <v>1041</v>
      </c>
      <c r="M258" s="65"/>
      <c r="N258" s="66"/>
      <c r="O258" s="66" t="str">
        <f t="shared" si="1"/>
        <v/>
      </c>
      <c r="P258" s="66">
        <v>0.0</v>
      </c>
      <c r="Q258" s="66">
        <v>0.0</v>
      </c>
      <c r="R258" s="112"/>
      <c r="S258" s="66"/>
      <c r="T258" s="66"/>
      <c r="U258" s="66"/>
      <c r="V258" s="66"/>
      <c r="W258" s="66"/>
      <c r="X258" s="66"/>
      <c r="Y258" s="66"/>
      <c r="Z258" s="82"/>
    </row>
    <row r="259" ht="18.75" customHeight="1">
      <c r="A259" s="90"/>
      <c r="B259" s="61" t="s">
        <v>23</v>
      </c>
      <c r="C259" s="264"/>
      <c r="D259" s="264" t="s">
        <v>1042</v>
      </c>
      <c r="E259" s="264" t="s">
        <v>332</v>
      </c>
      <c r="F259" s="264" t="s">
        <v>1043</v>
      </c>
      <c r="G259" s="264"/>
      <c r="H259" s="283"/>
      <c r="I259" s="284" t="s">
        <v>1044</v>
      </c>
      <c r="J259" s="284" t="s">
        <v>44</v>
      </c>
      <c r="K259" s="284" t="s">
        <v>486</v>
      </c>
      <c r="L259" s="264"/>
      <c r="M259" s="65"/>
      <c r="N259" s="66"/>
      <c r="O259" s="66" t="str">
        <f t="shared" si="1"/>
        <v/>
      </c>
      <c r="P259" s="66">
        <v>0.0</v>
      </c>
      <c r="Q259" s="66">
        <v>0.0</v>
      </c>
      <c r="R259" s="112"/>
      <c r="S259" s="66"/>
      <c r="T259" s="66"/>
      <c r="U259" s="66"/>
      <c r="V259" s="66"/>
      <c r="W259" s="66"/>
      <c r="X259" s="66"/>
      <c r="Y259" s="66"/>
      <c r="Z259" s="82"/>
    </row>
    <row r="260" ht="18.75" customHeight="1">
      <c r="A260" s="90"/>
      <c r="B260" s="61" t="s">
        <v>23</v>
      </c>
      <c r="C260" s="285"/>
      <c r="D260" s="285" t="s">
        <v>1042</v>
      </c>
      <c r="E260" s="285" t="s">
        <v>332</v>
      </c>
      <c r="F260" s="286" t="s">
        <v>1045</v>
      </c>
      <c r="G260" s="287" t="s">
        <v>486</v>
      </c>
      <c r="H260" s="286" t="s">
        <v>64</v>
      </c>
      <c r="I260" s="287" t="s">
        <v>1044</v>
      </c>
      <c r="J260" s="288"/>
      <c r="K260" s="287" t="s">
        <v>486</v>
      </c>
      <c r="L260" s="285"/>
      <c r="M260" s="272"/>
      <c r="N260" s="66"/>
      <c r="O260" s="66" t="str">
        <f t="shared" si="1"/>
        <v/>
      </c>
      <c r="P260" s="66">
        <v>0.0</v>
      </c>
      <c r="Q260" s="66">
        <v>0.0</v>
      </c>
      <c r="R260" s="112"/>
      <c r="S260" s="66"/>
      <c r="T260" s="66"/>
      <c r="U260" s="66"/>
      <c r="V260" s="66"/>
      <c r="W260" s="66"/>
      <c r="X260" s="66"/>
      <c r="Y260" s="66"/>
      <c r="Z260" s="82"/>
    </row>
    <row r="261">
      <c r="A261" s="90"/>
      <c r="B261" s="61" t="s">
        <v>23</v>
      </c>
      <c r="C261" s="61"/>
      <c r="D261" s="61" t="s">
        <v>713</v>
      </c>
      <c r="E261" s="61" t="s">
        <v>69</v>
      </c>
      <c r="F261" s="289" t="s">
        <v>1046</v>
      </c>
      <c r="G261" s="62" t="s">
        <v>44</v>
      </c>
      <c r="H261" s="289" t="s">
        <v>64</v>
      </c>
      <c r="I261" s="290" t="s">
        <v>1044</v>
      </c>
      <c r="J261" s="62" t="s">
        <v>44</v>
      </c>
      <c r="K261" s="291"/>
      <c r="L261" s="264"/>
      <c r="M261" s="65"/>
      <c r="N261" s="66"/>
      <c r="O261" s="66" t="str">
        <f t="shared" si="1"/>
        <v/>
      </c>
      <c r="P261" s="66">
        <v>0.0</v>
      </c>
      <c r="Q261" s="66">
        <v>0.0</v>
      </c>
      <c r="R261" s="112"/>
      <c r="S261" s="66"/>
      <c r="T261" s="66"/>
      <c r="U261" s="66"/>
      <c r="V261" s="66"/>
      <c r="W261" s="66"/>
      <c r="X261" s="66"/>
      <c r="Y261" s="66"/>
      <c r="Z261" s="82"/>
    </row>
    <row r="262">
      <c r="A262" s="75"/>
      <c r="B262" s="70" t="s">
        <v>23</v>
      </c>
      <c r="C262" s="292"/>
      <c r="D262" s="292" t="s">
        <v>1042</v>
      </c>
      <c r="E262" s="70" t="s">
        <v>69</v>
      </c>
      <c r="F262" s="293" t="s">
        <v>1047</v>
      </c>
      <c r="G262" s="294" t="s">
        <v>1048</v>
      </c>
      <c r="H262" s="70" t="s">
        <v>106</v>
      </c>
      <c r="I262" s="292"/>
      <c r="J262" s="295"/>
      <c r="K262" s="295"/>
      <c r="L262" s="70" t="s">
        <v>1049</v>
      </c>
      <c r="M262" s="116"/>
      <c r="N262" s="75"/>
      <c r="O262" s="75" t="str">
        <f t="shared" si="1"/>
        <v/>
      </c>
      <c r="P262" s="75">
        <v>0.0</v>
      </c>
      <c r="Q262" s="75">
        <v>0.0</v>
      </c>
      <c r="S262" s="75"/>
      <c r="T262" s="75"/>
      <c r="U262" s="75"/>
      <c r="V262" s="75"/>
      <c r="W262" s="75"/>
      <c r="X262" s="75"/>
      <c r="Y262" s="75"/>
      <c r="Z262" s="75"/>
    </row>
    <row r="263">
      <c r="A263" s="90"/>
      <c r="B263" s="61" t="s">
        <v>23</v>
      </c>
      <c r="C263" s="264"/>
      <c r="D263" s="264" t="s">
        <v>1042</v>
      </c>
      <c r="E263" s="61" t="s">
        <v>69</v>
      </c>
      <c r="F263" s="61" t="s">
        <v>1050</v>
      </c>
      <c r="G263" s="290" t="s">
        <v>486</v>
      </c>
      <c r="H263" s="289" t="s">
        <v>64</v>
      </c>
      <c r="I263" s="290" t="s">
        <v>1044</v>
      </c>
      <c r="J263" s="105"/>
      <c r="K263" s="290" t="s">
        <v>486</v>
      </c>
      <c r="L263" s="105"/>
      <c r="M263" s="65"/>
      <c r="N263" s="66"/>
      <c r="O263" s="66" t="str">
        <f t="shared" si="1"/>
        <v/>
      </c>
      <c r="P263" s="66">
        <v>0.0</v>
      </c>
      <c r="Q263" s="66">
        <v>0.0</v>
      </c>
      <c r="R263" s="112"/>
      <c r="S263" s="66"/>
      <c r="T263" s="66"/>
      <c r="U263" s="66"/>
      <c r="V263" s="66"/>
      <c r="W263" s="66"/>
      <c r="X263" s="66"/>
      <c r="Y263" s="66"/>
      <c r="Z263" s="82"/>
    </row>
    <row r="264">
      <c r="A264" s="90"/>
      <c r="B264" s="61" t="s">
        <v>23</v>
      </c>
      <c r="C264" s="204"/>
      <c r="D264" s="204" t="s">
        <v>1051</v>
      </c>
      <c r="E264" s="204" t="s">
        <v>353</v>
      </c>
      <c r="F264" s="204" t="s">
        <v>1052</v>
      </c>
      <c r="G264" s="205" t="s">
        <v>486</v>
      </c>
      <c r="H264" s="204" t="s">
        <v>64</v>
      </c>
      <c r="I264" s="205" t="s">
        <v>462</v>
      </c>
      <c r="J264" s="205" t="s">
        <v>44</v>
      </c>
      <c r="K264" s="205" t="s">
        <v>486</v>
      </c>
      <c r="L264" s="204" t="s">
        <v>898</v>
      </c>
      <c r="M264" s="208"/>
      <c r="N264" s="66"/>
      <c r="O264" s="66" t="str">
        <f t="shared" si="1"/>
        <v/>
      </c>
      <c r="P264" s="66">
        <v>0.0</v>
      </c>
      <c r="Q264" s="66">
        <v>0.0</v>
      </c>
      <c r="R264" s="112"/>
      <c r="S264" s="66"/>
      <c r="T264" s="66"/>
      <c r="U264" s="66"/>
      <c r="V264" s="66"/>
      <c r="W264" s="66"/>
      <c r="X264" s="66"/>
      <c r="Y264" s="66"/>
      <c r="Z264" s="82"/>
    </row>
    <row r="265">
      <c r="A265" s="90"/>
      <c r="B265" s="61" t="s">
        <v>23</v>
      </c>
      <c r="C265" s="61"/>
      <c r="D265" s="61" t="s">
        <v>930</v>
      </c>
      <c r="E265" s="61" t="s">
        <v>353</v>
      </c>
      <c r="F265" s="61" t="s">
        <v>1053</v>
      </c>
      <c r="G265" s="198" t="s">
        <v>674</v>
      </c>
      <c r="H265" s="61" t="s">
        <v>64</v>
      </c>
      <c r="I265" s="62" t="s">
        <v>462</v>
      </c>
      <c r="J265" s="62" t="s">
        <v>44</v>
      </c>
      <c r="K265" s="198" t="s">
        <v>486</v>
      </c>
      <c r="L265" s="105"/>
      <c r="M265" s="65"/>
      <c r="N265" s="66"/>
      <c r="O265" s="66" t="str">
        <f t="shared" si="1"/>
        <v/>
      </c>
      <c r="P265" s="66">
        <v>0.0</v>
      </c>
      <c r="Q265" s="66">
        <v>0.0</v>
      </c>
      <c r="R265" s="112"/>
      <c r="S265" s="66"/>
      <c r="T265" s="66"/>
      <c r="U265" s="66"/>
      <c r="V265" s="66"/>
      <c r="W265" s="66"/>
      <c r="X265" s="66"/>
      <c r="Y265" s="66"/>
      <c r="Z265" s="82"/>
    </row>
    <row r="266">
      <c r="A266" s="96"/>
      <c r="B266" s="61" t="s">
        <v>20</v>
      </c>
      <c r="C266" s="97"/>
      <c r="D266" s="97" t="s">
        <v>1054</v>
      </c>
      <c r="E266" s="97" t="s">
        <v>506</v>
      </c>
      <c r="F266" s="97" t="s">
        <v>1055</v>
      </c>
      <c r="G266" s="98" t="s">
        <v>553</v>
      </c>
      <c r="H266" s="97" t="s">
        <v>431</v>
      </c>
      <c r="I266" s="175"/>
      <c r="J266" s="103"/>
      <c r="K266" s="107" t="s">
        <v>1056</v>
      </c>
      <c r="L266" s="97" t="s">
        <v>1057</v>
      </c>
      <c r="M266" s="102"/>
      <c r="N266" s="66"/>
      <c r="O266" s="66" t="str">
        <f t="shared" si="1"/>
        <v>DM+이메일</v>
      </c>
      <c r="P266" s="232">
        <v>1.0</v>
      </c>
      <c r="Q266" s="232">
        <v>1.0</v>
      </c>
      <c r="R266" s="112"/>
      <c r="S266" s="113"/>
      <c r="T266" s="113">
        <v>46108.0</v>
      </c>
      <c r="U266" s="113"/>
      <c r="V266" s="113"/>
      <c r="W266" s="113"/>
      <c r="X266" s="113"/>
      <c r="Y266" s="113"/>
      <c r="Z266" s="114"/>
    </row>
    <row r="267">
      <c r="A267" s="96"/>
      <c r="B267" s="61" t="s">
        <v>20</v>
      </c>
      <c r="C267" s="97"/>
      <c r="D267" s="97" t="s">
        <v>1058</v>
      </c>
      <c r="E267" s="97" t="s">
        <v>1059</v>
      </c>
      <c r="F267" s="97" t="s">
        <v>698</v>
      </c>
      <c r="G267" s="98" t="s">
        <v>44</v>
      </c>
      <c r="H267" s="97" t="s">
        <v>431</v>
      </c>
      <c r="I267" s="175"/>
      <c r="J267" s="99" t="s">
        <v>1060</v>
      </c>
      <c r="K267" s="166"/>
      <c r="L267" s="275" t="s">
        <v>701</v>
      </c>
      <c r="M267" s="108" t="s">
        <v>1061</v>
      </c>
      <c r="N267" s="66"/>
      <c r="O267" s="66" t="str">
        <f t="shared" si="1"/>
        <v>이메일</v>
      </c>
      <c r="P267" s="241">
        <v>0.0</v>
      </c>
      <c r="Q267" s="232">
        <v>1.0</v>
      </c>
      <c r="R267" s="112"/>
      <c r="S267" s="113"/>
      <c r="T267" s="113">
        <v>46108.0</v>
      </c>
      <c r="U267" s="113"/>
      <c r="V267" s="113"/>
      <c r="W267" s="113"/>
      <c r="X267" s="113"/>
      <c r="Y267" s="113"/>
      <c r="Z267" s="114"/>
    </row>
    <row r="268">
      <c r="A268" s="90"/>
      <c r="B268" s="61" t="s">
        <v>23</v>
      </c>
      <c r="C268" s="61"/>
      <c r="D268" s="61" t="s">
        <v>1062</v>
      </c>
      <c r="E268" s="61" t="s">
        <v>1063</v>
      </c>
      <c r="F268" s="61" t="s">
        <v>1064</v>
      </c>
      <c r="G268" s="62" t="s">
        <v>44</v>
      </c>
      <c r="H268" s="61" t="s">
        <v>431</v>
      </c>
      <c r="I268" s="105"/>
      <c r="J268" s="62" t="s">
        <v>44</v>
      </c>
      <c r="K268" s="105"/>
      <c r="L268" s="105"/>
      <c r="M268" s="65"/>
      <c r="N268" s="66"/>
      <c r="O268" s="66" t="str">
        <f t="shared" si="1"/>
        <v/>
      </c>
      <c r="P268" s="66">
        <v>0.0</v>
      </c>
      <c r="Q268" s="66">
        <v>0.0</v>
      </c>
      <c r="R268" s="112"/>
      <c r="S268" s="66"/>
      <c r="T268" s="66"/>
      <c r="U268" s="66"/>
      <c r="V268" s="66"/>
      <c r="W268" s="66"/>
      <c r="X268" s="66"/>
      <c r="Y268" s="66"/>
      <c r="Z268" s="82"/>
    </row>
    <row r="269">
      <c r="A269" s="96"/>
      <c r="B269" s="61" t="s">
        <v>20</v>
      </c>
      <c r="C269" s="97"/>
      <c r="D269" s="97" t="s">
        <v>1065</v>
      </c>
      <c r="E269" s="97" t="s">
        <v>1063</v>
      </c>
      <c r="F269" s="97" t="s">
        <v>742</v>
      </c>
      <c r="G269" s="98" t="s">
        <v>1066</v>
      </c>
      <c r="H269" s="97" t="s">
        <v>64</v>
      </c>
      <c r="I269" s="98" t="s">
        <v>1067</v>
      </c>
      <c r="J269" s="99" t="s">
        <v>1068</v>
      </c>
      <c r="K269" s="104" t="s">
        <v>1069</v>
      </c>
      <c r="L269" s="97" t="s">
        <v>1070</v>
      </c>
      <c r="M269" s="102"/>
      <c r="N269" s="66"/>
      <c r="O269" s="66" t="str">
        <f t="shared" si="1"/>
        <v>DM+이메일</v>
      </c>
      <c r="P269" s="232">
        <v>1.0</v>
      </c>
      <c r="Q269" s="232">
        <v>1.0</v>
      </c>
      <c r="R269" s="112"/>
      <c r="S269" s="113"/>
      <c r="T269" s="113">
        <v>46108.0</v>
      </c>
      <c r="U269" s="113"/>
      <c r="V269" s="113"/>
      <c r="W269" s="113"/>
      <c r="X269" s="113"/>
      <c r="Y269" s="113"/>
      <c r="Z269" s="114"/>
    </row>
    <row r="270">
      <c r="A270" s="96"/>
      <c r="B270" s="61" t="s">
        <v>23</v>
      </c>
      <c r="C270" s="97"/>
      <c r="D270" s="97" t="s">
        <v>1071</v>
      </c>
      <c r="E270" s="97" t="s">
        <v>1072</v>
      </c>
      <c r="F270" s="97" t="s">
        <v>1073</v>
      </c>
      <c r="G270" s="98" t="s">
        <v>272</v>
      </c>
      <c r="H270" s="97" t="s">
        <v>64</v>
      </c>
      <c r="I270" s="98" t="s">
        <v>272</v>
      </c>
      <c r="J270" s="99" t="s">
        <v>268</v>
      </c>
      <c r="K270" s="104" t="s">
        <v>1074</v>
      </c>
      <c r="L270" s="175"/>
      <c r="M270" s="102"/>
      <c r="N270" s="66"/>
      <c r="O270" s="66" t="str">
        <f t="shared" si="1"/>
        <v/>
      </c>
      <c r="P270" s="241">
        <v>0.0</v>
      </c>
      <c r="Q270" s="241">
        <v>0.0</v>
      </c>
      <c r="R270" s="112"/>
      <c r="S270" s="241"/>
      <c r="T270" s="241"/>
      <c r="U270" s="241"/>
      <c r="V270" s="241"/>
      <c r="W270" s="241"/>
      <c r="X270" s="241"/>
      <c r="Y270" s="241"/>
      <c r="Z270" s="242"/>
    </row>
    <row r="271">
      <c r="A271" s="90"/>
      <c r="B271" s="61" t="s">
        <v>23</v>
      </c>
      <c r="C271" s="61"/>
      <c r="D271" s="61" t="s">
        <v>1075</v>
      </c>
      <c r="E271" s="61" t="s">
        <v>1072</v>
      </c>
      <c r="F271" s="61" t="s">
        <v>1076</v>
      </c>
      <c r="G271" s="62" t="s">
        <v>486</v>
      </c>
      <c r="H271" s="61" t="s">
        <v>431</v>
      </c>
      <c r="I271" s="105"/>
      <c r="J271" s="105"/>
      <c r="K271" s="62" t="s">
        <v>486</v>
      </c>
      <c r="L271" s="105"/>
      <c r="M271" s="65"/>
      <c r="N271" s="66"/>
      <c r="O271" s="66" t="str">
        <f t="shared" si="1"/>
        <v/>
      </c>
      <c r="P271" s="66">
        <v>0.0</v>
      </c>
      <c r="Q271" s="66">
        <v>0.0</v>
      </c>
      <c r="R271" s="112"/>
      <c r="S271" s="66"/>
      <c r="T271" s="66"/>
      <c r="U271" s="66"/>
      <c r="V271" s="66"/>
      <c r="W271" s="66"/>
      <c r="X271" s="66"/>
      <c r="Y271" s="66"/>
      <c r="Z271" s="82"/>
    </row>
    <row r="272">
      <c r="A272" s="90"/>
      <c r="B272" s="61" t="s">
        <v>23</v>
      </c>
      <c r="C272" s="266"/>
      <c r="D272" s="266" t="s">
        <v>1077</v>
      </c>
      <c r="E272" s="266" t="s">
        <v>429</v>
      </c>
      <c r="F272" s="266" t="s">
        <v>1078</v>
      </c>
      <c r="G272" s="268" t="s">
        <v>553</v>
      </c>
      <c r="H272" s="266" t="s">
        <v>64</v>
      </c>
      <c r="I272" s="268" t="s">
        <v>553</v>
      </c>
      <c r="J272" s="268" t="s">
        <v>44</v>
      </c>
      <c r="K272" s="269"/>
      <c r="L272" s="269"/>
      <c r="M272" s="296" t="s">
        <v>1079</v>
      </c>
      <c r="N272" s="66"/>
      <c r="O272" s="66" t="str">
        <f t="shared" si="1"/>
        <v/>
      </c>
      <c r="P272" s="66">
        <v>0.0</v>
      </c>
      <c r="Q272" s="66">
        <v>0.0</v>
      </c>
      <c r="R272" s="112"/>
      <c r="S272" s="66"/>
      <c r="T272" s="66"/>
      <c r="U272" s="66"/>
      <c r="V272" s="66"/>
      <c r="W272" s="66"/>
      <c r="X272" s="66"/>
      <c r="Y272" s="66"/>
      <c r="Z272" s="82"/>
    </row>
    <row r="273">
      <c r="A273" s="90"/>
      <c r="B273" s="61" t="s">
        <v>23</v>
      </c>
      <c r="C273" s="61"/>
      <c r="D273" s="61" t="s">
        <v>1080</v>
      </c>
      <c r="E273" s="61" t="s">
        <v>429</v>
      </c>
      <c r="F273" s="61" t="s">
        <v>1081</v>
      </c>
      <c r="G273" s="62" t="s">
        <v>1082</v>
      </c>
      <c r="H273" s="61" t="s">
        <v>64</v>
      </c>
      <c r="I273" s="62" t="s">
        <v>1082</v>
      </c>
      <c r="J273" s="62" t="s">
        <v>44</v>
      </c>
      <c r="K273" s="62" t="s">
        <v>45</v>
      </c>
      <c r="L273" s="61" t="s">
        <v>1083</v>
      </c>
      <c r="M273" s="65"/>
      <c r="N273" s="66"/>
      <c r="O273" s="66" t="str">
        <f t="shared" si="1"/>
        <v/>
      </c>
      <c r="P273" s="66">
        <v>0.0</v>
      </c>
      <c r="Q273" s="66">
        <v>0.0</v>
      </c>
      <c r="R273" s="112"/>
      <c r="S273" s="66"/>
      <c r="T273" s="66"/>
      <c r="U273" s="66"/>
      <c r="V273" s="66"/>
      <c r="W273" s="66"/>
      <c r="X273" s="66"/>
      <c r="Y273" s="66"/>
      <c r="Z273" s="82"/>
    </row>
    <row r="274">
      <c r="A274" s="96"/>
      <c r="B274" s="61" t="s">
        <v>23</v>
      </c>
      <c r="C274" s="97" t="s">
        <v>1084</v>
      </c>
      <c r="D274" s="97" t="s">
        <v>789</v>
      </c>
      <c r="E274" s="97" t="s">
        <v>332</v>
      </c>
      <c r="F274" s="97" t="s">
        <v>1085</v>
      </c>
      <c r="G274" s="98" t="s">
        <v>1086</v>
      </c>
      <c r="H274" s="97" t="s">
        <v>64</v>
      </c>
      <c r="I274" s="98" t="s">
        <v>1086</v>
      </c>
      <c r="J274" s="99" t="s">
        <v>1087</v>
      </c>
      <c r="K274" s="104" t="s">
        <v>1088</v>
      </c>
      <c r="L274" s="97" t="s">
        <v>650</v>
      </c>
      <c r="M274" s="102"/>
      <c r="N274" s="66"/>
      <c r="O274" s="66" t="str">
        <f t="shared" si="1"/>
        <v/>
      </c>
      <c r="P274" s="241">
        <v>0.0</v>
      </c>
      <c r="Q274" s="241">
        <v>0.0</v>
      </c>
      <c r="R274" s="112"/>
      <c r="S274" s="241"/>
      <c r="T274" s="241"/>
      <c r="U274" s="241"/>
      <c r="V274" s="241"/>
      <c r="W274" s="241"/>
      <c r="X274" s="241"/>
      <c r="Y274" s="241"/>
      <c r="Z274" s="242"/>
    </row>
    <row r="275">
      <c r="A275" s="90"/>
      <c r="B275" s="61" t="s">
        <v>23</v>
      </c>
      <c r="C275" s="61"/>
      <c r="D275" s="61" t="s">
        <v>914</v>
      </c>
      <c r="E275" s="61" t="s">
        <v>332</v>
      </c>
      <c r="F275" s="61" t="s">
        <v>1089</v>
      </c>
      <c r="G275" s="62" t="s">
        <v>1090</v>
      </c>
      <c r="H275" s="61" t="s">
        <v>106</v>
      </c>
      <c r="I275" s="80"/>
      <c r="J275" s="61" t="s">
        <v>106</v>
      </c>
      <c r="K275" s="62" t="s">
        <v>45</v>
      </c>
      <c r="L275" s="105"/>
      <c r="M275" s="65"/>
      <c r="N275" s="66"/>
      <c r="O275" s="66" t="str">
        <f t="shared" si="1"/>
        <v/>
      </c>
      <c r="P275" s="66">
        <v>0.0</v>
      </c>
      <c r="Q275" s="66">
        <v>0.0</v>
      </c>
      <c r="R275" s="112"/>
      <c r="S275" s="66"/>
      <c r="T275" s="66"/>
      <c r="U275" s="66"/>
      <c r="V275" s="66"/>
      <c r="W275" s="66"/>
      <c r="X275" s="66"/>
      <c r="Y275" s="66"/>
      <c r="Z275" s="82"/>
    </row>
    <row r="276">
      <c r="A276" s="96"/>
      <c r="B276" s="61" t="s">
        <v>20</v>
      </c>
      <c r="C276" s="97"/>
      <c r="D276" s="97" t="s">
        <v>1091</v>
      </c>
      <c r="E276" s="97" t="s">
        <v>1072</v>
      </c>
      <c r="F276" s="97" t="s">
        <v>1092</v>
      </c>
      <c r="G276" s="98" t="s">
        <v>44</v>
      </c>
      <c r="H276" s="97" t="s">
        <v>64</v>
      </c>
      <c r="I276" s="98" t="s">
        <v>1093</v>
      </c>
      <c r="J276" s="99" t="s">
        <v>1094</v>
      </c>
      <c r="K276" s="166"/>
      <c r="L276" s="97" t="s">
        <v>1095</v>
      </c>
      <c r="M276" s="102"/>
      <c r="N276" s="66"/>
      <c r="O276" s="66" t="str">
        <f t="shared" si="1"/>
        <v>이메일</v>
      </c>
      <c r="P276" s="241">
        <v>0.0</v>
      </c>
      <c r="Q276" s="232">
        <v>1.0</v>
      </c>
      <c r="R276" s="112"/>
      <c r="S276" s="113"/>
      <c r="T276" s="113">
        <v>46108.0</v>
      </c>
      <c r="U276" s="113"/>
      <c r="V276" s="113"/>
      <c r="W276" s="113"/>
      <c r="X276" s="113"/>
      <c r="Y276" s="113"/>
      <c r="Z276" s="114"/>
    </row>
    <row r="277">
      <c r="A277" s="90"/>
      <c r="B277" s="61" t="s">
        <v>23</v>
      </c>
      <c r="C277" s="266"/>
      <c r="D277" s="266" t="s">
        <v>1096</v>
      </c>
      <c r="E277" s="266" t="s">
        <v>1072</v>
      </c>
      <c r="F277" s="266" t="s">
        <v>1097</v>
      </c>
      <c r="G277" s="268" t="s">
        <v>44</v>
      </c>
      <c r="H277" s="266" t="s">
        <v>64</v>
      </c>
      <c r="I277" s="268" t="s">
        <v>1098</v>
      </c>
      <c r="J277" s="297"/>
      <c r="K277" s="268" t="s">
        <v>45</v>
      </c>
      <c r="L277" s="266"/>
      <c r="M277" s="296" t="s">
        <v>1099</v>
      </c>
      <c r="N277" s="66"/>
      <c r="O277" s="66" t="str">
        <f t="shared" si="1"/>
        <v/>
      </c>
      <c r="P277" s="66">
        <v>0.0</v>
      </c>
      <c r="Q277" s="66">
        <v>0.0</v>
      </c>
      <c r="R277" s="112"/>
      <c r="S277" s="66"/>
      <c r="T277" s="66"/>
      <c r="U277" s="66"/>
      <c r="V277" s="66"/>
      <c r="W277" s="66"/>
      <c r="X277" s="66"/>
      <c r="Y277" s="66"/>
      <c r="Z277" s="82"/>
    </row>
    <row r="278">
      <c r="A278" s="90"/>
      <c r="B278" s="61" t="s">
        <v>23</v>
      </c>
      <c r="C278" s="266"/>
      <c r="D278" s="266" t="s">
        <v>1100</v>
      </c>
      <c r="E278" s="266" t="s">
        <v>353</v>
      </c>
      <c r="F278" s="266" t="s">
        <v>1101</v>
      </c>
      <c r="G278" s="268" t="s">
        <v>44</v>
      </c>
      <c r="H278" s="266" t="s">
        <v>64</v>
      </c>
      <c r="I278" s="268" t="s">
        <v>657</v>
      </c>
      <c r="J278" s="268" t="s">
        <v>44</v>
      </c>
      <c r="K278" s="268" t="s">
        <v>45</v>
      </c>
      <c r="L278" s="266" t="s">
        <v>1102</v>
      </c>
      <c r="M278" s="296" t="s">
        <v>1103</v>
      </c>
      <c r="N278" s="66"/>
      <c r="O278" s="66" t="str">
        <f t="shared" si="1"/>
        <v/>
      </c>
      <c r="P278" s="66">
        <v>0.0</v>
      </c>
      <c r="Q278" s="66">
        <v>0.0</v>
      </c>
      <c r="R278" s="112"/>
      <c r="S278" s="66"/>
      <c r="T278" s="66"/>
      <c r="U278" s="66"/>
      <c r="V278" s="66"/>
      <c r="W278" s="66"/>
      <c r="X278" s="66"/>
      <c r="Y278" s="66"/>
      <c r="Z278" s="82"/>
    </row>
    <row r="279" ht="14.25" customHeight="1">
      <c r="A279" s="96"/>
      <c r="B279" s="61" t="s">
        <v>20</v>
      </c>
      <c r="C279" s="97"/>
      <c r="D279" s="97" t="s">
        <v>1104</v>
      </c>
      <c r="E279" s="97" t="s">
        <v>353</v>
      </c>
      <c r="F279" s="97" t="s">
        <v>1105</v>
      </c>
      <c r="G279" s="98" t="s">
        <v>44</v>
      </c>
      <c r="H279" s="97" t="s">
        <v>64</v>
      </c>
      <c r="I279" s="98" t="s">
        <v>807</v>
      </c>
      <c r="J279" s="99" t="s">
        <v>1106</v>
      </c>
      <c r="K279" s="166"/>
      <c r="L279" s="97" t="s">
        <v>1107</v>
      </c>
      <c r="M279" s="247" t="s">
        <v>1108</v>
      </c>
      <c r="N279" s="66"/>
      <c r="O279" s="66" t="str">
        <f t="shared" si="1"/>
        <v>이메일</v>
      </c>
      <c r="P279" s="241">
        <v>0.0</v>
      </c>
      <c r="Q279" s="232">
        <v>1.0</v>
      </c>
      <c r="R279" s="112"/>
      <c r="S279" s="113"/>
      <c r="T279" s="113">
        <v>46108.0</v>
      </c>
      <c r="U279" s="113"/>
      <c r="V279" s="113"/>
      <c r="W279" s="113"/>
      <c r="X279" s="113"/>
      <c r="Y279" s="113"/>
      <c r="Z279" s="114"/>
    </row>
    <row r="280">
      <c r="A280" s="96"/>
      <c r="B280" s="61" t="s">
        <v>20</v>
      </c>
      <c r="C280" s="97"/>
      <c r="D280" s="97" t="s">
        <v>1109</v>
      </c>
      <c r="E280" s="97" t="s">
        <v>1110</v>
      </c>
      <c r="F280" s="97" t="s">
        <v>1111</v>
      </c>
      <c r="G280" s="98" t="s">
        <v>44</v>
      </c>
      <c r="H280" s="97" t="s">
        <v>106</v>
      </c>
      <c r="I280" s="175"/>
      <c r="J280" s="99" t="s">
        <v>1112</v>
      </c>
      <c r="K280" s="107" t="s">
        <v>1113</v>
      </c>
      <c r="L280" s="97" t="s">
        <v>1114</v>
      </c>
      <c r="M280" s="102"/>
      <c r="N280" s="66"/>
      <c r="O280" s="66" t="str">
        <f t="shared" si="1"/>
        <v>DM+이메일</v>
      </c>
      <c r="P280" s="67">
        <v>1.0</v>
      </c>
      <c r="Q280" s="67">
        <v>1.0</v>
      </c>
      <c r="R280" s="112"/>
      <c r="S280" s="113"/>
      <c r="T280" s="113">
        <v>46108.0</v>
      </c>
      <c r="U280" s="113"/>
      <c r="V280" s="113"/>
      <c r="W280" s="113"/>
      <c r="X280" s="113"/>
      <c r="Y280" s="113"/>
      <c r="Z280" s="114"/>
    </row>
    <row r="281">
      <c r="A281" s="96"/>
      <c r="B281" s="61" t="s">
        <v>20</v>
      </c>
      <c r="C281" s="97"/>
      <c r="D281" s="97" t="s">
        <v>938</v>
      </c>
      <c r="E281" s="97" t="s">
        <v>1110</v>
      </c>
      <c r="F281" s="97" t="s">
        <v>1115</v>
      </c>
      <c r="G281" s="98" t="s">
        <v>1116</v>
      </c>
      <c r="H281" s="97" t="s">
        <v>106</v>
      </c>
      <c r="I281" s="175"/>
      <c r="J281" s="99" t="s">
        <v>1117</v>
      </c>
      <c r="K281" s="166"/>
      <c r="L281" s="97" t="s">
        <v>1118</v>
      </c>
      <c r="M281" s="102"/>
      <c r="N281" s="66"/>
      <c r="O281" s="66" t="str">
        <f t="shared" si="1"/>
        <v>이메일</v>
      </c>
      <c r="P281" s="241">
        <v>0.0</v>
      </c>
      <c r="Q281" s="232">
        <v>1.0</v>
      </c>
      <c r="R281" s="112"/>
      <c r="S281" s="113"/>
      <c r="T281" s="113">
        <v>46108.0</v>
      </c>
      <c r="U281" s="113"/>
      <c r="V281" s="113"/>
      <c r="W281" s="113"/>
      <c r="X281" s="113"/>
      <c r="Y281" s="113"/>
      <c r="Z281" s="114"/>
    </row>
    <row r="282">
      <c r="A282" s="96"/>
      <c r="B282" s="61" t="s">
        <v>20</v>
      </c>
      <c r="C282" s="97"/>
      <c r="D282" s="97" t="s">
        <v>1119</v>
      </c>
      <c r="E282" s="97" t="s">
        <v>1110</v>
      </c>
      <c r="F282" s="97" t="s">
        <v>1120</v>
      </c>
      <c r="G282" s="98" t="s">
        <v>1066</v>
      </c>
      <c r="H282" s="97" t="s">
        <v>64</v>
      </c>
      <c r="I282" s="98" t="s">
        <v>1121</v>
      </c>
      <c r="J282" s="99" t="s">
        <v>1122</v>
      </c>
      <c r="K282" s="107" t="s">
        <v>1123</v>
      </c>
      <c r="L282" s="97" t="s">
        <v>1124</v>
      </c>
      <c r="M282" s="102"/>
      <c r="N282" s="66"/>
      <c r="O282" s="66" t="str">
        <f t="shared" si="1"/>
        <v>DM+이메일</v>
      </c>
      <c r="P282" s="232">
        <v>1.0</v>
      </c>
      <c r="Q282" s="232">
        <v>1.0</v>
      </c>
      <c r="R282" s="112"/>
      <c r="S282" s="113"/>
      <c r="T282" s="113">
        <v>46108.0</v>
      </c>
      <c r="U282" s="113"/>
      <c r="V282" s="113"/>
      <c r="W282" s="113"/>
      <c r="X282" s="113"/>
      <c r="Y282" s="113"/>
      <c r="Z282" s="114"/>
    </row>
    <row r="283">
      <c r="A283" s="96"/>
      <c r="B283" s="61" t="s">
        <v>20</v>
      </c>
      <c r="C283" s="97"/>
      <c r="D283" s="97" t="s">
        <v>1125</v>
      </c>
      <c r="E283" s="97" t="s">
        <v>69</v>
      </c>
      <c r="F283" s="97" t="s">
        <v>1126</v>
      </c>
      <c r="G283" s="98" t="s">
        <v>44</v>
      </c>
      <c r="H283" s="97" t="s">
        <v>106</v>
      </c>
      <c r="I283" s="98" t="s">
        <v>1127</v>
      </c>
      <c r="J283" s="99" t="s">
        <v>1128</v>
      </c>
      <c r="K283" s="166"/>
      <c r="L283" s="97" t="s">
        <v>1129</v>
      </c>
      <c r="M283" s="102"/>
      <c r="N283" s="66"/>
      <c r="O283" s="66" t="str">
        <f t="shared" si="1"/>
        <v>DM</v>
      </c>
      <c r="P283" s="232">
        <v>1.0</v>
      </c>
      <c r="Q283" s="241">
        <v>0.0</v>
      </c>
      <c r="R283" s="112"/>
      <c r="S283" s="113"/>
      <c r="T283" s="113">
        <v>46108.0</v>
      </c>
      <c r="U283" s="113"/>
      <c r="V283" s="113"/>
      <c r="W283" s="113"/>
      <c r="X283" s="113"/>
      <c r="Y283" s="113"/>
      <c r="Z283" s="114"/>
    </row>
    <row r="284">
      <c r="A284" s="96"/>
      <c r="B284" s="61" t="s">
        <v>20</v>
      </c>
      <c r="C284" s="97"/>
      <c r="D284" s="97" t="s">
        <v>1130</v>
      </c>
      <c r="E284" s="97" t="s">
        <v>69</v>
      </c>
      <c r="F284" s="97" t="s">
        <v>1131</v>
      </c>
      <c r="G284" s="98" t="s">
        <v>44</v>
      </c>
      <c r="H284" s="97" t="s">
        <v>64</v>
      </c>
      <c r="I284" s="98" t="s">
        <v>1132</v>
      </c>
      <c r="J284" s="99" t="s">
        <v>1133</v>
      </c>
      <c r="K284" s="166"/>
      <c r="L284" s="97" t="s">
        <v>1134</v>
      </c>
      <c r="M284" s="102"/>
      <c r="N284" s="66"/>
      <c r="O284" s="66" t="str">
        <f t="shared" si="1"/>
        <v>DM</v>
      </c>
      <c r="P284" s="232">
        <v>1.0</v>
      </c>
      <c r="Q284" s="241">
        <v>0.0</v>
      </c>
      <c r="R284" s="112"/>
      <c r="S284" s="113"/>
      <c r="T284" s="113">
        <v>46108.0</v>
      </c>
      <c r="U284" s="113"/>
      <c r="V284" s="113"/>
      <c r="W284" s="113"/>
      <c r="X284" s="113"/>
      <c r="Y284" s="113"/>
      <c r="Z284" s="114"/>
    </row>
    <row r="285">
      <c r="A285" s="90"/>
      <c r="B285" s="61" t="s">
        <v>23</v>
      </c>
      <c r="C285" s="61"/>
      <c r="D285" s="61" t="s">
        <v>1135</v>
      </c>
      <c r="E285" s="61" t="s">
        <v>513</v>
      </c>
      <c r="F285" s="61" t="s">
        <v>1136</v>
      </c>
      <c r="G285" s="62" t="s">
        <v>44</v>
      </c>
      <c r="H285" s="61" t="s">
        <v>64</v>
      </c>
      <c r="I285" s="62" t="s">
        <v>648</v>
      </c>
      <c r="J285" s="62" t="s">
        <v>44</v>
      </c>
      <c r="K285" s="62" t="s">
        <v>45</v>
      </c>
      <c r="L285" s="61" t="s">
        <v>1137</v>
      </c>
      <c r="M285" s="125" t="s">
        <v>1138</v>
      </c>
      <c r="N285" s="66"/>
      <c r="O285" s="66" t="str">
        <f t="shared" si="1"/>
        <v/>
      </c>
      <c r="P285" s="66">
        <v>0.0</v>
      </c>
      <c r="Q285" s="66">
        <v>0.0</v>
      </c>
      <c r="R285" s="112"/>
      <c r="S285" s="66"/>
      <c r="T285" s="66"/>
      <c r="U285" s="66"/>
      <c r="V285" s="66"/>
      <c r="W285" s="66"/>
      <c r="X285" s="66"/>
      <c r="Y285" s="66"/>
      <c r="Z285" s="82"/>
    </row>
    <row r="286">
      <c r="A286" s="90"/>
      <c r="B286" s="61" t="s">
        <v>23</v>
      </c>
      <c r="C286" s="61"/>
      <c r="D286" s="61" t="s">
        <v>1139</v>
      </c>
      <c r="E286" s="61" t="s">
        <v>513</v>
      </c>
      <c r="F286" s="61" t="s">
        <v>1140</v>
      </c>
      <c r="G286" s="62" t="s">
        <v>44</v>
      </c>
      <c r="H286" s="61" t="s">
        <v>64</v>
      </c>
      <c r="I286" s="62" t="s">
        <v>1141</v>
      </c>
      <c r="J286" s="62" t="s">
        <v>44</v>
      </c>
      <c r="K286" s="105"/>
      <c r="L286" s="61" t="s">
        <v>1142</v>
      </c>
      <c r="M286" s="125" t="s">
        <v>1143</v>
      </c>
      <c r="N286" s="66"/>
      <c r="O286" s="66" t="str">
        <f t="shared" si="1"/>
        <v/>
      </c>
      <c r="P286" s="66">
        <v>0.0</v>
      </c>
      <c r="Q286" s="66">
        <v>0.0</v>
      </c>
      <c r="R286" s="112"/>
      <c r="S286" s="66"/>
      <c r="T286" s="66"/>
      <c r="U286" s="66"/>
      <c r="V286" s="66"/>
      <c r="W286" s="66"/>
      <c r="X286" s="66"/>
      <c r="Y286" s="66"/>
      <c r="Z286" s="82"/>
    </row>
    <row r="287">
      <c r="A287" s="96"/>
      <c r="B287" s="61" t="s">
        <v>20</v>
      </c>
      <c r="C287" s="97"/>
      <c r="D287" s="97" t="s">
        <v>1062</v>
      </c>
      <c r="E287" s="97" t="s">
        <v>1063</v>
      </c>
      <c r="F287" s="97" t="s">
        <v>1144</v>
      </c>
      <c r="G287" s="98" t="s">
        <v>44</v>
      </c>
      <c r="H287" s="97" t="s">
        <v>64</v>
      </c>
      <c r="I287" s="98" t="s">
        <v>1145</v>
      </c>
      <c r="J287" s="99" t="s">
        <v>1146</v>
      </c>
      <c r="K287" s="166"/>
      <c r="L287" s="97" t="s">
        <v>1147</v>
      </c>
      <c r="M287" s="102"/>
      <c r="N287" s="66"/>
      <c r="O287" s="66" t="str">
        <f t="shared" si="1"/>
        <v>DM</v>
      </c>
      <c r="P287" s="232">
        <v>1.0</v>
      </c>
      <c r="Q287" s="241">
        <v>0.0</v>
      </c>
      <c r="R287" s="112"/>
      <c r="S287" s="113"/>
      <c r="T287" s="113">
        <v>46108.0</v>
      </c>
      <c r="U287" s="113"/>
      <c r="V287" s="113"/>
      <c r="W287" s="113"/>
      <c r="X287" s="113"/>
      <c r="Y287" s="113"/>
      <c r="Z287" s="114"/>
    </row>
    <row r="288">
      <c r="A288" s="90"/>
      <c r="B288" s="61" t="s">
        <v>23</v>
      </c>
      <c r="C288" s="61"/>
      <c r="D288" s="61" t="s">
        <v>1148</v>
      </c>
      <c r="E288" s="61" t="s">
        <v>1063</v>
      </c>
      <c r="F288" s="61" t="s">
        <v>1149</v>
      </c>
      <c r="G288" s="62" t="s">
        <v>44</v>
      </c>
      <c r="H288" s="61" t="s">
        <v>64</v>
      </c>
      <c r="I288" s="62" t="s">
        <v>1150</v>
      </c>
      <c r="J288" s="62" t="s">
        <v>44</v>
      </c>
      <c r="K288" s="62" t="s">
        <v>45</v>
      </c>
      <c r="L288" s="298"/>
      <c r="M288" s="65"/>
      <c r="N288" s="66"/>
      <c r="O288" s="66" t="str">
        <f t="shared" si="1"/>
        <v/>
      </c>
      <c r="P288" s="66">
        <v>0.0</v>
      </c>
      <c r="Q288" s="66">
        <v>0.0</v>
      </c>
      <c r="R288" s="112"/>
      <c r="S288" s="66"/>
      <c r="T288" s="66"/>
      <c r="U288" s="66"/>
      <c r="V288" s="66"/>
      <c r="W288" s="66"/>
      <c r="X288" s="66"/>
      <c r="Y288" s="66"/>
      <c r="Z288" s="82"/>
    </row>
    <row r="289">
      <c r="A289" s="96"/>
      <c r="B289" s="61" t="s">
        <v>20</v>
      </c>
      <c r="C289" s="97"/>
      <c r="D289" s="97" t="s">
        <v>1151</v>
      </c>
      <c r="E289" s="97" t="s">
        <v>531</v>
      </c>
      <c r="F289" s="97" t="s">
        <v>1152</v>
      </c>
      <c r="G289" s="98" t="s">
        <v>44</v>
      </c>
      <c r="H289" s="97" t="s">
        <v>106</v>
      </c>
      <c r="I289" s="175"/>
      <c r="J289" s="99" t="s">
        <v>1153</v>
      </c>
      <c r="K289" s="299"/>
      <c r="L289" s="97" t="s">
        <v>1154</v>
      </c>
      <c r="M289" s="102"/>
      <c r="N289" s="66"/>
      <c r="O289" s="66" t="str">
        <f t="shared" si="1"/>
        <v>DM</v>
      </c>
      <c r="P289" s="232">
        <v>1.0</v>
      </c>
      <c r="Q289" s="241">
        <v>0.0</v>
      </c>
      <c r="R289" s="112"/>
      <c r="S289" s="113"/>
      <c r="T289" s="113">
        <v>46108.0</v>
      </c>
      <c r="U289" s="113"/>
      <c r="V289" s="113"/>
      <c r="W289" s="113"/>
      <c r="X289" s="113"/>
      <c r="Y289" s="113"/>
      <c r="Z289" s="114"/>
    </row>
    <row r="290">
      <c r="A290" s="96"/>
      <c r="B290" s="61" t="s">
        <v>20</v>
      </c>
      <c r="C290" s="97"/>
      <c r="D290" s="97" t="s">
        <v>1155</v>
      </c>
      <c r="E290" s="97" t="s">
        <v>531</v>
      </c>
      <c r="F290" s="97" t="s">
        <v>1156</v>
      </c>
      <c r="G290" s="98" t="s">
        <v>44</v>
      </c>
      <c r="H290" s="97" t="s">
        <v>106</v>
      </c>
      <c r="I290" s="249"/>
      <c r="J290" s="99" t="s">
        <v>1157</v>
      </c>
      <c r="K290" s="166"/>
      <c r="L290" s="97" t="s">
        <v>1158</v>
      </c>
      <c r="M290" s="102"/>
      <c r="N290" s="66"/>
      <c r="O290" s="66" t="str">
        <f t="shared" si="1"/>
        <v>DM</v>
      </c>
      <c r="P290" s="232">
        <v>1.0</v>
      </c>
      <c r="Q290" s="241">
        <v>0.0</v>
      </c>
      <c r="R290" s="112"/>
      <c r="S290" s="113"/>
      <c r="T290" s="113">
        <v>46108.0</v>
      </c>
      <c r="U290" s="113"/>
      <c r="V290" s="113"/>
      <c r="W290" s="113"/>
      <c r="X290" s="113"/>
      <c r="Y290" s="113"/>
      <c r="Z290" s="114"/>
    </row>
    <row r="291">
      <c r="A291" s="96"/>
      <c r="B291" s="61" t="s">
        <v>20</v>
      </c>
      <c r="C291" s="106"/>
      <c r="D291" s="106" t="s">
        <v>1159</v>
      </c>
      <c r="E291" s="97" t="s">
        <v>513</v>
      </c>
      <c r="F291" s="106" t="s">
        <v>1160</v>
      </c>
      <c r="G291" s="300" t="s">
        <v>44</v>
      </c>
      <c r="H291" s="97" t="s">
        <v>64</v>
      </c>
      <c r="I291" s="98" t="s">
        <v>663</v>
      </c>
      <c r="J291" s="99" t="s">
        <v>1161</v>
      </c>
      <c r="K291" s="299"/>
      <c r="L291" s="301" t="s">
        <v>1162</v>
      </c>
      <c r="M291" s="302" t="s">
        <v>1163</v>
      </c>
      <c r="N291" s="66"/>
      <c r="O291" s="66" t="str">
        <f t="shared" si="1"/>
        <v>DM</v>
      </c>
      <c r="P291" s="232">
        <v>1.0</v>
      </c>
      <c r="Q291" s="232">
        <v>0.0</v>
      </c>
      <c r="R291" s="112"/>
      <c r="S291" s="113"/>
      <c r="T291" s="113">
        <v>46108.0</v>
      </c>
      <c r="U291" s="113"/>
      <c r="V291" s="113"/>
      <c r="W291" s="113"/>
      <c r="X291" s="113"/>
      <c r="Y291" s="113"/>
      <c r="Z291" s="114"/>
    </row>
    <row r="292">
      <c r="A292" s="90"/>
      <c r="B292" s="61" t="s">
        <v>23</v>
      </c>
      <c r="C292" s="61"/>
      <c r="D292" s="61" t="s">
        <v>1164</v>
      </c>
      <c r="E292" s="61" t="s">
        <v>578</v>
      </c>
      <c r="F292" s="61" t="s">
        <v>1165</v>
      </c>
      <c r="G292" s="62" t="s">
        <v>115</v>
      </c>
      <c r="H292" s="61" t="s">
        <v>64</v>
      </c>
      <c r="I292" s="62" t="s">
        <v>553</v>
      </c>
      <c r="J292" s="80"/>
      <c r="K292" s="62" t="s">
        <v>45</v>
      </c>
      <c r="L292" s="105"/>
      <c r="M292" s="65"/>
      <c r="N292" s="66"/>
      <c r="O292" s="66" t="str">
        <f t="shared" si="1"/>
        <v/>
      </c>
      <c r="P292" s="66">
        <v>0.0</v>
      </c>
      <c r="Q292" s="66">
        <v>0.0</v>
      </c>
      <c r="R292" s="112"/>
      <c r="S292" s="66"/>
      <c r="T292" s="66"/>
      <c r="U292" s="66"/>
      <c r="V292" s="66"/>
      <c r="W292" s="66"/>
      <c r="X292" s="66"/>
      <c r="Y292" s="66"/>
      <c r="Z292" s="82"/>
    </row>
    <row r="293">
      <c r="A293" s="96"/>
      <c r="B293" s="61" t="s">
        <v>20</v>
      </c>
      <c r="C293" s="97"/>
      <c r="D293" s="97" t="s">
        <v>938</v>
      </c>
      <c r="E293" s="97" t="s">
        <v>578</v>
      </c>
      <c r="F293" s="97" t="s">
        <v>1166</v>
      </c>
      <c r="G293" s="98" t="s">
        <v>44</v>
      </c>
      <c r="H293" s="175"/>
      <c r="I293" s="98" t="s">
        <v>1031</v>
      </c>
      <c r="J293" s="99" t="s">
        <v>1167</v>
      </c>
      <c r="K293" s="104" t="s">
        <v>1168</v>
      </c>
      <c r="L293" s="97" t="s">
        <v>1169</v>
      </c>
      <c r="M293" s="102"/>
      <c r="N293" s="66"/>
      <c r="O293" s="66" t="str">
        <f t="shared" si="1"/>
        <v>DM+이메일</v>
      </c>
      <c r="P293" s="232">
        <v>1.0</v>
      </c>
      <c r="Q293" s="232">
        <v>1.0</v>
      </c>
      <c r="R293" s="112"/>
      <c r="S293" s="113"/>
      <c r="T293" s="113">
        <v>46108.0</v>
      </c>
      <c r="U293" s="113"/>
      <c r="V293" s="113"/>
      <c r="W293" s="113"/>
      <c r="X293" s="113"/>
      <c r="Y293" s="113"/>
      <c r="Z293" s="114"/>
    </row>
    <row r="294">
      <c r="A294" s="96"/>
      <c r="B294" s="61" t="s">
        <v>20</v>
      </c>
      <c r="C294" s="97"/>
      <c r="D294" s="97" t="s">
        <v>1026</v>
      </c>
      <c r="E294" s="97" t="s">
        <v>429</v>
      </c>
      <c r="F294" s="97" t="s">
        <v>1170</v>
      </c>
      <c r="G294" s="98" t="s">
        <v>44</v>
      </c>
      <c r="H294" s="97" t="s">
        <v>64</v>
      </c>
      <c r="I294" s="98" t="s">
        <v>201</v>
      </c>
      <c r="J294" s="99" t="s">
        <v>1171</v>
      </c>
      <c r="K294" s="166"/>
      <c r="L294" s="97" t="s">
        <v>1172</v>
      </c>
      <c r="M294" s="102"/>
      <c r="N294" s="66"/>
      <c r="O294" s="66" t="str">
        <f t="shared" si="1"/>
        <v>이메일</v>
      </c>
      <c r="P294" s="241">
        <v>0.0</v>
      </c>
      <c r="Q294" s="232">
        <v>1.0</v>
      </c>
      <c r="R294" s="112"/>
      <c r="S294" s="113"/>
      <c r="T294" s="113">
        <v>46108.0</v>
      </c>
      <c r="U294" s="113"/>
      <c r="V294" s="113"/>
      <c r="W294" s="113"/>
      <c r="X294" s="113"/>
      <c r="Y294" s="113"/>
      <c r="Z294" s="114"/>
    </row>
    <row r="295">
      <c r="A295" s="96"/>
      <c r="B295" s="61" t="s">
        <v>20</v>
      </c>
      <c r="C295" s="97"/>
      <c r="D295" s="97" t="s">
        <v>1173</v>
      </c>
      <c r="E295" s="97" t="s">
        <v>429</v>
      </c>
      <c r="F295" s="97" t="s">
        <v>1174</v>
      </c>
      <c r="G295" s="98" t="s">
        <v>44</v>
      </c>
      <c r="H295" s="97" t="s">
        <v>64</v>
      </c>
      <c r="I295" s="98" t="s">
        <v>1175</v>
      </c>
      <c r="J295" s="99" t="s">
        <v>1176</v>
      </c>
      <c r="K295" s="166"/>
      <c r="L295" s="97" t="s">
        <v>1177</v>
      </c>
      <c r="M295" s="171" t="s">
        <v>1178</v>
      </c>
      <c r="N295" s="66"/>
      <c r="O295" s="66" t="str">
        <f t="shared" si="1"/>
        <v>이메일</v>
      </c>
      <c r="P295" s="241">
        <v>0.0</v>
      </c>
      <c r="Q295" s="232">
        <v>1.0</v>
      </c>
      <c r="R295" s="112"/>
      <c r="S295" s="113"/>
      <c r="T295" s="113">
        <v>46108.0</v>
      </c>
      <c r="U295" s="113"/>
      <c r="V295" s="113"/>
      <c r="W295" s="67" t="s">
        <v>2</v>
      </c>
      <c r="X295" s="113"/>
      <c r="Y295" s="113"/>
      <c r="Z295" s="114"/>
    </row>
    <row r="296">
      <c r="A296" s="96"/>
      <c r="B296" s="61" t="s">
        <v>25</v>
      </c>
      <c r="C296" s="97"/>
      <c r="D296" s="97" t="s">
        <v>1179</v>
      </c>
      <c r="E296" s="97" t="s">
        <v>1180</v>
      </c>
      <c r="F296" s="97" t="s">
        <v>1181</v>
      </c>
      <c r="G296" s="98" t="s">
        <v>44</v>
      </c>
      <c r="H296" s="97" t="s">
        <v>106</v>
      </c>
      <c r="I296" s="175"/>
      <c r="J296" s="99" t="s">
        <v>1182</v>
      </c>
      <c r="K296" s="166"/>
      <c r="L296" s="97" t="s">
        <v>1183</v>
      </c>
      <c r="M296" s="102"/>
      <c r="N296" s="66"/>
      <c r="O296" s="66" t="str">
        <f t="shared" si="1"/>
        <v/>
      </c>
      <c r="P296" s="241">
        <v>0.0</v>
      </c>
      <c r="Q296" s="241">
        <v>0.0</v>
      </c>
      <c r="R296" s="112"/>
      <c r="S296" s="241"/>
      <c r="T296" s="241"/>
      <c r="U296" s="241"/>
      <c r="V296" s="241"/>
      <c r="W296" s="241"/>
      <c r="X296" s="241"/>
      <c r="Y296" s="241"/>
      <c r="Z296" s="242"/>
    </row>
    <row r="297">
      <c r="A297" s="96"/>
      <c r="B297" s="61" t="s">
        <v>20</v>
      </c>
      <c r="C297" s="97"/>
      <c r="D297" s="97" t="s">
        <v>1184</v>
      </c>
      <c r="E297" s="97" t="s">
        <v>1180</v>
      </c>
      <c r="F297" s="97" t="s">
        <v>1185</v>
      </c>
      <c r="G297" s="98" t="s">
        <v>44</v>
      </c>
      <c r="H297" s="97" t="s">
        <v>64</v>
      </c>
      <c r="I297" s="98" t="s">
        <v>1186</v>
      </c>
      <c r="J297" s="103"/>
      <c r="K297" s="104" t="s">
        <v>1187</v>
      </c>
      <c r="L297" s="175"/>
      <c r="M297" s="102"/>
      <c r="N297" s="66"/>
      <c r="O297" s="66" t="str">
        <f t="shared" si="1"/>
        <v>DM</v>
      </c>
      <c r="P297" s="232">
        <v>1.0</v>
      </c>
      <c r="Q297" s="241">
        <v>0.0</v>
      </c>
      <c r="R297" s="112"/>
      <c r="S297" s="113"/>
      <c r="T297" s="113">
        <v>46108.0</v>
      </c>
      <c r="U297" s="113"/>
      <c r="V297" s="113"/>
      <c r="W297" s="113"/>
      <c r="X297" s="113"/>
      <c r="Y297" s="113"/>
      <c r="Z297" s="114"/>
    </row>
    <row r="298">
      <c r="A298" s="96"/>
      <c r="B298" s="61" t="s">
        <v>20</v>
      </c>
      <c r="C298" s="97"/>
      <c r="D298" s="97" t="s">
        <v>1188</v>
      </c>
      <c r="E298" s="97" t="s">
        <v>1189</v>
      </c>
      <c r="F298" s="97" t="s">
        <v>1190</v>
      </c>
      <c r="G298" s="98" t="s">
        <v>1191</v>
      </c>
      <c r="H298" s="97" t="s">
        <v>64</v>
      </c>
      <c r="I298" s="98" t="s">
        <v>44</v>
      </c>
      <c r="J298" s="99" t="s">
        <v>1192</v>
      </c>
      <c r="K298" s="107" t="s">
        <v>1193</v>
      </c>
      <c r="L298" s="97" t="s">
        <v>1194</v>
      </c>
      <c r="M298" s="102"/>
      <c r="N298" s="66"/>
      <c r="O298" s="66" t="str">
        <f t="shared" si="1"/>
        <v>DM+이메일</v>
      </c>
      <c r="P298" s="232">
        <v>1.0</v>
      </c>
      <c r="Q298" s="232">
        <v>1.0</v>
      </c>
      <c r="R298" s="112"/>
      <c r="S298" s="113"/>
      <c r="T298" s="113">
        <v>46108.0</v>
      </c>
      <c r="U298" s="113"/>
      <c r="V298" s="113"/>
      <c r="W298" s="113"/>
      <c r="X298" s="113"/>
      <c r="Y298" s="113"/>
      <c r="Z298" s="114"/>
    </row>
    <row r="299">
      <c r="A299" s="90"/>
      <c r="B299" s="61" t="s">
        <v>23</v>
      </c>
      <c r="C299" s="61"/>
      <c r="D299" s="61" t="s">
        <v>1195</v>
      </c>
      <c r="E299" s="61" t="s">
        <v>1189</v>
      </c>
      <c r="F299" s="61" t="s">
        <v>1196</v>
      </c>
      <c r="G299" s="62" t="s">
        <v>1191</v>
      </c>
      <c r="H299" s="61" t="s">
        <v>106</v>
      </c>
      <c r="I299" s="105"/>
      <c r="J299" s="62" t="s">
        <v>44</v>
      </c>
      <c r="K299" s="105"/>
      <c r="L299" s="61" t="s">
        <v>1197</v>
      </c>
      <c r="M299" s="125" t="s">
        <v>1198</v>
      </c>
      <c r="N299" s="66"/>
      <c r="O299" s="66" t="str">
        <f t="shared" si="1"/>
        <v/>
      </c>
      <c r="P299" s="66">
        <v>0.0</v>
      </c>
      <c r="Q299" s="66">
        <v>0.0</v>
      </c>
      <c r="R299" s="112"/>
      <c r="S299" s="66"/>
      <c r="T299" s="66"/>
      <c r="U299" s="66"/>
      <c r="V299" s="66"/>
      <c r="W299" s="66"/>
      <c r="X299" s="66"/>
      <c r="Y299" s="66"/>
      <c r="Z299" s="82"/>
    </row>
    <row r="300">
      <c r="A300" s="90"/>
      <c r="B300" s="61" t="s">
        <v>23</v>
      </c>
      <c r="C300" s="61"/>
      <c r="D300" s="61" t="s">
        <v>938</v>
      </c>
      <c r="E300" s="61" t="s">
        <v>1199</v>
      </c>
      <c r="F300" s="61" t="s">
        <v>1200</v>
      </c>
      <c r="G300" s="62" t="s">
        <v>44</v>
      </c>
      <c r="H300" s="105"/>
      <c r="I300" s="62" t="s">
        <v>1201</v>
      </c>
      <c r="J300" s="62" t="s">
        <v>44</v>
      </c>
      <c r="K300" s="105"/>
      <c r="L300" s="105"/>
      <c r="M300" s="176" t="s">
        <v>1202</v>
      </c>
      <c r="N300" s="66"/>
      <c r="O300" s="66" t="str">
        <f t="shared" si="1"/>
        <v/>
      </c>
      <c r="P300" s="66">
        <v>0.0</v>
      </c>
      <c r="Q300" s="66">
        <v>0.0</v>
      </c>
      <c r="R300" s="112"/>
      <c r="S300" s="66"/>
      <c r="T300" s="66"/>
      <c r="U300" s="66"/>
      <c r="V300" s="66"/>
      <c r="W300" s="66"/>
      <c r="X300" s="66"/>
      <c r="Y300" s="66"/>
      <c r="Z300" s="82"/>
    </row>
    <row r="301">
      <c r="A301" s="96"/>
      <c r="B301" s="61" t="s">
        <v>20</v>
      </c>
      <c r="C301" s="97"/>
      <c r="D301" s="97" t="s">
        <v>911</v>
      </c>
      <c r="E301" s="97" t="s">
        <v>109</v>
      </c>
      <c r="F301" s="97" t="s">
        <v>1203</v>
      </c>
      <c r="G301" s="98" t="s">
        <v>44</v>
      </c>
      <c r="H301" s="97" t="s">
        <v>64</v>
      </c>
      <c r="I301" s="98" t="s">
        <v>1201</v>
      </c>
      <c r="J301" s="99" t="s">
        <v>1204</v>
      </c>
      <c r="K301" s="223"/>
      <c r="L301" s="97" t="s">
        <v>1205</v>
      </c>
      <c r="M301" s="102"/>
      <c r="N301" s="66"/>
      <c r="O301" s="66" t="str">
        <f t="shared" si="1"/>
        <v>이메일</v>
      </c>
      <c r="P301" s="232">
        <v>0.0</v>
      </c>
      <c r="Q301" s="232">
        <v>1.0</v>
      </c>
      <c r="R301" s="112"/>
      <c r="S301" s="113"/>
      <c r="T301" s="113">
        <v>46108.0</v>
      </c>
      <c r="U301" s="113"/>
      <c r="V301" s="113"/>
      <c r="W301" s="113"/>
      <c r="X301" s="113"/>
      <c r="Y301" s="113"/>
      <c r="Z301" s="114"/>
    </row>
    <row r="302">
      <c r="A302" s="90"/>
      <c r="B302" s="61" t="s">
        <v>23</v>
      </c>
      <c r="C302" s="61"/>
      <c r="D302" s="61" t="s">
        <v>1206</v>
      </c>
      <c r="E302" s="61" t="s">
        <v>109</v>
      </c>
      <c r="F302" s="61" t="s">
        <v>1207</v>
      </c>
      <c r="G302" s="62" t="s">
        <v>44</v>
      </c>
      <c r="H302" s="61" t="s">
        <v>64</v>
      </c>
      <c r="I302" s="62" t="s">
        <v>1208</v>
      </c>
      <c r="J302" s="62" t="s">
        <v>44</v>
      </c>
      <c r="K302" s="105"/>
      <c r="L302" s="61" t="s">
        <v>1209</v>
      </c>
      <c r="M302" s="65"/>
      <c r="N302" s="66"/>
      <c r="O302" s="66" t="str">
        <f t="shared" si="1"/>
        <v/>
      </c>
      <c r="P302" s="66">
        <v>0.0</v>
      </c>
      <c r="Q302" s="66">
        <v>0.0</v>
      </c>
      <c r="R302" s="112"/>
      <c r="S302" s="66"/>
      <c r="T302" s="66"/>
      <c r="U302" s="66"/>
      <c r="V302" s="66"/>
      <c r="W302" s="66"/>
      <c r="X302" s="66"/>
      <c r="Y302" s="66"/>
      <c r="Z302" s="82"/>
    </row>
    <row r="303">
      <c r="A303" s="90"/>
      <c r="B303" s="61" t="s">
        <v>23</v>
      </c>
      <c r="C303" s="61"/>
      <c r="D303" s="61" t="s">
        <v>247</v>
      </c>
      <c r="E303" s="61" t="s">
        <v>1210</v>
      </c>
      <c r="F303" s="61" t="s">
        <v>1211</v>
      </c>
      <c r="G303" s="62" t="s">
        <v>44</v>
      </c>
      <c r="H303" s="105"/>
      <c r="I303" s="62" t="s">
        <v>648</v>
      </c>
      <c r="J303" s="62" t="s">
        <v>44</v>
      </c>
      <c r="K303" s="62" t="s">
        <v>45</v>
      </c>
      <c r="L303" s="303" t="s">
        <v>1212</v>
      </c>
      <c r="M303" s="65"/>
      <c r="N303" s="66"/>
      <c r="O303" s="66" t="str">
        <f t="shared" si="1"/>
        <v/>
      </c>
      <c r="P303" s="66">
        <v>0.0</v>
      </c>
      <c r="Q303" s="66">
        <v>0.0</v>
      </c>
      <c r="R303" s="112"/>
      <c r="S303" s="66"/>
      <c r="T303" s="66"/>
      <c r="U303" s="66"/>
      <c r="V303" s="66"/>
      <c r="W303" s="66"/>
      <c r="X303" s="66"/>
      <c r="Y303" s="66"/>
      <c r="Z303" s="82"/>
    </row>
    <row r="304">
      <c r="A304" s="96"/>
      <c r="B304" s="61" t="s">
        <v>20</v>
      </c>
      <c r="C304" s="97"/>
      <c r="D304" s="97" t="s">
        <v>1213</v>
      </c>
      <c r="E304" s="97" t="s">
        <v>506</v>
      </c>
      <c r="F304" s="97" t="s">
        <v>1214</v>
      </c>
      <c r="G304" s="98" t="s">
        <v>486</v>
      </c>
      <c r="H304" s="97" t="s">
        <v>124</v>
      </c>
      <c r="I304" s="98" t="s">
        <v>1215</v>
      </c>
      <c r="J304" s="99" t="s">
        <v>1216</v>
      </c>
      <c r="K304" s="299"/>
      <c r="L304" s="97" t="s">
        <v>1217</v>
      </c>
      <c r="M304" s="108" t="s">
        <v>1218</v>
      </c>
      <c r="N304" s="66"/>
      <c r="O304" s="66" t="str">
        <f t="shared" si="1"/>
        <v>이메일</v>
      </c>
      <c r="P304" s="232">
        <v>0.0</v>
      </c>
      <c r="Q304" s="232">
        <v>1.0</v>
      </c>
      <c r="R304" s="112"/>
      <c r="S304" s="113"/>
      <c r="T304" s="113">
        <v>46108.0</v>
      </c>
      <c r="U304" s="113"/>
      <c r="V304" s="113"/>
      <c r="W304" s="113"/>
      <c r="X304" s="113"/>
      <c r="Y304" s="113"/>
      <c r="Z304" s="114"/>
    </row>
    <row r="305" ht="21.0" customHeight="1">
      <c r="A305" s="75"/>
      <c r="B305" s="70" t="s">
        <v>23</v>
      </c>
      <c r="C305" s="70"/>
      <c r="D305" s="70" t="s">
        <v>1219</v>
      </c>
      <c r="E305" s="70" t="s">
        <v>113</v>
      </c>
      <c r="F305" s="70" t="s">
        <v>1220</v>
      </c>
      <c r="G305" s="72" t="s">
        <v>1221</v>
      </c>
      <c r="H305" s="70" t="s">
        <v>431</v>
      </c>
      <c r="I305" s="70" t="s">
        <v>1222</v>
      </c>
      <c r="J305" s="88"/>
      <c r="K305" s="88"/>
      <c r="L305" s="304" t="s">
        <v>1223</v>
      </c>
      <c r="M305" s="305" t="s">
        <v>1224</v>
      </c>
      <c r="N305" s="75"/>
      <c r="O305" s="75" t="str">
        <f t="shared" si="1"/>
        <v/>
      </c>
      <c r="P305" s="75">
        <v>0.0</v>
      </c>
      <c r="Q305" s="75">
        <v>0.0</v>
      </c>
      <c r="S305" s="75"/>
      <c r="T305" s="75"/>
      <c r="U305" s="75"/>
      <c r="V305" s="75"/>
      <c r="W305" s="75"/>
      <c r="X305" s="75"/>
      <c r="Y305" s="75"/>
      <c r="Z305" s="75"/>
    </row>
    <row r="306">
      <c r="A306" s="96"/>
      <c r="B306" s="61" t="s">
        <v>20</v>
      </c>
      <c r="C306" s="97"/>
      <c r="D306" s="97" t="s">
        <v>1225</v>
      </c>
      <c r="E306" s="97" t="s">
        <v>506</v>
      </c>
      <c r="F306" s="97" t="s">
        <v>1226</v>
      </c>
      <c r="G306" s="98" t="s">
        <v>486</v>
      </c>
      <c r="H306" s="97" t="s">
        <v>124</v>
      </c>
      <c r="I306" s="98" t="s">
        <v>553</v>
      </c>
      <c r="J306" s="103"/>
      <c r="K306" s="107" t="s">
        <v>1227</v>
      </c>
      <c r="L306" s="106" t="s">
        <v>1228</v>
      </c>
      <c r="M306" s="102"/>
      <c r="N306" s="66"/>
      <c r="O306" s="66" t="str">
        <f t="shared" si="1"/>
        <v>DM+이메일</v>
      </c>
      <c r="P306" s="232">
        <v>1.0</v>
      </c>
      <c r="Q306" s="232">
        <v>1.0</v>
      </c>
      <c r="R306" s="112"/>
      <c r="S306" s="113"/>
      <c r="T306" s="113">
        <v>46108.0</v>
      </c>
      <c r="U306" s="113"/>
      <c r="V306" s="113"/>
      <c r="W306" s="113"/>
      <c r="X306" s="113"/>
      <c r="Y306" s="113"/>
      <c r="Z306" s="114"/>
    </row>
    <row r="307">
      <c r="A307" s="96"/>
      <c r="B307" s="61" t="s">
        <v>20</v>
      </c>
      <c r="C307" s="97"/>
      <c r="D307" s="97" t="s">
        <v>1213</v>
      </c>
      <c r="E307" s="97" t="s">
        <v>494</v>
      </c>
      <c r="F307" s="97" t="s">
        <v>1229</v>
      </c>
      <c r="G307" s="98" t="s">
        <v>789</v>
      </c>
      <c r="H307" s="97" t="s">
        <v>124</v>
      </c>
      <c r="I307" s="98" t="s">
        <v>1230</v>
      </c>
      <c r="J307" s="103"/>
      <c r="K307" s="104" t="s">
        <v>1231</v>
      </c>
      <c r="L307" s="175"/>
      <c r="M307" s="102"/>
      <c r="N307" s="66"/>
      <c r="O307" s="66" t="str">
        <f t="shared" si="1"/>
        <v>DM</v>
      </c>
      <c r="P307" s="232">
        <v>1.0</v>
      </c>
      <c r="Q307" s="241">
        <v>0.0</v>
      </c>
      <c r="R307" s="112"/>
      <c r="S307" s="113"/>
      <c r="T307" s="113">
        <v>46108.0</v>
      </c>
      <c r="U307" s="113"/>
      <c r="V307" s="113"/>
      <c r="W307" s="113"/>
      <c r="X307" s="113"/>
      <c r="Y307" s="113"/>
      <c r="Z307" s="114"/>
    </row>
    <row r="308">
      <c r="A308" s="96"/>
      <c r="B308" s="61" t="s">
        <v>20</v>
      </c>
      <c r="C308" s="306"/>
      <c r="D308" s="306" t="s">
        <v>938</v>
      </c>
      <c r="E308" s="306" t="s">
        <v>531</v>
      </c>
      <c r="F308" s="306" t="s">
        <v>1232</v>
      </c>
      <c r="G308" s="307" t="s">
        <v>1031</v>
      </c>
      <c r="H308" s="306" t="s">
        <v>124</v>
      </c>
      <c r="I308" s="307" t="s">
        <v>1031</v>
      </c>
      <c r="J308" s="103"/>
      <c r="K308" s="223"/>
      <c r="L308" s="308"/>
      <c r="M308" s="309"/>
      <c r="N308" s="66"/>
      <c r="O308" s="66" t="str">
        <f t="shared" si="1"/>
        <v/>
      </c>
      <c r="P308" s="241">
        <v>0.0</v>
      </c>
      <c r="Q308" s="241">
        <v>0.0</v>
      </c>
      <c r="R308" s="112"/>
      <c r="S308" s="113"/>
      <c r="T308" s="113">
        <v>46108.0</v>
      </c>
      <c r="U308" s="113"/>
      <c r="V308" s="113"/>
      <c r="W308" s="113"/>
      <c r="X308" s="113"/>
      <c r="Y308" s="113"/>
      <c r="Z308" s="114"/>
    </row>
    <row r="309">
      <c r="A309" s="96"/>
      <c r="B309" s="61" t="s">
        <v>20</v>
      </c>
      <c r="C309" s="306"/>
      <c r="D309" s="306" t="s">
        <v>938</v>
      </c>
      <c r="E309" s="306" t="s">
        <v>531</v>
      </c>
      <c r="F309" s="306" t="s">
        <v>1233</v>
      </c>
      <c r="G309" s="307" t="s">
        <v>1031</v>
      </c>
      <c r="H309" s="306" t="s">
        <v>124</v>
      </c>
      <c r="I309" s="307" t="s">
        <v>1031</v>
      </c>
      <c r="J309" s="103"/>
      <c r="K309" s="223"/>
      <c r="L309" s="308"/>
      <c r="M309" s="309"/>
      <c r="N309" s="66"/>
      <c r="O309" s="66" t="str">
        <f t="shared" si="1"/>
        <v/>
      </c>
      <c r="P309" s="241">
        <v>0.0</v>
      </c>
      <c r="Q309" s="241">
        <v>0.0</v>
      </c>
      <c r="R309" s="112"/>
      <c r="S309" s="113"/>
      <c r="T309" s="113">
        <v>46108.0</v>
      </c>
      <c r="U309" s="113"/>
      <c r="V309" s="113"/>
      <c r="W309" s="113"/>
      <c r="X309" s="113"/>
      <c r="Y309" s="113"/>
      <c r="Z309" s="114"/>
    </row>
    <row r="310">
      <c r="A310" s="96"/>
      <c r="B310" s="61" t="s">
        <v>20</v>
      </c>
      <c r="C310" s="306"/>
      <c r="D310" s="306" t="s">
        <v>646</v>
      </c>
      <c r="E310" s="306" t="s">
        <v>531</v>
      </c>
      <c r="F310" s="306" t="s">
        <v>870</v>
      </c>
      <c r="G310" s="307" t="s">
        <v>1031</v>
      </c>
      <c r="H310" s="306" t="s">
        <v>124</v>
      </c>
      <c r="I310" s="307" t="s">
        <v>1031</v>
      </c>
      <c r="J310" s="103"/>
      <c r="K310" s="223"/>
      <c r="L310" s="308"/>
      <c r="M310" s="309"/>
      <c r="N310" s="66"/>
      <c r="O310" s="66" t="str">
        <f t="shared" si="1"/>
        <v/>
      </c>
      <c r="P310" s="241">
        <v>0.0</v>
      </c>
      <c r="Q310" s="241">
        <v>0.0</v>
      </c>
      <c r="R310" s="112"/>
      <c r="S310" s="113"/>
      <c r="T310" s="113">
        <v>46108.0</v>
      </c>
      <c r="U310" s="113"/>
      <c r="V310" s="113"/>
      <c r="W310" s="113"/>
      <c r="X310" s="113"/>
      <c r="Y310" s="113"/>
      <c r="Z310" s="114"/>
    </row>
    <row r="311">
      <c r="A311" s="96"/>
      <c r="B311" s="61" t="s">
        <v>20</v>
      </c>
      <c r="C311" s="306"/>
      <c r="D311" s="306" t="s">
        <v>1234</v>
      </c>
      <c r="E311" s="306" t="s">
        <v>531</v>
      </c>
      <c r="F311" s="306" t="s">
        <v>1235</v>
      </c>
      <c r="G311" s="307" t="s">
        <v>1031</v>
      </c>
      <c r="H311" s="306" t="s">
        <v>124</v>
      </c>
      <c r="I311" s="307" t="s">
        <v>1031</v>
      </c>
      <c r="J311" s="103"/>
      <c r="K311" s="223"/>
      <c r="L311" s="308"/>
      <c r="M311" s="309"/>
      <c r="N311" s="66"/>
      <c r="O311" s="66" t="str">
        <f t="shared" si="1"/>
        <v/>
      </c>
      <c r="P311" s="241">
        <v>0.0</v>
      </c>
      <c r="Q311" s="241">
        <v>0.0</v>
      </c>
      <c r="R311" s="112"/>
      <c r="S311" s="113"/>
      <c r="T311" s="113">
        <v>46108.0</v>
      </c>
      <c r="U311" s="113"/>
      <c r="V311" s="113"/>
      <c r="W311" s="113"/>
      <c r="X311" s="113"/>
      <c r="Y311" s="113"/>
      <c r="Z311" s="114"/>
    </row>
    <row r="312">
      <c r="A312" s="96"/>
      <c r="B312" s="61" t="s">
        <v>20</v>
      </c>
      <c r="C312" s="306"/>
      <c r="D312" s="306" t="s">
        <v>938</v>
      </c>
      <c r="E312" s="306" t="s">
        <v>531</v>
      </c>
      <c r="F312" s="306" t="s">
        <v>1236</v>
      </c>
      <c r="G312" s="307" t="s">
        <v>1031</v>
      </c>
      <c r="H312" s="306" t="s">
        <v>124</v>
      </c>
      <c r="I312" s="307" t="s">
        <v>1031</v>
      </c>
      <c r="J312" s="103"/>
      <c r="K312" s="223"/>
      <c r="L312" s="308"/>
      <c r="M312" s="309"/>
      <c r="N312" s="66"/>
      <c r="O312" s="66" t="str">
        <f t="shared" si="1"/>
        <v/>
      </c>
      <c r="P312" s="241">
        <v>0.0</v>
      </c>
      <c r="Q312" s="241">
        <v>0.0</v>
      </c>
      <c r="R312" s="112"/>
      <c r="S312" s="113"/>
      <c r="T312" s="113">
        <v>46108.0</v>
      </c>
      <c r="U312" s="113"/>
      <c r="V312" s="113"/>
      <c r="W312" s="113"/>
      <c r="X312" s="113"/>
      <c r="Y312" s="113"/>
      <c r="Z312" s="114"/>
    </row>
    <row r="313">
      <c r="A313" s="96"/>
      <c r="B313" s="61" t="s">
        <v>20</v>
      </c>
      <c r="C313" s="306"/>
      <c r="D313" s="306" t="s">
        <v>1237</v>
      </c>
      <c r="E313" s="306" t="s">
        <v>531</v>
      </c>
      <c r="F313" s="306" t="s">
        <v>1238</v>
      </c>
      <c r="G313" s="307" t="s">
        <v>1031</v>
      </c>
      <c r="H313" s="306" t="s">
        <v>124</v>
      </c>
      <c r="I313" s="307" t="s">
        <v>1031</v>
      </c>
      <c r="J313" s="103"/>
      <c r="K313" s="223"/>
      <c r="L313" s="308"/>
      <c r="M313" s="309"/>
      <c r="N313" s="66"/>
      <c r="O313" s="66" t="str">
        <f t="shared" si="1"/>
        <v/>
      </c>
      <c r="P313" s="241">
        <v>0.0</v>
      </c>
      <c r="Q313" s="241">
        <v>0.0</v>
      </c>
      <c r="R313" s="112"/>
      <c r="S313" s="113"/>
      <c r="T313" s="113">
        <v>46108.0</v>
      </c>
      <c r="U313" s="113"/>
      <c r="V313" s="113"/>
      <c r="W313" s="113"/>
      <c r="X313" s="113"/>
      <c r="Y313" s="113"/>
      <c r="Z313" s="114"/>
    </row>
    <row r="314">
      <c r="A314" s="96"/>
      <c r="B314" s="61" t="s">
        <v>20</v>
      </c>
      <c r="C314" s="306"/>
      <c r="D314" s="306" t="s">
        <v>938</v>
      </c>
      <c r="E314" s="306" t="s">
        <v>531</v>
      </c>
      <c r="F314" s="306" t="s">
        <v>1239</v>
      </c>
      <c r="G314" s="307" t="s">
        <v>1031</v>
      </c>
      <c r="H314" s="306" t="s">
        <v>124</v>
      </c>
      <c r="I314" s="307" t="s">
        <v>1031</v>
      </c>
      <c r="J314" s="103"/>
      <c r="K314" s="223"/>
      <c r="L314" s="308"/>
      <c r="M314" s="309"/>
      <c r="N314" s="66"/>
      <c r="O314" s="66" t="str">
        <f t="shared" si="1"/>
        <v/>
      </c>
      <c r="P314" s="241">
        <v>0.0</v>
      </c>
      <c r="Q314" s="241">
        <v>0.0</v>
      </c>
      <c r="R314" s="112"/>
      <c r="S314" s="113"/>
      <c r="T314" s="113">
        <v>46108.0</v>
      </c>
      <c r="U314" s="113"/>
      <c r="V314" s="113"/>
      <c r="W314" s="113"/>
      <c r="X314" s="113"/>
      <c r="Y314" s="113"/>
      <c r="Z314" s="114"/>
    </row>
    <row r="315">
      <c r="A315" s="96"/>
      <c r="B315" s="61" t="s">
        <v>20</v>
      </c>
      <c r="C315" s="306"/>
      <c r="D315" s="306" t="s">
        <v>1237</v>
      </c>
      <c r="E315" s="306" t="s">
        <v>531</v>
      </c>
      <c r="F315" s="306" t="s">
        <v>1240</v>
      </c>
      <c r="G315" s="307" t="s">
        <v>1031</v>
      </c>
      <c r="H315" s="306" t="s">
        <v>124</v>
      </c>
      <c r="I315" s="307" t="s">
        <v>1031</v>
      </c>
      <c r="J315" s="103"/>
      <c r="K315" s="223"/>
      <c r="L315" s="308"/>
      <c r="M315" s="309"/>
      <c r="N315" s="66"/>
      <c r="O315" s="66" t="str">
        <f t="shared" si="1"/>
        <v/>
      </c>
      <c r="P315" s="241">
        <v>0.0</v>
      </c>
      <c r="Q315" s="241">
        <v>0.0</v>
      </c>
      <c r="R315" s="112"/>
      <c r="S315" s="113"/>
      <c r="T315" s="113">
        <v>46108.0</v>
      </c>
      <c r="U315" s="113"/>
      <c r="V315" s="113"/>
      <c r="W315" s="113"/>
      <c r="X315" s="113"/>
      <c r="Y315" s="113"/>
      <c r="Z315" s="114"/>
    </row>
    <row r="316">
      <c r="A316" s="90"/>
      <c r="B316" s="61" t="s">
        <v>23</v>
      </c>
      <c r="C316" s="61"/>
      <c r="D316" s="61" t="s">
        <v>574</v>
      </c>
      <c r="E316" s="61" t="s">
        <v>353</v>
      </c>
      <c r="F316" s="61" t="s">
        <v>1241</v>
      </c>
      <c r="G316" s="62" t="s">
        <v>44</v>
      </c>
      <c r="H316" s="61" t="s">
        <v>106</v>
      </c>
      <c r="I316" s="105"/>
      <c r="J316" s="62" t="s">
        <v>44</v>
      </c>
      <c r="K316" s="62" t="s">
        <v>45</v>
      </c>
      <c r="L316" s="105"/>
      <c r="M316" s="65"/>
      <c r="N316" s="66"/>
      <c r="O316" s="66" t="str">
        <f t="shared" si="1"/>
        <v/>
      </c>
      <c r="P316" s="66">
        <v>0.0</v>
      </c>
      <c r="Q316" s="66">
        <v>0.0</v>
      </c>
      <c r="R316" s="112"/>
      <c r="S316" s="66"/>
      <c r="T316" s="66"/>
      <c r="U316" s="66"/>
      <c r="V316" s="66"/>
      <c r="W316" s="66"/>
      <c r="X316" s="66"/>
      <c r="Y316" s="66"/>
      <c r="Z316" s="82"/>
    </row>
    <row r="317">
      <c r="A317" s="96"/>
      <c r="B317" s="61" t="s">
        <v>20</v>
      </c>
      <c r="C317" s="97"/>
      <c r="D317" s="97" t="s">
        <v>1242</v>
      </c>
      <c r="E317" s="97" t="s">
        <v>353</v>
      </c>
      <c r="F317" s="97" t="s">
        <v>1243</v>
      </c>
      <c r="G317" s="98" t="s">
        <v>44</v>
      </c>
      <c r="H317" s="97" t="s">
        <v>64</v>
      </c>
      <c r="I317" s="98" t="s">
        <v>1244</v>
      </c>
      <c r="J317" s="99" t="s">
        <v>1245</v>
      </c>
      <c r="K317" s="107" t="s">
        <v>1246</v>
      </c>
      <c r="L317" s="97" t="s">
        <v>1247</v>
      </c>
      <c r="M317" s="102"/>
      <c r="N317" s="66"/>
      <c r="O317" s="66" t="str">
        <f t="shared" si="1"/>
        <v>DM+이메일</v>
      </c>
      <c r="P317" s="232">
        <v>1.0</v>
      </c>
      <c r="Q317" s="232">
        <v>1.0</v>
      </c>
      <c r="R317" s="112"/>
      <c r="S317" s="113"/>
      <c r="T317" s="113">
        <v>46108.0</v>
      </c>
      <c r="U317" s="113"/>
      <c r="V317" s="113"/>
      <c r="W317" s="113"/>
      <c r="X317" s="113"/>
      <c r="Y317" s="113"/>
      <c r="Z317" s="114"/>
    </row>
    <row r="318">
      <c r="A318" s="96"/>
      <c r="B318" s="61" t="s">
        <v>20</v>
      </c>
      <c r="C318" s="97"/>
      <c r="D318" s="97" t="s">
        <v>574</v>
      </c>
      <c r="E318" s="97" t="s">
        <v>69</v>
      </c>
      <c r="F318" s="97" t="s">
        <v>1248</v>
      </c>
      <c r="G318" s="98" t="s">
        <v>44</v>
      </c>
      <c r="H318" s="97" t="s">
        <v>431</v>
      </c>
      <c r="I318" s="249"/>
      <c r="J318" s="99" t="s">
        <v>1249</v>
      </c>
      <c r="K318" s="223"/>
      <c r="L318" s="97" t="s">
        <v>1250</v>
      </c>
      <c r="M318" s="102"/>
      <c r="N318" s="66"/>
      <c r="O318" s="66" t="str">
        <f t="shared" si="1"/>
        <v>이메일</v>
      </c>
      <c r="P318" s="241">
        <v>0.0</v>
      </c>
      <c r="Q318" s="232">
        <v>1.0</v>
      </c>
      <c r="R318" s="112"/>
      <c r="S318" s="113"/>
      <c r="T318" s="113">
        <v>46108.0</v>
      </c>
      <c r="U318" s="113"/>
      <c r="V318" s="113"/>
      <c r="W318" s="113"/>
      <c r="X318" s="113"/>
      <c r="Y318" s="113"/>
      <c r="Z318" s="114"/>
    </row>
    <row r="319">
      <c r="A319" s="96"/>
      <c r="B319" s="61" t="s">
        <v>20</v>
      </c>
      <c r="C319" s="97"/>
      <c r="D319" s="97" t="s">
        <v>574</v>
      </c>
      <c r="E319" s="97" t="s">
        <v>69</v>
      </c>
      <c r="F319" s="106" t="s">
        <v>1251</v>
      </c>
      <c r="G319" s="98" t="s">
        <v>44</v>
      </c>
      <c r="H319" s="97" t="s">
        <v>64</v>
      </c>
      <c r="I319" s="98" t="s">
        <v>1252</v>
      </c>
      <c r="J319" s="99" t="s">
        <v>1253</v>
      </c>
      <c r="K319" s="166"/>
      <c r="L319" s="97" t="s">
        <v>1254</v>
      </c>
      <c r="M319" s="102"/>
      <c r="N319" s="66"/>
      <c r="O319" s="66" t="str">
        <f t="shared" si="1"/>
        <v>이메일</v>
      </c>
      <c r="P319" s="241">
        <v>0.0</v>
      </c>
      <c r="Q319" s="232">
        <v>1.0</v>
      </c>
      <c r="R319" s="112"/>
      <c r="S319" s="113"/>
      <c r="T319" s="113">
        <v>46108.0</v>
      </c>
      <c r="U319" s="113"/>
      <c r="V319" s="113"/>
      <c r="W319" s="113"/>
      <c r="X319" s="113"/>
      <c r="Y319" s="113"/>
      <c r="Z319" s="114"/>
    </row>
    <row r="320">
      <c r="A320" s="90"/>
      <c r="B320" s="61" t="s">
        <v>23</v>
      </c>
      <c r="C320" s="61"/>
      <c r="D320" s="61" t="s">
        <v>1255</v>
      </c>
      <c r="E320" s="61" t="s">
        <v>1110</v>
      </c>
      <c r="F320" s="61" t="s">
        <v>1256</v>
      </c>
      <c r="G320" s="62" t="s">
        <v>1252</v>
      </c>
      <c r="H320" s="61" t="s">
        <v>64</v>
      </c>
      <c r="I320" s="62" t="s">
        <v>1252</v>
      </c>
      <c r="J320" s="62" t="s">
        <v>44</v>
      </c>
      <c r="K320" s="62" t="s">
        <v>45</v>
      </c>
      <c r="L320" s="61" t="s">
        <v>1257</v>
      </c>
      <c r="M320" s="65"/>
      <c r="N320" s="66"/>
      <c r="O320" s="66" t="str">
        <f t="shared" si="1"/>
        <v/>
      </c>
      <c r="P320" s="66">
        <v>0.0</v>
      </c>
      <c r="Q320" s="66">
        <v>0.0</v>
      </c>
      <c r="R320" s="112"/>
      <c r="S320" s="66"/>
      <c r="T320" s="66"/>
      <c r="U320" s="66"/>
      <c r="V320" s="66"/>
      <c r="W320" s="66"/>
      <c r="X320" s="66"/>
      <c r="Y320" s="66"/>
      <c r="Z320" s="82"/>
    </row>
    <row r="321">
      <c r="A321" s="96"/>
      <c r="B321" s="61" t="s">
        <v>20</v>
      </c>
      <c r="C321" s="97"/>
      <c r="D321" s="97" t="s">
        <v>1258</v>
      </c>
      <c r="E321" s="97" t="s">
        <v>1110</v>
      </c>
      <c r="F321" s="97" t="s">
        <v>1259</v>
      </c>
      <c r="G321" s="98" t="s">
        <v>44</v>
      </c>
      <c r="H321" s="97"/>
      <c r="I321" s="175"/>
      <c r="J321" s="310" t="s">
        <v>1260</v>
      </c>
      <c r="K321" s="107" t="s">
        <v>1261</v>
      </c>
      <c r="L321" s="170" t="s">
        <v>1262</v>
      </c>
      <c r="M321" s="247" t="s">
        <v>1263</v>
      </c>
      <c r="N321" s="66"/>
      <c r="O321" s="66" t="str">
        <f t="shared" si="1"/>
        <v>DM+이메일</v>
      </c>
      <c r="P321" s="232">
        <v>1.0</v>
      </c>
      <c r="Q321" s="232">
        <v>1.0</v>
      </c>
      <c r="R321" s="112"/>
      <c r="S321" s="113"/>
      <c r="T321" s="113">
        <v>46108.0</v>
      </c>
      <c r="U321" s="113"/>
      <c r="V321" s="113"/>
      <c r="W321" s="113"/>
      <c r="X321" s="113"/>
      <c r="Y321" s="113"/>
      <c r="Z321" s="114"/>
    </row>
    <row r="322">
      <c r="A322" s="96"/>
      <c r="B322" s="61" t="s">
        <v>20</v>
      </c>
      <c r="C322" s="97"/>
      <c r="D322" s="97" t="s">
        <v>1264</v>
      </c>
      <c r="E322" s="97" t="s">
        <v>531</v>
      </c>
      <c r="F322" s="97" t="s">
        <v>1265</v>
      </c>
      <c r="G322" s="98" t="s">
        <v>44</v>
      </c>
      <c r="H322" s="97" t="s">
        <v>64</v>
      </c>
      <c r="I322" s="98" t="s">
        <v>992</v>
      </c>
      <c r="J322" s="99" t="s">
        <v>1266</v>
      </c>
      <c r="K322" s="299"/>
      <c r="L322" s="97" t="s">
        <v>1267</v>
      </c>
      <c r="M322" s="102"/>
      <c r="N322" s="66"/>
      <c r="O322" s="66" t="str">
        <f t="shared" si="1"/>
        <v>이메일</v>
      </c>
      <c r="P322" s="241">
        <v>0.0</v>
      </c>
      <c r="Q322" s="232">
        <v>1.0</v>
      </c>
      <c r="R322" s="112"/>
      <c r="S322" s="113"/>
      <c r="T322" s="113">
        <v>46108.0</v>
      </c>
      <c r="U322" s="113"/>
      <c r="V322" s="113"/>
      <c r="W322" s="113"/>
      <c r="X322" s="113"/>
      <c r="Y322" s="113"/>
      <c r="Z322" s="114"/>
    </row>
    <row r="323">
      <c r="A323" s="90"/>
      <c r="B323" s="61" t="s">
        <v>23</v>
      </c>
      <c r="C323" s="61"/>
      <c r="D323" s="61" t="s">
        <v>938</v>
      </c>
      <c r="E323" s="61" t="s">
        <v>531</v>
      </c>
      <c r="F323" s="61" t="s">
        <v>1268</v>
      </c>
      <c r="G323" s="62" t="s">
        <v>44</v>
      </c>
      <c r="H323" s="61" t="s">
        <v>64</v>
      </c>
      <c r="I323" s="62" t="s">
        <v>992</v>
      </c>
      <c r="J323" s="62" t="s">
        <v>44</v>
      </c>
      <c r="K323" s="105"/>
      <c r="L323" s="61" t="s">
        <v>1269</v>
      </c>
      <c r="M323" s="65"/>
      <c r="N323" s="66"/>
      <c r="O323" s="66" t="str">
        <f t="shared" si="1"/>
        <v/>
      </c>
      <c r="P323" s="66">
        <v>0.0</v>
      </c>
      <c r="Q323" s="66">
        <v>0.0</v>
      </c>
      <c r="R323" s="112"/>
      <c r="S323" s="66"/>
      <c r="T323" s="66"/>
      <c r="U323" s="66"/>
      <c r="V323" s="66"/>
      <c r="W323" s="66"/>
      <c r="X323" s="66"/>
      <c r="Y323" s="66"/>
      <c r="Z323" s="82"/>
    </row>
    <row r="324">
      <c r="A324" s="96"/>
      <c r="B324" s="61" t="s">
        <v>20</v>
      </c>
      <c r="C324" s="97"/>
      <c r="D324" s="97" t="s">
        <v>574</v>
      </c>
      <c r="E324" s="97" t="s">
        <v>332</v>
      </c>
      <c r="F324" s="97" t="s">
        <v>1270</v>
      </c>
      <c r="G324" s="311" t="s">
        <v>1271</v>
      </c>
      <c r="H324" s="97" t="s">
        <v>106</v>
      </c>
      <c r="I324" s="175"/>
      <c r="J324" s="99" t="s">
        <v>1272</v>
      </c>
      <c r="K324" s="107" t="s">
        <v>1273</v>
      </c>
      <c r="L324" s="97" t="s">
        <v>1274</v>
      </c>
      <c r="M324" s="312" t="s">
        <v>1275</v>
      </c>
      <c r="N324" s="66"/>
      <c r="O324" s="66" t="str">
        <f t="shared" si="1"/>
        <v>DM+이메일</v>
      </c>
      <c r="P324" s="232">
        <v>1.0</v>
      </c>
      <c r="Q324" s="232">
        <v>1.0</v>
      </c>
      <c r="R324" s="112"/>
      <c r="S324" s="113"/>
      <c r="T324" s="113">
        <v>46108.0</v>
      </c>
      <c r="U324" s="113"/>
      <c r="V324" s="113"/>
      <c r="W324" s="113"/>
      <c r="X324" s="113"/>
      <c r="Y324" s="113"/>
      <c r="Z324" s="114"/>
    </row>
    <row r="325">
      <c r="A325" s="96"/>
      <c r="B325" s="61" t="s">
        <v>20</v>
      </c>
      <c r="C325" s="97"/>
      <c r="D325" s="97" t="s">
        <v>574</v>
      </c>
      <c r="E325" s="97" t="s">
        <v>332</v>
      </c>
      <c r="F325" s="97" t="s">
        <v>1276</v>
      </c>
      <c r="G325" s="98" t="s">
        <v>1271</v>
      </c>
      <c r="H325" s="97" t="s">
        <v>1277</v>
      </c>
      <c r="I325" s="98" t="s">
        <v>1278</v>
      </c>
      <c r="J325" s="99" t="s">
        <v>1279</v>
      </c>
      <c r="K325" s="218"/>
      <c r="L325" s="97" t="s">
        <v>1280</v>
      </c>
      <c r="M325" s="108" t="s">
        <v>1281</v>
      </c>
      <c r="N325" s="66"/>
      <c r="O325" s="66" t="str">
        <f t="shared" si="1"/>
        <v>이메일</v>
      </c>
      <c r="P325" s="241">
        <v>0.0</v>
      </c>
      <c r="Q325" s="232">
        <v>1.0</v>
      </c>
      <c r="R325" s="112"/>
      <c r="S325" s="113"/>
      <c r="T325" s="113">
        <v>46108.0</v>
      </c>
      <c r="U325" s="113"/>
      <c r="V325" s="113"/>
      <c r="W325" s="113"/>
      <c r="X325" s="113"/>
      <c r="Y325" s="113"/>
      <c r="Z325" s="114"/>
    </row>
    <row r="326">
      <c r="A326" s="90"/>
      <c r="B326" s="61" t="s">
        <v>23</v>
      </c>
      <c r="C326" s="61"/>
      <c r="D326" s="61" t="s">
        <v>588</v>
      </c>
      <c r="E326" s="61" t="s">
        <v>1189</v>
      </c>
      <c r="F326" s="61" t="s">
        <v>1282</v>
      </c>
      <c r="G326" s="62" t="s">
        <v>115</v>
      </c>
      <c r="H326" s="61" t="s">
        <v>106</v>
      </c>
      <c r="I326" s="80"/>
      <c r="J326" s="62" t="s">
        <v>44</v>
      </c>
      <c r="K326" s="62" t="s">
        <v>45</v>
      </c>
      <c r="L326" s="105"/>
      <c r="M326" s="125" t="s">
        <v>1283</v>
      </c>
      <c r="N326" s="66"/>
      <c r="O326" s="66" t="str">
        <f t="shared" si="1"/>
        <v/>
      </c>
      <c r="P326" s="66">
        <v>0.0</v>
      </c>
      <c r="Q326" s="66">
        <v>0.0</v>
      </c>
      <c r="R326" s="112"/>
      <c r="S326" s="66"/>
      <c r="T326" s="66"/>
      <c r="U326" s="66"/>
      <c r="V326" s="66"/>
      <c r="W326" s="66"/>
      <c r="X326" s="66"/>
      <c r="Y326" s="66"/>
      <c r="Z326" s="82"/>
    </row>
    <row r="327">
      <c r="A327" s="90"/>
      <c r="B327" s="61" t="s">
        <v>23</v>
      </c>
      <c r="C327" s="61"/>
      <c r="D327" s="61" t="s">
        <v>1284</v>
      </c>
      <c r="E327" s="61" t="s">
        <v>1189</v>
      </c>
      <c r="F327" s="61" t="s">
        <v>1285</v>
      </c>
      <c r="G327" s="62" t="s">
        <v>1191</v>
      </c>
      <c r="H327" s="61" t="s">
        <v>64</v>
      </c>
      <c r="I327" s="62" t="s">
        <v>1286</v>
      </c>
      <c r="J327" s="62" t="s">
        <v>44</v>
      </c>
      <c r="K327" s="62" t="s">
        <v>45</v>
      </c>
      <c r="L327" s="105"/>
      <c r="M327" s="65"/>
      <c r="N327" s="66"/>
      <c r="O327" s="66" t="str">
        <f t="shared" si="1"/>
        <v/>
      </c>
      <c r="P327" s="66">
        <v>0.0</v>
      </c>
      <c r="Q327" s="66">
        <v>0.0</v>
      </c>
      <c r="R327" s="112"/>
      <c r="S327" s="66"/>
      <c r="T327" s="66"/>
      <c r="U327" s="66"/>
      <c r="V327" s="66"/>
      <c r="W327" s="66"/>
      <c r="X327" s="66"/>
      <c r="Y327" s="66"/>
      <c r="Z327" s="82"/>
    </row>
    <row r="328">
      <c r="A328" s="96"/>
      <c r="B328" s="61" t="s">
        <v>20</v>
      </c>
      <c r="C328" s="97"/>
      <c r="D328" s="97" t="s">
        <v>938</v>
      </c>
      <c r="E328" s="97" t="s">
        <v>429</v>
      </c>
      <c r="F328" s="97" t="s">
        <v>1287</v>
      </c>
      <c r="G328" s="98" t="s">
        <v>648</v>
      </c>
      <c r="H328" s="97" t="s">
        <v>64</v>
      </c>
      <c r="I328" s="98" t="s">
        <v>648</v>
      </c>
      <c r="J328" s="103"/>
      <c r="K328" s="218"/>
      <c r="L328" s="175"/>
      <c r="M328" s="108" t="s">
        <v>1288</v>
      </c>
      <c r="N328" s="66"/>
      <c r="O328" s="66" t="str">
        <f t="shared" si="1"/>
        <v/>
      </c>
      <c r="P328" s="241">
        <v>0.0</v>
      </c>
      <c r="Q328" s="241">
        <v>0.0</v>
      </c>
      <c r="R328" s="112"/>
      <c r="S328" s="113"/>
      <c r="T328" s="113">
        <v>46108.0</v>
      </c>
      <c r="U328" s="113"/>
      <c r="V328" s="113"/>
      <c r="W328" s="113"/>
      <c r="X328" s="113"/>
      <c r="Y328" s="113"/>
      <c r="Z328" s="114"/>
    </row>
    <row r="329">
      <c r="A329" s="96"/>
      <c r="B329" s="61" t="s">
        <v>20</v>
      </c>
      <c r="C329" s="97"/>
      <c r="D329" s="97" t="s">
        <v>1289</v>
      </c>
      <c r="E329" s="97" t="s">
        <v>429</v>
      </c>
      <c r="F329" s="97" t="s">
        <v>1290</v>
      </c>
      <c r="G329" s="98" t="s">
        <v>44</v>
      </c>
      <c r="H329" s="97" t="s">
        <v>64</v>
      </c>
      <c r="I329" s="98" t="s">
        <v>992</v>
      </c>
      <c r="J329" s="99" t="s">
        <v>1291</v>
      </c>
      <c r="K329" s="107" t="s">
        <v>1292</v>
      </c>
      <c r="L329" s="97" t="s">
        <v>1293</v>
      </c>
      <c r="M329" s="102"/>
      <c r="N329" s="66"/>
      <c r="O329" s="66" t="str">
        <f t="shared" si="1"/>
        <v>DM+이메일</v>
      </c>
      <c r="P329" s="232">
        <v>1.0</v>
      </c>
      <c r="Q329" s="232">
        <v>1.0</v>
      </c>
      <c r="R329" s="112"/>
      <c r="S329" s="113"/>
      <c r="T329" s="113">
        <v>46108.0</v>
      </c>
      <c r="U329" s="113"/>
      <c r="V329" s="113"/>
      <c r="W329" s="113"/>
      <c r="X329" s="113"/>
      <c r="Y329" s="113"/>
      <c r="Z329" s="114"/>
    </row>
    <row r="330">
      <c r="A330" s="96"/>
      <c r="B330" s="61" t="s">
        <v>20</v>
      </c>
      <c r="C330" s="97"/>
      <c r="D330" s="97" t="s">
        <v>1125</v>
      </c>
      <c r="E330" s="97" t="s">
        <v>1072</v>
      </c>
      <c r="F330" s="97" t="s">
        <v>1294</v>
      </c>
      <c r="G330" s="98" t="s">
        <v>44</v>
      </c>
      <c r="H330" s="97" t="s">
        <v>64</v>
      </c>
      <c r="I330" s="98" t="s">
        <v>1098</v>
      </c>
      <c r="J330" s="99" t="s">
        <v>1295</v>
      </c>
      <c r="K330" s="166"/>
      <c r="L330" s="97" t="s">
        <v>1296</v>
      </c>
      <c r="M330" s="108" t="s">
        <v>1297</v>
      </c>
      <c r="N330" s="66"/>
      <c r="O330" s="66" t="str">
        <f t="shared" si="1"/>
        <v>이메일</v>
      </c>
      <c r="P330" s="241">
        <v>0.0</v>
      </c>
      <c r="Q330" s="232">
        <v>1.0</v>
      </c>
      <c r="R330" s="112"/>
      <c r="S330" s="113"/>
      <c r="T330" s="113">
        <v>46108.0</v>
      </c>
      <c r="U330" s="113"/>
      <c r="V330" s="113"/>
      <c r="W330" s="113"/>
      <c r="X330" s="113"/>
      <c r="Y330" s="113"/>
      <c r="Z330" s="114"/>
    </row>
    <row r="331">
      <c r="A331" s="96"/>
      <c r="B331" s="61" t="s">
        <v>20</v>
      </c>
      <c r="C331" s="97"/>
      <c r="D331" s="97" t="s">
        <v>938</v>
      </c>
      <c r="E331" s="97" t="s">
        <v>1072</v>
      </c>
      <c r="F331" s="97" t="s">
        <v>1298</v>
      </c>
      <c r="G331" s="98" t="s">
        <v>44</v>
      </c>
      <c r="H331" s="97" t="s">
        <v>64</v>
      </c>
      <c r="I331" s="98" t="s">
        <v>1098</v>
      </c>
      <c r="J331" s="99" t="s">
        <v>1299</v>
      </c>
      <c r="K331" s="166"/>
      <c r="L331" s="97" t="s">
        <v>1300</v>
      </c>
      <c r="M331" s="102"/>
      <c r="N331" s="66"/>
      <c r="O331" s="66" t="str">
        <f t="shared" si="1"/>
        <v>이메일</v>
      </c>
      <c r="P331" s="241">
        <v>0.0</v>
      </c>
      <c r="Q331" s="232">
        <v>1.0</v>
      </c>
      <c r="R331" s="112"/>
      <c r="S331" s="113"/>
      <c r="T331" s="113">
        <v>46108.0</v>
      </c>
      <c r="U331" s="113"/>
      <c r="V331" s="113"/>
      <c r="W331" s="113"/>
      <c r="X331" s="113"/>
      <c r="Y331" s="113"/>
      <c r="Z331" s="114"/>
    </row>
    <row r="332">
      <c r="A332" s="96"/>
      <c r="B332" s="61" t="s">
        <v>20</v>
      </c>
      <c r="C332" s="97"/>
      <c r="D332" s="97" t="s">
        <v>1301</v>
      </c>
      <c r="E332" s="97" t="s">
        <v>1072</v>
      </c>
      <c r="F332" s="97" t="s">
        <v>1302</v>
      </c>
      <c r="G332" s="98" t="s">
        <v>44</v>
      </c>
      <c r="H332" s="97" t="s">
        <v>106</v>
      </c>
      <c r="I332" s="170"/>
      <c r="J332" s="99" t="s">
        <v>1303</v>
      </c>
      <c r="K332" s="166"/>
      <c r="L332" s="97" t="s">
        <v>1304</v>
      </c>
      <c r="M332" s="102"/>
      <c r="N332" s="66"/>
      <c r="O332" s="66" t="str">
        <f t="shared" si="1"/>
        <v>이메일</v>
      </c>
      <c r="P332" s="241">
        <v>0.0</v>
      </c>
      <c r="Q332" s="232">
        <v>1.0</v>
      </c>
      <c r="R332" s="112"/>
      <c r="S332" s="113"/>
      <c r="T332" s="113">
        <v>46108.0</v>
      </c>
      <c r="U332" s="113"/>
      <c r="V332" s="113"/>
      <c r="W332" s="113"/>
      <c r="X332" s="113"/>
      <c r="Y332" s="113"/>
      <c r="Z332" s="114"/>
    </row>
    <row r="333">
      <c r="A333" s="96"/>
      <c r="B333" s="61" t="s">
        <v>20</v>
      </c>
      <c r="C333" s="97"/>
      <c r="D333" s="97" t="s">
        <v>574</v>
      </c>
      <c r="E333" s="97" t="s">
        <v>1210</v>
      </c>
      <c r="F333" s="97" t="s">
        <v>1305</v>
      </c>
      <c r="G333" s="98" t="s">
        <v>44</v>
      </c>
      <c r="H333" s="97" t="s">
        <v>106</v>
      </c>
      <c r="I333" s="175"/>
      <c r="J333" s="99" t="s">
        <v>1306</v>
      </c>
      <c r="K333" s="166"/>
      <c r="L333" s="275" t="s">
        <v>1307</v>
      </c>
      <c r="M333" s="102"/>
      <c r="N333" s="66"/>
      <c r="O333" s="66" t="str">
        <f t="shared" si="1"/>
        <v>이메일</v>
      </c>
      <c r="P333" s="241">
        <v>0.0</v>
      </c>
      <c r="Q333" s="232">
        <v>1.0</v>
      </c>
      <c r="R333" s="112"/>
      <c r="S333" s="113"/>
      <c r="T333" s="113">
        <v>46108.0</v>
      </c>
      <c r="U333" s="113"/>
      <c r="V333" s="113"/>
      <c r="W333" s="113"/>
      <c r="X333" s="113"/>
      <c r="Y333" s="113"/>
      <c r="Z333" s="114"/>
    </row>
    <row r="334">
      <c r="A334" s="96"/>
      <c r="B334" s="61" t="s">
        <v>20</v>
      </c>
      <c r="C334" s="97"/>
      <c r="D334" s="97" t="s">
        <v>949</v>
      </c>
      <c r="E334" s="97" t="s">
        <v>494</v>
      </c>
      <c r="F334" s="97" t="s">
        <v>1308</v>
      </c>
      <c r="G334" s="98" t="s">
        <v>44</v>
      </c>
      <c r="H334" s="97" t="s">
        <v>64</v>
      </c>
      <c r="I334" s="98" t="s">
        <v>1309</v>
      </c>
      <c r="J334" s="99" t="s">
        <v>1310</v>
      </c>
      <c r="K334" s="107" t="s">
        <v>1311</v>
      </c>
      <c r="L334" s="97" t="s">
        <v>1312</v>
      </c>
      <c r="M334" s="247" t="s">
        <v>1313</v>
      </c>
      <c r="N334" s="66"/>
      <c r="O334" s="66" t="str">
        <f t="shared" si="1"/>
        <v>DM+이메일</v>
      </c>
      <c r="P334" s="232">
        <v>1.0</v>
      </c>
      <c r="Q334" s="232">
        <v>1.0</v>
      </c>
      <c r="R334" s="112"/>
      <c r="S334" s="113"/>
      <c r="T334" s="113">
        <v>46108.0</v>
      </c>
      <c r="U334" s="113"/>
      <c r="V334" s="113"/>
      <c r="W334" s="113"/>
      <c r="X334" s="113"/>
      <c r="Y334" s="113"/>
      <c r="Z334" s="114"/>
    </row>
    <row r="335">
      <c r="A335" s="96"/>
      <c r="B335" s="61" t="s">
        <v>20</v>
      </c>
      <c r="C335" s="97"/>
      <c r="D335" s="97" t="s">
        <v>713</v>
      </c>
      <c r="E335" s="97" t="s">
        <v>578</v>
      </c>
      <c r="F335" s="97" t="s">
        <v>1314</v>
      </c>
      <c r="G335" s="98" t="s">
        <v>789</v>
      </c>
      <c r="H335" s="97" t="s">
        <v>106</v>
      </c>
      <c r="I335" s="175"/>
      <c r="J335" s="103"/>
      <c r="K335" s="107" t="s">
        <v>1315</v>
      </c>
      <c r="L335" s="97" t="s">
        <v>1316</v>
      </c>
      <c r="M335" s="102"/>
      <c r="N335" s="66"/>
      <c r="O335" s="66" t="str">
        <f t="shared" si="1"/>
        <v>DM+이메일</v>
      </c>
      <c r="P335" s="232">
        <v>1.0</v>
      </c>
      <c r="Q335" s="232">
        <v>1.0</v>
      </c>
      <c r="R335" s="112"/>
      <c r="S335" s="113"/>
      <c r="T335" s="113">
        <v>46108.0</v>
      </c>
      <c r="U335" s="113"/>
      <c r="V335" s="113"/>
      <c r="W335" s="113"/>
      <c r="X335" s="113"/>
      <c r="Y335" s="113"/>
      <c r="Z335" s="114"/>
    </row>
    <row r="336">
      <c r="A336" s="96"/>
      <c r="B336" s="61" t="s">
        <v>23</v>
      </c>
      <c r="C336" s="97"/>
      <c r="D336" s="97" t="s">
        <v>1317</v>
      </c>
      <c r="E336" s="97" t="s">
        <v>578</v>
      </c>
      <c r="F336" s="97" t="s">
        <v>1318</v>
      </c>
      <c r="G336" s="98" t="s">
        <v>789</v>
      </c>
      <c r="H336" s="97" t="s">
        <v>64</v>
      </c>
      <c r="I336" s="175"/>
      <c r="J336" s="103"/>
      <c r="K336" s="104" t="s">
        <v>1319</v>
      </c>
      <c r="L336" s="175"/>
      <c r="M336" s="102"/>
      <c r="N336" s="66"/>
      <c r="O336" s="66" t="str">
        <f t="shared" si="1"/>
        <v/>
      </c>
      <c r="P336" s="241">
        <v>0.0</v>
      </c>
      <c r="Q336" s="241">
        <v>0.0</v>
      </c>
      <c r="R336" s="112"/>
      <c r="S336" s="241"/>
      <c r="T336" s="241"/>
      <c r="U336" s="241"/>
      <c r="V336" s="241"/>
      <c r="W336" s="241"/>
      <c r="X336" s="241"/>
      <c r="Y336" s="241"/>
      <c r="Z336" s="242"/>
    </row>
    <row r="337">
      <c r="A337" s="96"/>
      <c r="B337" s="61" t="s">
        <v>20</v>
      </c>
      <c r="C337" s="97"/>
      <c r="D337" s="97" t="s">
        <v>713</v>
      </c>
      <c r="E337" s="97" t="s">
        <v>1199</v>
      </c>
      <c r="F337" s="97" t="s">
        <v>1320</v>
      </c>
      <c r="G337" s="98" t="s">
        <v>45</v>
      </c>
      <c r="H337" s="97" t="s">
        <v>106</v>
      </c>
      <c r="I337" s="170"/>
      <c r="J337" s="99" t="s">
        <v>1321</v>
      </c>
      <c r="K337" s="107" t="s">
        <v>1322</v>
      </c>
      <c r="L337" s="97" t="s">
        <v>1323</v>
      </c>
      <c r="M337" s="247" t="s">
        <v>256</v>
      </c>
      <c r="N337" s="66"/>
      <c r="O337" s="66" t="str">
        <f t="shared" si="1"/>
        <v>DM+이메일</v>
      </c>
      <c r="P337" s="232">
        <v>1.0</v>
      </c>
      <c r="Q337" s="232">
        <v>1.0</v>
      </c>
      <c r="R337" s="112"/>
      <c r="S337" s="113"/>
      <c r="T337" s="113">
        <v>46108.0</v>
      </c>
      <c r="U337" s="113"/>
      <c r="V337" s="113"/>
      <c r="W337" s="113"/>
      <c r="X337" s="113"/>
      <c r="Y337" s="113"/>
      <c r="Z337" s="114"/>
    </row>
    <row r="338">
      <c r="A338" s="90"/>
      <c r="B338" s="61" t="s">
        <v>23</v>
      </c>
      <c r="C338" s="61"/>
      <c r="D338" s="61" t="s">
        <v>1324</v>
      </c>
      <c r="E338" s="61" t="s">
        <v>1199</v>
      </c>
      <c r="F338" s="61" t="s">
        <v>1325</v>
      </c>
      <c r="G338" s="62" t="s">
        <v>44</v>
      </c>
      <c r="H338" s="61" t="s">
        <v>64</v>
      </c>
      <c r="I338" s="62" t="s">
        <v>1201</v>
      </c>
      <c r="J338" s="62" t="s">
        <v>44</v>
      </c>
      <c r="K338" s="62" t="s">
        <v>45</v>
      </c>
      <c r="L338" s="61" t="s">
        <v>1326</v>
      </c>
      <c r="M338" s="65"/>
      <c r="N338" s="66"/>
      <c r="O338" s="66" t="str">
        <f t="shared" si="1"/>
        <v/>
      </c>
      <c r="P338" s="66">
        <v>0.0</v>
      </c>
      <c r="Q338" s="66">
        <v>0.0</v>
      </c>
      <c r="R338" s="112"/>
      <c r="S338" s="66"/>
      <c r="T338" s="66"/>
      <c r="U338" s="66"/>
      <c r="V338" s="66"/>
      <c r="W338" s="66"/>
      <c r="X338" s="66"/>
      <c r="Y338" s="66"/>
      <c r="Z338" s="82"/>
    </row>
    <row r="339">
      <c r="A339" s="90"/>
      <c r="B339" s="61" t="s">
        <v>23</v>
      </c>
      <c r="C339" s="61"/>
      <c r="D339" s="61" t="s">
        <v>938</v>
      </c>
      <c r="E339" s="61" t="s">
        <v>1063</v>
      </c>
      <c r="F339" s="61" t="s">
        <v>1327</v>
      </c>
      <c r="G339" s="62" t="s">
        <v>789</v>
      </c>
      <c r="H339" s="61" t="s">
        <v>64</v>
      </c>
      <c r="I339" s="62" t="s">
        <v>992</v>
      </c>
      <c r="J339" s="62" t="s">
        <v>44</v>
      </c>
      <c r="K339" s="62" t="s">
        <v>789</v>
      </c>
      <c r="L339" s="105"/>
      <c r="M339" s="65"/>
      <c r="N339" s="66"/>
      <c r="O339" s="66" t="str">
        <f t="shared" si="1"/>
        <v/>
      </c>
      <c r="P339" s="66">
        <v>0.0</v>
      </c>
      <c r="Q339" s="66">
        <v>0.0</v>
      </c>
      <c r="R339" s="112"/>
      <c r="S339" s="66"/>
      <c r="T339" s="66"/>
      <c r="U339" s="66"/>
      <c r="V339" s="66"/>
      <c r="W339" s="66"/>
      <c r="X339" s="66"/>
      <c r="Y339" s="66"/>
      <c r="Z339" s="82"/>
    </row>
    <row r="340">
      <c r="A340" s="96"/>
      <c r="B340" s="61" t="s">
        <v>20</v>
      </c>
      <c r="C340" s="97"/>
      <c r="D340" s="97" t="s">
        <v>1328</v>
      </c>
      <c r="E340" s="97" t="s">
        <v>1063</v>
      </c>
      <c r="F340" s="97" t="s">
        <v>1329</v>
      </c>
      <c r="G340" s="98" t="s">
        <v>789</v>
      </c>
      <c r="H340" s="97" t="s">
        <v>64</v>
      </c>
      <c r="I340" s="98" t="s">
        <v>594</v>
      </c>
      <c r="J340" s="99" t="s">
        <v>1330</v>
      </c>
      <c r="K340" s="107" t="s">
        <v>1331</v>
      </c>
      <c r="L340" s="275" t="s">
        <v>1332</v>
      </c>
      <c r="M340" s="102"/>
      <c r="N340" s="66"/>
      <c r="O340" s="66" t="str">
        <f t="shared" si="1"/>
        <v>DM+이메일</v>
      </c>
      <c r="P340" s="232">
        <v>1.0</v>
      </c>
      <c r="Q340" s="232">
        <v>1.0</v>
      </c>
      <c r="R340" s="112"/>
      <c r="S340" s="113"/>
      <c r="T340" s="113">
        <v>46108.0</v>
      </c>
      <c r="U340" s="113"/>
      <c r="V340" s="113"/>
      <c r="W340" s="113"/>
      <c r="X340" s="113"/>
      <c r="Y340" s="113"/>
      <c r="Z340" s="114"/>
    </row>
    <row r="341">
      <c r="A341" s="96"/>
      <c r="B341" s="61" t="s">
        <v>20</v>
      </c>
      <c r="C341" s="97"/>
      <c r="D341" s="97" t="s">
        <v>1333</v>
      </c>
      <c r="E341" s="97" t="s">
        <v>109</v>
      </c>
      <c r="F341" s="97" t="s">
        <v>1334</v>
      </c>
      <c r="G341" s="98" t="s">
        <v>44</v>
      </c>
      <c r="H341" s="97" t="s">
        <v>64</v>
      </c>
      <c r="I341" s="98" t="s">
        <v>98</v>
      </c>
      <c r="J341" s="99" t="s">
        <v>1335</v>
      </c>
      <c r="K341" s="166"/>
      <c r="L341" s="97" t="s">
        <v>1336</v>
      </c>
      <c r="M341" s="102"/>
      <c r="N341" s="66"/>
      <c r="O341" s="66" t="str">
        <f t="shared" si="1"/>
        <v>이메일</v>
      </c>
      <c r="P341" s="241">
        <v>0.0</v>
      </c>
      <c r="Q341" s="232">
        <v>1.0</v>
      </c>
      <c r="R341" s="112"/>
      <c r="S341" s="113"/>
      <c r="T341" s="113">
        <v>46108.0</v>
      </c>
      <c r="U341" s="113"/>
      <c r="V341" s="113"/>
      <c r="W341" s="113"/>
      <c r="X341" s="113"/>
      <c r="Y341" s="113"/>
      <c r="Z341" s="114"/>
    </row>
    <row r="342">
      <c r="A342" s="96"/>
      <c r="B342" s="61" t="s">
        <v>20</v>
      </c>
      <c r="C342" s="97"/>
      <c r="D342" s="97" t="s">
        <v>1337</v>
      </c>
      <c r="E342" s="97" t="s">
        <v>109</v>
      </c>
      <c r="F342" s="97" t="s">
        <v>1338</v>
      </c>
      <c r="G342" s="98" t="s">
        <v>44</v>
      </c>
      <c r="H342" s="97" t="s">
        <v>106</v>
      </c>
      <c r="I342" s="175"/>
      <c r="J342" s="99" t="s">
        <v>1339</v>
      </c>
      <c r="K342" s="166"/>
      <c r="L342" s="97" t="s">
        <v>1340</v>
      </c>
      <c r="M342" s="102"/>
      <c r="N342" s="66"/>
      <c r="O342" s="66" t="str">
        <f t="shared" si="1"/>
        <v>이메일</v>
      </c>
      <c r="P342" s="241">
        <v>0.0</v>
      </c>
      <c r="Q342" s="232">
        <v>1.0</v>
      </c>
      <c r="R342" s="112"/>
      <c r="S342" s="113"/>
      <c r="T342" s="113">
        <v>46108.0</v>
      </c>
      <c r="U342" s="113"/>
      <c r="V342" s="113"/>
      <c r="W342" s="113"/>
      <c r="X342" s="113"/>
      <c r="Y342" s="113"/>
      <c r="Z342" s="114"/>
    </row>
    <row r="343">
      <c r="A343" s="75"/>
      <c r="B343" s="70" t="s">
        <v>23</v>
      </c>
      <c r="C343" s="313"/>
      <c r="D343" s="313" t="s">
        <v>1341</v>
      </c>
      <c r="E343" s="313" t="s">
        <v>1059</v>
      </c>
      <c r="F343" s="313" t="s">
        <v>1342</v>
      </c>
      <c r="G343" s="314"/>
      <c r="H343" s="314"/>
      <c r="I343" s="314"/>
      <c r="J343" s="314"/>
      <c r="K343" s="314"/>
      <c r="L343" s="314"/>
      <c r="M343" s="315"/>
      <c r="N343" s="75"/>
      <c r="O343" s="75" t="str">
        <f t="shared" si="1"/>
        <v/>
      </c>
      <c r="P343" s="75">
        <v>0.0</v>
      </c>
      <c r="Q343" s="75">
        <v>0.0</v>
      </c>
      <c r="S343" s="75"/>
      <c r="T343" s="75"/>
      <c r="U343" s="75"/>
      <c r="V343" s="75"/>
      <c r="W343" s="75"/>
      <c r="X343" s="75"/>
      <c r="Y343" s="75"/>
      <c r="Z343" s="75"/>
    </row>
    <row r="344">
      <c r="A344" s="96"/>
      <c r="B344" s="61" t="s">
        <v>20</v>
      </c>
      <c r="C344" s="97"/>
      <c r="D344" s="97" t="s">
        <v>1343</v>
      </c>
      <c r="E344" s="97" t="s">
        <v>1059</v>
      </c>
      <c r="F344" s="97" t="s">
        <v>1344</v>
      </c>
      <c r="G344" s="98" t="s">
        <v>44</v>
      </c>
      <c r="H344" s="97" t="s">
        <v>106</v>
      </c>
      <c r="I344" s="175"/>
      <c r="J344" s="99" t="s">
        <v>1345</v>
      </c>
      <c r="K344" s="107" t="s">
        <v>1346</v>
      </c>
      <c r="L344" s="275" t="s">
        <v>1347</v>
      </c>
      <c r="M344" s="102"/>
      <c r="N344" s="66"/>
      <c r="O344" s="66" t="str">
        <f t="shared" si="1"/>
        <v>DM+이메일</v>
      </c>
      <c r="P344" s="232">
        <v>1.0</v>
      </c>
      <c r="Q344" s="232">
        <v>1.0</v>
      </c>
      <c r="R344" s="112"/>
      <c r="S344" s="113"/>
      <c r="T344" s="113">
        <v>46108.0</v>
      </c>
      <c r="U344" s="113"/>
      <c r="V344" s="113"/>
      <c r="W344" s="113"/>
      <c r="X344" s="113"/>
      <c r="Y344" s="113"/>
      <c r="Z344" s="114"/>
    </row>
    <row r="345">
      <c r="A345" s="96"/>
      <c r="B345" s="61" t="s">
        <v>20</v>
      </c>
      <c r="C345" s="97"/>
      <c r="D345" s="97" t="s">
        <v>574</v>
      </c>
      <c r="E345" s="97" t="s">
        <v>513</v>
      </c>
      <c r="F345" s="97" t="s">
        <v>1348</v>
      </c>
      <c r="G345" s="98" t="s">
        <v>44</v>
      </c>
      <c r="H345" s="97" t="s">
        <v>106</v>
      </c>
      <c r="I345" s="175"/>
      <c r="J345" s="99" t="s">
        <v>1349</v>
      </c>
      <c r="K345" s="107" t="s">
        <v>1350</v>
      </c>
      <c r="L345" s="275" t="s">
        <v>1351</v>
      </c>
      <c r="M345" s="108" t="s">
        <v>1352</v>
      </c>
      <c r="N345" s="66"/>
      <c r="O345" s="66" t="str">
        <f t="shared" si="1"/>
        <v>DM+이메일</v>
      </c>
      <c r="P345" s="232">
        <v>1.0</v>
      </c>
      <c r="Q345" s="232">
        <v>1.0</v>
      </c>
      <c r="R345" s="112"/>
      <c r="S345" s="113"/>
      <c r="T345" s="113">
        <v>46108.0</v>
      </c>
      <c r="U345" s="113"/>
      <c r="V345" s="113"/>
      <c r="W345" s="113"/>
      <c r="X345" s="113"/>
      <c r="Y345" s="113"/>
      <c r="Z345" s="114"/>
    </row>
    <row r="346">
      <c r="A346" s="316"/>
      <c r="B346" s="61" t="s">
        <v>23</v>
      </c>
      <c r="C346" s="264"/>
      <c r="D346" s="264" t="s">
        <v>574</v>
      </c>
      <c r="E346" s="317" t="s">
        <v>513</v>
      </c>
      <c r="F346" s="264" t="s">
        <v>1353</v>
      </c>
      <c r="G346" s="284" t="s">
        <v>44</v>
      </c>
      <c r="H346" s="264" t="s">
        <v>64</v>
      </c>
      <c r="I346" s="318" t="s">
        <v>648</v>
      </c>
      <c r="J346" s="284" t="s">
        <v>44</v>
      </c>
      <c r="K346" s="284" t="s">
        <v>45</v>
      </c>
      <c r="L346" s="283"/>
      <c r="M346" s="319" t="s">
        <v>1354</v>
      </c>
      <c r="N346" s="66"/>
      <c r="O346" s="66" t="str">
        <f t="shared" si="1"/>
        <v/>
      </c>
      <c r="P346" s="320">
        <v>0.0</v>
      </c>
      <c r="Q346" s="320">
        <v>0.0</v>
      </c>
      <c r="R346" s="112"/>
      <c r="S346" s="320"/>
      <c r="T346" s="320"/>
      <c r="U346" s="320"/>
      <c r="V346" s="320"/>
      <c r="W346" s="320"/>
      <c r="X346" s="320"/>
      <c r="Y346" s="320"/>
      <c r="Z346" s="321"/>
    </row>
    <row r="347">
      <c r="A347" s="96"/>
      <c r="B347" s="61" t="s">
        <v>20</v>
      </c>
      <c r="C347" s="97"/>
      <c r="D347" s="97" t="s">
        <v>938</v>
      </c>
      <c r="E347" s="97" t="s">
        <v>506</v>
      </c>
      <c r="F347" s="97" t="s">
        <v>1355</v>
      </c>
      <c r="G347" s="98" t="s">
        <v>553</v>
      </c>
      <c r="H347" s="97" t="s">
        <v>106</v>
      </c>
      <c r="I347" s="175"/>
      <c r="J347" s="103"/>
      <c r="K347" s="107" t="s">
        <v>1356</v>
      </c>
      <c r="L347" s="97" t="s">
        <v>1357</v>
      </c>
      <c r="M347" s="102"/>
      <c r="N347" s="66"/>
      <c r="O347" s="66" t="str">
        <f t="shared" si="1"/>
        <v>DM+이메일</v>
      </c>
      <c r="P347" s="232">
        <v>1.0</v>
      </c>
      <c r="Q347" s="232">
        <v>1.0</v>
      </c>
      <c r="R347" s="112"/>
      <c r="S347" s="113"/>
      <c r="T347" s="113">
        <v>46108.0</v>
      </c>
      <c r="U347" s="113"/>
      <c r="V347" s="113"/>
      <c r="W347" s="113"/>
      <c r="X347" s="113"/>
      <c r="Y347" s="113"/>
      <c r="Z347" s="114"/>
    </row>
    <row r="348">
      <c r="A348" s="96"/>
      <c r="B348" s="61" t="s">
        <v>20</v>
      </c>
      <c r="C348" s="97"/>
      <c r="D348" s="97" t="s">
        <v>1358</v>
      </c>
      <c r="E348" s="97" t="s">
        <v>506</v>
      </c>
      <c r="F348" s="97" t="s">
        <v>1359</v>
      </c>
      <c r="G348" s="98" t="s">
        <v>45</v>
      </c>
      <c r="H348" s="97" t="s">
        <v>106</v>
      </c>
      <c r="I348" s="97"/>
      <c r="J348" s="99" t="s">
        <v>1360</v>
      </c>
      <c r="K348" s="107" t="s">
        <v>1361</v>
      </c>
      <c r="L348" s="97" t="s">
        <v>1362</v>
      </c>
      <c r="M348" s="108" t="s">
        <v>1363</v>
      </c>
      <c r="N348" s="66"/>
      <c r="O348" s="66" t="str">
        <f t="shared" si="1"/>
        <v>DM+이메일</v>
      </c>
      <c r="P348" s="232">
        <v>1.0</v>
      </c>
      <c r="Q348" s="232">
        <v>1.0</v>
      </c>
      <c r="R348" s="112"/>
      <c r="S348" s="113"/>
      <c r="T348" s="113">
        <v>46108.0</v>
      </c>
      <c r="U348" s="113"/>
      <c r="V348" s="113"/>
      <c r="W348" s="113"/>
      <c r="X348" s="113"/>
      <c r="Y348" s="113"/>
      <c r="Z348" s="114"/>
    </row>
    <row r="349">
      <c r="A349" s="90"/>
      <c r="B349" s="61" t="s">
        <v>23</v>
      </c>
      <c r="C349" s="266"/>
      <c r="D349" s="266" t="s">
        <v>930</v>
      </c>
      <c r="E349" s="266" t="s">
        <v>1180</v>
      </c>
      <c r="F349" s="266" t="s">
        <v>1364</v>
      </c>
      <c r="G349" s="268" t="s">
        <v>44</v>
      </c>
      <c r="H349" s="266" t="s">
        <v>64</v>
      </c>
      <c r="I349" s="268" t="s">
        <v>1365</v>
      </c>
      <c r="J349" s="269"/>
      <c r="K349" s="268" t="s">
        <v>45</v>
      </c>
      <c r="L349" s="269"/>
      <c r="M349" s="272"/>
      <c r="N349" s="66"/>
      <c r="O349" s="66" t="str">
        <f t="shared" si="1"/>
        <v/>
      </c>
      <c r="P349" s="66">
        <v>0.0</v>
      </c>
      <c r="Q349" s="66">
        <v>0.0</v>
      </c>
      <c r="R349" s="112"/>
      <c r="S349" s="66"/>
      <c r="T349" s="66"/>
      <c r="U349" s="66"/>
      <c r="V349" s="66"/>
      <c r="W349" s="66"/>
      <c r="X349" s="66"/>
      <c r="Y349" s="66"/>
      <c r="Z349" s="82"/>
    </row>
    <row r="350">
      <c r="A350" s="96"/>
      <c r="B350" s="61" t="s">
        <v>20</v>
      </c>
      <c r="C350" s="97"/>
      <c r="D350" s="97" t="s">
        <v>1366</v>
      </c>
      <c r="E350" s="97" t="s">
        <v>69</v>
      </c>
      <c r="F350" s="97" t="s">
        <v>1367</v>
      </c>
      <c r="G350" s="98" t="s">
        <v>115</v>
      </c>
      <c r="H350" s="97" t="s">
        <v>64</v>
      </c>
      <c r="I350" s="98" t="s">
        <v>276</v>
      </c>
      <c r="J350" s="103"/>
      <c r="K350" s="107" t="s">
        <v>1368</v>
      </c>
      <c r="L350" s="97" t="s">
        <v>1369</v>
      </c>
      <c r="M350" s="102"/>
      <c r="N350" s="66"/>
      <c r="O350" s="66" t="str">
        <f t="shared" si="1"/>
        <v>DM+이메일</v>
      </c>
      <c r="P350" s="232">
        <v>1.0</v>
      </c>
      <c r="Q350" s="232">
        <v>1.0</v>
      </c>
      <c r="R350" s="112"/>
      <c r="S350" s="113"/>
      <c r="T350" s="113">
        <v>46108.0</v>
      </c>
      <c r="U350" s="113"/>
      <c r="V350" s="113"/>
      <c r="W350" s="67" t="s">
        <v>25</v>
      </c>
      <c r="X350" s="113"/>
      <c r="Y350" s="113"/>
      <c r="Z350" s="114"/>
    </row>
    <row r="351">
      <c r="A351" s="90"/>
      <c r="B351" s="61" t="s">
        <v>23</v>
      </c>
      <c r="C351" s="61"/>
      <c r="D351" s="61" t="s">
        <v>574</v>
      </c>
      <c r="E351" s="61" t="s">
        <v>1370</v>
      </c>
      <c r="F351" s="61" t="s">
        <v>1371</v>
      </c>
      <c r="G351" s="62" t="s">
        <v>44</v>
      </c>
      <c r="H351" s="61" t="s">
        <v>106</v>
      </c>
      <c r="I351" s="105"/>
      <c r="J351" s="62" t="s">
        <v>44</v>
      </c>
      <c r="K351" s="62" t="s">
        <v>45</v>
      </c>
      <c r="L351" s="105"/>
      <c r="M351" s="125"/>
      <c r="N351" s="66"/>
      <c r="O351" s="66" t="str">
        <f t="shared" si="1"/>
        <v/>
      </c>
      <c r="P351" s="66">
        <v>0.0</v>
      </c>
      <c r="Q351" s="66">
        <v>0.0</v>
      </c>
      <c r="R351" s="112"/>
      <c r="S351" s="66"/>
      <c r="T351" s="66"/>
      <c r="U351" s="66"/>
      <c r="V351" s="66"/>
      <c r="W351" s="66"/>
      <c r="X351" s="66"/>
      <c r="Y351" s="66"/>
      <c r="Z351" s="82"/>
    </row>
    <row r="352">
      <c r="A352" s="96"/>
      <c r="B352" s="61" t="s">
        <v>20</v>
      </c>
      <c r="C352" s="97"/>
      <c r="D352" s="97" t="s">
        <v>1372</v>
      </c>
      <c r="E352" s="97" t="s">
        <v>1370</v>
      </c>
      <c r="F352" s="97" t="s">
        <v>1373</v>
      </c>
      <c r="G352" s="322" t="s">
        <v>1031</v>
      </c>
      <c r="H352" s="97" t="s">
        <v>106</v>
      </c>
      <c r="I352" s="322" t="s">
        <v>1031</v>
      </c>
      <c r="J352" s="103"/>
      <c r="K352" s="223"/>
      <c r="L352" s="175"/>
      <c r="M352" s="102"/>
      <c r="N352" s="66"/>
      <c r="O352" s="66" t="str">
        <f t="shared" si="1"/>
        <v/>
      </c>
      <c r="P352" s="241">
        <v>0.0</v>
      </c>
      <c r="Q352" s="241">
        <v>0.0</v>
      </c>
      <c r="R352" s="112"/>
      <c r="S352" s="113"/>
      <c r="T352" s="113">
        <v>46108.0</v>
      </c>
      <c r="U352" s="113"/>
      <c r="V352" s="113"/>
      <c r="W352" s="113"/>
      <c r="X352" s="113"/>
      <c r="Y352" s="113"/>
      <c r="Z352" s="114"/>
    </row>
    <row r="353">
      <c r="A353" s="96"/>
      <c r="B353" s="61" t="s">
        <v>20</v>
      </c>
      <c r="C353" s="97"/>
      <c r="D353" s="97" t="s">
        <v>1374</v>
      </c>
      <c r="E353" s="106" t="s">
        <v>1180</v>
      </c>
      <c r="F353" s="97" t="s">
        <v>1375</v>
      </c>
      <c r="G353" s="98" t="s">
        <v>553</v>
      </c>
      <c r="H353" s="97" t="s">
        <v>106</v>
      </c>
      <c r="I353" s="175"/>
      <c r="J353" s="103"/>
      <c r="K353" s="104" t="s">
        <v>1376</v>
      </c>
      <c r="L353" s="175"/>
      <c r="M353" s="102"/>
      <c r="N353" s="66"/>
      <c r="O353" s="66" t="str">
        <f t="shared" si="1"/>
        <v>DM</v>
      </c>
      <c r="P353" s="232">
        <v>1.0</v>
      </c>
      <c r="Q353" s="241">
        <v>0.0</v>
      </c>
      <c r="R353" s="112"/>
      <c r="S353" s="113"/>
      <c r="T353" s="113">
        <v>46108.0</v>
      </c>
      <c r="U353" s="113"/>
      <c r="V353" s="113"/>
      <c r="W353" s="113"/>
      <c r="X353" s="113"/>
      <c r="Y353" s="113"/>
      <c r="Z353" s="114"/>
    </row>
    <row r="354">
      <c r="A354" s="323"/>
      <c r="B354" s="70" t="s">
        <v>20</v>
      </c>
      <c r="C354" s="119"/>
      <c r="D354" s="119" t="s">
        <v>938</v>
      </c>
      <c r="E354" s="324" t="s">
        <v>1377</v>
      </c>
      <c r="F354" s="119" t="s">
        <v>1378</v>
      </c>
      <c r="G354" s="325"/>
      <c r="H354" s="325"/>
      <c r="I354" s="325"/>
      <c r="J354" s="117"/>
      <c r="K354" s="326"/>
      <c r="L354" s="120"/>
      <c r="M354" s="327" t="s">
        <v>1379</v>
      </c>
      <c r="N354" s="75"/>
      <c r="O354" s="75" t="str">
        <f t="shared" si="1"/>
        <v/>
      </c>
      <c r="P354" s="323">
        <v>0.0</v>
      </c>
      <c r="Q354" s="323">
        <v>0.0</v>
      </c>
      <c r="S354" s="328"/>
      <c r="T354" s="328">
        <v>46108.0</v>
      </c>
      <c r="U354" s="328"/>
      <c r="V354" s="328"/>
      <c r="W354" s="328"/>
      <c r="X354" s="328"/>
      <c r="Y354" s="328"/>
      <c r="Z354" s="328"/>
    </row>
    <row r="355">
      <c r="A355" s="90"/>
      <c r="B355" s="61" t="s">
        <v>23</v>
      </c>
      <c r="C355" s="329"/>
      <c r="D355" s="329" t="s">
        <v>1380</v>
      </c>
      <c r="E355" s="329" t="s">
        <v>1377</v>
      </c>
      <c r="F355" s="329" t="s">
        <v>1381</v>
      </c>
      <c r="G355" s="253" t="s">
        <v>44</v>
      </c>
      <c r="H355" s="329" t="s">
        <v>64</v>
      </c>
      <c r="I355" s="253" t="s">
        <v>1382</v>
      </c>
      <c r="J355" s="330"/>
      <c r="K355" s="330"/>
      <c r="L355" s="330"/>
      <c r="M355" s="331" t="s">
        <v>1383</v>
      </c>
      <c r="N355" s="66"/>
      <c r="O355" s="66" t="str">
        <f t="shared" si="1"/>
        <v/>
      </c>
      <c r="P355" s="66">
        <v>0.0</v>
      </c>
      <c r="Q355" s="66">
        <v>0.0</v>
      </c>
      <c r="R355" s="112"/>
      <c r="S355" s="66"/>
      <c r="T355" s="66"/>
      <c r="U355" s="66"/>
      <c r="V355" s="66"/>
      <c r="W355" s="66"/>
      <c r="X355" s="66"/>
      <c r="Y355" s="66"/>
      <c r="Z355" s="82"/>
    </row>
    <row r="356">
      <c r="A356" s="90"/>
      <c r="B356" s="61" t="s">
        <v>23</v>
      </c>
      <c r="C356" s="61"/>
      <c r="D356" s="61" t="s">
        <v>938</v>
      </c>
      <c r="E356" s="61" t="s">
        <v>1377</v>
      </c>
      <c r="F356" s="80" t="s">
        <v>1384</v>
      </c>
      <c r="G356" s="62" t="s">
        <v>115</v>
      </c>
      <c r="H356" s="61" t="s">
        <v>116</v>
      </c>
      <c r="I356" s="62" t="s">
        <v>648</v>
      </c>
      <c r="J356" s="105"/>
      <c r="K356" s="105"/>
      <c r="L356" s="105"/>
      <c r="M356" s="176" t="s">
        <v>1385</v>
      </c>
      <c r="N356" s="66"/>
      <c r="O356" s="66" t="str">
        <f t="shared" si="1"/>
        <v/>
      </c>
      <c r="P356" s="66">
        <v>0.0</v>
      </c>
      <c r="Q356" s="66">
        <v>0.0</v>
      </c>
      <c r="R356" s="112"/>
      <c r="S356" s="66"/>
      <c r="T356" s="66"/>
      <c r="U356" s="66"/>
      <c r="V356" s="66"/>
      <c r="W356" s="66"/>
      <c r="X356" s="66"/>
      <c r="Y356" s="66"/>
      <c r="Z356" s="82"/>
    </row>
    <row r="357">
      <c r="A357" s="96"/>
      <c r="B357" s="61" t="s">
        <v>20</v>
      </c>
      <c r="C357" s="97"/>
      <c r="D357" s="97" t="s">
        <v>1386</v>
      </c>
      <c r="E357" s="97" t="s">
        <v>531</v>
      </c>
      <c r="F357" s="97" t="s">
        <v>1387</v>
      </c>
      <c r="G357" s="98" t="s">
        <v>548</v>
      </c>
      <c r="H357" s="97" t="s">
        <v>64</v>
      </c>
      <c r="I357" s="98" t="s">
        <v>548</v>
      </c>
      <c r="J357" s="103"/>
      <c r="K357" s="104" t="s">
        <v>1388</v>
      </c>
      <c r="L357" s="175"/>
      <c r="M357" s="102"/>
      <c r="N357" s="66"/>
      <c r="O357" s="66" t="str">
        <f t="shared" si="1"/>
        <v>DM</v>
      </c>
      <c r="P357" s="232">
        <v>1.0</v>
      </c>
      <c r="Q357" s="241">
        <v>0.0</v>
      </c>
      <c r="R357" s="112"/>
      <c r="S357" s="113"/>
      <c r="T357" s="113">
        <v>46108.0</v>
      </c>
      <c r="U357" s="113"/>
      <c r="V357" s="113"/>
      <c r="W357" s="113"/>
      <c r="X357" s="113"/>
      <c r="Y357" s="113"/>
      <c r="Z357" s="114"/>
    </row>
    <row r="358">
      <c r="A358" s="96"/>
      <c r="B358" s="61" t="s">
        <v>20</v>
      </c>
      <c r="C358" s="97"/>
      <c r="D358" s="97" t="s">
        <v>1389</v>
      </c>
      <c r="E358" s="97" t="s">
        <v>332</v>
      </c>
      <c r="F358" s="97" t="s">
        <v>1390</v>
      </c>
      <c r="G358" s="98" t="s">
        <v>45</v>
      </c>
      <c r="H358" s="97" t="s">
        <v>106</v>
      </c>
      <c r="I358" s="175"/>
      <c r="J358" s="99" t="s">
        <v>1391</v>
      </c>
      <c r="K358" s="104" t="s">
        <v>1392</v>
      </c>
      <c r="L358" s="175"/>
      <c r="M358" s="108" t="s">
        <v>1393</v>
      </c>
      <c r="N358" s="66"/>
      <c r="O358" s="66" t="str">
        <f t="shared" si="1"/>
        <v>DM</v>
      </c>
      <c r="P358" s="232">
        <v>1.0</v>
      </c>
      <c r="Q358" s="241">
        <v>0.0</v>
      </c>
      <c r="R358" s="112"/>
      <c r="S358" s="113"/>
      <c r="T358" s="113">
        <v>46108.0</v>
      </c>
      <c r="U358" s="113"/>
      <c r="V358" s="113"/>
      <c r="W358" s="113"/>
      <c r="X358" s="113"/>
      <c r="Y358" s="113"/>
      <c r="Z358" s="114"/>
    </row>
    <row r="359">
      <c r="A359" s="96"/>
      <c r="B359" s="61" t="s">
        <v>20</v>
      </c>
      <c r="C359" s="106"/>
      <c r="D359" s="106" t="s">
        <v>1394</v>
      </c>
      <c r="E359" s="97" t="s">
        <v>332</v>
      </c>
      <c r="F359" s="97" t="s">
        <v>1395</v>
      </c>
      <c r="G359" s="98" t="s">
        <v>45</v>
      </c>
      <c r="H359" s="97" t="s">
        <v>64</v>
      </c>
      <c r="I359" s="98" t="s">
        <v>1396</v>
      </c>
      <c r="J359" s="103"/>
      <c r="K359" s="104" t="s">
        <v>1397</v>
      </c>
      <c r="L359" s="175"/>
      <c r="M359" s="108" t="s">
        <v>1398</v>
      </c>
      <c r="N359" s="66"/>
      <c r="O359" s="66" t="str">
        <f t="shared" si="1"/>
        <v>DM</v>
      </c>
      <c r="P359" s="232">
        <v>1.0</v>
      </c>
      <c r="Q359" s="241">
        <v>0.0</v>
      </c>
      <c r="R359" s="112"/>
      <c r="S359" s="113"/>
      <c r="T359" s="113">
        <v>46108.0</v>
      </c>
      <c r="U359" s="113"/>
      <c r="V359" s="113"/>
      <c r="W359" s="113"/>
      <c r="X359" s="113"/>
      <c r="Y359" s="113"/>
      <c r="Z359" s="114"/>
    </row>
    <row r="360">
      <c r="A360" s="90"/>
      <c r="B360" s="61" t="s">
        <v>23</v>
      </c>
      <c r="C360" s="61"/>
      <c r="D360" s="61" t="s">
        <v>1399</v>
      </c>
      <c r="E360" s="61" t="s">
        <v>353</v>
      </c>
      <c r="F360" s="61" t="s">
        <v>1400</v>
      </c>
      <c r="G360" s="62" t="s">
        <v>553</v>
      </c>
      <c r="H360" s="61" t="s">
        <v>64</v>
      </c>
      <c r="I360" s="62" t="s">
        <v>648</v>
      </c>
      <c r="J360" s="105"/>
      <c r="K360" s="105"/>
      <c r="L360" s="61" t="s">
        <v>1401</v>
      </c>
      <c r="M360" s="125" t="s">
        <v>1402</v>
      </c>
      <c r="N360" s="66"/>
      <c r="O360" s="66" t="str">
        <f t="shared" si="1"/>
        <v/>
      </c>
      <c r="P360" s="66">
        <v>0.0</v>
      </c>
      <c r="Q360" s="66">
        <v>0.0</v>
      </c>
      <c r="R360" s="112"/>
      <c r="S360" s="66"/>
      <c r="T360" s="66"/>
      <c r="U360" s="66"/>
      <c r="V360" s="66"/>
      <c r="W360" s="66"/>
      <c r="X360" s="66"/>
      <c r="Y360" s="66"/>
      <c r="Z360" s="82"/>
    </row>
    <row r="361">
      <c r="A361" s="90"/>
      <c r="B361" s="61" t="s">
        <v>23</v>
      </c>
      <c r="C361" s="61"/>
      <c r="D361" s="61" t="s">
        <v>1403</v>
      </c>
      <c r="E361" s="61" t="s">
        <v>353</v>
      </c>
      <c r="F361" s="61" t="s">
        <v>1404</v>
      </c>
      <c r="G361" s="62" t="s">
        <v>45</v>
      </c>
      <c r="H361" s="61" t="s">
        <v>64</v>
      </c>
      <c r="I361" s="62" t="s">
        <v>553</v>
      </c>
      <c r="J361" s="105"/>
      <c r="K361" s="62" t="s">
        <v>45</v>
      </c>
      <c r="L361" s="105"/>
      <c r="M361" s="125" t="s">
        <v>1405</v>
      </c>
      <c r="N361" s="66"/>
      <c r="O361" s="66" t="str">
        <f t="shared" si="1"/>
        <v/>
      </c>
      <c r="P361" s="66">
        <v>0.0</v>
      </c>
      <c r="Q361" s="66">
        <v>0.0</v>
      </c>
      <c r="R361" s="112"/>
      <c r="S361" s="66"/>
      <c r="T361" s="66"/>
      <c r="U361" s="66"/>
      <c r="V361" s="66"/>
      <c r="W361" s="66"/>
      <c r="X361" s="66"/>
      <c r="Y361" s="66"/>
      <c r="Z361" s="82"/>
    </row>
    <row r="362">
      <c r="A362" s="96"/>
      <c r="B362" s="61" t="s">
        <v>20</v>
      </c>
      <c r="C362" s="97"/>
      <c r="D362" s="97" t="s">
        <v>881</v>
      </c>
      <c r="E362" s="97" t="s">
        <v>1072</v>
      </c>
      <c r="F362" s="97" t="s">
        <v>1406</v>
      </c>
      <c r="G362" s="98" t="s">
        <v>548</v>
      </c>
      <c r="H362" s="97" t="s">
        <v>64</v>
      </c>
      <c r="I362" s="98" t="s">
        <v>548</v>
      </c>
      <c r="J362" s="103"/>
      <c r="K362" s="104" t="s">
        <v>1407</v>
      </c>
      <c r="L362" s="175"/>
      <c r="M362" s="102"/>
      <c r="N362" s="66"/>
      <c r="O362" s="66" t="str">
        <f t="shared" si="1"/>
        <v>DM</v>
      </c>
      <c r="P362" s="232">
        <v>1.0</v>
      </c>
      <c r="Q362" s="241">
        <v>0.0</v>
      </c>
      <c r="R362" s="112"/>
      <c r="S362" s="113"/>
      <c r="T362" s="113">
        <v>46108.0</v>
      </c>
      <c r="U362" s="113"/>
      <c r="V362" s="113"/>
      <c r="W362" s="113"/>
      <c r="X362" s="113"/>
      <c r="Y362" s="113"/>
      <c r="Z362" s="114"/>
    </row>
    <row r="363">
      <c r="A363" s="96"/>
      <c r="B363" s="61" t="s">
        <v>20</v>
      </c>
      <c r="C363" s="97"/>
      <c r="D363" s="97" t="s">
        <v>1408</v>
      </c>
      <c r="E363" s="97" t="s">
        <v>1072</v>
      </c>
      <c r="F363" s="97" t="s">
        <v>1409</v>
      </c>
      <c r="G363" s="98" t="s">
        <v>648</v>
      </c>
      <c r="H363" s="97" t="s">
        <v>64</v>
      </c>
      <c r="I363" s="98" t="s">
        <v>1410</v>
      </c>
      <c r="J363" s="103"/>
      <c r="K363" s="166"/>
      <c r="L363" s="97" t="s">
        <v>1411</v>
      </c>
      <c r="M363" s="108" t="s">
        <v>1412</v>
      </c>
      <c r="N363" s="66"/>
      <c r="O363" s="66" t="str">
        <f t="shared" si="1"/>
        <v>이메일</v>
      </c>
      <c r="P363" s="241">
        <v>0.0</v>
      </c>
      <c r="Q363" s="232">
        <v>1.0</v>
      </c>
      <c r="R363" s="112"/>
      <c r="S363" s="113"/>
      <c r="T363" s="113">
        <v>46108.0</v>
      </c>
      <c r="U363" s="113"/>
      <c r="V363" s="113"/>
      <c r="W363" s="113"/>
      <c r="X363" s="113"/>
      <c r="Y363" s="113"/>
      <c r="Z363" s="114"/>
    </row>
    <row r="364">
      <c r="A364" s="90"/>
      <c r="B364" s="61" t="s">
        <v>23</v>
      </c>
      <c r="C364" s="61"/>
      <c r="D364" s="61" t="s">
        <v>574</v>
      </c>
      <c r="E364" s="61" t="s">
        <v>1110</v>
      </c>
      <c r="F364" s="61" t="s">
        <v>1413</v>
      </c>
      <c r="G364" s="62" t="s">
        <v>44</v>
      </c>
      <c r="H364" s="61"/>
      <c r="I364" s="80"/>
      <c r="J364" s="62" t="s">
        <v>44</v>
      </c>
      <c r="K364" s="80"/>
      <c r="L364" s="61" t="s">
        <v>1414</v>
      </c>
      <c r="M364" s="65"/>
      <c r="N364" s="66"/>
      <c r="O364" s="66" t="str">
        <f t="shared" si="1"/>
        <v/>
      </c>
      <c r="P364" s="66">
        <v>0.0</v>
      </c>
      <c r="Q364" s="66">
        <v>0.0</v>
      </c>
      <c r="R364" s="112"/>
      <c r="S364" s="66"/>
      <c r="T364" s="66"/>
      <c r="U364" s="66"/>
      <c r="V364" s="66"/>
      <c r="W364" s="66"/>
      <c r="X364" s="66"/>
      <c r="Y364" s="66"/>
      <c r="Z364" s="82"/>
    </row>
    <row r="365">
      <c r="A365" s="90"/>
      <c r="B365" s="61" t="s">
        <v>23</v>
      </c>
      <c r="C365" s="61"/>
      <c r="D365" s="61" t="s">
        <v>574</v>
      </c>
      <c r="E365" s="61" t="s">
        <v>1110</v>
      </c>
      <c r="F365" s="61" t="s">
        <v>1415</v>
      </c>
      <c r="G365" s="62" t="s">
        <v>44</v>
      </c>
      <c r="H365" s="61"/>
      <c r="I365" s="80"/>
      <c r="J365" s="62" t="s">
        <v>44</v>
      </c>
      <c r="K365" s="80"/>
      <c r="L365" s="61" t="s">
        <v>1416</v>
      </c>
      <c r="M365" s="65"/>
      <c r="N365" s="66"/>
      <c r="O365" s="66" t="str">
        <f t="shared" si="1"/>
        <v/>
      </c>
      <c r="P365" s="66">
        <v>0.0</v>
      </c>
      <c r="Q365" s="66">
        <v>0.0</v>
      </c>
      <c r="R365" s="112"/>
      <c r="S365" s="66"/>
      <c r="T365" s="66"/>
      <c r="U365" s="66"/>
      <c r="V365" s="66"/>
      <c r="W365" s="66"/>
      <c r="X365" s="66"/>
      <c r="Y365" s="66"/>
      <c r="Z365" s="82"/>
    </row>
    <row r="366">
      <c r="A366" s="90"/>
      <c r="B366" s="61" t="s">
        <v>23</v>
      </c>
      <c r="C366" s="61"/>
      <c r="D366" s="61" t="s">
        <v>274</v>
      </c>
      <c r="E366" s="61" t="s">
        <v>1110</v>
      </c>
      <c r="F366" s="61" t="s">
        <v>1417</v>
      </c>
      <c r="G366" s="62" t="s">
        <v>1252</v>
      </c>
      <c r="H366" s="61" t="s">
        <v>64</v>
      </c>
      <c r="I366" s="80"/>
      <c r="J366" s="62" t="s">
        <v>44</v>
      </c>
      <c r="K366" s="62" t="s">
        <v>45</v>
      </c>
      <c r="L366" s="61" t="s">
        <v>1418</v>
      </c>
      <c r="M366" s="65"/>
      <c r="N366" s="66"/>
      <c r="O366" s="66" t="str">
        <f t="shared" si="1"/>
        <v/>
      </c>
      <c r="P366" s="66">
        <v>0.0</v>
      </c>
      <c r="Q366" s="66">
        <v>0.0</v>
      </c>
      <c r="R366" s="112"/>
      <c r="S366" s="66"/>
      <c r="T366" s="66"/>
      <c r="U366" s="66"/>
      <c r="V366" s="66"/>
      <c r="W366" s="66"/>
      <c r="X366" s="66"/>
      <c r="Y366" s="66"/>
      <c r="Z366" s="82"/>
    </row>
    <row r="367">
      <c r="A367" s="96"/>
      <c r="B367" s="61" t="s">
        <v>20</v>
      </c>
      <c r="C367" s="97"/>
      <c r="D367" s="97" t="s">
        <v>574</v>
      </c>
      <c r="E367" s="97" t="s">
        <v>1110</v>
      </c>
      <c r="F367" s="97" t="s">
        <v>1419</v>
      </c>
      <c r="G367" s="98" t="s">
        <v>44</v>
      </c>
      <c r="H367" s="175"/>
      <c r="I367" s="170"/>
      <c r="J367" s="99" t="s">
        <v>1420</v>
      </c>
      <c r="K367" s="166"/>
      <c r="L367" s="97" t="s">
        <v>1421</v>
      </c>
      <c r="M367" s="102"/>
      <c r="N367" s="66"/>
      <c r="O367" s="66" t="str">
        <f t="shared" si="1"/>
        <v>이메일</v>
      </c>
      <c r="P367" s="241">
        <v>0.0</v>
      </c>
      <c r="Q367" s="232">
        <v>1.0</v>
      </c>
      <c r="R367" s="112"/>
      <c r="S367" s="113"/>
      <c r="T367" s="113">
        <v>46108.0</v>
      </c>
      <c r="U367" s="113"/>
      <c r="V367" s="113"/>
      <c r="W367" s="113"/>
      <c r="X367" s="113"/>
      <c r="Y367" s="113"/>
      <c r="Z367" s="114"/>
    </row>
    <row r="368">
      <c r="A368" s="90"/>
      <c r="B368" s="61" t="s">
        <v>23</v>
      </c>
      <c r="C368" s="61"/>
      <c r="D368" s="61" t="s">
        <v>274</v>
      </c>
      <c r="E368" s="61" t="s">
        <v>69</v>
      </c>
      <c r="F368" s="61" t="s">
        <v>1422</v>
      </c>
      <c r="G368" s="62" t="s">
        <v>648</v>
      </c>
      <c r="H368" s="61" t="s">
        <v>64</v>
      </c>
      <c r="I368" s="62" t="s">
        <v>648</v>
      </c>
      <c r="J368" s="62" t="s">
        <v>44</v>
      </c>
      <c r="K368" s="80"/>
      <c r="L368" s="61" t="s">
        <v>1423</v>
      </c>
      <c r="M368" s="65"/>
      <c r="N368" s="66"/>
      <c r="O368" s="66" t="str">
        <f t="shared" si="1"/>
        <v/>
      </c>
      <c r="P368" s="66">
        <v>0.0</v>
      </c>
      <c r="Q368" s="66">
        <v>0.0</v>
      </c>
      <c r="R368" s="112"/>
      <c r="S368" s="66"/>
      <c r="T368" s="66"/>
      <c r="U368" s="66"/>
      <c r="V368" s="66"/>
      <c r="W368" s="66"/>
      <c r="X368" s="66"/>
      <c r="Y368" s="66"/>
      <c r="Z368" s="82"/>
    </row>
    <row r="369">
      <c r="A369" s="90"/>
      <c r="B369" s="61" t="s">
        <v>23</v>
      </c>
      <c r="C369" s="61"/>
      <c r="D369" s="61" t="s">
        <v>1424</v>
      </c>
      <c r="E369" s="61" t="s">
        <v>69</v>
      </c>
      <c r="F369" s="61" t="s">
        <v>1425</v>
      </c>
      <c r="G369" s="62" t="s">
        <v>648</v>
      </c>
      <c r="H369" s="61" t="s">
        <v>64</v>
      </c>
      <c r="I369" s="62" t="s">
        <v>648</v>
      </c>
      <c r="J369" s="62" t="s">
        <v>44</v>
      </c>
      <c r="K369" s="62" t="s">
        <v>45</v>
      </c>
      <c r="L369" s="105"/>
      <c r="M369" s="65"/>
      <c r="N369" s="66"/>
      <c r="O369" s="66" t="str">
        <f t="shared" si="1"/>
        <v/>
      </c>
      <c r="P369" s="66">
        <v>0.0</v>
      </c>
      <c r="Q369" s="66">
        <v>0.0</v>
      </c>
      <c r="R369" s="112"/>
      <c r="S369" s="66"/>
      <c r="T369" s="66"/>
      <c r="U369" s="66"/>
      <c r="V369" s="66"/>
      <c r="W369" s="66"/>
      <c r="X369" s="66"/>
      <c r="Y369" s="66"/>
      <c r="Z369" s="82"/>
    </row>
    <row r="370">
      <c r="A370" s="90"/>
      <c r="B370" s="61" t="s">
        <v>23</v>
      </c>
      <c r="C370" s="61"/>
      <c r="D370" s="61" t="s">
        <v>247</v>
      </c>
      <c r="E370" s="61" t="s">
        <v>1377</v>
      </c>
      <c r="F370" s="210" t="s">
        <v>1426</v>
      </c>
      <c r="G370" s="62" t="s">
        <v>44</v>
      </c>
      <c r="H370" s="61" t="s">
        <v>64</v>
      </c>
      <c r="I370" s="62" t="s">
        <v>1427</v>
      </c>
      <c r="J370" s="198" t="s">
        <v>44</v>
      </c>
      <c r="K370" s="112"/>
      <c r="L370" s="61" t="s">
        <v>1428</v>
      </c>
      <c r="M370" s="65"/>
      <c r="N370" s="66"/>
      <c r="O370" s="66" t="str">
        <f t="shared" si="1"/>
        <v/>
      </c>
      <c r="P370" s="66">
        <v>0.0</v>
      </c>
      <c r="Q370" s="66">
        <v>0.0</v>
      </c>
      <c r="R370" s="112"/>
      <c r="S370" s="66"/>
      <c r="T370" s="66"/>
      <c r="U370" s="66"/>
      <c r="V370" s="66"/>
      <c r="W370" s="66"/>
      <c r="X370" s="66"/>
      <c r="Y370" s="66"/>
      <c r="Z370" s="82"/>
    </row>
    <row r="371">
      <c r="A371" s="90"/>
      <c r="B371" s="61" t="s">
        <v>23</v>
      </c>
      <c r="C371" s="61"/>
      <c r="D371" s="61" t="s">
        <v>1429</v>
      </c>
      <c r="E371" s="61" t="s">
        <v>89</v>
      </c>
      <c r="F371" s="61" t="s">
        <v>1430</v>
      </c>
      <c r="G371" s="62" t="s">
        <v>648</v>
      </c>
      <c r="H371" s="61" t="s">
        <v>64</v>
      </c>
      <c r="I371" s="62" t="s">
        <v>648</v>
      </c>
      <c r="J371" s="62" t="s">
        <v>44</v>
      </c>
      <c r="K371" s="105"/>
      <c r="L371" s="61" t="s">
        <v>1431</v>
      </c>
      <c r="M371" s="65"/>
      <c r="N371" s="66"/>
      <c r="O371" s="66" t="str">
        <f t="shared" si="1"/>
        <v/>
      </c>
      <c r="P371" s="66">
        <v>0.0</v>
      </c>
      <c r="Q371" s="66">
        <v>0.0</v>
      </c>
      <c r="R371" s="112"/>
      <c r="S371" s="66"/>
      <c r="T371" s="66"/>
      <c r="U371" s="66"/>
      <c r="V371" s="66"/>
      <c r="W371" s="66"/>
      <c r="X371" s="66"/>
      <c r="Y371" s="66"/>
      <c r="Z371" s="82"/>
    </row>
    <row r="372">
      <c r="A372" s="96"/>
      <c r="B372" s="61" t="s">
        <v>20</v>
      </c>
      <c r="C372" s="97"/>
      <c r="D372" s="97" t="s">
        <v>1432</v>
      </c>
      <c r="E372" s="97" t="s">
        <v>429</v>
      </c>
      <c r="F372" s="97" t="s">
        <v>1433</v>
      </c>
      <c r="G372" s="98" t="s">
        <v>648</v>
      </c>
      <c r="H372" s="97" t="s">
        <v>64</v>
      </c>
      <c r="I372" s="98" t="s">
        <v>462</v>
      </c>
      <c r="J372" s="99" t="s">
        <v>1434</v>
      </c>
      <c r="K372" s="107" t="s">
        <v>1435</v>
      </c>
      <c r="L372" s="97" t="s">
        <v>1436</v>
      </c>
      <c r="M372" s="247" t="s">
        <v>822</v>
      </c>
      <c r="N372" s="66"/>
      <c r="O372" s="66" t="str">
        <f t="shared" si="1"/>
        <v>DM+이메일</v>
      </c>
      <c r="P372" s="232">
        <v>1.0</v>
      </c>
      <c r="Q372" s="232">
        <v>1.0</v>
      </c>
      <c r="R372" s="112"/>
      <c r="S372" s="113"/>
      <c r="T372" s="113">
        <v>46108.0</v>
      </c>
      <c r="U372" s="113"/>
      <c r="V372" s="113"/>
      <c r="W372" s="113"/>
      <c r="X372" s="113"/>
      <c r="Y372" s="113"/>
      <c r="Z372" s="114"/>
    </row>
    <row r="373">
      <c r="A373" s="96"/>
      <c r="B373" s="61" t="s">
        <v>20</v>
      </c>
      <c r="C373" s="97"/>
      <c r="D373" s="97" t="s">
        <v>1437</v>
      </c>
      <c r="E373" s="97" t="s">
        <v>429</v>
      </c>
      <c r="F373" s="97" t="s">
        <v>1438</v>
      </c>
      <c r="G373" s="98" t="s">
        <v>636</v>
      </c>
      <c r="H373" s="97" t="s">
        <v>106</v>
      </c>
      <c r="I373" s="98" t="s">
        <v>1439</v>
      </c>
      <c r="J373" s="99" t="s">
        <v>1440</v>
      </c>
      <c r="K373" s="107" t="s">
        <v>1441</v>
      </c>
      <c r="L373" s="97" t="s">
        <v>1442</v>
      </c>
      <c r="M373" s="102"/>
      <c r="N373" s="66"/>
      <c r="O373" s="66" t="str">
        <f t="shared" si="1"/>
        <v>DM+이메일</v>
      </c>
      <c r="P373" s="232">
        <v>1.0</v>
      </c>
      <c r="Q373" s="232">
        <v>1.0</v>
      </c>
      <c r="R373" s="112"/>
      <c r="S373" s="113"/>
      <c r="T373" s="113">
        <v>46108.0</v>
      </c>
      <c r="U373" s="113"/>
      <c r="V373" s="113"/>
      <c r="W373" s="113"/>
      <c r="X373" s="113"/>
      <c r="Y373" s="113"/>
      <c r="Z373" s="114"/>
    </row>
    <row r="374">
      <c r="A374" s="96"/>
      <c r="B374" s="61" t="s">
        <v>20</v>
      </c>
      <c r="C374" s="97"/>
      <c r="D374" s="97" t="s">
        <v>1443</v>
      </c>
      <c r="E374" s="97" t="s">
        <v>1063</v>
      </c>
      <c r="F374" s="98" t="s">
        <v>1444</v>
      </c>
      <c r="G374" s="98" t="s">
        <v>44</v>
      </c>
      <c r="H374" s="97" t="s">
        <v>64</v>
      </c>
      <c r="I374" s="98" t="s">
        <v>115</v>
      </c>
      <c r="J374" s="99" t="s">
        <v>1445</v>
      </c>
      <c r="K374" s="104" t="s">
        <v>1446</v>
      </c>
      <c r="L374" s="175"/>
      <c r="M374" s="102"/>
      <c r="N374" s="66"/>
      <c r="O374" s="66" t="str">
        <f t="shared" si="1"/>
        <v>DM</v>
      </c>
      <c r="P374" s="232">
        <v>1.0</v>
      </c>
      <c r="Q374" s="241">
        <v>0.0</v>
      </c>
      <c r="R374" s="112"/>
      <c r="S374" s="113"/>
      <c r="T374" s="113">
        <v>46108.0</v>
      </c>
      <c r="U374" s="113"/>
      <c r="V374" s="113"/>
      <c r="W374" s="113"/>
      <c r="X374" s="113"/>
      <c r="Y374" s="113"/>
      <c r="Z374" s="114"/>
    </row>
    <row r="375">
      <c r="A375" s="96"/>
      <c r="B375" s="61" t="s">
        <v>20</v>
      </c>
      <c r="C375" s="175"/>
      <c r="D375" s="175"/>
      <c r="E375" s="97" t="s">
        <v>1063</v>
      </c>
      <c r="F375" s="97" t="s">
        <v>1447</v>
      </c>
      <c r="G375" s="98" t="s">
        <v>44</v>
      </c>
      <c r="H375" s="97" t="s">
        <v>64</v>
      </c>
      <c r="I375" s="98" t="s">
        <v>648</v>
      </c>
      <c r="J375" s="99" t="s">
        <v>1448</v>
      </c>
      <c r="K375" s="166"/>
      <c r="L375" s="97" t="s">
        <v>1449</v>
      </c>
      <c r="M375" s="102"/>
      <c r="N375" s="66"/>
      <c r="O375" s="66" t="str">
        <f t="shared" si="1"/>
        <v>이메일</v>
      </c>
      <c r="P375" s="241">
        <v>0.0</v>
      </c>
      <c r="Q375" s="232">
        <v>1.0</v>
      </c>
      <c r="R375" s="112"/>
      <c r="S375" s="113"/>
      <c r="T375" s="113">
        <v>46108.0</v>
      </c>
      <c r="U375" s="113"/>
      <c r="V375" s="113"/>
      <c r="W375" s="113"/>
      <c r="X375" s="113"/>
      <c r="Y375" s="113"/>
      <c r="Z375" s="114"/>
    </row>
    <row r="376">
      <c r="A376" s="90"/>
      <c r="B376" s="61" t="s">
        <v>23</v>
      </c>
      <c r="C376" s="210"/>
      <c r="D376" s="210" t="s">
        <v>938</v>
      </c>
      <c r="E376" s="61" t="s">
        <v>1180</v>
      </c>
      <c r="F376" s="61" t="s">
        <v>1450</v>
      </c>
      <c r="G376" s="62" t="s">
        <v>44</v>
      </c>
      <c r="H376" s="61" t="s">
        <v>106</v>
      </c>
      <c r="I376" s="105"/>
      <c r="J376" s="62" t="s">
        <v>44</v>
      </c>
      <c r="K376" s="105"/>
      <c r="L376" s="61" t="s">
        <v>1451</v>
      </c>
      <c r="M376" s="65"/>
      <c r="N376" s="66"/>
      <c r="O376" s="66" t="str">
        <f t="shared" si="1"/>
        <v/>
      </c>
      <c r="P376" s="66">
        <v>0.0</v>
      </c>
      <c r="Q376" s="66">
        <v>0.0</v>
      </c>
      <c r="R376" s="112"/>
      <c r="S376" s="66"/>
      <c r="T376" s="66"/>
      <c r="U376" s="66"/>
      <c r="V376" s="66"/>
      <c r="W376" s="66"/>
      <c r="X376" s="66"/>
      <c r="Y376" s="66"/>
      <c r="Z376" s="82"/>
    </row>
    <row r="377">
      <c r="A377" s="96"/>
      <c r="B377" s="61" t="s">
        <v>23</v>
      </c>
      <c r="C377" s="106"/>
      <c r="D377" s="106" t="s">
        <v>899</v>
      </c>
      <c r="E377" s="97" t="s">
        <v>1180</v>
      </c>
      <c r="F377" s="97" t="s">
        <v>1452</v>
      </c>
      <c r="G377" s="98" t="s">
        <v>44</v>
      </c>
      <c r="H377" s="97" t="s">
        <v>106</v>
      </c>
      <c r="I377" s="175"/>
      <c r="J377" s="99" t="s">
        <v>1453</v>
      </c>
      <c r="K377" s="332"/>
      <c r="L377" s="97" t="s">
        <v>1454</v>
      </c>
      <c r="M377" s="102"/>
      <c r="N377" s="66"/>
      <c r="O377" s="66" t="str">
        <f t="shared" si="1"/>
        <v/>
      </c>
      <c r="P377" s="241">
        <v>0.0</v>
      </c>
      <c r="Q377" s="241">
        <v>0.0</v>
      </c>
      <c r="R377" s="112"/>
      <c r="S377" s="241"/>
      <c r="T377" s="241"/>
      <c r="U377" s="241"/>
      <c r="V377" s="241"/>
      <c r="W377" s="241"/>
      <c r="X377" s="241"/>
      <c r="Y377" s="241"/>
      <c r="Z377" s="242"/>
    </row>
    <row r="378">
      <c r="A378" s="96"/>
      <c r="B378" s="61" t="s">
        <v>20</v>
      </c>
      <c r="C378" s="97"/>
      <c r="D378" s="97" t="s">
        <v>574</v>
      </c>
      <c r="E378" s="97" t="s">
        <v>122</v>
      </c>
      <c r="F378" s="97" t="s">
        <v>1455</v>
      </c>
      <c r="G378" s="98" t="s">
        <v>44</v>
      </c>
      <c r="H378" s="97" t="s">
        <v>64</v>
      </c>
      <c r="I378" s="175"/>
      <c r="J378" s="99" t="s">
        <v>1456</v>
      </c>
      <c r="K378" s="223"/>
      <c r="L378" s="175"/>
      <c r="M378" s="102"/>
      <c r="N378" s="66"/>
      <c r="O378" s="66" t="str">
        <f t="shared" si="1"/>
        <v/>
      </c>
      <c r="P378" s="241">
        <v>0.0</v>
      </c>
      <c r="Q378" s="241">
        <v>0.0</v>
      </c>
      <c r="R378" s="112"/>
      <c r="S378" s="113"/>
      <c r="T378" s="113">
        <v>46108.0</v>
      </c>
      <c r="U378" s="113"/>
      <c r="V378" s="113"/>
      <c r="W378" s="113"/>
      <c r="X378" s="113"/>
      <c r="Y378" s="113"/>
      <c r="Z378" s="114"/>
    </row>
    <row r="379">
      <c r="A379" s="90"/>
      <c r="B379" s="61" t="s">
        <v>23</v>
      </c>
      <c r="C379" s="61"/>
      <c r="D379" s="61" t="s">
        <v>574</v>
      </c>
      <c r="E379" s="61" t="s">
        <v>122</v>
      </c>
      <c r="F379" s="61" t="s">
        <v>1457</v>
      </c>
      <c r="G379" s="62" t="s">
        <v>44</v>
      </c>
      <c r="H379" s="61" t="s">
        <v>106</v>
      </c>
      <c r="I379" s="105"/>
      <c r="J379" s="62" t="s">
        <v>44</v>
      </c>
      <c r="K379" s="105"/>
      <c r="L379" s="105"/>
      <c r="M379" s="65"/>
      <c r="N379" s="66"/>
      <c r="O379" s="66" t="str">
        <f t="shared" si="1"/>
        <v/>
      </c>
      <c r="P379" s="66">
        <v>0.0</v>
      </c>
      <c r="Q379" s="66">
        <v>0.0</v>
      </c>
      <c r="R379" s="112"/>
      <c r="S379" s="66"/>
      <c r="T379" s="66"/>
      <c r="U379" s="66"/>
      <c r="V379" s="66"/>
      <c r="W379" s="66"/>
      <c r="X379" s="66"/>
      <c r="Y379" s="66"/>
      <c r="Z379" s="82"/>
    </row>
    <row r="380">
      <c r="A380" s="90"/>
      <c r="B380" s="61" t="s">
        <v>23</v>
      </c>
      <c r="C380" s="61"/>
      <c r="D380" s="61" t="s">
        <v>1458</v>
      </c>
      <c r="E380" s="61" t="s">
        <v>1210</v>
      </c>
      <c r="F380" s="61" t="s">
        <v>1459</v>
      </c>
      <c r="G380" s="62" t="s">
        <v>44</v>
      </c>
      <c r="H380" s="61" t="s">
        <v>64</v>
      </c>
      <c r="I380" s="62" t="s">
        <v>1460</v>
      </c>
      <c r="J380" s="62" t="s">
        <v>44</v>
      </c>
      <c r="K380" s="105"/>
      <c r="L380" s="105"/>
      <c r="M380" s="333" t="s">
        <v>1461</v>
      </c>
      <c r="N380" s="66"/>
      <c r="O380" s="66" t="str">
        <f t="shared" si="1"/>
        <v/>
      </c>
      <c r="P380" s="66">
        <v>0.0</v>
      </c>
      <c r="Q380" s="66">
        <v>0.0</v>
      </c>
      <c r="R380" s="112"/>
      <c r="S380" s="66"/>
      <c r="T380" s="66"/>
      <c r="U380" s="66"/>
      <c r="V380" s="66"/>
      <c r="W380" s="66"/>
      <c r="X380" s="66"/>
      <c r="Y380" s="66"/>
      <c r="Z380" s="82"/>
    </row>
    <row r="381">
      <c r="A381" s="90"/>
      <c r="B381" s="61" t="s">
        <v>23</v>
      </c>
      <c r="C381" s="61"/>
      <c r="D381" s="61" t="s">
        <v>1462</v>
      </c>
      <c r="E381" s="61" t="s">
        <v>506</v>
      </c>
      <c r="F381" s="61" t="s">
        <v>1463</v>
      </c>
      <c r="G381" s="62" t="s">
        <v>44</v>
      </c>
      <c r="H381" s="61" t="s">
        <v>64</v>
      </c>
      <c r="I381" s="62" t="s">
        <v>640</v>
      </c>
      <c r="J381" s="62" t="s">
        <v>44</v>
      </c>
      <c r="K381" s="62" t="s">
        <v>1464</v>
      </c>
      <c r="L381" s="61" t="s">
        <v>1465</v>
      </c>
      <c r="M381" s="65"/>
      <c r="N381" s="66"/>
      <c r="O381" s="66" t="str">
        <f t="shared" si="1"/>
        <v/>
      </c>
      <c r="P381" s="66">
        <v>0.0</v>
      </c>
      <c r="Q381" s="66">
        <v>0.0</v>
      </c>
      <c r="R381" s="112"/>
      <c r="S381" s="66"/>
      <c r="T381" s="66"/>
      <c r="U381" s="66"/>
      <c r="V381" s="66"/>
      <c r="W381" s="66"/>
      <c r="X381" s="66"/>
      <c r="Y381" s="66"/>
      <c r="Z381" s="82"/>
    </row>
    <row r="382">
      <c r="A382" s="96"/>
      <c r="B382" s="61" t="s">
        <v>23</v>
      </c>
      <c r="C382" s="97" t="s">
        <v>1466</v>
      </c>
      <c r="D382" s="97" t="s">
        <v>574</v>
      </c>
      <c r="E382" s="97" t="s">
        <v>109</v>
      </c>
      <c r="F382" s="97" t="s">
        <v>1467</v>
      </c>
      <c r="G382" s="98" t="s">
        <v>44</v>
      </c>
      <c r="H382" s="97" t="s">
        <v>64</v>
      </c>
      <c r="I382" s="97" t="s">
        <v>1468</v>
      </c>
      <c r="J382" s="99" t="s">
        <v>1469</v>
      </c>
      <c r="K382" s="166"/>
      <c r="L382" s="98" t="s">
        <v>1470</v>
      </c>
      <c r="M382" s="108" t="s">
        <v>1471</v>
      </c>
      <c r="N382" s="66"/>
      <c r="O382" s="66" t="str">
        <f t="shared" si="1"/>
        <v/>
      </c>
      <c r="P382" s="232">
        <v>0.0</v>
      </c>
      <c r="Q382" s="232">
        <v>0.0</v>
      </c>
      <c r="R382" s="112"/>
      <c r="S382" s="232"/>
      <c r="T382" s="232"/>
      <c r="U382" s="232"/>
      <c r="V382" s="232"/>
      <c r="W382" s="232"/>
      <c r="X382" s="232"/>
      <c r="Y382" s="232"/>
      <c r="Z382" s="334"/>
    </row>
    <row r="383">
      <c r="A383" s="90"/>
      <c r="B383" s="61" t="s">
        <v>23</v>
      </c>
      <c r="C383" s="61"/>
      <c r="D383" s="61" t="s">
        <v>1472</v>
      </c>
      <c r="E383" s="61" t="s">
        <v>109</v>
      </c>
      <c r="F383" s="61" t="s">
        <v>1473</v>
      </c>
      <c r="G383" s="62" t="s">
        <v>44</v>
      </c>
      <c r="H383" s="61" t="s">
        <v>64</v>
      </c>
      <c r="I383" s="62" t="s">
        <v>244</v>
      </c>
      <c r="J383" s="62" t="s">
        <v>44</v>
      </c>
      <c r="K383" s="105"/>
      <c r="L383" s="105"/>
      <c r="M383" s="125" t="s">
        <v>1474</v>
      </c>
      <c r="N383" s="66"/>
      <c r="O383" s="66" t="str">
        <f t="shared" si="1"/>
        <v/>
      </c>
      <c r="P383" s="66">
        <v>0.0</v>
      </c>
      <c r="Q383" s="66">
        <v>0.0</v>
      </c>
      <c r="R383" s="112"/>
      <c r="S383" s="66"/>
      <c r="T383" s="66"/>
      <c r="U383" s="66"/>
      <c r="V383" s="66"/>
      <c r="W383" s="66"/>
      <c r="X383" s="66"/>
      <c r="Y383" s="66"/>
      <c r="Z383" s="82"/>
    </row>
    <row r="384">
      <c r="A384" s="90"/>
      <c r="B384" s="61" t="s">
        <v>23</v>
      </c>
      <c r="C384" s="61"/>
      <c r="D384" s="61" t="s">
        <v>377</v>
      </c>
      <c r="E384" s="61" t="s">
        <v>506</v>
      </c>
      <c r="F384" s="61" t="s">
        <v>1475</v>
      </c>
      <c r="G384" s="198" t="s">
        <v>44</v>
      </c>
      <c r="H384" s="61" t="s">
        <v>431</v>
      </c>
      <c r="I384" s="105"/>
      <c r="J384" s="62" t="s">
        <v>44</v>
      </c>
      <c r="K384" s="62" t="s">
        <v>45</v>
      </c>
      <c r="L384" s="105"/>
      <c r="M384" s="65"/>
      <c r="N384" s="66"/>
      <c r="O384" s="66" t="str">
        <f t="shared" si="1"/>
        <v/>
      </c>
      <c r="P384" s="66">
        <v>0.0</v>
      </c>
      <c r="Q384" s="66">
        <v>0.0</v>
      </c>
      <c r="R384" s="112"/>
      <c r="S384" s="66"/>
      <c r="T384" s="66"/>
      <c r="U384" s="66"/>
      <c r="V384" s="66"/>
      <c r="W384" s="66"/>
      <c r="X384" s="66"/>
      <c r="Y384" s="66"/>
      <c r="Z384" s="82"/>
    </row>
    <row r="385">
      <c r="A385" s="90"/>
      <c r="B385" s="61" t="s">
        <v>23</v>
      </c>
      <c r="C385" s="61"/>
      <c r="D385" s="61" t="s">
        <v>88</v>
      </c>
      <c r="E385" s="61" t="s">
        <v>531</v>
      </c>
      <c r="F385" s="61" t="s">
        <v>1476</v>
      </c>
      <c r="G385" s="62" t="s">
        <v>1477</v>
      </c>
      <c r="H385" s="61" t="s">
        <v>106</v>
      </c>
      <c r="I385" s="62" t="s">
        <v>1478</v>
      </c>
      <c r="J385" s="62" t="s">
        <v>44</v>
      </c>
      <c r="K385" s="105"/>
      <c r="L385" s="61" t="s">
        <v>1479</v>
      </c>
      <c r="M385" s="65"/>
      <c r="N385" s="66"/>
      <c r="O385" s="66" t="str">
        <f t="shared" si="1"/>
        <v/>
      </c>
      <c r="P385" s="66">
        <v>0.0</v>
      </c>
      <c r="Q385" s="66">
        <v>0.0</v>
      </c>
      <c r="R385" s="112"/>
      <c r="S385" s="66"/>
      <c r="T385" s="66"/>
      <c r="U385" s="66"/>
      <c r="V385" s="66"/>
      <c r="W385" s="66"/>
      <c r="X385" s="66"/>
      <c r="Y385" s="66"/>
      <c r="Z385" s="82"/>
    </row>
    <row r="386">
      <c r="A386" s="90"/>
      <c r="B386" s="61" t="s">
        <v>23</v>
      </c>
      <c r="C386" s="61"/>
      <c r="D386" s="61" t="s">
        <v>1480</v>
      </c>
      <c r="E386" s="61" t="s">
        <v>531</v>
      </c>
      <c r="F386" s="61" t="s">
        <v>1481</v>
      </c>
      <c r="G386" s="62" t="s">
        <v>44</v>
      </c>
      <c r="H386" s="61" t="s">
        <v>64</v>
      </c>
      <c r="I386" s="62" t="s">
        <v>1482</v>
      </c>
      <c r="J386" s="62" t="s">
        <v>44</v>
      </c>
      <c r="K386" s="105"/>
      <c r="L386" s="61" t="s">
        <v>1483</v>
      </c>
      <c r="M386" s="65"/>
      <c r="N386" s="66"/>
      <c r="O386" s="66" t="str">
        <f t="shared" si="1"/>
        <v/>
      </c>
      <c r="P386" s="66">
        <v>0.0</v>
      </c>
      <c r="Q386" s="66">
        <v>0.0</v>
      </c>
      <c r="R386" s="112"/>
      <c r="S386" s="66"/>
      <c r="T386" s="66"/>
      <c r="U386" s="66"/>
      <c r="V386" s="66"/>
      <c r="W386" s="66"/>
      <c r="X386" s="66"/>
      <c r="Y386" s="66"/>
      <c r="Z386" s="82"/>
    </row>
    <row r="387">
      <c r="A387" s="90"/>
      <c r="B387" s="61" t="s">
        <v>23</v>
      </c>
      <c r="C387" s="61"/>
      <c r="D387" s="61" t="s">
        <v>1484</v>
      </c>
      <c r="E387" s="61" t="s">
        <v>513</v>
      </c>
      <c r="F387" s="61" t="s">
        <v>1485</v>
      </c>
      <c r="G387" s="62" t="s">
        <v>44</v>
      </c>
      <c r="H387" s="61" t="s">
        <v>64</v>
      </c>
      <c r="I387" s="62" t="s">
        <v>1486</v>
      </c>
      <c r="J387" s="62" t="s">
        <v>44</v>
      </c>
      <c r="K387" s="62" t="s">
        <v>45</v>
      </c>
      <c r="L387" s="61" t="s">
        <v>1487</v>
      </c>
      <c r="M387" s="125" t="s">
        <v>1488</v>
      </c>
      <c r="N387" s="66"/>
      <c r="O387" s="66" t="str">
        <f t="shared" si="1"/>
        <v/>
      </c>
      <c r="P387" s="66">
        <v>0.0</v>
      </c>
      <c r="Q387" s="66">
        <v>0.0</v>
      </c>
      <c r="R387" s="112"/>
      <c r="S387" s="66"/>
      <c r="T387" s="66"/>
      <c r="U387" s="66"/>
      <c r="V387" s="66"/>
      <c r="W387" s="66"/>
      <c r="X387" s="66"/>
      <c r="Y387" s="66"/>
      <c r="Z387" s="82"/>
    </row>
    <row r="388">
      <c r="A388" s="90"/>
      <c r="B388" s="61" t="s">
        <v>23</v>
      </c>
      <c r="C388" s="61"/>
      <c r="D388" s="61" t="s">
        <v>1489</v>
      </c>
      <c r="E388" s="61" t="s">
        <v>1059</v>
      </c>
      <c r="F388" s="61" t="s">
        <v>1490</v>
      </c>
      <c r="G388" s="62" t="s">
        <v>44</v>
      </c>
      <c r="H388" s="61" t="s">
        <v>64</v>
      </c>
      <c r="I388" s="62" t="s">
        <v>1491</v>
      </c>
      <c r="J388" s="62" t="s">
        <v>44</v>
      </c>
      <c r="K388" s="335" t="s">
        <v>1492</v>
      </c>
      <c r="L388" s="105"/>
      <c r="M388" s="65"/>
      <c r="N388" s="66"/>
      <c r="O388" s="66" t="str">
        <f t="shared" si="1"/>
        <v/>
      </c>
      <c r="P388" s="66">
        <v>0.0</v>
      </c>
      <c r="Q388" s="66">
        <v>0.0</v>
      </c>
      <c r="R388" s="112"/>
      <c r="S388" s="66"/>
      <c r="T388" s="66"/>
      <c r="U388" s="66"/>
      <c r="V388" s="66"/>
      <c r="W388" s="66"/>
      <c r="X388" s="66"/>
      <c r="Y388" s="66"/>
      <c r="Z388" s="82"/>
    </row>
    <row r="389">
      <c r="A389" s="96"/>
      <c r="B389" s="61" t="s">
        <v>20</v>
      </c>
      <c r="C389" s="97"/>
      <c r="D389" s="97" t="s">
        <v>1493</v>
      </c>
      <c r="E389" s="97" t="s">
        <v>1494</v>
      </c>
      <c r="F389" s="97" t="s">
        <v>1495</v>
      </c>
      <c r="G389" s="98" t="s">
        <v>44</v>
      </c>
      <c r="H389" s="97" t="s">
        <v>106</v>
      </c>
      <c r="I389" s="175"/>
      <c r="J389" s="99" t="s">
        <v>1496</v>
      </c>
      <c r="K389" s="104" t="s">
        <v>1497</v>
      </c>
      <c r="L389" s="97" t="s">
        <v>1498</v>
      </c>
      <c r="M389" s="102"/>
      <c r="N389" s="66"/>
      <c r="O389" s="66" t="str">
        <f t="shared" si="1"/>
        <v>DM+이메일</v>
      </c>
      <c r="P389" s="232">
        <v>1.0</v>
      </c>
      <c r="Q389" s="232">
        <v>1.0</v>
      </c>
      <c r="R389" s="112"/>
      <c r="S389" s="113"/>
      <c r="T389" s="113">
        <v>46108.0</v>
      </c>
      <c r="U389" s="113"/>
      <c r="V389" s="113"/>
      <c r="W389" s="113"/>
      <c r="X389" s="113"/>
      <c r="Y389" s="113"/>
      <c r="Z389" s="114"/>
    </row>
    <row r="390">
      <c r="A390" s="90"/>
      <c r="B390" s="61" t="s">
        <v>23</v>
      </c>
      <c r="C390" s="266"/>
      <c r="D390" s="266" t="s">
        <v>1499</v>
      </c>
      <c r="E390" s="266" t="s">
        <v>1494</v>
      </c>
      <c r="F390" s="266" t="s">
        <v>1500</v>
      </c>
      <c r="G390" s="268" t="s">
        <v>44</v>
      </c>
      <c r="H390" s="266" t="s">
        <v>64</v>
      </c>
      <c r="I390" s="268" t="s">
        <v>648</v>
      </c>
      <c r="J390" s="268" t="s">
        <v>44</v>
      </c>
      <c r="K390" s="268" t="s">
        <v>45</v>
      </c>
      <c r="L390" s="336" t="s">
        <v>1501</v>
      </c>
      <c r="M390" s="272"/>
      <c r="N390" s="66"/>
      <c r="O390" s="66" t="str">
        <f t="shared" si="1"/>
        <v/>
      </c>
      <c r="P390" s="66">
        <v>0.0</v>
      </c>
      <c r="Q390" s="66">
        <v>0.0</v>
      </c>
      <c r="R390" s="112"/>
      <c r="S390" s="66"/>
      <c r="T390" s="66"/>
      <c r="U390" s="66"/>
      <c r="V390" s="66"/>
      <c r="W390" s="66"/>
      <c r="X390" s="66"/>
      <c r="Y390" s="66"/>
      <c r="Z390" s="82"/>
    </row>
    <row r="391">
      <c r="A391" s="90"/>
      <c r="B391" s="61" t="s">
        <v>23</v>
      </c>
      <c r="C391" s="266"/>
      <c r="D391" s="266" t="s">
        <v>1502</v>
      </c>
      <c r="E391" s="266" t="s">
        <v>531</v>
      </c>
      <c r="F391" s="266" t="s">
        <v>1503</v>
      </c>
      <c r="G391" s="268" t="s">
        <v>1504</v>
      </c>
      <c r="H391" s="266" t="s">
        <v>64</v>
      </c>
      <c r="I391" s="268" t="s">
        <v>1505</v>
      </c>
      <c r="J391" s="269"/>
      <c r="K391" s="268" t="s">
        <v>45</v>
      </c>
      <c r="L391" s="269"/>
      <c r="M391" s="272"/>
      <c r="N391" s="66"/>
      <c r="O391" s="66" t="str">
        <f t="shared" si="1"/>
        <v/>
      </c>
      <c r="P391" s="66">
        <v>0.0</v>
      </c>
      <c r="Q391" s="66">
        <v>0.0</v>
      </c>
      <c r="R391" s="112"/>
      <c r="S391" s="66"/>
      <c r="T391" s="66"/>
      <c r="U391" s="66"/>
      <c r="V391" s="66"/>
      <c r="W391" s="66"/>
      <c r="X391" s="66"/>
      <c r="Y391" s="66"/>
      <c r="Z391" s="82"/>
    </row>
    <row r="392">
      <c r="A392" s="90"/>
      <c r="B392" s="61" t="s">
        <v>23</v>
      </c>
      <c r="C392" s="266"/>
      <c r="D392" s="266" t="s">
        <v>1506</v>
      </c>
      <c r="E392" s="266" t="s">
        <v>531</v>
      </c>
      <c r="F392" s="266" t="s">
        <v>1507</v>
      </c>
      <c r="G392" s="268" t="s">
        <v>1508</v>
      </c>
      <c r="H392" s="266" t="s">
        <v>64</v>
      </c>
      <c r="I392" s="268" t="s">
        <v>1505</v>
      </c>
      <c r="J392" s="268" t="s">
        <v>44</v>
      </c>
      <c r="K392" s="268" t="s">
        <v>45</v>
      </c>
      <c r="L392" s="266" t="s">
        <v>1509</v>
      </c>
      <c r="M392" s="272"/>
      <c r="N392" s="66"/>
      <c r="O392" s="66" t="str">
        <f t="shared" si="1"/>
        <v/>
      </c>
      <c r="P392" s="66">
        <v>0.0</v>
      </c>
      <c r="Q392" s="66">
        <v>0.0</v>
      </c>
      <c r="R392" s="112"/>
      <c r="S392" s="66"/>
      <c r="T392" s="66"/>
      <c r="U392" s="66"/>
      <c r="V392" s="66"/>
      <c r="W392" s="66"/>
      <c r="X392" s="66"/>
      <c r="Y392" s="66"/>
      <c r="Z392" s="82"/>
    </row>
    <row r="393">
      <c r="A393" s="90"/>
      <c r="B393" s="61" t="s">
        <v>23</v>
      </c>
      <c r="C393" s="266"/>
      <c r="D393" s="266" t="s">
        <v>949</v>
      </c>
      <c r="E393" s="266" t="s">
        <v>531</v>
      </c>
      <c r="F393" s="266" t="s">
        <v>1510</v>
      </c>
      <c r="G393" s="268" t="s">
        <v>1511</v>
      </c>
      <c r="H393" s="266" t="s">
        <v>64</v>
      </c>
      <c r="I393" s="268" t="s">
        <v>1505</v>
      </c>
      <c r="J393" s="268" t="s">
        <v>44</v>
      </c>
      <c r="K393" s="268" t="s">
        <v>45</v>
      </c>
      <c r="L393" s="266" t="s">
        <v>1512</v>
      </c>
      <c r="M393" s="272"/>
      <c r="N393" s="66"/>
      <c r="O393" s="66" t="str">
        <f t="shared" si="1"/>
        <v/>
      </c>
      <c r="P393" s="66">
        <v>0.0</v>
      </c>
      <c r="Q393" s="66">
        <v>0.0</v>
      </c>
      <c r="R393" s="112"/>
      <c r="S393" s="66"/>
      <c r="T393" s="66"/>
      <c r="U393" s="66"/>
      <c r="V393" s="66"/>
      <c r="W393" s="66"/>
      <c r="X393" s="66"/>
      <c r="Y393" s="66"/>
      <c r="Z393" s="82"/>
    </row>
    <row r="394">
      <c r="A394" s="90"/>
      <c r="B394" s="61" t="s">
        <v>23</v>
      </c>
      <c r="C394" s="266"/>
      <c r="D394" s="266" t="s">
        <v>103</v>
      </c>
      <c r="E394" s="266" t="s">
        <v>531</v>
      </c>
      <c r="F394" s="266" t="s">
        <v>1513</v>
      </c>
      <c r="G394" s="268" t="s">
        <v>1514</v>
      </c>
      <c r="H394" s="266" t="s">
        <v>64</v>
      </c>
      <c r="I394" s="268" t="s">
        <v>1505</v>
      </c>
      <c r="J394" s="269"/>
      <c r="K394" s="268" t="s">
        <v>45</v>
      </c>
      <c r="L394" s="266" t="s">
        <v>1515</v>
      </c>
      <c r="M394" s="272"/>
      <c r="N394" s="66"/>
      <c r="O394" s="66" t="str">
        <f t="shared" si="1"/>
        <v/>
      </c>
      <c r="P394" s="66">
        <v>0.0</v>
      </c>
      <c r="Q394" s="66">
        <v>0.0</v>
      </c>
      <c r="R394" s="112"/>
      <c r="S394" s="66"/>
      <c r="T394" s="66"/>
      <c r="U394" s="66"/>
      <c r="V394" s="66"/>
      <c r="W394" s="66"/>
      <c r="X394" s="66"/>
      <c r="Y394" s="66"/>
      <c r="Z394" s="82"/>
    </row>
    <row r="395">
      <c r="A395" s="90"/>
      <c r="B395" s="61" t="s">
        <v>23</v>
      </c>
      <c r="C395" s="266"/>
      <c r="D395" s="266" t="s">
        <v>1516</v>
      </c>
      <c r="E395" s="266" t="s">
        <v>531</v>
      </c>
      <c r="F395" s="266" t="s">
        <v>1517</v>
      </c>
      <c r="G395" s="268" t="s">
        <v>1518</v>
      </c>
      <c r="H395" s="266" t="s">
        <v>64</v>
      </c>
      <c r="I395" s="268" t="s">
        <v>335</v>
      </c>
      <c r="J395" s="268" t="s">
        <v>44</v>
      </c>
      <c r="K395" s="268" t="s">
        <v>45</v>
      </c>
      <c r="L395" s="269"/>
      <c r="M395" s="272"/>
      <c r="N395" s="66"/>
      <c r="O395" s="66" t="str">
        <f t="shared" si="1"/>
        <v/>
      </c>
      <c r="P395" s="66">
        <v>0.0</v>
      </c>
      <c r="Q395" s="66">
        <v>0.0</v>
      </c>
      <c r="R395" s="112"/>
      <c r="S395" s="66"/>
      <c r="T395" s="66"/>
      <c r="U395" s="66"/>
      <c r="V395" s="66"/>
      <c r="W395" s="66"/>
      <c r="X395" s="66"/>
      <c r="Y395" s="66"/>
      <c r="Z395" s="82"/>
    </row>
    <row r="396">
      <c r="A396" s="96"/>
      <c r="B396" s="61" t="s">
        <v>20</v>
      </c>
      <c r="C396" s="97"/>
      <c r="D396" s="97" t="s">
        <v>1519</v>
      </c>
      <c r="E396" s="97" t="s">
        <v>69</v>
      </c>
      <c r="F396" s="97" t="s">
        <v>1520</v>
      </c>
      <c r="G396" s="98" t="s">
        <v>44</v>
      </c>
      <c r="H396" s="97" t="s">
        <v>106</v>
      </c>
      <c r="I396" s="175"/>
      <c r="J396" s="99" t="s">
        <v>1521</v>
      </c>
      <c r="K396" s="166"/>
      <c r="L396" s="97" t="s">
        <v>1522</v>
      </c>
      <c r="M396" s="102"/>
      <c r="N396" s="66"/>
      <c r="O396" s="66" t="str">
        <f t="shared" si="1"/>
        <v>이메일</v>
      </c>
      <c r="P396" s="241">
        <v>0.0</v>
      </c>
      <c r="Q396" s="232">
        <v>1.0</v>
      </c>
      <c r="R396" s="112"/>
      <c r="S396" s="113"/>
      <c r="T396" s="113">
        <v>46108.0</v>
      </c>
      <c r="U396" s="113"/>
      <c r="V396" s="113"/>
      <c r="W396" s="113"/>
      <c r="X396" s="113"/>
      <c r="Y396" s="113"/>
      <c r="Z396" s="114"/>
    </row>
    <row r="397">
      <c r="A397" s="96"/>
      <c r="B397" s="61" t="s">
        <v>20</v>
      </c>
      <c r="C397" s="97"/>
      <c r="D397" s="97" t="s">
        <v>1519</v>
      </c>
      <c r="E397" s="97" t="s">
        <v>69</v>
      </c>
      <c r="F397" s="97" t="s">
        <v>1523</v>
      </c>
      <c r="G397" s="98" t="s">
        <v>44</v>
      </c>
      <c r="H397" s="97" t="s">
        <v>106</v>
      </c>
      <c r="I397" s="175"/>
      <c r="J397" s="99" t="s">
        <v>1524</v>
      </c>
      <c r="K397" s="166"/>
      <c r="L397" s="97" t="s">
        <v>1525</v>
      </c>
      <c r="M397" s="102"/>
      <c r="N397" s="66"/>
      <c r="O397" s="66" t="str">
        <f t="shared" si="1"/>
        <v>이메일</v>
      </c>
      <c r="P397" s="241">
        <v>0.0</v>
      </c>
      <c r="Q397" s="232">
        <v>1.0</v>
      </c>
      <c r="R397" s="112"/>
      <c r="S397" s="113"/>
      <c r="T397" s="113">
        <v>46108.0</v>
      </c>
      <c r="U397" s="113"/>
      <c r="V397" s="113"/>
      <c r="W397" s="113"/>
      <c r="X397" s="113"/>
      <c r="Y397" s="113"/>
      <c r="Z397" s="114"/>
    </row>
    <row r="398">
      <c r="A398" s="90"/>
      <c r="B398" s="61" t="s">
        <v>23</v>
      </c>
      <c r="C398" s="266"/>
      <c r="D398" s="266" t="s">
        <v>574</v>
      </c>
      <c r="E398" s="266" t="s">
        <v>1370</v>
      </c>
      <c r="F398" s="266" t="s">
        <v>1526</v>
      </c>
      <c r="G398" s="268" t="s">
        <v>1527</v>
      </c>
      <c r="H398" s="266" t="s">
        <v>64</v>
      </c>
      <c r="I398" s="268" t="s">
        <v>335</v>
      </c>
      <c r="J398" s="268" t="s">
        <v>44</v>
      </c>
      <c r="K398" s="269"/>
      <c r="L398" s="269"/>
      <c r="M398" s="272"/>
      <c r="N398" s="66"/>
      <c r="O398" s="66" t="str">
        <f t="shared" si="1"/>
        <v/>
      </c>
      <c r="P398" s="66">
        <v>0.0</v>
      </c>
      <c r="Q398" s="66">
        <v>0.0</v>
      </c>
      <c r="R398" s="112"/>
      <c r="S398" s="66"/>
      <c r="T398" s="66"/>
      <c r="U398" s="66"/>
      <c r="V398" s="66"/>
      <c r="W398" s="66"/>
      <c r="X398" s="66"/>
      <c r="Y398" s="66"/>
      <c r="Z398" s="82"/>
    </row>
    <row r="399">
      <c r="A399" s="96"/>
      <c r="B399" s="61" t="s">
        <v>20</v>
      </c>
      <c r="C399" s="97"/>
      <c r="D399" s="97" t="s">
        <v>1528</v>
      </c>
      <c r="E399" s="97" t="s">
        <v>1370</v>
      </c>
      <c r="F399" s="97" t="s">
        <v>1529</v>
      </c>
      <c r="G399" s="98" t="s">
        <v>1031</v>
      </c>
      <c r="H399" s="97" t="s">
        <v>64</v>
      </c>
      <c r="I399" s="98" t="s">
        <v>1031</v>
      </c>
      <c r="J399" s="103"/>
      <c r="K399" s="223"/>
      <c r="L399" s="175"/>
      <c r="M399" s="108" t="s">
        <v>1530</v>
      </c>
      <c r="N399" s="66"/>
      <c r="O399" s="66" t="str">
        <f t="shared" si="1"/>
        <v/>
      </c>
      <c r="P399" s="241">
        <v>0.0</v>
      </c>
      <c r="Q399" s="241">
        <v>0.0</v>
      </c>
      <c r="R399" s="112"/>
      <c r="S399" s="113"/>
      <c r="T399" s="113">
        <v>46108.0</v>
      </c>
      <c r="U399" s="113"/>
      <c r="V399" s="113"/>
      <c r="W399" s="113"/>
      <c r="X399" s="113"/>
      <c r="Y399" s="113"/>
      <c r="Z399" s="114"/>
    </row>
    <row r="400">
      <c r="A400" s="96"/>
      <c r="B400" s="61" t="s">
        <v>20</v>
      </c>
      <c r="C400" s="97"/>
      <c r="D400" s="97" t="s">
        <v>1531</v>
      </c>
      <c r="E400" s="97" t="s">
        <v>1110</v>
      </c>
      <c r="F400" s="106" t="s">
        <v>1532</v>
      </c>
      <c r="G400" s="98" t="s">
        <v>1533</v>
      </c>
      <c r="H400" s="175"/>
      <c r="I400" s="175"/>
      <c r="J400" s="99" t="s">
        <v>1534</v>
      </c>
      <c r="K400" s="166"/>
      <c r="L400" s="97" t="s">
        <v>1535</v>
      </c>
      <c r="M400" s="102"/>
      <c r="N400" s="66"/>
      <c r="O400" s="66" t="str">
        <f t="shared" si="1"/>
        <v>이메일</v>
      </c>
      <c r="P400" s="241">
        <v>0.0</v>
      </c>
      <c r="Q400" s="232">
        <v>1.0</v>
      </c>
      <c r="R400" s="112"/>
      <c r="S400" s="113"/>
      <c r="T400" s="113">
        <v>46108.0</v>
      </c>
      <c r="U400" s="113"/>
      <c r="V400" s="113"/>
      <c r="W400" s="113"/>
      <c r="X400" s="113"/>
      <c r="Y400" s="113"/>
      <c r="Z400" s="114"/>
    </row>
    <row r="401">
      <c r="A401" s="96"/>
      <c r="B401" s="61" t="s">
        <v>20</v>
      </c>
      <c r="C401" s="97"/>
      <c r="D401" s="97" t="s">
        <v>1536</v>
      </c>
      <c r="E401" s="97" t="s">
        <v>1110</v>
      </c>
      <c r="F401" s="97" t="s">
        <v>1537</v>
      </c>
      <c r="G401" s="98" t="s">
        <v>636</v>
      </c>
      <c r="H401" s="175"/>
      <c r="I401" s="175"/>
      <c r="J401" s="99" t="s">
        <v>1538</v>
      </c>
      <c r="K401" s="107" t="s">
        <v>1539</v>
      </c>
      <c r="L401" s="97" t="s">
        <v>1540</v>
      </c>
      <c r="M401" s="102"/>
      <c r="N401" s="66"/>
      <c r="O401" s="66" t="str">
        <f t="shared" si="1"/>
        <v>DM+이메일</v>
      </c>
      <c r="P401" s="232">
        <v>1.0</v>
      </c>
      <c r="Q401" s="232">
        <v>1.0</v>
      </c>
      <c r="R401" s="112"/>
      <c r="S401" s="113"/>
      <c r="T401" s="113">
        <v>46108.0</v>
      </c>
      <c r="U401" s="113"/>
      <c r="V401" s="113"/>
      <c r="W401" s="113"/>
      <c r="X401" s="113"/>
      <c r="Y401" s="113"/>
      <c r="Z401" s="114"/>
    </row>
    <row r="402">
      <c r="A402" s="96"/>
      <c r="B402" s="61" t="s">
        <v>20</v>
      </c>
      <c r="C402" s="97"/>
      <c r="D402" s="97" t="s">
        <v>294</v>
      </c>
      <c r="E402" s="97" t="s">
        <v>1110</v>
      </c>
      <c r="F402" s="97" t="s">
        <v>1541</v>
      </c>
      <c r="G402" s="98" t="s">
        <v>636</v>
      </c>
      <c r="H402" s="97" t="s">
        <v>64</v>
      </c>
      <c r="I402" s="98" t="s">
        <v>1542</v>
      </c>
      <c r="J402" s="99" t="s">
        <v>1543</v>
      </c>
      <c r="K402" s="107" t="s">
        <v>1544</v>
      </c>
      <c r="L402" s="97" t="s">
        <v>1545</v>
      </c>
      <c r="M402" s="102"/>
      <c r="N402" s="66"/>
      <c r="O402" s="66" t="str">
        <f t="shared" si="1"/>
        <v>DM+이메일</v>
      </c>
      <c r="P402" s="232">
        <v>1.0</v>
      </c>
      <c r="Q402" s="232">
        <v>1.0</v>
      </c>
      <c r="R402" s="112"/>
      <c r="S402" s="113"/>
      <c r="T402" s="113">
        <v>46108.0</v>
      </c>
      <c r="U402" s="113"/>
      <c r="V402" s="113"/>
      <c r="W402" s="113"/>
      <c r="X402" s="113"/>
      <c r="Y402" s="113"/>
      <c r="Z402" s="114"/>
    </row>
    <row r="403">
      <c r="A403" s="96"/>
      <c r="B403" s="61" t="s">
        <v>20</v>
      </c>
      <c r="C403" s="97"/>
      <c r="D403" s="97" t="s">
        <v>1443</v>
      </c>
      <c r="E403" s="97" t="s">
        <v>1189</v>
      </c>
      <c r="F403" s="97" t="s">
        <v>1546</v>
      </c>
      <c r="G403" s="98" t="s">
        <v>1031</v>
      </c>
      <c r="H403" s="97" t="s">
        <v>106</v>
      </c>
      <c r="I403" s="175"/>
      <c r="J403" s="99" t="s">
        <v>1547</v>
      </c>
      <c r="K403" s="166"/>
      <c r="L403" s="300" t="s">
        <v>1548</v>
      </c>
      <c r="M403" s="102"/>
      <c r="N403" s="66"/>
      <c r="O403" s="66" t="str">
        <f t="shared" si="1"/>
        <v>이메일</v>
      </c>
      <c r="P403" s="241">
        <v>0.0</v>
      </c>
      <c r="Q403" s="232">
        <v>1.0</v>
      </c>
      <c r="R403" s="112"/>
      <c r="S403" s="113"/>
      <c r="T403" s="113">
        <v>46108.0</v>
      </c>
      <c r="U403" s="113"/>
      <c r="V403" s="113"/>
      <c r="W403" s="113"/>
      <c r="X403" s="113"/>
      <c r="Y403" s="113"/>
      <c r="Z403" s="114"/>
    </row>
    <row r="404">
      <c r="A404" s="96"/>
      <c r="B404" s="61" t="s">
        <v>20</v>
      </c>
      <c r="C404" s="97"/>
      <c r="D404" s="97" t="s">
        <v>1549</v>
      </c>
      <c r="E404" s="97" t="s">
        <v>1189</v>
      </c>
      <c r="F404" s="337" t="s">
        <v>1550</v>
      </c>
      <c r="G404" s="338" t="s">
        <v>1031</v>
      </c>
      <c r="H404" s="97" t="s">
        <v>106</v>
      </c>
      <c r="I404" s="175"/>
      <c r="J404" s="99" t="s">
        <v>1551</v>
      </c>
      <c r="K404" s="166"/>
      <c r="L404" s="339" t="s">
        <v>1552</v>
      </c>
      <c r="M404" s="340"/>
      <c r="N404" s="66"/>
      <c r="O404" s="66" t="str">
        <f t="shared" si="1"/>
        <v>이메일</v>
      </c>
      <c r="P404" s="241">
        <v>0.0</v>
      </c>
      <c r="Q404" s="232">
        <v>1.0</v>
      </c>
      <c r="R404" s="112"/>
      <c r="S404" s="113"/>
      <c r="T404" s="113">
        <v>46108.0</v>
      </c>
      <c r="U404" s="113"/>
      <c r="V404" s="113"/>
      <c r="W404" s="113"/>
      <c r="X404" s="113"/>
      <c r="Y404" s="113"/>
      <c r="Z404" s="114"/>
    </row>
    <row r="405">
      <c r="A405" s="90"/>
      <c r="B405" s="61" t="s">
        <v>23</v>
      </c>
      <c r="C405" s="61"/>
      <c r="D405" s="61" t="s">
        <v>636</v>
      </c>
      <c r="E405" s="61" t="s">
        <v>429</v>
      </c>
      <c r="F405" s="61" t="s">
        <v>1553</v>
      </c>
      <c r="G405" s="62" t="s">
        <v>636</v>
      </c>
      <c r="H405" s="61" t="s">
        <v>64</v>
      </c>
      <c r="I405" s="62" t="s">
        <v>1554</v>
      </c>
      <c r="J405" s="62" t="s">
        <v>44</v>
      </c>
      <c r="K405" s="62" t="s">
        <v>45</v>
      </c>
      <c r="L405" s="61" t="s">
        <v>1555</v>
      </c>
      <c r="M405" s="65"/>
      <c r="N405" s="66"/>
      <c r="O405" s="66" t="str">
        <f t="shared" si="1"/>
        <v/>
      </c>
      <c r="P405" s="66">
        <v>0.0</v>
      </c>
      <c r="Q405" s="66">
        <v>0.0</v>
      </c>
      <c r="R405" s="112"/>
      <c r="S405" s="66"/>
      <c r="T405" s="66"/>
      <c r="U405" s="66"/>
      <c r="V405" s="66"/>
      <c r="W405" s="66"/>
      <c r="X405" s="66"/>
      <c r="Y405" s="66"/>
      <c r="Z405" s="82"/>
    </row>
    <row r="406">
      <c r="A406" s="90"/>
      <c r="B406" s="61" t="s">
        <v>23</v>
      </c>
      <c r="C406" s="61"/>
      <c r="D406" s="61" t="s">
        <v>1556</v>
      </c>
      <c r="E406" s="61" t="s">
        <v>429</v>
      </c>
      <c r="F406" s="61" t="s">
        <v>1557</v>
      </c>
      <c r="G406" s="62" t="s">
        <v>1558</v>
      </c>
      <c r="H406" s="61" t="s">
        <v>106</v>
      </c>
      <c r="I406" s="105"/>
      <c r="J406" s="80"/>
      <c r="K406" s="62" t="s">
        <v>45</v>
      </c>
      <c r="L406" s="105"/>
      <c r="M406" s="65"/>
      <c r="N406" s="66"/>
      <c r="O406" s="66" t="str">
        <f t="shared" si="1"/>
        <v/>
      </c>
      <c r="P406" s="66">
        <v>0.0</v>
      </c>
      <c r="Q406" s="66">
        <v>0.0</v>
      </c>
      <c r="R406" s="112"/>
      <c r="S406" s="66"/>
      <c r="T406" s="66"/>
      <c r="U406" s="66"/>
      <c r="V406" s="66"/>
      <c r="W406" s="66"/>
      <c r="X406" s="66"/>
      <c r="Y406" s="66"/>
      <c r="Z406" s="82"/>
    </row>
    <row r="407">
      <c r="A407" s="90"/>
      <c r="B407" s="61" t="s">
        <v>23</v>
      </c>
      <c r="C407" s="61"/>
      <c r="D407" s="61" t="s">
        <v>574</v>
      </c>
      <c r="E407" s="61" t="s">
        <v>1063</v>
      </c>
      <c r="F407" s="61" t="s">
        <v>1559</v>
      </c>
      <c r="G407" s="62" t="s">
        <v>1560</v>
      </c>
      <c r="H407" s="61" t="s">
        <v>64</v>
      </c>
      <c r="I407" s="62" t="s">
        <v>674</v>
      </c>
      <c r="J407" s="62" t="s">
        <v>44</v>
      </c>
      <c r="K407" s="62" t="s">
        <v>45</v>
      </c>
      <c r="L407" s="105"/>
      <c r="M407" s="65"/>
      <c r="N407" s="66"/>
      <c r="O407" s="66" t="str">
        <f t="shared" si="1"/>
        <v/>
      </c>
      <c r="P407" s="66">
        <v>0.0</v>
      </c>
      <c r="Q407" s="66">
        <v>0.0</v>
      </c>
      <c r="R407" s="112"/>
      <c r="S407" s="66"/>
      <c r="T407" s="66"/>
      <c r="U407" s="66"/>
      <c r="V407" s="66"/>
      <c r="W407" s="66"/>
      <c r="X407" s="66"/>
      <c r="Y407" s="66"/>
      <c r="Z407" s="82"/>
    </row>
    <row r="408">
      <c r="A408" s="90"/>
      <c r="B408" s="61" t="s">
        <v>23</v>
      </c>
      <c r="C408" s="61"/>
      <c r="D408" s="61" t="s">
        <v>574</v>
      </c>
      <c r="E408" s="61" t="s">
        <v>1063</v>
      </c>
      <c r="F408" s="61" t="s">
        <v>1561</v>
      </c>
      <c r="G408" s="62" t="s">
        <v>44</v>
      </c>
      <c r="H408" s="61" t="s">
        <v>106</v>
      </c>
      <c r="I408" s="61" t="s">
        <v>106</v>
      </c>
      <c r="J408" s="62" t="s">
        <v>44</v>
      </c>
      <c r="K408" s="80" t="s">
        <v>45</v>
      </c>
      <c r="L408" s="105"/>
      <c r="M408" s="65"/>
      <c r="N408" s="66"/>
      <c r="O408" s="66" t="str">
        <f t="shared" si="1"/>
        <v/>
      </c>
      <c r="P408" s="66">
        <v>0.0</v>
      </c>
      <c r="Q408" s="66">
        <v>0.0</v>
      </c>
      <c r="R408" s="112"/>
      <c r="S408" s="66"/>
      <c r="T408" s="66"/>
      <c r="U408" s="66"/>
      <c r="V408" s="66"/>
      <c r="W408" s="66"/>
      <c r="X408" s="66"/>
      <c r="Y408" s="66"/>
      <c r="Z408" s="82"/>
    </row>
    <row r="409">
      <c r="A409" s="96"/>
      <c r="B409" s="61" t="s">
        <v>20</v>
      </c>
      <c r="C409" s="97"/>
      <c r="D409" s="97" t="s">
        <v>1519</v>
      </c>
      <c r="E409" s="97" t="s">
        <v>1072</v>
      </c>
      <c r="F409" s="97" t="s">
        <v>1562</v>
      </c>
      <c r="G409" s="98" t="s">
        <v>44</v>
      </c>
      <c r="H409" s="97" t="s">
        <v>106</v>
      </c>
      <c r="I409" s="97" t="s">
        <v>106</v>
      </c>
      <c r="J409" s="99" t="s">
        <v>1563</v>
      </c>
      <c r="K409" s="166"/>
      <c r="L409" s="97" t="s">
        <v>1564</v>
      </c>
      <c r="M409" s="102"/>
      <c r="N409" s="66"/>
      <c r="O409" s="66" t="str">
        <f t="shared" si="1"/>
        <v>이메일</v>
      </c>
      <c r="P409" s="241">
        <v>0.0</v>
      </c>
      <c r="Q409" s="232">
        <v>1.0</v>
      </c>
      <c r="R409" s="112"/>
      <c r="S409" s="113"/>
      <c r="T409" s="113">
        <v>46108.0</v>
      </c>
      <c r="U409" s="113"/>
      <c r="V409" s="113"/>
      <c r="W409" s="113"/>
      <c r="X409" s="113"/>
      <c r="Y409" s="113"/>
      <c r="Z409" s="114"/>
    </row>
    <row r="410">
      <c r="A410" s="96"/>
      <c r="B410" s="61" t="s">
        <v>20</v>
      </c>
      <c r="C410" s="97"/>
      <c r="D410" s="97" t="s">
        <v>1565</v>
      </c>
      <c r="E410" s="97" t="s">
        <v>1072</v>
      </c>
      <c r="F410" s="97" t="s">
        <v>1566</v>
      </c>
      <c r="G410" s="98" t="s">
        <v>636</v>
      </c>
      <c r="H410" s="97" t="s">
        <v>106</v>
      </c>
      <c r="I410" s="97" t="s">
        <v>106</v>
      </c>
      <c r="J410" s="99" t="s">
        <v>1567</v>
      </c>
      <c r="K410" s="299"/>
      <c r="L410" s="97" t="s">
        <v>1568</v>
      </c>
      <c r="M410" s="108" t="s">
        <v>1569</v>
      </c>
      <c r="N410" s="66"/>
      <c r="O410" s="66" t="str">
        <f t="shared" si="1"/>
        <v>이메일</v>
      </c>
      <c r="P410" s="241">
        <v>0.0</v>
      </c>
      <c r="Q410" s="232">
        <v>1.0</v>
      </c>
      <c r="R410" s="112"/>
      <c r="S410" s="113"/>
      <c r="T410" s="113">
        <v>46108.0</v>
      </c>
      <c r="U410" s="113"/>
      <c r="V410" s="113"/>
      <c r="W410" s="113"/>
      <c r="X410" s="113"/>
      <c r="Y410" s="113"/>
      <c r="Z410" s="114"/>
    </row>
    <row r="411">
      <c r="A411" s="96"/>
      <c r="B411" s="61" t="s">
        <v>20</v>
      </c>
      <c r="C411" s="97"/>
      <c r="D411" s="97" t="s">
        <v>1570</v>
      </c>
      <c r="E411" s="106" t="s">
        <v>109</v>
      </c>
      <c r="F411" s="97" t="s">
        <v>1571</v>
      </c>
      <c r="G411" s="98" t="s">
        <v>44</v>
      </c>
      <c r="H411" s="97" t="s">
        <v>64</v>
      </c>
      <c r="I411" s="98" t="s">
        <v>674</v>
      </c>
      <c r="J411" s="99" t="s">
        <v>1572</v>
      </c>
      <c r="K411" s="166"/>
      <c r="L411" s="97" t="s">
        <v>1383</v>
      </c>
      <c r="M411" s="102"/>
      <c r="N411" s="66"/>
      <c r="O411" s="66" t="str">
        <f t="shared" si="1"/>
        <v>이메일</v>
      </c>
      <c r="P411" s="241">
        <v>0.0</v>
      </c>
      <c r="Q411" s="232">
        <v>1.0</v>
      </c>
      <c r="R411" s="112"/>
      <c r="S411" s="113"/>
      <c r="T411" s="113">
        <v>46108.0</v>
      </c>
      <c r="U411" s="113"/>
      <c r="V411" s="113"/>
      <c r="W411" s="113"/>
      <c r="X411" s="113"/>
      <c r="Y411" s="113"/>
      <c r="Z411" s="114"/>
    </row>
    <row r="412">
      <c r="A412" s="90"/>
      <c r="B412" s="61" t="s">
        <v>23</v>
      </c>
      <c r="C412" s="278"/>
      <c r="D412" s="278" t="s">
        <v>1573</v>
      </c>
      <c r="E412" s="341" t="s">
        <v>109</v>
      </c>
      <c r="F412" s="278" t="s">
        <v>1574</v>
      </c>
      <c r="G412" s="279" t="s">
        <v>44</v>
      </c>
      <c r="H412" s="278" t="s">
        <v>64</v>
      </c>
      <c r="I412" s="279" t="s">
        <v>1575</v>
      </c>
      <c r="J412" s="279" t="s">
        <v>44</v>
      </c>
      <c r="K412" s="280"/>
      <c r="L412" s="279" t="s">
        <v>822</v>
      </c>
      <c r="M412" s="281"/>
      <c r="N412" s="66"/>
      <c r="O412" s="66" t="str">
        <f t="shared" si="1"/>
        <v/>
      </c>
      <c r="P412" s="66">
        <v>0.0</v>
      </c>
      <c r="Q412" s="66">
        <v>0.0</v>
      </c>
      <c r="R412" s="112"/>
      <c r="S412" s="66"/>
      <c r="T412" s="66"/>
      <c r="U412" s="66"/>
      <c r="V412" s="66"/>
      <c r="W412" s="66"/>
      <c r="X412" s="66"/>
      <c r="Y412" s="66"/>
      <c r="Z412" s="82"/>
    </row>
    <row r="413">
      <c r="A413" s="96"/>
      <c r="B413" s="61" t="s">
        <v>20</v>
      </c>
      <c r="C413" s="97"/>
      <c r="D413" s="97" t="s">
        <v>1576</v>
      </c>
      <c r="E413" s="97" t="s">
        <v>494</v>
      </c>
      <c r="F413" s="97" t="s">
        <v>1577</v>
      </c>
      <c r="G413" s="98" t="s">
        <v>789</v>
      </c>
      <c r="H413" s="97" t="s">
        <v>106</v>
      </c>
      <c r="I413" s="175"/>
      <c r="J413" s="103"/>
      <c r="K413" s="107" t="s">
        <v>1578</v>
      </c>
      <c r="L413" s="342"/>
      <c r="M413" s="322" t="s">
        <v>1579</v>
      </c>
      <c r="N413" s="66"/>
      <c r="O413" s="66" t="str">
        <f t="shared" si="1"/>
        <v>DM</v>
      </c>
      <c r="P413" s="232">
        <v>1.0</v>
      </c>
      <c r="Q413" s="241">
        <v>0.0</v>
      </c>
      <c r="R413" s="112"/>
      <c r="S413" s="113"/>
      <c r="T413" s="113">
        <v>46108.0</v>
      </c>
      <c r="U413" s="113"/>
      <c r="V413" s="113"/>
      <c r="W413" s="113"/>
      <c r="X413" s="113"/>
      <c r="Y413" s="113"/>
      <c r="Z413" s="114"/>
    </row>
    <row r="414">
      <c r="A414" s="90"/>
      <c r="B414" s="61" t="s">
        <v>23</v>
      </c>
      <c r="C414" s="61"/>
      <c r="D414" s="61" t="s">
        <v>1580</v>
      </c>
      <c r="E414" s="61" t="s">
        <v>1377</v>
      </c>
      <c r="F414" s="61" t="s">
        <v>1581</v>
      </c>
      <c r="G414" s="62" t="s">
        <v>1031</v>
      </c>
      <c r="H414" s="61" t="s">
        <v>106</v>
      </c>
      <c r="I414" s="105"/>
      <c r="J414" s="105"/>
      <c r="K414" s="105"/>
      <c r="L414" s="61" t="s">
        <v>1582</v>
      </c>
      <c r="M414" s="65"/>
      <c r="N414" s="66"/>
      <c r="O414" s="66" t="str">
        <f t="shared" si="1"/>
        <v/>
      </c>
      <c r="P414" s="66">
        <v>0.0</v>
      </c>
      <c r="Q414" s="66">
        <v>0.0</v>
      </c>
      <c r="R414" s="112"/>
      <c r="S414" s="66"/>
      <c r="T414" s="66"/>
      <c r="U414" s="66"/>
      <c r="V414" s="66"/>
      <c r="W414" s="66"/>
      <c r="X414" s="66"/>
      <c r="Y414" s="66"/>
      <c r="Z414" s="82"/>
    </row>
    <row r="415">
      <c r="A415" s="96"/>
      <c r="B415" s="61" t="s">
        <v>20</v>
      </c>
      <c r="C415" s="97"/>
      <c r="D415" s="97" t="s">
        <v>471</v>
      </c>
      <c r="E415" s="97" t="s">
        <v>353</v>
      </c>
      <c r="F415" s="97" t="s">
        <v>1583</v>
      </c>
      <c r="G415" s="98" t="s">
        <v>44</v>
      </c>
      <c r="H415" s="97" t="s">
        <v>106</v>
      </c>
      <c r="I415" s="175"/>
      <c r="J415" s="99" t="s">
        <v>1584</v>
      </c>
      <c r="K415" s="166"/>
      <c r="L415" s="97" t="s">
        <v>1585</v>
      </c>
      <c r="M415" s="102"/>
      <c r="N415" s="66"/>
      <c r="O415" s="66" t="str">
        <f t="shared" si="1"/>
        <v>이메일</v>
      </c>
      <c r="P415" s="241">
        <v>0.0</v>
      </c>
      <c r="Q415" s="232">
        <v>1.0</v>
      </c>
      <c r="R415" s="112"/>
      <c r="S415" s="113"/>
      <c r="T415" s="113">
        <v>46108.0</v>
      </c>
      <c r="U415" s="113"/>
      <c r="V415" s="113"/>
      <c r="W415" s="113"/>
      <c r="X415" s="113"/>
      <c r="Y415" s="113"/>
      <c r="Z415" s="114"/>
    </row>
    <row r="416">
      <c r="A416" s="96"/>
      <c r="B416" s="61" t="s">
        <v>20</v>
      </c>
      <c r="C416" s="97"/>
      <c r="D416" s="97" t="s">
        <v>471</v>
      </c>
      <c r="E416" s="97" t="s">
        <v>353</v>
      </c>
      <c r="F416" s="97" t="s">
        <v>1586</v>
      </c>
      <c r="G416" s="98" t="s">
        <v>44</v>
      </c>
      <c r="H416" s="97" t="s">
        <v>106</v>
      </c>
      <c r="I416" s="175"/>
      <c r="J416" s="99" t="s">
        <v>1587</v>
      </c>
      <c r="K416" s="166"/>
      <c r="L416" s="97" t="s">
        <v>1588</v>
      </c>
      <c r="M416" s="102"/>
      <c r="N416" s="66"/>
      <c r="O416" s="66" t="str">
        <f t="shared" si="1"/>
        <v>이메일</v>
      </c>
      <c r="P416" s="241">
        <v>0.0</v>
      </c>
      <c r="Q416" s="232">
        <v>1.0</v>
      </c>
      <c r="R416" s="112"/>
      <c r="S416" s="113"/>
      <c r="T416" s="113">
        <v>46108.0</v>
      </c>
      <c r="U416" s="113"/>
      <c r="V416" s="113"/>
      <c r="W416" s="113"/>
      <c r="X416" s="113"/>
      <c r="Y416" s="113"/>
      <c r="Z416" s="114"/>
    </row>
    <row r="417">
      <c r="A417" s="96"/>
      <c r="B417" s="61" t="s">
        <v>20</v>
      </c>
      <c r="C417" s="97"/>
      <c r="D417" s="97" t="s">
        <v>636</v>
      </c>
      <c r="E417" s="97" t="s">
        <v>578</v>
      </c>
      <c r="F417" s="97" t="s">
        <v>1589</v>
      </c>
      <c r="G417" s="98" t="s">
        <v>789</v>
      </c>
      <c r="H417" s="97" t="s">
        <v>106</v>
      </c>
      <c r="I417" s="175"/>
      <c r="J417" s="103"/>
      <c r="K417" s="104" t="s">
        <v>1590</v>
      </c>
      <c r="L417" s="175"/>
      <c r="M417" s="102"/>
      <c r="N417" s="66"/>
      <c r="O417" s="66" t="str">
        <f t="shared" si="1"/>
        <v>DM</v>
      </c>
      <c r="P417" s="232">
        <v>1.0</v>
      </c>
      <c r="Q417" s="241">
        <v>0.0</v>
      </c>
      <c r="R417" s="112"/>
      <c r="S417" s="113"/>
      <c r="T417" s="113">
        <v>46108.0</v>
      </c>
      <c r="U417" s="67" t="s">
        <v>2</v>
      </c>
      <c r="V417" s="113"/>
      <c r="W417" s="113"/>
      <c r="X417" s="113"/>
      <c r="Y417" s="113"/>
      <c r="Z417" s="114"/>
    </row>
    <row r="418">
      <c r="A418" s="90"/>
      <c r="B418" s="61" t="s">
        <v>23</v>
      </c>
      <c r="C418" s="61"/>
      <c r="D418" s="61" t="s">
        <v>938</v>
      </c>
      <c r="E418" s="61" t="s">
        <v>578</v>
      </c>
      <c r="F418" s="61" t="s">
        <v>1591</v>
      </c>
      <c r="G418" s="62" t="s">
        <v>789</v>
      </c>
      <c r="H418" s="61" t="s">
        <v>106</v>
      </c>
      <c r="I418" s="105"/>
      <c r="J418" s="105"/>
      <c r="K418" s="62" t="s">
        <v>45</v>
      </c>
      <c r="L418" s="105"/>
      <c r="M418" s="65"/>
      <c r="N418" s="66"/>
      <c r="O418" s="66" t="str">
        <f t="shared" si="1"/>
        <v/>
      </c>
      <c r="P418" s="66">
        <v>0.0</v>
      </c>
      <c r="Q418" s="66">
        <v>0.0</v>
      </c>
      <c r="R418" s="112"/>
      <c r="S418" s="66"/>
      <c r="T418" s="66"/>
      <c r="U418" s="66"/>
      <c r="V418" s="66"/>
      <c r="W418" s="66"/>
      <c r="X418" s="66"/>
      <c r="Y418" s="66"/>
      <c r="Z418" s="82"/>
    </row>
    <row r="419">
      <c r="A419" s="90"/>
      <c r="B419" s="61" t="s">
        <v>23</v>
      </c>
      <c r="C419" s="61"/>
      <c r="D419" s="61" t="s">
        <v>1592</v>
      </c>
      <c r="E419" s="61" t="s">
        <v>89</v>
      </c>
      <c r="F419" s="61" t="s">
        <v>1593</v>
      </c>
      <c r="G419" s="198" t="s">
        <v>1594</v>
      </c>
      <c r="H419" s="61" t="s">
        <v>64</v>
      </c>
      <c r="I419" s="62" t="s">
        <v>1595</v>
      </c>
      <c r="J419" s="62" t="s">
        <v>44</v>
      </c>
      <c r="K419" s="62" t="s">
        <v>45</v>
      </c>
      <c r="L419" s="61" t="s">
        <v>1596</v>
      </c>
      <c r="M419" s="65"/>
      <c r="N419" s="66"/>
      <c r="O419" s="66" t="str">
        <f t="shared" si="1"/>
        <v/>
      </c>
      <c r="P419" s="66">
        <v>0.0</v>
      </c>
      <c r="Q419" s="66">
        <v>0.0</v>
      </c>
      <c r="R419" s="112"/>
      <c r="S419" s="66"/>
      <c r="T419" s="66"/>
      <c r="U419" s="66"/>
      <c r="V419" s="66"/>
      <c r="W419" s="66"/>
      <c r="X419" s="66"/>
      <c r="Y419" s="66"/>
      <c r="Z419" s="82"/>
    </row>
    <row r="420">
      <c r="A420" s="90"/>
      <c r="B420" s="61" t="s">
        <v>23</v>
      </c>
      <c r="C420" s="61"/>
      <c r="D420" s="61" t="s">
        <v>1597</v>
      </c>
      <c r="E420" s="61" t="s">
        <v>1199</v>
      </c>
      <c r="F420" s="61" t="s">
        <v>1598</v>
      </c>
      <c r="G420" s="198" t="s">
        <v>45</v>
      </c>
      <c r="H420" s="61" t="s">
        <v>64</v>
      </c>
      <c r="I420" s="62" t="s">
        <v>1486</v>
      </c>
      <c r="J420" s="62" t="s">
        <v>44</v>
      </c>
      <c r="K420" s="198" t="s">
        <v>45</v>
      </c>
      <c r="L420" s="61" t="s">
        <v>1599</v>
      </c>
      <c r="M420" s="65"/>
      <c r="N420" s="66"/>
      <c r="O420" s="66" t="str">
        <f t="shared" si="1"/>
        <v/>
      </c>
      <c r="P420" s="66">
        <v>0.0</v>
      </c>
      <c r="Q420" s="66">
        <v>0.0</v>
      </c>
      <c r="R420" s="112"/>
      <c r="S420" s="66"/>
      <c r="T420" s="66"/>
      <c r="U420" s="66"/>
      <c r="V420" s="66"/>
      <c r="W420" s="66"/>
      <c r="X420" s="66"/>
      <c r="Y420" s="66"/>
      <c r="Z420" s="82"/>
    </row>
    <row r="421">
      <c r="A421" s="323"/>
      <c r="B421" s="70" t="s">
        <v>20</v>
      </c>
      <c r="C421" s="119"/>
      <c r="D421" s="119" t="s">
        <v>938</v>
      </c>
      <c r="E421" s="119" t="s">
        <v>1199</v>
      </c>
      <c r="F421" s="119" t="s">
        <v>1600</v>
      </c>
      <c r="G421" s="343" t="s">
        <v>1601</v>
      </c>
      <c r="H421" s="119" t="s">
        <v>106</v>
      </c>
      <c r="I421" s="120"/>
      <c r="J421" s="83" t="s">
        <v>1602</v>
      </c>
      <c r="K421" s="209" t="s">
        <v>1603</v>
      </c>
      <c r="L421" s="120"/>
      <c r="M421" s="121"/>
      <c r="N421" s="75"/>
      <c r="O421" s="75" t="str">
        <f t="shared" si="1"/>
        <v>DM</v>
      </c>
      <c r="P421" s="134">
        <v>1.0</v>
      </c>
      <c r="Q421" s="323">
        <v>0.0</v>
      </c>
      <c r="S421" s="328"/>
      <c r="T421" s="328">
        <v>46108.0</v>
      </c>
      <c r="U421" s="328"/>
      <c r="V421" s="328"/>
      <c r="W421" s="328"/>
      <c r="X421" s="328"/>
      <c r="Y421" s="328"/>
      <c r="Z421" s="328"/>
    </row>
    <row r="422">
      <c r="A422" s="96"/>
      <c r="B422" s="61" t="s">
        <v>20</v>
      </c>
      <c r="C422" s="97"/>
      <c r="D422" s="97" t="s">
        <v>1604</v>
      </c>
      <c r="E422" s="97" t="s">
        <v>1180</v>
      </c>
      <c r="F422" s="97" t="s">
        <v>1605</v>
      </c>
      <c r="G422" s="98" t="s">
        <v>44</v>
      </c>
      <c r="H422" s="97" t="s">
        <v>106</v>
      </c>
      <c r="I422" s="175"/>
      <c r="J422" s="99" t="s">
        <v>1606</v>
      </c>
      <c r="K422" s="166"/>
      <c r="L422" s="97" t="s">
        <v>1607</v>
      </c>
      <c r="M422" s="102"/>
      <c r="N422" s="66"/>
      <c r="O422" s="66" t="str">
        <f t="shared" si="1"/>
        <v>이메일</v>
      </c>
      <c r="P422" s="241">
        <v>0.0</v>
      </c>
      <c r="Q422" s="232">
        <v>1.0</v>
      </c>
      <c r="R422" s="112"/>
      <c r="S422" s="113"/>
      <c r="T422" s="113">
        <v>46108.0</v>
      </c>
      <c r="U422" s="113"/>
      <c r="V422" s="113"/>
      <c r="W422" s="113"/>
      <c r="X422" s="113"/>
      <c r="Y422" s="113"/>
      <c r="Z422" s="114"/>
    </row>
    <row r="423">
      <c r="A423" s="90"/>
      <c r="B423" s="61" t="s">
        <v>23</v>
      </c>
      <c r="C423" s="266"/>
      <c r="D423" s="266" t="s">
        <v>1608</v>
      </c>
      <c r="E423" s="266" t="s">
        <v>1180</v>
      </c>
      <c r="F423" s="266" t="s">
        <v>1609</v>
      </c>
      <c r="G423" s="268" t="s">
        <v>44</v>
      </c>
      <c r="H423" s="266" t="s">
        <v>106</v>
      </c>
      <c r="I423" s="269"/>
      <c r="J423" s="268" t="s">
        <v>44</v>
      </c>
      <c r="K423" s="269"/>
      <c r="L423" s="266" t="s">
        <v>1535</v>
      </c>
      <c r="M423" s="272"/>
      <c r="N423" s="66"/>
      <c r="O423" s="66" t="str">
        <f t="shared" si="1"/>
        <v/>
      </c>
      <c r="P423" s="66">
        <v>0.0</v>
      </c>
      <c r="Q423" s="66">
        <v>0.0</v>
      </c>
      <c r="R423" s="112"/>
      <c r="S423" s="66"/>
      <c r="T423" s="66"/>
      <c r="U423" s="66"/>
      <c r="V423" s="66"/>
      <c r="W423" s="66"/>
      <c r="X423" s="66"/>
      <c r="Y423" s="66"/>
      <c r="Z423" s="82"/>
    </row>
    <row r="424">
      <c r="A424" s="90"/>
      <c r="B424" s="61" t="s">
        <v>23</v>
      </c>
      <c r="C424" s="61"/>
      <c r="D424" s="61" t="s">
        <v>574</v>
      </c>
      <c r="E424" s="61" t="s">
        <v>122</v>
      </c>
      <c r="F424" s="61" t="s">
        <v>1610</v>
      </c>
      <c r="G424" s="62" t="s">
        <v>44</v>
      </c>
      <c r="H424" s="61" t="s">
        <v>64</v>
      </c>
      <c r="I424" s="61" t="s">
        <v>1611</v>
      </c>
      <c r="J424" s="62" t="s">
        <v>44</v>
      </c>
      <c r="K424" s="105"/>
      <c r="L424" s="335" t="s">
        <v>1612</v>
      </c>
      <c r="M424" s="65"/>
      <c r="N424" s="66"/>
      <c r="O424" s="66" t="str">
        <f t="shared" si="1"/>
        <v/>
      </c>
      <c r="P424" s="66">
        <v>0.0</v>
      </c>
      <c r="Q424" s="66">
        <v>0.0</v>
      </c>
      <c r="R424" s="112"/>
      <c r="S424" s="66"/>
      <c r="T424" s="66"/>
      <c r="U424" s="66"/>
      <c r="V424" s="66"/>
      <c r="W424" s="66"/>
      <c r="X424" s="66"/>
      <c r="Y424" s="66"/>
      <c r="Z424" s="82"/>
    </row>
    <row r="425">
      <c r="A425" s="96"/>
      <c r="B425" s="61" t="s">
        <v>20</v>
      </c>
      <c r="C425" s="97"/>
      <c r="D425" s="97" t="s">
        <v>1604</v>
      </c>
      <c r="E425" s="97" t="s">
        <v>531</v>
      </c>
      <c r="F425" s="97" t="s">
        <v>1613</v>
      </c>
      <c r="G425" s="98" t="s">
        <v>44</v>
      </c>
      <c r="H425" s="97" t="s">
        <v>64</v>
      </c>
      <c r="I425" s="98" t="s">
        <v>1614</v>
      </c>
      <c r="J425" s="99" t="s">
        <v>1615</v>
      </c>
      <c r="K425" s="166"/>
      <c r="L425" s="97" t="s">
        <v>1616</v>
      </c>
      <c r="M425" s="102"/>
      <c r="N425" s="66"/>
      <c r="O425" s="66" t="str">
        <f t="shared" si="1"/>
        <v>이메일</v>
      </c>
      <c r="P425" s="241">
        <v>0.0</v>
      </c>
      <c r="Q425" s="232">
        <v>1.0</v>
      </c>
      <c r="R425" s="112"/>
      <c r="S425" s="113"/>
      <c r="T425" s="113">
        <v>46108.0</v>
      </c>
      <c r="U425" s="113"/>
      <c r="V425" s="113"/>
      <c r="W425" s="113"/>
      <c r="X425" s="113"/>
      <c r="Y425" s="113"/>
      <c r="Z425" s="114"/>
    </row>
    <row r="426">
      <c r="A426" s="90"/>
      <c r="B426" s="61" t="s">
        <v>23</v>
      </c>
      <c r="C426" s="61"/>
      <c r="D426" s="61" t="s">
        <v>1617</v>
      </c>
      <c r="E426" s="61" t="s">
        <v>531</v>
      </c>
      <c r="F426" s="61" t="s">
        <v>1618</v>
      </c>
      <c r="G426" s="62" t="s">
        <v>44</v>
      </c>
      <c r="H426" s="61" t="s">
        <v>64</v>
      </c>
      <c r="I426" s="62" t="s">
        <v>1486</v>
      </c>
      <c r="J426" s="62" t="s">
        <v>44</v>
      </c>
      <c r="K426" s="105"/>
      <c r="L426" s="61" t="s">
        <v>1619</v>
      </c>
      <c r="M426" s="65"/>
      <c r="N426" s="66"/>
      <c r="O426" s="66" t="str">
        <f t="shared" si="1"/>
        <v/>
      </c>
      <c r="P426" s="66">
        <v>0.0</v>
      </c>
      <c r="Q426" s="66">
        <v>0.0</v>
      </c>
      <c r="R426" s="112"/>
      <c r="S426" s="66"/>
      <c r="T426" s="66"/>
      <c r="U426" s="66"/>
      <c r="V426" s="66"/>
      <c r="W426" s="66"/>
      <c r="X426" s="66"/>
      <c r="Y426" s="66"/>
      <c r="Z426" s="82"/>
    </row>
    <row r="427">
      <c r="A427" s="96"/>
      <c r="B427" s="61" t="s">
        <v>20</v>
      </c>
      <c r="C427" s="97"/>
      <c r="D427" s="97" t="s">
        <v>1620</v>
      </c>
      <c r="E427" s="97" t="s">
        <v>1377</v>
      </c>
      <c r="F427" s="97" t="s">
        <v>1621</v>
      </c>
      <c r="G427" s="98" t="s">
        <v>44</v>
      </c>
      <c r="H427" s="97" t="s">
        <v>106</v>
      </c>
      <c r="I427" s="175"/>
      <c r="J427" s="103"/>
      <c r="K427" s="166"/>
      <c r="L427" s="97" t="s">
        <v>1622</v>
      </c>
      <c r="M427" s="102"/>
      <c r="N427" s="66"/>
      <c r="O427" s="66" t="str">
        <f t="shared" si="1"/>
        <v>이메일</v>
      </c>
      <c r="P427" s="241">
        <v>0.0</v>
      </c>
      <c r="Q427" s="232">
        <v>1.0</v>
      </c>
      <c r="R427" s="112"/>
      <c r="S427" s="113"/>
      <c r="T427" s="113">
        <v>46108.0</v>
      </c>
      <c r="U427" s="113"/>
      <c r="V427" s="113"/>
      <c r="W427" s="113"/>
      <c r="X427" s="113"/>
      <c r="Y427" s="113"/>
      <c r="Z427" s="114"/>
    </row>
    <row r="428">
      <c r="A428" s="90"/>
      <c r="B428" s="61" t="s">
        <v>23</v>
      </c>
      <c r="C428" s="61"/>
      <c r="D428" s="61" t="s">
        <v>1623</v>
      </c>
      <c r="E428" s="61" t="s">
        <v>69</v>
      </c>
      <c r="F428" s="61" t="s">
        <v>1624</v>
      </c>
      <c r="G428" s="62" t="s">
        <v>272</v>
      </c>
      <c r="H428" s="61" t="s">
        <v>64</v>
      </c>
      <c r="I428" s="62" t="s">
        <v>272</v>
      </c>
      <c r="J428" s="62" t="s">
        <v>44</v>
      </c>
      <c r="K428" s="105"/>
      <c r="L428" s="61" t="s">
        <v>1625</v>
      </c>
      <c r="M428" s="65"/>
      <c r="N428" s="66"/>
      <c r="O428" s="66" t="str">
        <f t="shared" si="1"/>
        <v/>
      </c>
      <c r="P428" s="66">
        <v>0.0</v>
      </c>
      <c r="Q428" s="66">
        <v>0.0</v>
      </c>
      <c r="R428" s="112"/>
      <c r="S428" s="66"/>
      <c r="T428" s="66"/>
      <c r="U428" s="66"/>
      <c r="V428" s="66"/>
      <c r="W428" s="66"/>
      <c r="X428" s="66"/>
      <c r="Y428" s="66"/>
      <c r="Z428" s="82"/>
    </row>
    <row r="429">
      <c r="A429" s="90"/>
      <c r="B429" s="61" t="s">
        <v>23</v>
      </c>
      <c r="C429" s="61"/>
      <c r="D429" s="61" t="s">
        <v>1626</v>
      </c>
      <c r="E429" s="61" t="s">
        <v>69</v>
      </c>
      <c r="F429" s="61" t="s">
        <v>1627</v>
      </c>
      <c r="G429" s="62" t="s">
        <v>44</v>
      </c>
      <c r="H429" s="61" t="s">
        <v>106</v>
      </c>
      <c r="I429" s="105"/>
      <c r="J429" s="62" t="s">
        <v>44</v>
      </c>
      <c r="K429" s="105"/>
      <c r="L429" s="61" t="s">
        <v>1628</v>
      </c>
      <c r="M429" s="65"/>
      <c r="N429" s="66"/>
      <c r="O429" s="66" t="str">
        <f t="shared" si="1"/>
        <v/>
      </c>
      <c r="P429" s="66">
        <v>0.0</v>
      </c>
      <c r="Q429" s="66">
        <v>0.0</v>
      </c>
      <c r="R429" s="112"/>
      <c r="S429" s="66"/>
      <c r="T429" s="66"/>
      <c r="U429" s="66"/>
      <c r="V429" s="66"/>
      <c r="W429" s="66"/>
      <c r="X429" s="66"/>
      <c r="Y429" s="66"/>
      <c r="Z429" s="82"/>
    </row>
    <row r="430">
      <c r="A430" s="90"/>
      <c r="B430" s="61" t="s">
        <v>23</v>
      </c>
      <c r="C430" s="61"/>
      <c r="D430" s="61" t="s">
        <v>1629</v>
      </c>
      <c r="E430" s="61" t="s">
        <v>1072</v>
      </c>
      <c r="F430" s="61" t="s">
        <v>1630</v>
      </c>
      <c r="G430" s="62" t="s">
        <v>44</v>
      </c>
      <c r="H430" s="61" t="s">
        <v>64</v>
      </c>
      <c r="I430" s="62" t="s">
        <v>992</v>
      </c>
      <c r="J430" s="62" t="s">
        <v>44</v>
      </c>
      <c r="K430" s="62" t="s">
        <v>45</v>
      </c>
      <c r="L430" s="105"/>
      <c r="M430" s="65"/>
      <c r="N430" s="66"/>
      <c r="O430" s="66" t="str">
        <f t="shared" si="1"/>
        <v/>
      </c>
      <c r="P430" s="66">
        <v>0.0</v>
      </c>
      <c r="Q430" s="66">
        <v>0.0</v>
      </c>
      <c r="R430" s="112"/>
      <c r="S430" s="66"/>
      <c r="T430" s="66"/>
      <c r="U430" s="66"/>
      <c r="V430" s="66"/>
      <c r="W430" s="66"/>
      <c r="X430" s="66"/>
      <c r="Y430" s="66"/>
      <c r="Z430" s="82"/>
    </row>
    <row r="431">
      <c r="A431" s="96"/>
      <c r="B431" s="61" t="s">
        <v>20</v>
      </c>
      <c r="C431" s="97"/>
      <c r="D431" s="97" t="s">
        <v>1631</v>
      </c>
      <c r="E431" s="97" t="s">
        <v>1072</v>
      </c>
      <c r="F431" s="97" t="s">
        <v>1632</v>
      </c>
      <c r="G431" s="98" t="s">
        <v>44</v>
      </c>
      <c r="H431" s="97" t="s">
        <v>106</v>
      </c>
      <c r="I431" s="175"/>
      <c r="J431" s="99" t="s">
        <v>1633</v>
      </c>
      <c r="K431" s="107" t="s">
        <v>1634</v>
      </c>
      <c r="L431" s="97" t="s">
        <v>1635</v>
      </c>
      <c r="M431" s="102"/>
      <c r="N431" s="66"/>
      <c r="O431" s="66" t="str">
        <f t="shared" si="1"/>
        <v>DM+이메일</v>
      </c>
      <c r="P431" s="232">
        <v>1.0</v>
      </c>
      <c r="Q431" s="232">
        <v>1.0</v>
      </c>
      <c r="R431" s="112"/>
      <c r="S431" s="113"/>
      <c r="T431" s="113">
        <v>46108.0</v>
      </c>
      <c r="U431" s="113"/>
      <c r="V431" s="113"/>
      <c r="W431" s="113"/>
      <c r="X431" s="113"/>
      <c r="Y431" s="113"/>
      <c r="Z431" s="114"/>
    </row>
    <row r="432">
      <c r="A432" s="96"/>
      <c r="B432" s="61" t="s">
        <v>20</v>
      </c>
      <c r="C432" s="97"/>
      <c r="D432" s="97" t="s">
        <v>1636</v>
      </c>
      <c r="E432" s="97" t="s">
        <v>578</v>
      </c>
      <c r="F432" s="97" t="s">
        <v>1637</v>
      </c>
      <c r="G432" s="98" t="s">
        <v>789</v>
      </c>
      <c r="H432" s="97" t="s">
        <v>106</v>
      </c>
      <c r="I432" s="175"/>
      <c r="J432" s="103"/>
      <c r="K432" s="104" t="s">
        <v>1638</v>
      </c>
      <c r="L432" s="175"/>
      <c r="M432" s="102"/>
      <c r="N432" s="66"/>
      <c r="O432" s="66" t="str">
        <f t="shared" si="1"/>
        <v>DM</v>
      </c>
      <c r="P432" s="232">
        <v>1.0</v>
      </c>
      <c r="Q432" s="241">
        <v>0.0</v>
      </c>
      <c r="R432" s="112"/>
      <c r="S432" s="113"/>
      <c r="T432" s="113">
        <v>46108.0</v>
      </c>
      <c r="U432" s="113"/>
      <c r="V432" s="113"/>
      <c r="W432" s="113"/>
      <c r="X432" s="113"/>
      <c r="Y432" s="113"/>
      <c r="Z432" s="114"/>
    </row>
    <row r="433">
      <c r="A433" s="96"/>
      <c r="B433" s="61" t="s">
        <v>20</v>
      </c>
      <c r="C433" s="97"/>
      <c r="D433" s="97" t="s">
        <v>588</v>
      </c>
      <c r="E433" s="97" t="s">
        <v>578</v>
      </c>
      <c r="F433" s="97" t="s">
        <v>1639</v>
      </c>
      <c r="G433" s="98" t="s">
        <v>789</v>
      </c>
      <c r="H433" s="97" t="s">
        <v>64</v>
      </c>
      <c r="I433" s="98" t="s">
        <v>1640</v>
      </c>
      <c r="J433" s="103"/>
      <c r="K433" s="104" t="s">
        <v>1641</v>
      </c>
      <c r="L433" s="175"/>
      <c r="M433" s="102"/>
      <c r="N433" s="66"/>
      <c r="O433" s="66" t="str">
        <f t="shared" si="1"/>
        <v>DM</v>
      </c>
      <c r="P433" s="232">
        <v>1.0</v>
      </c>
      <c r="Q433" s="241">
        <v>0.0</v>
      </c>
      <c r="R433" s="112"/>
      <c r="S433" s="113"/>
      <c r="T433" s="113">
        <v>46108.0</v>
      </c>
      <c r="U433" s="113"/>
      <c r="V433" s="113"/>
      <c r="W433" s="113"/>
      <c r="X433" s="113"/>
      <c r="Y433" s="113"/>
      <c r="Z433" s="114"/>
    </row>
    <row r="434">
      <c r="A434" s="90"/>
      <c r="B434" s="61" t="s">
        <v>23</v>
      </c>
      <c r="C434" s="61"/>
      <c r="D434" s="61" t="s">
        <v>112</v>
      </c>
      <c r="E434" s="61" t="s">
        <v>1189</v>
      </c>
      <c r="F434" s="61" t="s">
        <v>1642</v>
      </c>
      <c r="G434" s="105"/>
      <c r="H434" s="61" t="s">
        <v>106</v>
      </c>
      <c r="I434" s="105"/>
      <c r="J434" s="62" t="s">
        <v>44</v>
      </c>
      <c r="K434" s="62" t="s">
        <v>45</v>
      </c>
      <c r="L434" s="61" t="s">
        <v>1643</v>
      </c>
      <c r="M434" s="344" t="s">
        <v>1644</v>
      </c>
      <c r="N434" s="66"/>
      <c r="O434" s="66" t="str">
        <f t="shared" si="1"/>
        <v/>
      </c>
      <c r="P434" s="66">
        <v>0.0</v>
      </c>
      <c r="Q434" s="66">
        <v>0.0</v>
      </c>
      <c r="R434" s="112"/>
      <c r="S434" s="66"/>
      <c r="T434" s="66"/>
      <c r="U434" s="66"/>
      <c r="V434" s="66"/>
      <c r="W434" s="66"/>
      <c r="X434" s="66"/>
      <c r="Y434" s="66"/>
      <c r="Z434" s="82"/>
    </row>
    <row r="435">
      <c r="A435" s="90"/>
      <c r="B435" s="61" t="s">
        <v>23</v>
      </c>
      <c r="C435" s="61"/>
      <c r="D435" s="61" t="s">
        <v>1645</v>
      </c>
      <c r="E435" s="61" t="s">
        <v>1189</v>
      </c>
      <c r="F435" s="61" t="s">
        <v>1646</v>
      </c>
      <c r="G435" s="62" t="s">
        <v>115</v>
      </c>
      <c r="H435" s="61" t="s">
        <v>64</v>
      </c>
      <c r="I435" s="110" t="s">
        <v>1647</v>
      </c>
      <c r="J435" s="62" t="s">
        <v>44</v>
      </c>
      <c r="K435" s="105"/>
      <c r="L435" s="345" t="s">
        <v>1648</v>
      </c>
      <c r="M435" s="125" t="s">
        <v>1649</v>
      </c>
      <c r="N435" s="66"/>
      <c r="O435" s="66" t="str">
        <f t="shared" si="1"/>
        <v/>
      </c>
      <c r="P435" s="66">
        <v>0.0</v>
      </c>
      <c r="Q435" s="66">
        <v>0.0</v>
      </c>
      <c r="R435" s="112"/>
      <c r="S435" s="66"/>
      <c r="T435" s="66"/>
      <c r="U435" s="66"/>
      <c r="V435" s="66"/>
      <c r="W435" s="66"/>
      <c r="X435" s="66"/>
      <c r="Y435" s="66"/>
      <c r="Z435" s="82"/>
    </row>
    <row r="436">
      <c r="A436" s="96"/>
      <c r="B436" s="61" t="s">
        <v>20</v>
      </c>
      <c r="C436" s="97"/>
      <c r="D436" s="97" t="s">
        <v>1650</v>
      </c>
      <c r="E436" s="97" t="s">
        <v>332</v>
      </c>
      <c r="F436" s="97" t="s">
        <v>1651</v>
      </c>
      <c r="G436" s="175"/>
      <c r="H436" s="97" t="s">
        <v>64</v>
      </c>
      <c r="I436" s="98" t="s">
        <v>657</v>
      </c>
      <c r="J436" s="99" t="s">
        <v>1652</v>
      </c>
      <c r="K436" s="166"/>
      <c r="L436" s="97" t="s">
        <v>1653</v>
      </c>
      <c r="M436" s="108" t="s">
        <v>1654</v>
      </c>
      <c r="N436" s="66"/>
      <c r="O436" s="66" t="str">
        <f t="shared" si="1"/>
        <v>이메일</v>
      </c>
      <c r="P436" s="241">
        <v>0.0</v>
      </c>
      <c r="Q436" s="232">
        <v>1.0</v>
      </c>
      <c r="R436" s="112"/>
      <c r="S436" s="113"/>
      <c r="T436" s="113">
        <v>46108.0</v>
      </c>
      <c r="U436" s="113"/>
      <c r="V436" s="113"/>
      <c r="W436" s="113"/>
      <c r="X436" s="113"/>
      <c r="Y436" s="113"/>
      <c r="Z436" s="114"/>
    </row>
    <row r="437">
      <c r="A437" s="90"/>
      <c r="B437" s="61" t="s">
        <v>23</v>
      </c>
      <c r="C437" s="61"/>
      <c r="D437" s="61" t="s">
        <v>1655</v>
      </c>
      <c r="E437" s="61" t="s">
        <v>332</v>
      </c>
      <c r="F437" s="61" t="s">
        <v>1656</v>
      </c>
      <c r="G437" s="62" t="s">
        <v>44</v>
      </c>
      <c r="H437" s="61" t="s">
        <v>106</v>
      </c>
      <c r="I437" s="61" t="s">
        <v>106</v>
      </c>
      <c r="J437" s="62" t="s">
        <v>44</v>
      </c>
      <c r="K437" s="62" t="s">
        <v>45</v>
      </c>
      <c r="L437" s="105"/>
      <c r="M437" s="125" t="s">
        <v>1657</v>
      </c>
      <c r="N437" s="66"/>
      <c r="O437" s="66" t="str">
        <f t="shared" si="1"/>
        <v/>
      </c>
      <c r="P437" s="66">
        <v>0.0</v>
      </c>
      <c r="Q437" s="66">
        <v>0.0</v>
      </c>
      <c r="R437" s="112"/>
      <c r="S437" s="66"/>
      <c r="T437" s="66"/>
      <c r="U437" s="66"/>
      <c r="V437" s="66"/>
      <c r="W437" s="66"/>
      <c r="X437" s="66"/>
      <c r="Y437" s="66"/>
      <c r="Z437" s="82"/>
    </row>
    <row r="438">
      <c r="A438" s="90"/>
      <c r="B438" s="61" t="s">
        <v>23</v>
      </c>
      <c r="C438" s="61"/>
      <c r="D438" s="61" t="s">
        <v>1658</v>
      </c>
      <c r="E438" s="61" t="s">
        <v>429</v>
      </c>
      <c r="F438" s="61" t="s">
        <v>1659</v>
      </c>
      <c r="G438" s="62" t="s">
        <v>1031</v>
      </c>
      <c r="H438" s="61" t="s">
        <v>64</v>
      </c>
      <c r="I438" s="62" t="s">
        <v>1660</v>
      </c>
      <c r="J438" s="62" t="s">
        <v>44</v>
      </c>
      <c r="K438" s="62" t="s">
        <v>45</v>
      </c>
      <c r="L438" s="61" t="s">
        <v>1661</v>
      </c>
      <c r="M438" s="65"/>
      <c r="N438" s="66"/>
      <c r="O438" s="66" t="str">
        <f t="shared" si="1"/>
        <v/>
      </c>
      <c r="P438" s="66">
        <v>0.0</v>
      </c>
      <c r="Q438" s="66">
        <v>0.0</v>
      </c>
      <c r="R438" s="112"/>
      <c r="S438" s="66"/>
      <c r="T438" s="66"/>
      <c r="U438" s="66"/>
      <c r="V438" s="66"/>
      <c r="W438" s="66"/>
      <c r="X438" s="66"/>
      <c r="Y438" s="66"/>
      <c r="Z438" s="82"/>
    </row>
    <row r="439">
      <c r="A439" s="90"/>
      <c r="B439" s="61" t="s">
        <v>23</v>
      </c>
      <c r="C439" s="61"/>
      <c r="D439" s="61" t="s">
        <v>1662</v>
      </c>
      <c r="E439" s="61" t="s">
        <v>429</v>
      </c>
      <c r="F439" s="61" t="s">
        <v>1663</v>
      </c>
      <c r="G439" s="62" t="s">
        <v>44</v>
      </c>
      <c r="H439" s="61" t="s">
        <v>106</v>
      </c>
      <c r="I439" s="61" t="s">
        <v>106</v>
      </c>
      <c r="J439" s="62" t="s">
        <v>44</v>
      </c>
      <c r="K439" s="62" t="s">
        <v>45</v>
      </c>
      <c r="L439" s="61" t="s">
        <v>1664</v>
      </c>
      <c r="M439" s="65"/>
      <c r="N439" s="66"/>
      <c r="O439" s="66" t="str">
        <f t="shared" si="1"/>
        <v/>
      </c>
      <c r="P439" s="66">
        <v>0.0</v>
      </c>
      <c r="Q439" s="66">
        <v>0.0</v>
      </c>
      <c r="R439" s="112"/>
      <c r="S439" s="66"/>
      <c r="T439" s="66"/>
      <c r="U439" s="66"/>
      <c r="V439" s="66"/>
      <c r="W439" s="66"/>
      <c r="X439" s="66"/>
      <c r="Y439" s="66"/>
      <c r="Z439" s="82"/>
    </row>
    <row r="440">
      <c r="A440" s="90"/>
      <c r="B440" s="61" t="s">
        <v>23</v>
      </c>
      <c r="C440" s="61"/>
      <c r="D440" s="61" t="s">
        <v>1665</v>
      </c>
      <c r="E440" s="61" t="s">
        <v>1110</v>
      </c>
      <c r="F440" s="61" t="s">
        <v>1666</v>
      </c>
      <c r="G440" s="62" t="s">
        <v>674</v>
      </c>
      <c r="H440" s="61" t="s">
        <v>64</v>
      </c>
      <c r="I440" s="62" t="s">
        <v>657</v>
      </c>
      <c r="J440" s="198" t="s">
        <v>44</v>
      </c>
      <c r="K440" s="105"/>
      <c r="L440" s="61" t="s">
        <v>1667</v>
      </c>
      <c r="M440" s="65"/>
      <c r="N440" s="66"/>
      <c r="O440" s="66" t="str">
        <f t="shared" si="1"/>
        <v/>
      </c>
      <c r="P440" s="66">
        <v>0.0</v>
      </c>
      <c r="Q440" s="66">
        <v>0.0</v>
      </c>
      <c r="R440" s="112"/>
      <c r="S440" s="66"/>
      <c r="T440" s="66"/>
      <c r="U440" s="66"/>
      <c r="V440" s="66"/>
      <c r="W440" s="66"/>
      <c r="X440" s="66"/>
      <c r="Y440" s="66"/>
      <c r="Z440" s="82"/>
    </row>
    <row r="441">
      <c r="A441" s="96"/>
      <c r="B441" s="61" t="s">
        <v>20</v>
      </c>
      <c r="C441" s="97"/>
      <c r="D441" s="97" t="s">
        <v>1668</v>
      </c>
      <c r="E441" s="97" t="s">
        <v>1110</v>
      </c>
      <c r="F441" s="106" t="s">
        <v>1669</v>
      </c>
      <c r="G441" s="98" t="s">
        <v>44</v>
      </c>
      <c r="H441" s="175"/>
      <c r="I441" s="98" t="s">
        <v>648</v>
      </c>
      <c r="J441" s="99" t="s">
        <v>1670</v>
      </c>
      <c r="K441" s="104" t="s">
        <v>1671</v>
      </c>
      <c r="L441" s="97" t="s">
        <v>1672</v>
      </c>
      <c r="M441" s="102"/>
      <c r="N441" s="66"/>
      <c r="O441" s="66" t="str">
        <f t="shared" si="1"/>
        <v>DM+이메일</v>
      </c>
      <c r="P441" s="232">
        <v>1.0</v>
      </c>
      <c r="Q441" s="232">
        <v>1.0</v>
      </c>
      <c r="R441" s="112"/>
      <c r="S441" s="113"/>
      <c r="T441" s="113">
        <v>46108.0</v>
      </c>
      <c r="U441" s="113"/>
      <c r="V441" s="113"/>
      <c r="W441" s="113"/>
      <c r="X441" s="113"/>
      <c r="Y441" s="113"/>
      <c r="Z441" s="114"/>
    </row>
    <row r="442">
      <c r="A442" s="96"/>
      <c r="B442" s="61" t="s">
        <v>23</v>
      </c>
      <c r="C442" s="97" t="s">
        <v>1673</v>
      </c>
      <c r="D442" s="97" t="s">
        <v>1674</v>
      </c>
      <c r="E442" s="97" t="s">
        <v>1370</v>
      </c>
      <c r="F442" s="97" t="s">
        <v>1675</v>
      </c>
      <c r="G442" s="98" t="s">
        <v>44</v>
      </c>
      <c r="H442" s="97" t="s">
        <v>64</v>
      </c>
      <c r="I442" s="98" t="s">
        <v>657</v>
      </c>
      <c r="J442" s="99" t="s">
        <v>1676</v>
      </c>
      <c r="K442" s="332"/>
      <c r="L442" s="97" t="s">
        <v>1677</v>
      </c>
      <c r="M442" s="108" t="s">
        <v>1678</v>
      </c>
      <c r="N442" s="66"/>
      <c r="O442" s="66" t="str">
        <f t="shared" si="1"/>
        <v/>
      </c>
      <c r="P442" s="241">
        <v>0.0</v>
      </c>
      <c r="Q442" s="241">
        <v>0.0</v>
      </c>
      <c r="R442" s="112"/>
      <c r="S442" s="241"/>
      <c r="T442" s="241"/>
      <c r="U442" s="241"/>
      <c r="V442" s="241"/>
      <c r="W442" s="241"/>
      <c r="X442" s="241"/>
      <c r="Y442" s="241"/>
      <c r="Z442" s="242"/>
    </row>
    <row r="443">
      <c r="A443" s="96"/>
      <c r="B443" s="61" t="s">
        <v>20</v>
      </c>
      <c r="C443" s="97"/>
      <c r="D443" s="97" t="s">
        <v>1679</v>
      </c>
      <c r="E443" s="97" t="s">
        <v>1370</v>
      </c>
      <c r="F443" s="97" t="s">
        <v>1680</v>
      </c>
      <c r="G443" s="98" t="s">
        <v>1660</v>
      </c>
      <c r="H443" s="97" t="s">
        <v>64</v>
      </c>
      <c r="I443" s="98" t="s">
        <v>1660</v>
      </c>
      <c r="J443" s="103"/>
      <c r="K443" s="166"/>
      <c r="L443" s="97" t="s">
        <v>1681</v>
      </c>
      <c r="M443" s="247" t="s">
        <v>1682</v>
      </c>
      <c r="N443" s="66"/>
      <c r="O443" s="66" t="str">
        <f t="shared" si="1"/>
        <v>이메일</v>
      </c>
      <c r="P443" s="241">
        <v>0.0</v>
      </c>
      <c r="Q443" s="232">
        <v>1.0</v>
      </c>
      <c r="R443" s="112"/>
      <c r="S443" s="113"/>
      <c r="T443" s="113">
        <v>46108.0</v>
      </c>
      <c r="U443" s="113"/>
      <c r="V443" s="113"/>
      <c r="W443" s="113"/>
      <c r="X443" s="113"/>
      <c r="Y443" s="113"/>
      <c r="Z443" s="114"/>
    </row>
    <row r="444">
      <c r="A444" s="90"/>
      <c r="B444" s="61" t="s">
        <v>23</v>
      </c>
      <c r="C444" s="61"/>
      <c r="D444" s="61" t="s">
        <v>1683</v>
      </c>
      <c r="E444" s="61" t="s">
        <v>109</v>
      </c>
      <c r="F444" s="61" t="s">
        <v>1684</v>
      </c>
      <c r="G444" s="62" t="s">
        <v>44</v>
      </c>
      <c r="H444" s="61" t="s">
        <v>106</v>
      </c>
      <c r="I444" s="105"/>
      <c r="J444" s="62" t="s">
        <v>44</v>
      </c>
      <c r="K444" s="105"/>
      <c r="L444" s="61" t="s">
        <v>1685</v>
      </c>
      <c r="M444" s="65"/>
      <c r="N444" s="66"/>
      <c r="O444" s="66" t="str">
        <f t="shared" si="1"/>
        <v/>
      </c>
      <c r="P444" s="66">
        <v>0.0</v>
      </c>
      <c r="Q444" s="66">
        <v>0.0</v>
      </c>
      <c r="R444" s="112"/>
      <c r="S444" s="66"/>
      <c r="T444" s="66"/>
      <c r="U444" s="66"/>
      <c r="V444" s="66"/>
      <c r="W444" s="66"/>
      <c r="X444" s="66"/>
      <c r="Y444" s="66"/>
      <c r="Z444" s="82"/>
    </row>
    <row r="445">
      <c r="A445" s="90"/>
      <c r="B445" s="61" t="s">
        <v>23</v>
      </c>
      <c r="C445" s="61"/>
      <c r="D445" s="61" t="s">
        <v>1686</v>
      </c>
      <c r="E445" s="61" t="s">
        <v>109</v>
      </c>
      <c r="F445" s="61" t="s">
        <v>1687</v>
      </c>
      <c r="G445" s="62" t="s">
        <v>44</v>
      </c>
      <c r="H445" s="61" t="s">
        <v>64</v>
      </c>
      <c r="I445" s="62" t="s">
        <v>657</v>
      </c>
      <c r="J445" s="62" t="s">
        <v>44</v>
      </c>
      <c r="K445" s="105"/>
      <c r="L445" s="61" t="s">
        <v>1688</v>
      </c>
      <c r="M445" s="65"/>
      <c r="N445" s="66"/>
      <c r="O445" s="66" t="str">
        <f t="shared" si="1"/>
        <v/>
      </c>
      <c r="P445" s="66">
        <v>0.0</v>
      </c>
      <c r="Q445" s="66">
        <v>0.0</v>
      </c>
      <c r="R445" s="112"/>
      <c r="S445" s="66"/>
      <c r="T445" s="66"/>
      <c r="U445" s="66"/>
      <c r="V445" s="66"/>
      <c r="W445" s="66"/>
      <c r="X445" s="66"/>
      <c r="Y445" s="66"/>
      <c r="Z445" s="82"/>
    </row>
    <row r="446">
      <c r="A446" s="90"/>
      <c r="B446" s="61" t="s">
        <v>23</v>
      </c>
      <c r="C446" s="61"/>
      <c r="D446" s="61" t="s">
        <v>949</v>
      </c>
      <c r="E446" s="61" t="s">
        <v>494</v>
      </c>
      <c r="F446" s="61" t="s">
        <v>1689</v>
      </c>
      <c r="G446" s="62" t="s">
        <v>789</v>
      </c>
      <c r="H446" s="61" t="s">
        <v>106</v>
      </c>
      <c r="I446" s="105"/>
      <c r="J446" s="62" t="s">
        <v>44</v>
      </c>
      <c r="K446" s="105"/>
      <c r="L446" s="61" t="s">
        <v>1690</v>
      </c>
      <c r="M446" s="65"/>
      <c r="N446" s="66"/>
      <c r="O446" s="66" t="str">
        <f t="shared" si="1"/>
        <v/>
      </c>
      <c r="P446" s="66">
        <v>0.0</v>
      </c>
      <c r="Q446" s="66">
        <v>0.0</v>
      </c>
      <c r="R446" s="112"/>
      <c r="S446" s="66"/>
      <c r="T446" s="66"/>
      <c r="U446" s="66"/>
      <c r="V446" s="66"/>
      <c r="W446" s="66"/>
      <c r="X446" s="66"/>
      <c r="Y446" s="66"/>
      <c r="Z446" s="82"/>
    </row>
    <row r="447">
      <c r="A447" s="90"/>
      <c r="B447" s="61" t="s">
        <v>23</v>
      </c>
      <c r="C447" s="61"/>
      <c r="D447" s="61" t="s">
        <v>1691</v>
      </c>
      <c r="E447" s="61" t="s">
        <v>1199</v>
      </c>
      <c r="F447" s="61" t="s">
        <v>1692</v>
      </c>
      <c r="G447" s="62" t="s">
        <v>45</v>
      </c>
      <c r="H447" s="61" t="s">
        <v>64</v>
      </c>
      <c r="I447" s="62" t="s">
        <v>1486</v>
      </c>
      <c r="J447" s="105"/>
      <c r="K447" s="62" t="s">
        <v>45</v>
      </c>
      <c r="L447" s="105"/>
      <c r="M447" s="65"/>
      <c r="N447" s="66"/>
      <c r="O447" s="66" t="str">
        <f t="shared" si="1"/>
        <v/>
      </c>
      <c r="P447" s="66">
        <v>0.0</v>
      </c>
      <c r="Q447" s="66">
        <v>0.0</v>
      </c>
      <c r="R447" s="112"/>
      <c r="S447" s="66"/>
      <c r="T447" s="66"/>
      <c r="U447" s="66"/>
      <c r="V447" s="66"/>
      <c r="W447" s="66"/>
      <c r="X447" s="66"/>
      <c r="Y447" s="66"/>
      <c r="Z447" s="82"/>
    </row>
    <row r="448">
      <c r="A448" s="90"/>
      <c r="B448" s="61" t="s">
        <v>23</v>
      </c>
      <c r="C448" s="61"/>
      <c r="D448" s="61" t="s">
        <v>1693</v>
      </c>
      <c r="E448" s="61" t="s">
        <v>1199</v>
      </c>
      <c r="F448" s="61" t="s">
        <v>1694</v>
      </c>
      <c r="G448" s="62" t="s">
        <v>45</v>
      </c>
      <c r="H448" s="61" t="s">
        <v>64</v>
      </c>
      <c r="I448" s="62" t="s">
        <v>115</v>
      </c>
      <c r="J448" s="105"/>
      <c r="K448" s="62" t="s">
        <v>45</v>
      </c>
      <c r="L448" s="61" t="s">
        <v>1695</v>
      </c>
      <c r="M448" s="65"/>
      <c r="N448" s="66"/>
      <c r="O448" s="66" t="str">
        <f t="shared" si="1"/>
        <v/>
      </c>
      <c r="P448" s="66">
        <v>0.0</v>
      </c>
      <c r="Q448" s="66">
        <v>0.0</v>
      </c>
      <c r="R448" s="112"/>
      <c r="S448" s="66"/>
      <c r="T448" s="66"/>
      <c r="U448" s="66"/>
      <c r="V448" s="66"/>
      <c r="W448" s="66"/>
      <c r="X448" s="66"/>
      <c r="Y448" s="66"/>
      <c r="Z448" s="82"/>
    </row>
    <row r="449">
      <c r="A449" s="90"/>
      <c r="B449" s="61" t="s">
        <v>23</v>
      </c>
      <c r="C449" s="61"/>
      <c r="D449" s="61" t="s">
        <v>1696</v>
      </c>
      <c r="E449" s="61" t="s">
        <v>1180</v>
      </c>
      <c r="F449" s="61" t="s">
        <v>1697</v>
      </c>
      <c r="G449" s="62" t="s">
        <v>45</v>
      </c>
      <c r="H449" s="61" t="s">
        <v>106</v>
      </c>
      <c r="I449" s="105"/>
      <c r="J449" s="105"/>
      <c r="K449" s="80"/>
      <c r="L449" s="105"/>
      <c r="M449" s="65"/>
      <c r="N449" s="66"/>
      <c r="O449" s="66" t="str">
        <f t="shared" si="1"/>
        <v/>
      </c>
      <c r="P449" s="66">
        <v>0.0</v>
      </c>
      <c r="Q449" s="66">
        <v>0.0</v>
      </c>
      <c r="R449" s="112"/>
      <c r="S449" s="66"/>
      <c r="T449" s="66"/>
      <c r="U449" s="66"/>
      <c r="V449" s="66"/>
      <c r="W449" s="66"/>
      <c r="X449" s="66"/>
      <c r="Y449" s="66"/>
      <c r="Z449" s="82"/>
    </row>
    <row r="450">
      <c r="A450" s="90"/>
      <c r="B450" s="61" t="s">
        <v>23</v>
      </c>
      <c r="C450" s="61"/>
      <c r="D450" s="61" t="s">
        <v>1698</v>
      </c>
      <c r="E450" s="61" t="s">
        <v>1180</v>
      </c>
      <c r="F450" s="61" t="s">
        <v>1699</v>
      </c>
      <c r="G450" s="62" t="s">
        <v>44</v>
      </c>
      <c r="H450" s="105"/>
      <c r="I450" s="105"/>
      <c r="J450" s="105"/>
      <c r="K450" s="62" t="s">
        <v>45</v>
      </c>
      <c r="L450" s="105"/>
      <c r="M450" s="65"/>
      <c r="N450" s="66"/>
      <c r="O450" s="66" t="str">
        <f t="shared" si="1"/>
        <v/>
      </c>
      <c r="P450" s="66">
        <v>0.0</v>
      </c>
      <c r="Q450" s="66">
        <v>0.0</v>
      </c>
      <c r="R450" s="112"/>
      <c r="S450" s="66"/>
      <c r="T450" s="66"/>
      <c r="U450" s="66"/>
      <c r="V450" s="66"/>
      <c r="W450" s="66"/>
      <c r="X450" s="66"/>
      <c r="Y450" s="66"/>
      <c r="Z450" s="82"/>
    </row>
    <row r="451">
      <c r="A451" s="96"/>
      <c r="B451" s="61" t="s">
        <v>20</v>
      </c>
      <c r="C451" s="97"/>
      <c r="D451" s="97" t="s">
        <v>938</v>
      </c>
      <c r="E451" s="97" t="s">
        <v>531</v>
      </c>
      <c r="F451" s="97" t="s">
        <v>1700</v>
      </c>
      <c r="G451" s="98" t="s">
        <v>44</v>
      </c>
      <c r="H451" s="97" t="s">
        <v>64</v>
      </c>
      <c r="I451" s="98" t="s">
        <v>992</v>
      </c>
      <c r="J451" s="99" t="s">
        <v>1701</v>
      </c>
      <c r="K451" s="166"/>
      <c r="L451" s="97" t="s">
        <v>1702</v>
      </c>
      <c r="M451" s="102"/>
      <c r="N451" s="66"/>
      <c r="O451" s="66" t="str">
        <f t="shared" si="1"/>
        <v>이메일</v>
      </c>
      <c r="P451" s="241">
        <v>0.0</v>
      </c>
      <c r="Q451" s="232">
        <v>1.0</v>
      </c>
      <c r="R451" s="112"/>
      <c r="S451" s="113"/>
      <c r="T451" s="113">
        <v>46108.0</v>
      </c>
      <c r="U451" s="113"/>
      <c r="V451" s="113"/>
      <c r="W451" s="113"/>
      <c r="X451" s="113"/>
      <c r="Y451" s="113"/>
      <c r="Z451" s="114"/>
    </row>
    <row r="452">
      <c r="A452" s="90"/>
      <c r="B452" s="61" t="s">
        <v>23</v>
      </c>
      <c r="C452" s="61"/>
      <c r="D452" s="61" t="s">
        <v>1703</v>
      </c>
      <c r="E452" s="61" t="s">
        <v>531</v>
      </c>
      <c r="F452" s="61" t="s">
        <v>1704</v>
      </c>
      <c r="G452" s="198" t="s">
        <v>44</v>
      </c>
      <c r="H452" s="61" t="s">
        <v>64</v>
      </c>
      <c r="I452" s="62" t="s">
        <v>1705</v>
      </c>
      <c r="J452" s="198" t="s">
        <v>44</v>
      </c>
      <c r="K452" s="62" t="s">
        <v>45</v>
      </c>
      <c r="L452" s="105"/>
      <c r="M452" s="65"/>
      <c r="N452" s="66"/>
      <c r="O452" s="66" t="str">
        <f t="shared" si="1"/>
        <v/>
      </c>
      <c r="P452" s="66">
        <v>0.0</v>
      </c>
      <c r="Q452" s="66">
        <v>0.0</v>
      </c>
      <c r="R452" s="112"/>
      <c r="S452" s="66"/>
      <c r="T452" s="66"/>
      <c r="U452" s="66"/>
      <c r="V452" s="66"/>
      <c r="W452" s="66"/>
      <c r="X452" s="66"/>
      <c r="Y452" s="66"/>
      <c r="Z452" s="82"/>
    </row>
    <row r="453">
      <c r="A453" s="90"/>
      <c r="B453" s="61" t="s">
        <v>23</v>
      </c>
      <c r="C453" s="61"/>
      <c r="D453" s="61" t="s">
        <v>1706</v>
      </c>
      <c r="E453" s="61" t="s">
        <v>1063</v>
      </c>
      <c r="F453" s="61" t="s">
        <v>1707</v>
      </c>
      <c r="G453" s="62" t="s">
        <v>44</v>
      </c>
      <c r="H453" s="61" t="s">
        <v>64</v>
      </c>
      <c r="I453" s="62" t="s">
        <v>1486</v>
      </c>
      <c r="J453" s="62" t="s">
        <v>44</v>
      </c>
      <c r="K453" s="62" t="s">
        <v>45</v>
      </c>
      <c r="L453" s="61" t="s">
        <v>1708</v>
      </c>
      <c r="M453" s="65"/>
      <c r="N453" s="66"/>
      <c r="O453" s="66" t="str">
        <f t="shared" si="1"/>
        <v/>
      </c>
      <c r="P453" s="66">
        <v>0.0</v>
      </c>
      <c r="Q453" s="66">
        <v>0.0</v>
      </c>
      <c r="R453" s="112"/>
      <c r="S453" s="66"/>
      <c r="T453" s="66"/>
      <c r="U453" s="66"/>
      <c r="V453" s="66"/>
      <c r="W453" s="66"/>
      <c r="X453" s="66"/>
      <c r="Y453" s="66"/>
      <c r="Z453" s="82"/>
    </row>
    <row r="454">
      <c r="A454" s="90"/>
      <c r="B454" s="61" t="s">
        <v>23</v>
      </c>
      <c r="C454" s="61"/>
      <c r="D454" s="61" t="s">
        <v>705</v>
      </c>
      <c r="E454" s="61" t="s">
        <v>1063</v>
      </c>
      <c r="F454" s="61" t="s">
        <v>1709</v>
      </c>
      <c r="G454" s="62" t="s">
        <v>44</v>
      </c>
      <c r="H454" s="61" t="s">
        <v>64</v>
      </c>
      <c r="I454" s="62" t="s">
        <v>1486</v>
      </c>
      <c r="J454" s="62" t="s">
        <v>44</v>
      </c>
      <c r="K454" s="62" t="s">
        <v>45</v>
      </c>
      <c r="L454" s="105"/>
      <c r="M454" s="65"/>
      <c r="N454" s="66"/>
      <c r="O454" s="66" t="str">
        <f t="shared" si="1"/>
        <v/>
      </c>
      <c r="P454" s="66">
        <v>0.0</v>
      </c>
      <c r="Q454" s="66">
        <v>0.0</v>
      </c>
      <c r="R454" s="112"/>
      <c r="S454" s="66"/>
      <c r="T454" s="66"/>
      <c r="U454" s="66"/>
      <c r="V454" s="66"/>
      <c r="W454" s="66"/>
      <c r="X454" s="66"/>
      <c r="Y454" s="66"/>
      <c r="Z454" s="82"/>
    </row>
    <row r="455">
      <c r="A455" s="90"/>
      <c r="B455" s="61" t="s">
        <v>23</v>
      </c>
      <c r="C455" s="61"/>
      <c r="D455" s="61" t="s">
        <v>949</v>
      </c>
      <c r="E455" s="61" t="s">
        <v>1377</v>
      </c>
      <c r="F455" s="61" t="s">
        <v>1710</v>
      </c>
      <c r="G455" s="62" t="s">
        <v>44</v>
      </c>
      <c r="H455" s="61" t="s">
        <v>64</v>
      </c>
      <c r="I455" s="62" t="s">
        <v>1711</v>
      </c>
      <c r="J455" s="62" t="s">
        <v>44</v>
      </c>
      <c r="K455" s="105"/>
      <c r="L455" s="61" t="s">
        <v>1712</v>
      </c>
      <c r="M455" s="65"/>
      <c r="N455" s="66"/>
      <c r="O455" s="66" t="str">
        <f t="shared" si="1"/>
        <v/>
      </c>
      <c r="P455" s="66">
        <v>0.0</v>
      </c>
      <c r="Q455" s="66">
        <v>0.0</v>
      </c>
      <c r="R455" s="112"/>
      <c r="S455" s="66"/>
      <c r="T455" s="66"/>
      <c r="U455" s="66"/>
      <c r="V455" s="66"/>
      <c r="W455" s="66"/>
      <c r="X455" s="66"/>
      <c r="Y455" s="66"/>
      <c r="Z455" s="82"/>
    </row>
    <row r="456">
      <c r="A456" s="90"/>
      <c r="B456" s="61" t="s">
        <v>23</v>
      </c>
      <c r="C456" s="278"/>
      <c r="D456" s="278" t="s">
        <v>1713</v>
      </c>
      <c r="E456" s="278" t="s">
        <v>122</v>
      </c>
      <c r="F456" s="278" t="s">
        <v>1714</v>
      </c>
      <c r="G456" s="279" t="s">
        <v>44</v>
      </c>
      <c r="H456" s="278" t="s">
        <v>64</v>
      </c>
      <c r="I456" s="346" t="s">
        <v>1486</v>
      </c>
      <c r="J456" s="279" t="s">
        <v>44</v>
      </c>
      <c r="K456" s="280"/>
      <c r="L456" s="347" t="s">
        <v>756</v>
      </c>
      <c r="M456" s="281"/>
      <c r="N456" s="66"/>
      <c r="O456" s="66" t="str">
        <f t="shared" si="1"/>
        <v/>
      </c>
      <c r="P456" s="66">
        <v>0.0</v>
      </c>
      <c r="Q456" s="66">
        <v>0.0</v>
      </c>
      <c r="R456" s="112"/>
      <c r="S456" s="66"/>
      <c r="T456" s="66"/>
      <c r="U456" s="66"/>
      <c r="V456" s="66"/>
      <c r="W456" s="66"/>
      <c r="X456" s="66"/>
      <c r="Y456" s="66"/>
      <c r="Z456" s="82"/>
    </row>
    <row r="457">
      <c r="A457" s="90"/>
      <c r="B457" s="61" t="s">
        <v>23</v>
      </c>
      <c r="C457" s="266"/>
      <c r="D457" s="266" t="s">
        <v>1608</v>
      </c>
      <c r="E457" s="266" t="s">
        <v>122</v>
      </c>
      <c r="F457" s="266" t="s">
        <v>1715</v>
      </c>
      <c r="G457" s="268" t="s">
        <v>44</v>
      </c>
      <c r="H457" s="266" t="s">
        <v>106</v>
      </c>
      <c r="I457" s="269"/>
      <c r="J457" s="268" t="s">
        <v>44</v>
      </c>
      <c r="K457" s="268" t="s">
        <v>486</v>
      </c>
      <c r="L457" s="269"/>
      <c r="M457" s="270" t="s">
        <v>1716</v>
      </c>
      <c r="N457" s="66"/>
      <c r="O457" s="66" t="str">
        <f t="shared" si="1"/>
        <v/>
      </c>
      <c r="P457" s="66">
        <v>0.0</v>
      </c>
      <c r="Q457" s="66">
        <v>0.0</v>
      </c>
      <c r="R457" s="112"/>
      <c r="S457" s="66"/>
      <c r="T457" s="66"/>
      <c r="U457" s="66"/>
      <c r="V457" s="66"/>
      <c r="W457" s="66"/>
      <c r="X457" s="66"/>
      <c r="Y457" s="66"/>
      <c r="Z457" s="82"/>
    </row>
    <row r="458">
      <c r="A458" s="90"/>
      <c r="B458" s="61" t="s">
        <v>23</v>
      </c>
      <c r="C458" s="61"/>
      <c r="D458" s="61" t="s">
        <v>44</v>
      </c>
      <c r="E458" s="61" t="s">
        <v>1059</v>
      </c>
      <c r="F458" s="61" t="s">
        <v>1717</v>
      </c>
      <c r="G458" s="62" t="s">
        <v>44</v>
      </c>
      <c r="H458" s="61" t="s">
        <v>64</v>
      </c>
      <c r="I458" s="62" t="s">
        <v>657</v>
      </c>
      <c r="J458" s="62" t="s">
        <v>44</v>
      </c>
      <c r="K458" s="105"/>
      <c r="L458" s="348" t="s">
        <v>1718</v>
      </c>
      <c r="M458" s="65"/>
      <c r="N458" s="66"/>
      <c r="O458" s="66" t="str">
        <f t="shared" si="1"/>
        <v/>
      </c>
      <c r="P458" s="66">
        <v>0.0</v>
      </c>
      <c r="Q458" s="66">
        <v>0.0</v>
      </c>
      <c r="R458" s="112"/>
      <c r="S458" s="66"/>
      <c r="T458" s="66"/>
      <c r="U458" s="66"/>
      <c r="V458" s="66"/>
      <c r="W458" s="66"/>
      <c r="X458" s="66"/>
      <c r="Y458" s="66"/>
      <c r="Z458" s="82"/>
    </row>
    <row r="459">
      <c r="A459" s="96"/>
      <c r="B459" s="61" t="s">
        <v>23</v>
      </c>
      <c r="C459" s="97"/>
      <c r="D459" s="97" t="s">
        <v>574</v>
      </c>
      <c r="E459" s="97" t="s">
        <v>513</v>
      </c>
      <c r="F459" s="97" t="s">
        <v>1719</v>
      </c>
      <c r="G459" s="98" t="s">
        <v>44</v>
      </c>
      <c r="H459" s="97" t="s">
        <v>64</v>
      </c>
      <c r="I459" s="98" t="s">
        <v>657</v>
      </c>
      <c r="J459" s="99" t="s">
        <v>1720</v>
      </c>
      <c r="K459" s="332"/>
      <c r="L459" s="97" t="s">
        <v>1721</v>
      </c>
      <c r="M459" s="102"/>
      <c r="N459" s="66"/>
      <c r="O459" s="66" t="str">
        <f t="shared" si="1"/>
        <v/>
      </c>
      <c r="P459" s="241">
        <v>0.0</v>
      </c>
      <c r="Q459" s="241">
        <v>0.0</v>
      </c>
      <c r="R459" s="112"/>
      <c r="S459" s="241"/>
      <c r="T459" s="241"/>
      <c r="U459" s="241"/>
      <c r="V459" s="241"/>
      <c r="W459" s="241"/>
      <c r="X459" s="241"/>
      <c r="Y459" s="241"/>
      <c r="Z459" s="242"/>
    </row>
    <row r="460">
      <c r="A460" s="96"/>
      <c r="B460" s="61" t="s">
        <v>23</v>
      </c>
      <c r="C460" s="97"/>
      <c r="D460" s="97" t="s">
        <v>574</v>
      </c>
      <c r="E460" s="97" t="s">
        <v>89</v>
      </c>
      <c r="F460" s="349" t="s">
        <v>1722</v>
      </c>
      <c r="G460" s="98" t="s">
        <v>1723</v>
      </c>
      <c r="H460" s="97" t="s">
        <v>64</v>
      </c>
      <c r="I460" s="98" t="s">
        <v>657</v>
      </c>
      <c r="J460" s="99" t="s">
        <v>1724</v>
      </c>
      <c r="K460" s="332"/>
      <c r="L460" s="97" t="s">
        <v>1725</v>
      </c>
      <c r="M460" s="102"/>
      <c r="N460" s="66"/>
      <c r="O460" s="66" t="str">
        <f t="shared" si="1"/>
        <v/>
      </c>
      <c r="P460" s="241">
        <v>0.0</v>
      </c>
      <c r="Q460" s="241">
        <v>0.0</v>
      </c>
      <c r="R460" s="112"/>
      <c r="S460" s="241"/>
      <c r="T460" s="241"/>
      <c r="U460" s="241"/>
      <c r="V460" s="241"/>
      <c r="W460" s="241"/>
      <c r="X460" s="241"/>
      <c r="Y460" s="241"/>
      <c r="Z460" s="242"/>
    </row>
    <row r="461">
      <c r="A461" s="96"/>
      <c r="B461" s="61" t="s">
        <v>20</v>
      </c>
      <c r="C461" s="97"/>
      <c r="D461" s="97" t="s">
        <v>200</v>
      </c>
      <c r="E461" s="97" t="s">
        <v>332</v>
      </c>
      <c r="F461" s="97" t="s">
        <v>1726</v>
      </c>
      <c r="G461" s="98" t="s">
        <v>1727</v>
      </c>
      <c r="H461" s="97" t="s">
        <v>64</v>
      </c>
      <c r="I461" s="98" t="s">
        <v>594</v>
      </c>
      <c r="J461" s="99" t="s">
        <v>1728</v>
      </c>
      <c r="K461" s="166"/>
      <c r="L461" s="97" t="s">
        <v>1729</v>
      </c>
      <c r="M461" s="102"/>
      <c r="N461" s="66"/>
      <c r="O461" s="66" t="str">
        <f t="shared" si="1"/>
        <v>이메일</v>
      </c>
      <c r="P461" s="241">
        <v>0.0</v>
      </c>
      <c r="Q461" s="232">
        <v>1.0</v>
      </c>
      <c r="R461" s="112"/>
      <c r="S461" s="113"/>
      <c r="T461" s="113">
        <v>46108.0</v>
      </c>
      <c r="U461" s="113"/>
      <c r="V461" s="113"/>
      <c r="W461" s="113"/>
      <c r="X461" s="113"/>
      <c r="Y461" s="113"/>
      <c r="Z461" s="114"/>
    </row>
    <row r="462">
      <c r="A462" s="90"/>
      <c r="B462" s="61" t="s">
        <v>23</v>
      </c>
      <c r="C462" s="61"/>
      <c r="D462" s="61" t="s">
        <v>574</v>
      </c>
      <c r="E462" s="61" t="s">
        <v>332</v>
      </c>
      <c r="F462" s="61" t="s">
        <v>1730</v>
      </c>
      <c r="G462" s="62" t="s">
        <v>44</v>
      </c>
      <c r="H462" s="61" t="s">
        <v>431</v>
      </c>
      <c r="I462" s="105"/>
      <c r="J462" s="62" t="s">
        <v>44</v>
      </c>
      <c r="K462" s="105"/>
      <c r="L462" s="61" t="s">
        <v>1731</v>
      </c>
      <c r="M462" s="65"/>
      <c r="N462" s="66"/>
      <c r="O462" s="66" t="str">
        <f t="shared" si="1"/>
        <v/>
      </c>
      <c r="P462" s="66">
        <v>0.0</v>
      </c>
      <c r="Q462" s="66">
        <v>0.0</v>
      </c>
      <c r="R462" s="112"/>
      <c r="S462" s="66"/>
      <c r="T462" s="66"/>
      <c r="U462" s="66"/>
      <c r="V462" s="66"/>
      <c r="W462" s="66"/>
      <c r="X462" s="66"/>
      <c r="Y462" s="66"/>
      <c r="Z462" s="82"/>
    </row>
    <row r="463">
      <c r="A463" s="90"/>
      <c r="B463" s="61" t="s">
        <v>23</v>
      </c>
      <c r="C463" s="278"/>
      <c r="D463" s="278" t="s">
        <v>574</v>
      </c>
      <c r="E463" s="350" t="s">
        <v>69</v>
      </c>
      <c r="F463" s="278" t="s">
        <v>1732</v>
      </c>
      <c r="G463" s="279" t="s">
        <v>44</v>
      </c>
      <c r="H463" s="278" t="s">
        <v>106</v>
      </c>
      <c r="I463" s="280"/>
      <c r="J463" s="279" t="s">
        <v>44</v>
      </c>
      <c r="K463" s="280"/>
      <c r="L463" s="278" t="s">
        <v>1274</v>
      </c>
      <c r="M463" s="281"/>
      <c r="N463" s="66"/>
      <c r="O463" s="66" t="str">
        <f t="shared" si="1"/>
        <v/>
      </c>
      <c r="P463" s="66">
        <v>0.0</v>
      </c>
      <c r="Q463" s="66">
        <v>0.0</v>
      </c>
      <c r="R463" s="112"/>
      <c r="S463" s="66"/>
      <c r="T463" s="66"/>
      <c r="U463" s="66"/>
      <c r="V463" s="66"/>
      <c r="W463" s="66"/>
      <c r="X463" s="66"/>
      <c r="Y463" s="66"/>
      <c r="Z463" s="82"/>
    </row>
    <row r="464">
      <c r="A464" s="96"/>
      <c r="B464" s="61" t="s">
        <v>20</v>
      </c>
      <c r="C464" s="97" t="s">
        <v>1733</v>
      </c>
      <c r="D464" s="97" t="s">
        <v>574</v>
      </c>
      <c r="E464" s="256" t="s">
        <v>69</v>
      </c>
      <c r="F464" s="97" t="s">
        <v>1734</v>
      </c>
      <c r="G464" s="98" t="s">
        <v>44</v>
      </c>
      <c r="H464" s="97" t="s">
        <v>106</v>
      </c>
      <c r="I464" s="175"/>
      <c r="J464" s="99" t="s">
        <v>1735</v>
      </c>
      <c r="K464" s="166"/>
      <c r="L464" s="97" t="s">
        <v>1736</v>
      </c>
      <c r="M464" s="102"/>
      <c r="N464" s="66"/>
      <c r="O464" s="66" t="str">
        <f t="shared" si="1"/>
        <v>이메일</v>
      </c>
      <c r="P464" s="241">
        <v>0.0</v>
      </c>
      <c r="Q464" s="232">
        <v>1.0</v>
      </c>
      <c r="R464" s="112"/>
      <c r="S464" s="113"/>
      <c r="T464" s="113">
        <v>46108.0</v>
      </c>
      <c r="U464" s="113"/>
      <c r="V464" s="113"/>
      <c r="W464" s="113"/>
      <c r="X464" s="113"/>
      <c r="Y464" s="113"/>
      <c r="Z464" s="114"/>
    </row>
    <row r="465">
      <c r="A465" s="96"/>
      <c r="B465" s="61" t="s">
        <v>20</v>
      </c>
      <c r="C465" s="97"/>
      <c r="D465" s="97" t="s">
        <v>294</v>
      </c>
      <c r="E465" s="97" t="s">
        <v>1110</v>
      </c>
      <c r="F465" s="97" t="s">
        <v>1737</v>
      </c>
      <c r="G465" s="98" t="s">
        <v>44</v>
      </c>
      <c r="H465" s="97" t="s">
        <v>64</v>
      </c>
      <c r="I465" s="98" t="s">
        <v>1252</v>
      </c>
      <c r="J465" s="99" t="s">
        <v>1738</v>
      </c>
      <c r="K465" s="166"/>
      <c r="L465" s="275" t="s">
        <v>1739</v>
      </c>
      <c r="M465" s="102"/>
      <c r="N465" s="66"/>
      <c r="O465" s="66" t="str">
        <f t="shared" si="1"/>
        <v>이메일</v>
      </c>
      <c r="P465" s="241">
        <v>0.0</v>
      </c>
      <c r="Q465" s="232">
        <v>1.0</v>
      </c>
      <c r="R465" s="112"/>
      <c r="S465" s="113"/>
      <c r="T465" s="113">
        <v>46108.0</v>
      </c>
      <c r="U465" s="113"/>
      <c r="V465" s="113"/>
      <c r="W465" s="113"/>
      <c r="X465" s="113"/>
      <c r="Y465" s="113"/>
      <c r="Z465" s="114"/>
    </row>
    <row r="466">
      <c r="A466" s="90"/>
      <c r="B466" s="61" t="s">
        <v>23</v>
      </c>
      <c r="C466" s="61"/>
      <c r="D466" s="61" t="s">
        <v>1740</v>
      </c>
      <c r="E466" s="61" t="s">
        <v>1110</v>
      </c>
      <c r="F466" s="61" t="s">
        <v>1741</v>
      </c>
      <c r="G466" s="62" t="s">
        <v>44</v>
      </c>
      <c r="H466" s="105"/>
      <c r="I466" s="105"/>
      <c r="J466" s="105"/>
      <c r="K466" s="105"/>
      <c r="L466" s="61" t="s">
        <v>1742</v>
      </c>
      <c r="M466" s="65"/>
      <c r="N466" s="66"/>
      <c r="O466" s="66" t="str">
        <f t="shared" si="1"/>
        <v/>
      </c>
      <c r="P466" s="66">
        <v>0.0</v>
      </c>
      <c r="Q466" s="66">
        <v>0.0</v>
      </c>
      <c r="R466" s="112"/>
      <c r="S466" s="66"/>
      <c r="T466" s="66"/>
      <c r="U466" s="66"/>
      <c r="V466" s="66"/>
      <c r="W466" s="66"/>
      <c r="X466" s="66"/>
      <c r="Y466" s="66"/>
      <c r="Z466" s="82"/>
    </row>
    <row r="467">
      <c r="A467" s="90"/>
      <c r="B467" s="61" t="s">
        <v>23</v>
      </c>
      <c r="C467" s="278"/>
      <c r="D467" s="278" t="s">
        <v>1743</v>
      </c>
      <c r="E467" s="278" t="s">
        <v>1370</v>
      </c>
      <c r="F467" s="278" t="s">
        <v>1744</v>
      </c>
      <c r="G467" s="279" t="s">
        <v>44</v>
      </c>
      <c r="H467" s="278" t="s">
        <v>106</v>
      </c>
      <c r="I467" s="279" t="s">
        <v>1486</v>
      </c>
      <c r="J467" s="279" t="s">
        <v>44</v>
      </c>
      <c r="K467" s="280"/>
      <c r="L467" s="280"/>
      <c r="M467" s="351" t="s">
        <v>1745</v>
      </c>
      <c r="N467" s="66"/>
      <c r="O467" s="66" t="str">
        <f t="shared" si="1"/>
        <v/>
      </c>
      <c r="P467" s="66">
        <v>0.0</v>
      </c>
      <c r="Q467" s="66">
        <v>0.0</v>
      </c>
      <c r="R467" s="112"/>
      <c r="S467" s="66"/>
      <c r="T467" s="66"/>
      <c r="U467" s="66"/>
      <c r="V467" s="66"/>
      <c r="W467" s="66"/>
      <c r="X467" s="66"/>
      <c r="Y467" s="66"/>
      <c r="Z467" s="82"/>
    </row>
    <row r="468">
      <c r="A468" s="90"/>
      <c r="B468" s="61" t="s">
        <v>23</v>
      </c>
      <c r="C468" s="61"/>
      <c r="D468" s="61" t="s">
        <v>1746</v>
      </c>
      <c r="E468" s="61" t="s">
        <v>1370</v>
      </c>
      <c r="F468" s="61" t="s">
        <v>1747</v>
      </c>
      <c r="G468" s="62" t="s">
        <v>789</v>
      </c>
      <c r="H468" s="61" t="s">
        <v>106</v>
      </c>
      <c r="I468" s="105"/>
      <c r="J468" s="105"/>
      <c r="K468" s="62" t="s">
        <v>45</v>
      </c>
      <c r="L468" s="105"/>
      <c r="M468" s="125" t="s">
        <v>1748</v>
      </c>
      <c r="N468" s="66"/>
      <c r="O468" s="66" t="str">
        <f t="shared" si="1"/>
        <v/>
      </c>
      <c r="P468" s="66">
        <v>0.0</v>
      </c>
      <c r="Q468" s="66">
        <v>0.0</v>
      </c>
      <c r="R468" s="112"/>
      <c r="S468" s="66"/>
      <c r="T468" s="66"/>
      <c r="U468" s="66"/>
      <c r="V468" s="66"/>
      <c r="W468" s="66"/>
      <c r="X468" s="66"/>
      <c r="Y468" s="66"/>
      <c r="Z468" s="82"/>
    </row>
    <row r="469">
      <c r="A469" s="96"/>
      <c r="B469" s="61" t="s">
        <v>20</v>
      </c>
      <c r="C469" s="97"/>
      <c r="D469" s="97" t="s">
        <v>1749</v>
      </c>
      <c r="E469" s="97" t="s">
        <v>429</v>
      </c>
      <c r="F469" s="97" t="s">
        <v>1750</v>
      </c>
      <c r="G469" s="98" t="s">
        <v>789</v>
      </c>
      <c r="H469" s="97" t="s">
        <v>64</v>
      </c>
      <c r="I469" s="98" t="s">
        <v>674</v>
      </c>
      <c r="J469" s="99" t="s">
        <v>1751</v>
      </c>
      <c r="K469" s="104" t="s">
        <v>1752</v>
      </c>
      <c r="L469" s="175"/>
      <c r="M469" s="102"/>
      <c r="N469" s="66"/>
      <c r="O469" s="66" t="str">
        <f t="shared" si="1"/>
        <v>DM</v>
      </c>
      <c r="P469" s="232">
        <v>1.0</v>
      </c>
      <c r="Q469" s="241">
        <v>0.0</v>
      </c>
      <c r="R469" s="112"/>
      <c r="S469" s="113"/>
      <c r="T469" s="113">
        <v>46108.0</v>
      </c>
      <c r="U469" s="113"/>
      <c r="V469" s="113"/>
      <c r="W469" s="113"/>
      <c r="X469" s="113"/>
      <c r="Y469" s="113"/>
      <c r="Z469" s="114"/>
    </row>
    <row r="470">
      <c r="A470" s="90"/>
      <c r="B470" s="61" t="s">
        <v>23</v>
      </c>
      <c r="C470" s="61"/>
      <c r="D470" s="61" t="s">
        <v>1753</v>
      </c>
      <c r="E470" s="61" t="s">
        <v>429</v>
      </c>
      <c r="F470" s="61" t="s">
        <v>1754</v>
      </c>
      <c r="G470" s="62" t="s">
        <v>1755</v>
      </c>
      <c r="H470" s="61" t="s">
        <v>64</v>
      </c>
      <c r="I470" s="62" t="s">
        <v>1756</v>
      </c>
      <c r="J470" s="62" t="s">
        <v>44</v>
      </c>
      <c r="K470" s="62" t="s">
        <v>45</v>
      </c>
      <c r="L470" s="61" t="s">
        <v>1757</v>
      </c>
      <c r="M470" s="65"/>
      <c r="N470" s="66"/>
      <c r="O470" s="66" t="str">
        <f t="shared" si="1"/>
        <v/>
      </c>
      <c r="P470" s="66">
        <v>0.0</v>
      </c>
      <c r="Q470" s="66">
        <v>0.0</v>
      </c>
      <c r="R470" s="112"/>
      <c r="S470" s="66"/>
      <c r="T470" s="66"/>
      <c r="U470" s="66"/>
      <c r="V470" s="66"/>
      <c r="W470" s="66"/>
      <c r="X470" s="66"/>
      <c r="Y470" s="66"/>
      <c r="Z470" s="82"/>
    </row>
    <row r="471">
      <c r="A471" s="90"/>
      <c r="B471" s="61" t="s">
        <v>23</v>
      </c>
      <c r="C471" s="61"/>
      <c r="D471" s="61" t="s">
        <v>574</v>
      </c>
      <c r="E471" s="61" t="s">
        <v>506</v>
      </c>
      <c r="F471" s="61" t="s">
        <v>1758</v>
      </c>
      <c r="G471" s="62" t="s">
        <v>44</v>
      </c>
      <c r="H471" s="61" t="s">
        <v>64</v>
      </c>
      <c r="I471" s="62" t="s">
        <v>553</v>
      </c>
      <c r="J471" s="62" t="s">
        <v>44</v>
      </c>
      <c r="K471" s="62" t="s">
        <v>45</v>
      </c>
      <c r="L471" s="105"/>
      <c r="M471" s="65"/>
      <c r="N471" s="66"/>
      <c r="O471" s="66" t="str">
        <f t="shared" si="1"/>
        <v/>
      </c>
      <c r="P471" s="66">
        <v>0.0</v>
      </c>
      <c r="Q471" s="66">
        <v>0.0</v>
      </c>
      <c r="R471" s="112"/>
      <c r="S471" s="66"/>
      <c r="T471" s="66"/>
      <c r="U471" s="66"/>
      <c r="V471" s="66"/>
      <c r="W471" s="66"/>
      <c r="X471" s="66"/>
      <c r="Y471" s="66"/>
      <c r="Z471" s="82"/>
    </row>
    <row r="472">
      <c r="A472" s="90"/>
      <c r="B472" s="61" t="s">
        <v>23</v>
      </c>
      <c r="C472" s="278"/>
      <c r="D472" s="278" t="s">
        <v>574</v>
      </c>
      <c r="E472" s="278" t="s">
        <v>506</v>
      </c>
      <c r="F472" s="278" t="s">
        <v>1759</v>
      </c>
      <c r="G472" s="279" t="s">
        <v>44</v>
      </c>
      <c r="H472" s="278" t="s">
        <v>64</v>
      </c>
      <c r="I472" s="279" t="s">
        <v>640</v>
      </c>
      <c r="J472" s="279" t="s">
        <v>44</v>
      </c>
      <c r="K472" s="280"/>
      <c r="L472" s="278" t="s">
        <v>1336</v>
      </c>
      <c r="M472" s="281"/>
      <c r="N472" s="66"/>
      <c r="O472" s="66" t="str">
        <f t="shared" si="1"/>
        <v/>
      </c>
      <c r="P472" s="66">
        <v>0.0</v>
      </c>
      <c r="Q472" s="66">
        <v>0.0</v>
      </c>
      <c r="R472" s="112"/>
      <c r="S472" s="66"/>
      <c r="T472" s="66"/>
      <c r="U472" s="66"/>
      <c r="V472" s="66"/>
      <c r="W472" s="66"/>
      <c r="X472" s="66"/>
      <c r="Y472" s="66"/>
      <c r="Z472" s="82"/>
    </row>
    <row r="473">
      <c r="A473" s="90"/>
      <c r="B473" s="61" t="s">
        <v>23</v>
      </c>
      <c r="C473" s="61"/>
      <c r="D473" s="61" t="s">
        <v>574</v>
      </c>
      <c r="E473" s="61" t="s">
        <v>531</v>
      </c>
      <c r="F473" s="61" t="s">
        <v>1760</v>
      </c>
      <c r="G473" s="62" t="s">
        <v>44</v>
      </c>
      <c r="H473" s="61" t="s">
        <v>106</v>
      </c>
      <c r="I473" s="105"/>
      <c r="J473" s="62" t="s">
        <v>44</v>
      </c>
      <c r="K473" s="62" t="s">
        <v>45</v>
      </c>
      <c r="L473" s="61" t="s">
        <v>1761</v>
      </c>
      <c r="M473" s="65"/>
      <c r="N473" s="66"/>
      <c r="O473" s="66" t="str">
        <f t="shared" si="1"/>
        <v/>
      </c>
      <c r="P473" s="66">
        <v>0.0</v>
      </c>
      <c r="Q473" s="66">
        <v>0.0</v>
      </c>
      <c r="R473" s="112"/>
      <c r="S473" s="66"/>
      <c r="T473" s="66"/>
      <c r="U473" s="66"/>
      <c r="V473" s="66"/>
      <c r="W473" s="66"/>
      <c r="X473" s="66"/>
      <c r="Y473" s="66"/>
      <c r="Z473" s="82"/>
    </row>
    <row r="474">
      <c r="A474" s="96"/>
      <c r="B474" s="61" t="s">
        <v>20</v>
      </c>
      <c r="C474" s="97"/>
      <c r="D474" s="97" t="s">
        <v>899</v>
      </c>
      <c r="E474" s="97" t="s">
        <v>531</v>
      </c>
      <c r="F474" s="97" t="s">
        <v>1762</v>
      </c>
      <c r="G474" s="98" t="s">
        <v>44</v>
      </c>
      <c r="H474" s="97" t="s">
        <v>106</v>
      </c>
      <c r="I474" s="175"/>
      <c r="J474" s="99" t="s">
        <v>1763</v>
      </c>
      <c r="K474" s="166"/>
      <c r="L474" s="97" t="s">
        <v>1764</v>
      </c>
      <c r="M474" s="102"/>
      <c r="N474" s="66"/>
      <c r="O474" s="66" t="str">
        <f t="shared" si="1"/>
        <v>이메일</v>
      </c>
      <c r="P474" s="241">
        <v>0.0</v>
      </c>
      <c r="Q474" s="232">
        <v>1.0</v>
      </c>
      <c r="R474" s="112"/>
      <c r="S474" s="113"/>
      <c r="T474" s="113">
        <v>46108.0</v>
      </c>
      <c r="U474" s="113"/>
      <c r="V474" s="113"/>
      <c r="W474" s="113"/>
      <c r="X474" s="113"/>
      <c r="Y474" s="113"/>
      <c r="Z474" s="114"/>
    </row>
    <row r="475">
      <c r="A475" s="90"/>
      <c r="B475" s="61" t="s">
        <v>23</v>
      </c>
      <c r="C475" s="266"/>
      <c r="D475" s="266" t="s">
        <v>938</v>
      </c>
      <c r="E475" s="266" t="s">
        <v>1377</v>
      </c>
      <c r="F475" s="266" t="s">
        <v>1765</v>
      </c>
      <c r="G475" s="268" t="s">
        <v>44</v>
      </c>
      <c r="H475" s="266" t="s">
        <v>64</v>
      </c>
      <c r="I475" s="268" t="s">
        <v>98</v>
      </c>
      <c r="J475" s="268" t="s">
        <v>44</v>
      </c>
      <c r="K475" s="269"/>
      <c r="L475" s="266" t="s">
        <v>1766</v>
      </c>
      <c r="M475" s="272"/>
      <c r="N475" s="66"/>
      <c r="O475" s="66" t="str">
        <f t="shared" si="1"/>
        <v/>
      </c>
      <c r="P475" s="66">
        <v>0.0</v>
      </c>
      <c r="Q475" s="66">
        <v>0.0</v>
      </c>
      <c r="R475" s="112"/>
      <c r="S475" s="66"/>
      <c r="T475" s="66"/>
      <c r="U475" s="66"/>
      <c r="V475" s="66"/>
      <c r="W475" s="66"/>
      <c r="X475" s="66"/>
      <c r="Y475" s="66"/>
      <c r="Z475" s="82"/>
    </row>
    <row r="476">
      <c r="A476" s="96"/>
      <c r="B476" s="61" t="s">
        <v>20</v>
      </c>
      <c r="C476" s="97"/>
      <c r="D476" s="97" t="s">
        <v>1767</v>
      </c>
      <c r="E476" s="97" t="s">
        <v>1377</v>
      </c>
      <c r="F476" s="97" t="s">
        <v>1768</v>
      </c>
      <c r="G476" s="98" t="s">
        <v>45</v>
      </c>
      <c r="H476" s="97" t="s">
        <v>64</v>
      </c>
      <c r="I476" s="98" t="s">
        <v>1486</v>
      </c>
      <c r="J476" s="99" t="s">
        <v>1769</v>
      </c>
      <c r="K476" s="107" t="s">
        <v>1770</v>
      </c>
      <c r="L476" s="97" t="s">
        <v>1771</v>
      </c>
      <c r="M476" s="102"/>
      <c r="N476" s="66"/>
      <c r="O476" s="66" t="str">
        <f t="shared" si="1"/>
        <v>DM+이메일</v>
      </c>
      <c r="P476" s="232">
        <v>1.0</v>
      </c>
      <c r="Q476" s="232">
        <v>1.0</v>
      </c>
      <c r="R476" s="112"/>
      <c r="S476" s="113"/>
      <c r="T476" s="113">
        <v>46108.0</v>
      </c>
      <c r="U476" s="113"/>
      <c r="V476" s="113"/>
      <c r="W476" s="113"/>
      <c r="X476" s="113"/>
      <c r="Y476" s="113"/>
      <c r="Z476" s="114"/>
    </row>
    <row r="477">
      <c r="A477" s="90"/>
      <c r="B477" s="61" t="s">
        <v>23</v>
      </c>
      <c r="C477" s="278"/>
      <c r="D477" s="278" t="s">
        <v>1237</v>
      </c>
      <c r="E477" s="278" t="s">
        <v>578</v>
      </c>
      <c r="F477" s="341" t="s">
        <v>1772</v>
      </c>
      <c r="G477" s="279" t="s">
        <v>789</v>
      </c>
      <c r="H477" s="278" t="s">
        <v>64</v>
      </c>
      <c r="I477" s="279" t="s">
        <v>657</v>
      </c>
      <c r="J477" s="279" t="s">
        <v>44</v>
      </c>
      <c r="K477" s="280"/>
      <c r="L477" s="280"/>
      <c r="M477" s="281"/>
      <c r="N477" s="66"/>
      <c r="O477" s="66" t="str">
        <f t="shared" si="1"/>
        <v/>
      </c>
      <c r="P477" s="66">
        <v>0.0</v>
      </c>
      <c r="Q477" s="66">
        <v>0.0</v>
      </c>
      <c r="R477" s="112"/>
      <c r="S477" s="66"/>
      <c r="T477" s="66"/>
      <c r="U477" s="66"/>
      <c r="V477" s="66"/>
      <c r="W477" s="66"/>
      <c r="X477" s="66"/>
      <c r="Y477" s="66"/>
      <c r="Z477" s="82"/>
    </row>
    <row r="478">
      <c r="A478" s="90"/>
      <c r="B478" s="61" t="s">
        <v>23</v>
      </c>
      <c r="C478" s="61"/>
      <c r="D478" s="61" t="s">
        <v>1773</v>
      </c>
      <c r="E478" s="61" t="s">
        <v>578</v>
      </c>
      <c r="F478" s="61" t="s">
        <v>1774</v>
      </c>
      <c r="G478" s="62" t="s">
        <v>789</v>
      </c>
      <c r="H478" s="61" t="s">
        <v>106</v>
      </c>
      <c r="I478" s="105"/>
      <c r="J478" s="105"/>
      <c r="K478" s="62" t="s">
        <v>45</v>
      </c>
      <c r="L478" s="105"/>
      <c r="M478" s="65"/>
      <c r="N478" s="66"/>
      <c r="O478" s="66" t="str">
        <f t="shared" si="1"/>
        <v/>
      </c>
      <c r="P478" s="66">
        <v>0.0</v>
      </c>
      <c r="Q478" s="66">
        <v>0.0</v>
      </c>
      <c r="R478" s="112"/>
      <c r="S478" s="66"/>
      <c r="T478" s="66"/>
      <c r="U478" s="66"/>
      <c r="V478" s="66"/>
      <c r="W478" s="66"/>
      <c r="X478" s="66"/>
      <c r="Y478" s="66"/>
      <c r="Z478" s="82"/>
    </row>
    <row r="479">
      <c r="A479" s="96"/>
      <c r="B479" s="61" t="s">
        <v>20</v>
      </c>
      <c r="C479" s="97"/>
      <c r="D479" s="97" t="s">
        <v>1443</v>
      </c>
      <c r="E479" s="97" t="s">
        <v>353</v>
      </c>
      <c r="F479" s="97" t="s">
        <v>1775</v>
      </c>
      <c r="G479" s="98" t="s">
        <v>44</v>
      </c>
      <c r="H479" s="97" t="s">
        <v>106</v>
      </c>
      <c r="I479" s="175"/>
      <c r="J479" s="99" t="s">
        <v>1776</v>
      </c>
      <c r="K479" s="166"/>
      <c r="L479" s="97" t="s">
        <v>1777</v>
      </c>
      <c r="M479" s="108" t="s">
        <v>1778</v>
      </c>
      <c r="N479" s="66"/>
      <c r="O479" s="66" t="str">
        <f t="shared" si="1"/>
        <v>이메일</v>
      </c>
      <c r="P479" s="241">
        <v>0.0</v>
      </c>
      <c r="Q479" s="232">
        <v>1.0</v>
      </c>
      <c r="R479" s="112"/>
      <c r="S479" s="113"/>
      <c r="T479" s="113">
        <v>46108.0</v>
      </c>
      <c r="U479" s="113"/>
      <c r="V479" s="113"/>
      <c r="W479" s="113"/>
      <c r="X479" s="113"/>
      <c r="Y479" s="113"/>
      <c r="Z479" s="114"/>
    </row>
    <row r="480">
      <c r="A480" s="96"/>
      <c r="B480" s="61" t="s">
        <v>20</v>
      </c>
      <c r="C480" s="97"/>
      <c r="D480" s="97" t="s">
        <v>1779</v>
      </c>
      <c r="E480" s="97" t="s">
        <v>353</v>
      </c>
      <c r="F480" s="97" t="s">
        <v>1780</v>
      </c>
      <c r="G480" s="98" t="s">
        <v>44</v>
      </c>
      <c r="H480" s="97" t="s">
        <v>106</v>
      </c>
      <c r="I480" s="175"/>
      <c r="J480" s="99" t="s">
        <v>1781</v>
      </c>
      <c r="K480" s="166"/>
      <c r="L480" s="97" t="s">
        <v>1782</v>
      </c>
      <c r="M480" s="108" t="s">
        <v>1778</v>
      </c>
      <c r="N480" s="66"/>
      <c r="O480" s="66" t="str">
        <f t="shared" si="1"/>
        <v>이메일</v>
      </c>
      <c r="P480" s="241">
        <v>0.0</v>
      </c>
      <c r="Q480" s="232">
        <v>1.0</v>
      </c>
      <c r="R480" s="112"/>
      <c r="S480" s="113"/>
      <c r="T480" s="113">
        <v>46108.0</v>
      </c>
      <c r="U480" s="113"/>
      <c r="V480" s="113"/>
      <c r="W480" s="113"/>
      <c r="X480" s="113"/>
      <c r="Y480" s="113"/>
      <c r="Z480" s="114"/>
    </row>
    <row r="481">
      <c r="A481" s="96"/>
      <c r="B481" s="61" t="s">
        <v>20</v>
      </c>
      <c r="C481" s="97"/>
      <c r="D481" s="97" t="s">
        <v>1783</v>
      </c>
      <c r="E481" s="97" t="s">
        <v>1072</v>
      </c>
      <c r="F481" s="97" t="s">
        <v>1784</v>
      </c>
      <c r="G481" s="98" t="s">
        <v>44</v>
      </c>
      <c r="H481" s="97" t="s">
        <v>106</v>
      </c>
      <c r="I481" s="175"/>
      <c r="J481" s="99" t="s">
        <v>1785</v>
      </c>
      <c r="K481" s="166"/>
      <c r="L481" s="97" t="s">
        <v>1786</v>
      </c>
      <c r="M481" s="102"/>
      <c r="N481" s="66"/>
      <c r="O481" s="66" t="str">
        <f t="shared" si="1"/>
        <v>이메일</v>
      </c>
      <c r="P481" s="241">
        <v>0.0</v>
      </c>
      <c r="Q481" s="232">
        <v>1.0</v>
      </c>
      <c r="R481" s="112"/>
      <c r="S481" s="113"/>
      <c r="T481" s="113">
        <v>46108.0</v>
      </c>
      <c r="U481" s="113"/>
      <c r="V481" s="113"/>
      <c r="W481" s="113"/>
      <c r="X481" s="113"/>
      <c r="Y481" s="113"/>
      <c r="Z481" s="114"/>
    </row>
    <row r="482">
      <c r="A482" s="96"/>
      <c r="B482" s="61" t="s">
        <v>20</v>
      </c>
      <c r="C482" s="97"/>
      <c r="D482" s="97" t="s">
        <v>1787</v>
      </c>
      <c r="E482" s="97" t="s">
        <v>1072</v>
      </c>
      <c r="F482" s="97" t="s">
        <v>1788</v>
      </c>
      <c r="G482" s="98" t="s">
        <v>44</v>
      </c>
      <c r="H482" s="97" t="s">
        <v>106</v>
      </c>
      <c r="I482" s="175"/>
      <c r="J482" s="99" t="s">
        <v>1789</v>
      </c>
      <c r="K482" s="104" t="s">
        <v>1790</v>
      </c>
      <c r="L482" s="97" t="s">
        <v>1791</v>
      </c>
      <c r="M482" s="102"/>
      <c r="N482" s="66"/>
      <c r="O482" s="66" t="str">
        <f t="shared" si="1"/>
        <v>DM+이메일</v>
      </c>
      <c r="P482" s="232">
        <v>1.0</v>
      </c>
      <c r="Q482" s="232">
        <v>1.0</v>
      </c>
      <c r="R482" s="112"/>
      <c r="S482" s="113"/>
      <c r="T482" s="113">
        <v>46108.0</v>
      </c>
      <c r="U482" s="113"/>
      <c r="V482" s="113"/>
      <c r="W482" s="113"/>
      <c r="X482" s="113"/>
      <c r="Y482" s="113"/>
      <c r="Z482" s="114"/>
    </row>
    <row r="483">
      <c r="A483" s="90"/>
      <c r="B483" s="61" t="s">
        <v>23</v>
      </c>
      <c r="C483" s="61"/>
      <c r="D483" s="61" t="s">
        <v>1792</v>
      </c>
      <c r="E483" s="61" t="s">
        <v>1199</v>
      </c>
      <c r="F483" s="61" t="s">
        <v>1793</v>
      </c>
      <c r="G483" s="62" t="s">
        <v>45</v>
      </c>
      <c r="H483" s="61" t="s">
        <v>106</v>
      </c>
      <c r="I483" s="105"/>
      <c r="J483" s="105"/>
      <c r="K483" s="62" t="s">
        <v>45</v>
      </c>
      <c r="L483" s="61" t="s">
        <v>1794</v>
      </c>
      <c r="M483" s="65"/>
      <c r="N483" s="66"/>
      <c r="O483" s="66" t="str">
        <f t="shared" si="1"/>
        <v/>
      </c>
      <c r="P483" s="66">
        <v>0.0</v>
      </c>
      <c r="Q483" s="66">
        <v>0.0</v>
      </c>
      <c r="R483" s="112"/>
      <c r="S483" s="66"/>
      <c r="T483" s="66"/>
      <c r="U483" s="66"/>
      <c r="V483" s="66"/>
      <c r="W483" s="66"/>
      <c r="X483" s="66"/>
      <c r="Y483" s="66"/>
      <c r="Z483" s="82"/>
    </row>
    <row r="484">
      <c r="A484" s="90"/>
      <c r="B484" s="61" t="s">
        <v>23</v>
      </c>
      <c r="C484" s="61"/>
      <c r="D484" s="61" t="s">
        <v>1795</v>
      </c>
      <c r="E484" s="61" t="s">
        <v>1199</v>
      </c>
      <c r="F484" s="61" t="s">
        <v>1796</v>
      </c>
      <c r="G484" s="62" t="s">
        <v>1191</v>
      </c>
      <c r="H484" s="61" t="s">
        <v>64</v>
      </c>
      <c r="I484" s="62" t="s">
        <v>1486</v>
      </c>
      <c r="J484" s="62" t="s">
        <v>44</v>
      </c>
      <c r="K484" s="62" t="s">
        <v>45</v>
      </c>
      <c r="L484" s="105"/>
      <c r="M484" s="65"/>
      <c r="N484" s="66"/>
      <c r="O484" s="66" t="str">
        <f t="shared" si="1"/>
        <v/>
      </c>
      <c r="P484" s="66">
        <v>0.0</v>
      </c>
      <c r="Q484" s="66">
        <v>0.0</v>
      </c>
      <c r="R484" s="112"/>
      <c r="S484" s="66"/>
      <c r="T484" s="66"/>
      <c r="U484" s="66"/>
      <c r="V484" s="66"/>
      <c r="W484" s="66"/>
      <c r="X484" s="66"/>
      <c r="Y484" s="66"/>
      <c r="Z484" s="82"/>
    </row>
    <row r="485">
      <c r="A485" s="90"/>
      <c r="B485" s="61" t="s">
        <v>23</v>
      </c>
      <c r="C485" s="61"/>
      <c r="D485" s="61" t="s">
        <v>713</v>
      </c>
      <c r="E485" s="61" t="s">
        <v>1063</v>
      </c>
      <c r="F485" s="61" t="s">
        <v>1797</v>
      </c>
      <c r="G485" s="62" t="s">
        <v>44</v>
      </c>
      <c r="H485" s="61" t="s">
        <v>106</v>
      </c>
      <c r="I485" s="61" t="s">
        <v>106</v>
      </c>
      <c r="J485" s="62" t="s">
        <v>44</v>
      </c>
      <c r="K485" s="62" t="s">
        <v>45</v>
      </c>
      <c r="L485" s="105"/>
      <c r="M485" s="65"/>
      <c r="N485" s="66"/>
      <c r="O485" s="66" t="str">
        <f t="shared" si="1"/>
        <v/>
      </c>
      <c r="P485" s="66">
        <v>0.0</v>
      </c>
      <c r="Q485" s="66">
        <v>0.0</v>
      </c>
      <c r="R485" s="112"/>
      <c r="S485" s="66"/>
      <c r="T485" s="66"/>
      <c r="U485" s="66"/>
      <c r="V485" s="66"/>
      <c r="W485" s="66"/>
      <c r="X485" s="66"/>
      <c r="Y485" s="66"/>
      <c r="Z485" s="82"/>
    </row>
    <row r="486">
      <c r="A486" s="96"/>
      <c r="B486" s="61" t="s">
        <v>20</v>
      </c>
      <c r="C486" s="97"/>
      <c r="D486" s="97" t="s">
        <v>1798</v>
      </c>
      <c r="E486" s="97" t="s">
        <v>1063</v>
      </c>
      <c r="F486" s="97" t="s">
        <v>1799</v>
      </c>
      <c r="G486" s="98" t="s">
        <v>44</v>
      </c>
      <c r="H486" s="97" t="s">
        <v>106</v>
      </c>
      <c r="I486" s="98" t="s">
        <v>1800</v>
      </c>
      <c r="J486" s="99" t="s">
        <v>1801</v>
      </c>
      <c r="K486" s="166"/>
      <c r="L486" s="97" t="s">
        <v>1802</v>
      </c>
      <c r="M486" s="102"/>
      <c r="N486" s="66"/>
      <c r="O486" s="66" t="str">
        <f t="shared" si="1"/>
        <v>이메일</v>
      </c>
      <c r="P486" s="241">
        <v>0.0</v>
      </c>
      <c r="Q486" s="232">
        <v>1.0</v>
      </c>
      <c r="R486" s="112"/>
      <c r="S486" s="113"/>
      <c r="T486" s="113">
        <v>46108.0</v>
      </c>
      <c r="U486" s="113"/>
      <c r="V486" s="113"/>
      <c r="W486" s="113"/>
      <c r="X486" s="113"/>
      <c r="Y486" s="113"/>
      <c r="Z486" s="114"/>
    </row>
    <row r="487">
      <c r="A487" s="96"/>
      <c r="B487" s="61" t="s">
        <v>20</v>
      </c>
      <c r="C487" s="210" t="s">
        <v>1733</v>
      </c>
      <c r="D487" s="97" t="s">
        <v>787</v>
      </c>
      <c r="E487" s="97" t="s">
        <v>1494</v>
      </c>
      <c r="F487" s="97" t="s">
        <v>1803</v>
      </c>
      <c r="G487" s="98" t="s">
        <v>44</v>
      </c>
      <c r="H487" s="97" t="s">
        <v>64</v>
      </c>
      <c r="I487" s="98" t="s">
        <v>657</v>
      </c>
      <c r="J487" s="99" t="s">
        <v>1804</v>
      </c>
      <c r="K487" s="166"/>
      <c r="L487" s="278" t="s">
        <v>1805</v>
      </c>
      <c r="M487" s="102"/>
      <c r="N487" s="66"/>
      <c r="O487" s="66" t="str">
        <f t="shared" si="1"/>
        <v>이메일</v>
      </c>
      <c r="P487" s="241">
        <v>0.0</v>
      </c>
      <c r="Q487" s="232">
        <v>1.0</v>
      </c>
      <c r="R487" s="112"/>
      <c r="S487" s="113"/>
      <c r="T487" s="113">
        <v>46108.0</v>
      </c>
      <c r="U487" s="113"/>
      <c r="V487" s="113"/>
      <c r="W487" s="113"/>
      <c r="X487" s="113"/>
      <c r="Y487" s="113"/>
      <c r="Z487" s="114"/>
    </row>
    <row r="488">
      <c r="A488" s="90"/>
      <c r="B488" s="61" t="s">
        <v>23</v>
      </c>
      <c r="C488" s="61"/>
      <c r="D488" s="61" t="s">
        <v>1806</v>
      </c>
      <c r="E488" s="61" t="s">
        <v>513</v>
      </c>
      <c r="F488" s="61" t="s">
        <v>1807</v>
      </c>
      <c r="G488" s="62" t="s">
        <v>44</v>
      </c>
      <c r="H488" s="61" t="s">
        <v>64</v>
      </c>
      <c r="I488" s="62" t="s">
        <v>657</v>
      </c>
      <c r="J488" s="62" t="s">
        <v>44</v>
      </c>
      <c r="K488" s="62" t="s">
        <v>45</v>
      </c>
      <c r="L488" s="105"/>
      <c r="M488" s="125" t="s">
        <v>1808</v>
      </c>
      <c r="N488" s="66"/>
      <c r="O488" s="66" t="str">
        <f t="shared" si="1"/>
        <v/>
      </c>
      <c r="P488" s="66">
        <v>0.0</v>
      </c>
      <c r="Q488" s="66">
        <v>0.0</v>
      </c>
      <c r="R488" s="112"/>
      <c r="S488" s="66"/>
      <c r="T488" s="66"/>
      <c r="U488" s="66"/>
      <c r="V488" s="66"/>
      <c r="W488" s="66"/>
      <c r="X488" s="66"/>
      <c r="Y488" s="66"/>
      <c r="Z488" s="82"/>
    </row>
    <row r="489">
      <c r="A489" s="90"/>
      <c r="B489" s="61" t="s">
        <v>23</v>
      </c>
      <c r="C489" s="61"/>
      <c r="D489" s="61" t="s">
        <v>44</v>
      </c>
      <c r="E489" s="61" t="s">
        <v>506</v>
      </c>
      <c r="F489" s="61" t="s">
        <v>1809</v>
      </c>
      <c r="G489" s="62" t="s">
        <v>44</v>
      </c>
      <c r="H489" s="61" t="s">
        <v>64</v>
      </c>
      <c r="I489" s="62" t="s">
        <v>1810</v>
      </c>
      <c r="J489" s="62" t="s">
        <v>44</v>
      </c>
      <c r="K489" s="105"/>
      <c r="L489" s="61" t="s">
        <v>1811</v>
      </c>
      <c r="M489" s="65"/>
      <c r="N489" s="66"/>
      <c r="O489" s="66" t="str">
        <f t="shared" si="1"/>
        <v/>
      </c>
      <c r="P489" s="66">
        <v>0.0</v>
      </c>
      <c r="Q489" s="66">
        <v>0.0</v>
      </c>
      <c r="R489" s="112"/>
      <c r="S489" s="66"/>
      <c r="T489" s="66"/>
      <c r="U489" s="66"/>
      <c r="V489" s="66"/>
      <c r="W489" s="66"/>
      <c r="X489" s="66"/>
      <c r="Y489" s="66"/>
      <c r="Z489" s="82"/>
    </row>
    <row r="490">
      <c r="A490" s="96"/>
      <c r="B490" s="61" t="s">
        <v>20</v>
      </c>
      <c r="C490" s="97"/>
      <c r="D490" s="97" t="s">
        <v>881</v>
      </c>
      <c r="E490" s="97" t="s">
        <v>353</v>
      </c>
      <c r="F490" s="97" t="s">
        <v>1812</v>
      </c>
      <c r="G490" s="98" t="s">
        <v>272</v>
      </c>
      <c r="H490" s="97" t="s">
        <v>64</v>
      </c>
      <c r="I490" s="98" t="s">
        <v>276</v>
      </c>
      <c r="J490" s="99" t="s">
        <v>1813</v>
      </c>
      <c r="K490" s="107" t="s">
        <v>1814</v>
      </c>
      <c r="L490" s="97" t="s">
        <v>1815</v>
      </c>
      <c r="M490" s="102"/>
      <c r="N490" s="66"/>
      <c r="O490" s="66" t="str">
        <f t="shared" si="1"/>
        <v>DM+이메일</v>
      </c>
      <c r="P490" s="232">
        <v>1.0</v>
      </c>
      <c r="Q490" s="232">
        <v>1.0</v>
      </c>
      <c r="R490" s="112"/>
      <c r="S490" s="113"/>
      <c r="T490" s="113">
        <v>46108.0</v>
      </c>
      <c r="U490" s="113"/>
      <c r="V490" s="113"/>
      <c r="W490" s="113"/>
      <c r="X490" s="113"/>
      <c r="Y490" s="113"/>
      <c r="Z490" s="114"/>
    </row>
    <row r="491">
      <c r="A491" s="90"/>
      <c r="B491" s="61" t="s">
        <v>23</v>
      </c>
      <c r="C491" s="61"/>
      <c r="D491" s="61" t="s">
        <v>274</v>
      </c>
      <c r="E491" s="61" t="s">
        <v>353</v>
      </c>
      <c r="F491" s="61" t="s">
        <v>1816</v>
      </c>
      <c r="G491" s="62" t="s">
        <v>276</v>
      </c>
      <c r="H491" s="61" t="s">
        <v>64</v>
      </c>
      <c r="I491" s="62" t="s">
        <v>276</v>
      </c>
      <c r="J491" s="105"/>
      <c r="K491" s="62" t="s">
        <v>45</v>
      </c>
      <c r="L491" s="105"/>
      <c r="M491" s="65"/>
      <c r="N491" s="66"/>
      <c r="O491" s="66" t="str">
        <f t="shared" si="1"/>
        <v/>
      </c>
      <c r="P491" s="66">
        <v>0.0</v>
      </c>
      <c r="Q491" s="66">
        <v>0.0</v>
      </c>
      <c r="R491" s="112"/>
      <c r="S491" s="66"/>
      <c r="T491" s="66"/>
      <c r="U491" s="66"/>
      <c r="V491" s="66"/>
      <c r="W491" s="66"/>
      <c r="X491" s="66"/>
      <c r="Y491" s="66"/>
      <c r="Z491" s="82"/>
    </row>
    <row r="492">
      <c r="A492" s="90"/>
      <c r="B492" s="61" t="s">
        <v>23</v>
      </c>
      <c r="C492" s="278"/>
      <c r="D492" s="278" t="s">
        <v>1792</v>
      </c>
      <c r="E492" s="278" t="s">
        <v>69</v>
      </c>
      <c r="F492" s="278" t="s">
        <v>1817</v>
      </c>
      <c r="G492" s="279" t="s">
        <v>44</v>
      </c>
      <c r="H492" s="278" t="s">
        <v>64</v>
      </c>
      <c r="I492" s="279" t="s">
        <v>657</v>
      </c>
      <c r="J492" s="279" t="s">
        <v>44</v>
      </c>
      <c r="K492" s="280"/>
      <c r="L492" s="278" t="s">
        <v>1805</v>
      </c>
      <c r="M492" s="281"/>
      <c r="N492" s="66"/>
      <c r="O492" s="66" t="str">
        <f t="shared" si="1"/>
        <v/>
      </c>
      <c r="P492" s="66">
        <v>0.0</v>
      </c>
      <c r="Q492" s="66">
        <v>0.0</v>
      </c>
      <c r="R492" s="112"/>
      <c r="S492" s="66"/>
      <c r="T492" s="66"/>
      <c r="U492" s="66"/>
      <c r="V492" s="66"/>
      <c r="W492" s="66"/>
      <c r="X492" s="66"/>
      <c r="Y492" s="66"/>
      <c r="Z492" s="82"/>
    </row>
    <row r="493">
      <c r="A493" s="96"/>
      <c r="B493" s="61" t="s">
        <v>23</v>
      </c>
      <c r="C493" s="97"/>
      <c r="D493" s="97" t="s">
        <v>1792</v>
      </c>
      <c r="E493" s="97" t="s">
        <v>69</v>
      </c>
      <c r="F493" s="97" t="s">
        <v>1818</v>
      </c>
      <c r="G493" s="271" t="s">
        <v>44</v>
      </c>
      <c r="H493" s="97" t="s">
        <v>106</v>
      </c>
      <c r="I493" s="175"/>
      <c r="J493" s="99" t="s">
        <v>1819</v>
      </c>
      <c r="K493" s="332"/>
      <c r="L493" s="97" t="s">
        <v>1820</v>
      </c>
      <c r="M493" s="102"/>
      <c r="N493" s="66"/>
      <c r="O493" s="66" t="str">
        <f t="shared" si="1"/>
        <v/>
      </c>
      <c r="P493" s="241">
        <v>0.0</v>
      </c>
      <c r="Q493" s="241">
        <v>0.0</v>
      </c>
      <c r="R493" s="112"/>
      <c r="S493" s="241"/>
      <c r="T493" s="241"/>
      <c r="U493" s="241"/>
      <c r="V493" s="241"/>
      <c r="W493" s="241"/>
      <c r="X493" s="241"/>
      <c r="Y493" s="241"/>
      <c r="Z493" s="242"/>
    </row>
    <row r="494">
      <c r="A494" s="96"/>
      <c r="B494" s="61" t="s">
        <v>20</v>
      </c>
      <c r="C494" s="97" t="s">
        <v>1733</v>
      </c>
      <c r="D494" s="97" t="s">
        <v>1821</v>
      </c>
      <c r="E494" s="97" t="s">
        <v>506</v>
      </c>
      <c r="F494" s="97" t="s">
        <v>1822</v>
      </c>
      <c r="G494" s="98" t="s">
        <v>44</v>
      </c>
      <c r="H494" s="97" t="s">
        <v>64</v>
      </c>
      <c r="I494" s="300" t="s">
        <v>640</v>
      </c>
      <c r="J494" s="99" t="s">
        <v>1823</v>
      </c>
      <c r="K494" s="166"/>
      <c r="L494" s="97" t="s">
        <v>1824</v>
      </c>
      <c r="M494" s="102"/>
      <c r="N494" s="66"/>
      <c r="O494" s="66" t="str">
        <f t="shared" si="1"/>
        <v>이메일</v>
      </c>
      <c r="P494" s="241">
        <v>0.0</v>
      </c>
      <c r="Q494" s="232">
        <v>1.0</v>
      </c>
      <c r="R494" s="112"/>
      <c r="S494" s="113"/>
      <c r="T494" s="113">
        <v>46108.0</v>
      </c>
      <c r="U494" s="113"/>
      <c r="V494" s="113"/>
      <c r="W494" s="67" t="s">
        <v>25</v>
      </c>
      <c r="X494" s="113"/>
      <c r="Y494" s="113"/>
      <c r="Z494" s="114"/>
    </row>
    <row r="495">
      <c r="A495" s="96"/>
      <c r="B495" s="61" t="s">
        <v>20</v>
      </c>
      <c r="C495" s="97"/>
      <c r="D495" s="97" t="s">
        <v>1825</v>
      </c>
      <c r="E495" s="97" t="s">
        <v>506</v>
      </c>
      <c r="F495" s="97" t="s">
        <v>1826</v>
      </c>
      <c r="G495" s="98" t="s">
        <v>44</v>
      </c>
      <c r="H495" s="97" t="s">
        <v>64</v>
      </c>
      <c r="I495" s="300" t="s">
        <v>640</v>
      </c>
      <c r="J495" s="99" t="s">
        <v>1827</v>
      </c>
      <c r="K495" s="107" t="s">
        <v>1828</v>
      </c>
      <c r="L495" s="97" t="s">
        <v>1829</v>
      </c>
      <c r="M495" s="102"/>
      <c r="N495" s="66"/>
      <c r="O495" s="66" t="str">
        <f t="shared" si="1"/>
        <v>DM+이메일</v>
      </c>
      <c r="P495" s="232">
        <v>1.0</v>
      </c>
      <c r="Q495" s="232">
        <v>1.0</v>
      </c>
      <c r="R495" s="112"/>
      <c r="S495" s="113"/>
      <c r="T495" s="113">
        <v>46108.0</v>
      </c>
      <c r="U495" s="113"/>
      <c r="V495" s="113"/>
      <c r="W495" s="113"/>
      <c r="X495" s="113"/>
      <c r="Y495" s="113"/>
      <c r="Z495" s="114"/>
    </row>
    <row r="496">
      <c r="A496" s="90"/>
      <c r="B496" s="61" t="s">
        <v>23</v>
      </c>
      <c r="C496" s="105"/>
      <c r="D496" s="105"/>
      <c r="E496" s="61" t="s">
        <v>332</v>
      </c>
      <c r="F496" s="61" t="s">
        <v>1830</v>
      </c>
      <c r="G496" s="62" t="s">
        <v>553</v>
      </c>
      <c r="H496" s="61" t="s">
        <v>106</v>
      </c>
      <c r="I496" s="61" t="s">
        <v>106</v>
      </c>
      <c r="J496" s="61" t="s">
        <v>1831</v>
      </c>
      <c r="K496" s="61" t="s">
        <v>1831</v>
      </c>
      <c r="L496" s="61" t="s">
        <v>1831</v>
      </c>
      <c r="M496" s="65"/>
      <c r="N496" s="66"/>
      <c r="O496" s="66" t="str">
        <f t="shared" si="1"/>
        <v/>
      </c>
      <c r="P496" s="66">
        <v>0.0</v>
      </c>
      <c r="Q496" s="66">
        <v>0.0</v>
      </c>
      <c r="R496" s="112"/>
      <c r="S496" s="66"/>
      <c r="T496" s="66"/>
      <c r="U496" s="66"/>
      <c r="V496" s="66"/>
      <c r="W496" s="66"/>
      <c r="X496" s="66"/>
      <c r="Y496" s="66"/>
      <c r="Z496" s="82"/>
    </row>
    <row r="497">
      <c r="A497" s="90"/>
      <c r="B497" s="61" t="s">
        <v>23</v>
      </c>
      <c r="C497" s="105"/>
      <c r="D497" s="105"/>
      <c r="E497" s="61" t="s">
        <v>332</v>
      </c>
      <c r="F497" s="61" t="s">
        <v>1832</v>
      </c>
      <c r="G497" s="62" t="s">
        <v>553</v>
      </c>
      <c r="H497" s="61" t="s">
        <v>106</v>
      </c>
      <c r="I497" s="61" t="s">
        <v>106</v>
      </c>
      <c r="J497" s="61" t="s">
        <v>1831</v>
      </c>
      <c r="K497" s="61" t="s">
        <v>1831</v>
      </c>
      <c r="L497" s="61" t="s">
        <v>1831</v>
      </c>
      <c r="M497" s="65"/>
      <c r="N497" s="66"/>
      <c r="O497" s="66" t="str">
        <f t="shared" si="1"/>
        <v/>
      </c>
      <c r="P497" s="66">
        <v>0.0</v>
      </c>
      <c r="Q497" s="66">
        <v>0.0</v>
      </c>
      <c r="R497" s="112"/>
      <c r="S497" s="66"/>
      <c r="T497" s="66"/>
      <c r="U497" s="66"/>
      <c r="V497" s="66"/>
      <c r="W497" s="66"/>
      <c r="X497" s="66"/>
      <c r="Y497" s="66"/>
      <c r="Z497" s="82"/>
    </row>
    <row r="498">
      <c r="A498" s="90"/>
      <c r="B498" s="61" t="s">
        <v>23</v>
      </c>
      <c r="C498" s="61"/>
      <c r="D498" s="61" t="s">
        <v>938</v>
      </c>
      <c r="E498" s="61" t="s">
        <v>1110</v>
      </c>
      <c r="F498" s="61" t="s">
        <v>1833</v>
      </c>
      <c r="G498" s="62" t="s">
        <v>44</v>
      </c>
      <c r="H498" s="61" t="s">
        <v>64</v>
      </c>
      <c r="I498" s="62" t="s">
        <v>272</v>
      </c>
      <c r="J498" s="62" t="s">
        <v>44</v>
      </c>
      <c r="K498" s="105"/>
      <c r="L498" s="352" t="s">
        <v>1834</v>
      </c>
      <c r="M498" s="65"/>
      <c r="N498" s="66"/>
      <c r="O498" s="66" t="str">
        <f t="shared" si="1"/>
        <v/>
      </c>
      <c r="P498" s="66">
        <v>0.0</v>
      </c>
      <c r="Q498" s="66">
        <v>0.0</v>
      </c>
      <c r="R498" s="112"/>
      <c r="S498" s="66"/>
      <c r="T498" s="66"/>
      <c r="U498" s="66"/>
      <c r="V498" s="66"/>
      <c r="W498" s="66"/>
      <c r="X498" s="66"/>
      <c r="Y498" s="66"/>
      <c r="Z498" s="82"/>
    </row>
    <row r="499">
      <c r="A499" s="90"/>
      <c r="B499" s="61" t="s">
        <v>23</v>
      </c>
      <c r="C499" s="61"/>
      <c r="D499" s="61" t="s">
        <v>1536</v>
      </c>
      <c r="E499" s="61" t="s">
        <v>429</v>
      </c>
      <c r="F499" s="61" t="s">
        <v>1835</v>
      </c>
      <c r="G499" s="62" t="s">
        <v>636</v>
      </c>
      <c r="H499" s="61" t="s">
        <v>106</v>
      </c>
      <c r="I499" s="62" t="s">
        <v>553</v>
      </c>
      <c r="J499" s="62" t="s">
        <v>44</v>
      </c>
      <c r="K499" s="105"/>
      <c r="L499" s="61" t="s">
        <v>1836</v>
      </c>
      <c r="M499" s="65"/>
      <c r="N499" s="66"/>
      <c r="O499" s="66" t="str">
        <f t="shared" si="1"/>
        <v/>
      </c>
      <c r="P499" s="66">
        <v>0.0</v>
      </c>
      <c r="Q499" s="66">
        <v>0.0</v>
      </c>
      <c r="R499" s="112"/>
      <c r="S499" s="66"/>
      <c r="T499" s="66"/>
      <c r="U499" s="66"/>
      <c r="V499" s="66"/>
      <c r="W499" s="66"/>
      <c r="X499" s="66"/>
      <c r="Y499" s="66"/>
      <c r="Z499" s="82"/>
    </row>
    <row r="500">
      <c r="A500" s="90"/>
      <c r="B500" s="61" t="s">
        <v>23</v>
      </c>
      <c r="C500" s="278"/>
      <c r="D500" s="278" t="s">
        <v>881</v>
      </c>
      <c r="E500" s="278" t="s">
        <v>429</v>
      </c>
      <c r="F500" s="278" t="s">
        <v>1837</v>
      </c>
      <c r="G500" s="279" t="s">
        <v>1838</v>
      </c>
      <c r="H500" s="278" t="s">
        <v>64</v>
      </c>
      <c r="I500" s="279" t="s">
        <v>548</v>
      </c>
      <c r="J500" s="279" t="s">
        <v>44</v>
      </c>
      <c r="K500" s="279" t="s">
        <v>45</v>
      </c>
      <c r="L500" s="278" t="s">
        <v>1839</v>
      </c>
      <c r="M500" s="281"/>
      <c r="N500" s="66"/>
      <c r="O500" s="66" t="str">
        <f t="shared" si="1"/>
        <v/>
      </c>
      <c r="P500" s="66">
        <v>0.0</v>
      </c>
      <c r="Q500" s="66">
        <v>0.0</v>
      </c>
      <c r="R500" s="112"/>
      <c r="S500" s="66"/>
      <c r="T500" s="66"/>
      <c r="U500" s="66"/>
      <c r="V500" s="66"/>
      <c r="W500" s="66"/>
      <c r="X500" s="66"/>
      <c r="Y500" s="66"/>
      <c r="Z500" s="82"/>
    </row>
    <row r="501">
      <c r="A501" s="90"/>
      <c r="B501" s="61" t="s">
        <v>23</v>
      </c>
      <c r="C501" s="61"/>
      <c r="D501" s="61" t="s">
        <v>904</v>
      </c>
      <c r="E501" s="61" t="s">
        <v>109</v>
      </c>
      <c r="F501" s="61" t="s">
        <v>1840</v>
      </c>
      <c r="G501" s="62" t="s">
        <v>44</v>
      </c>
      <c r="H501" s="61" t="s">
        <v>64</v>
      </c>
      <c r="I501" s="62" t="s">
        <v>674</v>
      </c>
      <c r="J501" s="62" t="s">
        <v>44</v>
      </c>
      <c r="K501" s="105"/>
      <c r="L501" s="61" t="s">
        <v>1841</v>
      </c>
      <c r="M501" s="65"/>
      <c r="N501" s="66"/>
      <c r="O501" s="66" t="str">
        <f t="shared" si="1"/>
        <v/>
      </c>
      <c r="P501" s="66">
        <v>0.0</v>
      </c>
      <c r="Q501" s="66">
        <v>0.0</v>
      </c>
      <c r="R501" s="112"/>
      <c r="S501" s="66"/>
      <c r="T501" s="66"/>
      <c r="U501" s="66"/>
      <c r="V501" s="66"/>
      <c r="W501" s="66"/>
      <c r="X501" s="66"/>
      <c r="Y501" s="66"/>
      <c r="Z501" s="82"/>
    </row>
    <row r="502">
      <c r="A502" s="90"/>
      <c r="B502" s="61" t="s">
        <v>23</v>
      </c>
      <c r="C502" s="278"/>
      <c r="D502" s="278" t="s">
        <v>1842</v>
      </c>
      <c r="E502" s="278" t="s">
        <v>109</v>
      </c>
      <c r="F502" s="278" t="s">
        <v>1843</v>
      </c>
      <c r="G502" s="279" t="s">
        <v>44</v>
      </c>
      <c r="H502" s="278" t="s">
        <v>64</v>
      </c>
      <c r="I502" s="279" t="s">
        <v>674</v>
      </c>
      <c r="J502" s="279" t="s">
        <v>44</v>
      </c>
      <c r="K502" s="280"/>
      <c r="L502" s="278" t="s">
        <v>995</v>
      </c>
      <c r="M502" s="281"/>
      <c r="N502" s="66"/>
      <c r="O502" s="66" t="str">
        <f t="shared" si="1"/>
        <v/>
      </c>
      <c r="P502" s="66">
        <v>0.0</v>
      </c>
      <c r="Q502" s="66">
        <v>0.0</v>
      </c>
      <c r="R502" s="112"/>
      <c r="S502" s="66"/>
      <c r="T502" s="66"/>
      <c r="U502" s="66"/>
      <c r="V502" s="66"/>
      <c r="W502" s="66"/>
      <c r="X502" s="66"/>
      <c r="Y502" s="66"/>
      <c r="Z502" s="82"/>
    </row>
    <row r="503">
      <c r="A503" s="90"/>
      <c r="B503" s="61" t="s">
        <v>23</v>
      </c>
      <c r="C503" s="61"/>
      <c r="D503" s="61" t="s">
        <v>274</v>
      </c>
      <c r="E503" s="61" t="s">
        <v>69</v>
      </c>
      <c r="F503" s="61" t="s">
        <v>1844</v>
      </c>
      <c r="G503" s="62" t="s">
        <v>44</v>
      </c>
      <c r="H503" s="61" t="s">
        <v>106</v>
      </c>
      <c r="I503" s="105"/>
      <c r="J503" s="62" t="s">
        <v>44</v>
      </c>
      <c r="K503" s="105"/>
      <c r="L503" s="61" t="s">
        <v>1845</v>
      </c>
      <c r="M503" s="65"/>
      <c r="N503" s="66"/>
      <c r="O503" s="66" t="str">
        <f t="shared" si="1"/>
        <v/>
      </c>
      <c r="P503" s="66">
        <v>0.0</v>
      </c>
      <c r="Q503" s="66">
        <v>0.0</v>
      </c>
      <c r="R503" s="112"/>
      <c r="S503" s="66"/>
      <c r="T503" s="66"/>
      <c r="U503" s="66"/>
      <c r="V503" s="66"/>
      <c r="W503" s="66"/>
      <c r="X503" s="66"/>
      <c r="Y503" s="66"/>
      <c r="Z503" s="82"/>
    </row>
    <row r="504">
      <c r="A504" s="96"/>
      <c r="B504" s="61" t="s">
        <v>20</v>
      </c>
      <c r="C504" s="97"/>
      <c r="D504" s="97" t="s">
        <v>1846</v>
      </c>
      <c r="E504" s="97" t="s">
        <v>69</v>
      </c>
      <c r="F504" s="97" t="s">
        <v>1847</v>
      </c>
      <c r="G504" s="98" t="s">
        <v>44</v>
      </c>
      <c r="H504" s="97" t="s">
        <v>106</v>
      </c>
      <c r="I504" s="175"/>
      <c r="J504" s="99" t="s">
        <v>1848</v>
      </c>
      <c r="K504" s="166"/>
      <c r="L504" s="97" t="s">
        <v>1849</v>
      </c>
      <c r="M504" s="102"/>
      <c r="N504" s="66"/>
      <c r="O504" s="66" t="str">
        <f t="shared" si="1"/>
        <v>이메일</v>
      </c>
      <c r="P504" s="241">
        <v>0.0</v>
      </c>
      <c r="Q504" s="232">
        <v>1.0</v>
      </c>
      <c r="R504" s="112"/>
      <c r="S504" s="113"/>
      <c r="T504" s="113">
        <v>46108.0</v>
      </c>
      <c r="U504" s="113"/>
      <c r="V504" s="113"/>
      <c r="W504" s="113"/>
      <c r="X504" s="113"/>
      <c r="Y504" s="113"/>
      <c r="Z504" s="114"/>
    </row>
    <row r="505">
      <c r="A505" s="96"/>
      <c r="B505" s="61" t="s">
        <v>23</v>
      </c>
      <c r="C505" s="97"/>
      <c r="D505" s="97" t="s">
        <v>1850</v>
      </c>
      <c r="E505" s="97" t="s">
        <v>353</v>
      </c>
      <c r="F505" s="97" t="s">
        <v>1851</v>
      </c>
      <c r="G505" s="98" t="s">
        <v>1852</v>
      </c>
      <c r="H505" s="97" t="s">
        <v>64</v>
      </c>
      <c r="I505" s="98" t="s">
        <v>272</v>
      </c>
      <c r="J505" s="103"/>
      <c r="K505" s="332"/>
      <c r="L505" s="97" t="s">
        <v>1853</v>
      </c>
      <c r="M505" s="102"/>
      <c r="N505" s="66"/>
      <c r="O505" s="66" t="str">
        <f t="shared" si="1"/>
        <v/>
      </c>
      <c r="P505" s="241">
        <v>0.0</v>
      </c>
      <c r="Q505" s="241">
        <v>0.0</v>
      </c>
      <c r="R505" s="112"/>
      <c r="S505" s="241"/>
      <c r="T505" s="241"/>
      <c r="U505" s="241"/>
      <c r="V505" s="241"/>
      <c r="W505" s="241"/>
      <c r="X505" s="241"/>
      <c r="Y505" s="241"/>
      <c r="Z505" s="242"/>
    </row>
    <row r="506">
      <c r="A506" s="90"/>
      <c r="B506" s="61" t="s">
        <v>23</v>
      </c>
      <c r="C506" s="61"/>
      <c r="D506" s="61" t="s">
        <v>1854</v>
      </c>
      <c r="E506" s="61" t="s">
        <v>353</v>
      </c>
      <c r="F506" s="61" t="s">
        <v>1855</v>
      </c>
      <c r="G506" s="62" t="s">
        <v>272</v>
      </c>
      <c r="H506" s="61" t="s">
        <v>64</v>
      </c>
      <c r="I506" s="62" t="s">
        <v>272</v>
      </c>
      <c r="J506" s="62" t="s">
        <v>44</v>
      </c>
      <c r="K506" s="105"/>
      <c r="L506" s="61" t="s">
        <v>1856</v>
      </c>
      <c r="M506" s="65"/>
      <c r="N506" s="66"/>
      <c r="O506" s="66" t="str">
        <f t="shared" si="1"/>
        <v/>
      </c>
      <c r="P506" s="66">
        <v>0.0</v>
      </c>
      <c r="Q506" s="66">
        <v>0.0</v>
      </c>
      <c r="R506" s="112"/>
      <c r="S506" s="66"/>
      <c r="T506" s="66"/>
      <c r="U506" s="66"/>
      <c r="V506" s="66"/>
      <c r="W506" s="66"/>
      <c r="X506" s="66"/>
      <c r="Y506" s="66"/>
      <c r="Z506" s="82"/>
    </row>
    <row r="507">
      <c r="A507" s="90"/>
      <c r="B507" s="61" t="s">
        <v>23</v>
      </c>
      <c r="C507" s="266"/>
      <c r="D507" s="266" t="s">
        <v>1857</v>
      </c>
      <c r="E507" s="266" t="s">
        <v>1370</v>
      </c>
      <c r="F507" s="266" t="s">
        <v>1858</v>
      </c>
      <c r="G507" s="268" t="s">
        <v>44</v>
      </c>
      <c r="H507" s="266" t="s">
        <v>64</v>
      </c>
      <c r="I507" s="268" t="s">
        <v>648</v>
      </c>
      <c r="J507" s="268" t="s">
        <v>44</v>
      </c>
      <c r="K507" s="268" t="s">
        <v>45</v>
      </c>
      <c r="L507" s="353" t="s">
        <v>1859</v>
      </c>
      <c r="M507" s="296" t="s">
        <v>1860</v>
      </c>
      <c r="N507" s="66"/>
      <c r="O507" s="66" t="str">
        <f t="shared" si="1"/>
        <v/>
      </c>
      <c r="P507" s="66">
        <v>0.0</v>
      </c>
      <c r="Q507" s="66">
        <v>0.0</v>
      </c>
      <c r="R507" s="112"/>
      <c r="S507" s="66"/>
      <c r="T507" s="66"/>
      <c r="U507" s="66"/>
      <c r="V507" s="66"/>
      <c r="W507" s="66"/>
      <c r="X507" s="66"/>
      <c r="Y507" s="66"/>
      <c r="Z507" s="82"/>
    </row>
    <row r="508">
      <c r="A508" s="96"/>
      <c r="B508" s="61" t="s">
        <v>23</v>
      </c>
      <c r="C508" s="97"/>
      <c r="D508" s="97" t="s">
        <v>1861</v>
      </c>
      <c r="E508" s="97" t="s">
        <v>1370</v>
      </c>
      <c r="F508" s="97" t="s">
        <v>1862</v>
      </c>
      <c r="G508" s="98" t="s">
        <v>44</v>
      </c>
      <c r="H508" s="97" t="s">
        <v>106</v>
      </c>
      <c r="I508" s="170" t="s">
        <v>106</v>
      </c>
      <c r="J508" s="99" t="s">
        <v>1863</v>
      </c>
      <c r="K508" s="332"/>
      <c r="L508" s="97" t="s">
        <v>1864</v>
      </c>
      <c r="M508" s="102"/>
      <c r="N508" s="66"/>
      <c r="O508" s="66" t="str">
        <f t="shared" si="1"/>
        <v/>
      </c>
      <c r="P508" s="241">
        <v>0.0</v>
      </c>
      <c r="Q508" s="241">
        <v>0.0</v>
      </c>
      <c r="R508" s="112"/>
      <c r="S508" s="241"/>
      <c r="T508" s="241"/>
      <c r="U508" s="241"/>
      <c r="V508" s="241"/>
      <c r="W508" s="241"/>
      <c r="X508" s="241"/>
      <c r="Y508" s="241"/>
      <c r="Z508" s="242"/>
    </row>
    <row r="509">
      <c r="A509" s="90"/>
      <c r="B509" s="61" t="s">
        <v>23</v>
      </c>
      <c r="C509" s="278"/>
      <c r="D509" s="278" t="s">
        <v>1865</v>
      </c>
      <c r="E509" s="278" t="s">
        <v>332</v>
      </c>
      <c r="F509" s="278" t="s">
        <v>1866</v>
      </c>
      <c r="G509" s="279" t="s">
        <v>1867</v>
      </c>
      <c r="H509" s="278" t="s">
        <v>64</v>
      </c>
      <c r="I509" s="278" t="s">
        <v>426</v>
      </c>
      <c r="J509" s="278" t="s">
        <v>106</v>
      </c>
      <c r="K509" s="278" t="s">
        <v>106</v>
      </c>
      <c r="L509" s="278" t="s">
        <v>1868</v>
      </c>
      <c r="M509" s="281"/>
      <c r="N509" s="66"/>
      <c r="O509" s="66" t="str">
        <f t="shared" si="1"/>
        <v/>
      </c>
      <c r="P509" s="66">
        <v>0.0</v>
      </c>
      <c r="Q509" s="66">
        <v>0.0</v>
      </c>
      <c r="R509" s="112"/>
      <c r="S509" s="66"/>
      <c r="T509" s="66"/>
      <c r="U509" s="66"/>
      <c r="V509" s="66"/>
      <c r="W509" s="66"/>
      <c r="X509" s="66"/>
      <c r="Y509" s="66"/>
      <c r="Z509" s="82"/>
    </row>
    <row r="510">
      <c r="A510" s="90"/>
      <c r="B510" s="61" t="s">
        <v>23</v>
      </c>
      <c r="C510" s="61"/>
      <c r="D510" s="61" t="s">
        <v>938</v>
      </c>
      <c r="E510" s="61" t="s">
        <v>332</v>
      </c>
      <c r="F510" s="61" t="s">
        <v>1869</v>
      </c>
      <c r="G510" s="62" t="s">
        <v>44</v>
      </c>
      <c r="H510" s="61" t="s">
        <v>106</v>
      </c>
      <c r="I510" s="61" t="s">
        <v>106</v>
      </c>
      <c r="J510" s="62" t="s">
        <v>44</v>
      </c>
      <c r="K510" s="61" t="s">
        <v>106</v>
      </c>
      <c r="L510" s="61" t="s">
        <v>1870</v>
      </c>
      <c r="M510" s="65"/>
      <c r="N510" s="66"/>
      <c r="O510" s="66" t="str">
        <f t="shared" si="1"/>
        <v/>
      </c>
      <c r="P510" s="66">
        <v>0.0</v>
      </c>
      <c r="Q510" s="66">
        <v>0.0</v>
      </c>
      <c r="R510" s="112"/>
      <c r="S510" s="66"/>
      <c r="T510" s="66"/>
      <c r="U510" s="66"/>
      <c r="V510" s="66"/>
      <c r="W510" s="66"/>
      <c r="X510" s="66"/>
      <c r="Y510" s="66"/>
      <c r="Z510" s="82"/>
    </row>
    <row r="511">
      <c r="A511" s="90"/>
      <c r="B511" s="61" t="s">
        <v>23</v>
      </c>
      <c r="C511" s="61"/>
      <c r="D511" s="61" t="s">
        <v>1871</v>
      </c>
      <c r="E511" s="61" t="s">
        <v>1189</v>
      </c>
      <c r="F511" s="61" t="s">
        <v>1872</v>
      </c>
      <c r="G511" s="62" t="s">
        <v>1873</v>
      </c>
      <c r="H511" s="61" t="s">
        <v>64</v>
      </c>
      <c r="I511" s="61" t="s">
        <v>1874</v>
      </c>
      <c r="J511" s="62" t="s">
        <v>44</v>
      </c>
      <c r="K511" s="105"/>
      <c r="L511" s="335" t="s">
        <v>1875</v>
      </c>
      <c r="M511" s="65"/>
      <c r="N511" s="66"/>
      <c r="O511" s="66" t="str">
        <f t="shared" si="1"/>
        <v/>
      </c>
      <c r="P511" s="66">
        <v>0.0</v>
      </c>
      <c r="Q511" s="66">
        <v>0.0</v>
      </c>
      <c r="R511" s="112"/>
      <c r="S511" s="66"/>
      <c r="T511" s="66"/>
      <c r="U511" s="66"/>
      <c r="V511" s="66"/>
      <c r="W511" s="66"/>
      <c r="X511" s="66"/>
      <c r="Y511" s="66"/>
      <c r="Z511" s="82"/>
    </row>
    <row r="512">
      <c r="A512" s="90"/>
      <c r="B512" s="61" t="s">
        <v>23</v>
      </c>
      <c r="C512" s="61"/>
      <c r="D512" s="61" t="s">
        <v>1876</v>
      </c>
      <c r="E512" s="61" t="s">
        <v>1189</v>
      </c>
      <c r="F512" s="61" t="s">
        <v>1877</v>
      </c>
      <c r="G512" s="62" t="s">
        <v>1878</v>
      </c>
      <c r="H512" s="61" t="s">
        <v>64</v>
      </c>
      <c r="I512" s="62" t="s">
        <v>98</v>
      </c>
      <c r="J512" s="62" t="s">
        <v>44</v>
      </c>
      <c r="K512" s="62" t="s">
        <v>45</v>
      </c>
      <c r="L512" s="61" t="s">
        <v>1879</v>
      </c>
      <c r="M512" s="65"/>
      <c r="N512" s="66"/>
      <c r="O512" s="66" t="str">
        <f t="shared" si="1"/>
        <v/>
      </c>
      <c r="P512" s="66">
        <v>0.0</v>
      </c>
      <c r="Q512" s="66">
        <v>0.0</v>
      </c>
      <c r="R512" s="112"/>
      <c r="S512" s="66"/>
      <c r="T512" s="66"/>
      <c r="U512" s="66"/>
      <c r="V512" s="66"/>
      <c r="W512" s="66"/>
      <c r="X512" s="66"/>
      <c r="Y512" s="66"/>
      <c r="Z512" s="82"/>
    </row>
    <row r="513">
      <c r="A513" s="96"/>
      <c r="B513" s="61" t="s">
        <v>20</v>
      </c>
      <c r="C513" s="97"/>
      <c r="D513" s="97" t="s">
        <v>899</v>
      </c>
      <c r="E513" s="97" t="s">
        <v>1063</v>
      </c>
      <c r="F513" s="97" t="s">
        <v>1880</v>
      </c>
      <c r="G513" s="98" t="s">
        <v>1852</v>
      </c>
      <c r="H513" s="97" t="s">
        <v>64</v>
      </c>
      <c r="I513" s="98" t="s">
        <v>1881</v>
      </c>
      <c r="J513" s="99" t="s">
        <v>1882</v>
      </c>
      <c r="K513" s="166"/>
      <c r="L513" s="97" t="s">
        <v>1883</v>
      </c>
      <c r="M513" s="102"/>
      <c r="N513" s="66"/>
      <c r="O513" s="66" t="str">
        <f t="shared" si="1"/>
        <v>이메일</v>
      </c>
      <c r="P513" s="241">
        <v>0.0</v>
      </c>
      <c r="Q513" s="232">
        <v>1.0</v>
      </c>
      <c r="R513" s="112"/>
      <c r="S513" s="113"/>
      <c r="T513" s="113">
        <v>46108.0</v>
      </c>
      <c r="U513" s="113"/>
      <c r="V513" s="113"/>
      <c r="W513" s="113"/>
      <c r="X513" s="113"/>
      <c r="Y513" s="113"/>
      <c r="Z513" s="114"/>
    </row>
    <row r="514">
      <c r="A514" s="96"/>
      <c r="B514" s="61" t="s">
        <v>20</v>
      </c>
      <c r="C514" s="97"/>
      <c r="D514" s="97" t="s">
        <v>1884</v>
      </c>
      <c r="E514" s="97" t="s">
        <v>1063</v>
      </c>
      <c r="F514" s="97" t="s">
        <v>1885</v>
      </c>
      <c r="G514" s="98" t="s">
        <v>44</v>
      </c>
      <c r="H514" s="97" t="s">
        <v>106</v>
      </c>
      <c r="I514" s="97" t="s">
        <v>106</v>
      </c>
      <c r="J514" s="99" t="s">
        <v>1886</v>
      </c>
      <c r="K514" s="166"/>
      <c r="L514" s="97" t="s">
        <v>1887</v>
      </c>
      <c r="M514" s="102"/>
      <c r="N514" s="66"/>
      <c r="O514" s="66" t="str">
        <f t="shared" si="1"/>
        <v>이메일</v>
      </c>
      <c r="P514" s="241">
        <v>0.0</v>
      </c>
      <c r="Q514" s="232">
        <v>1.0</v>
      </c>
      <c r="R514" s="112"/>
      <c r="S514" s="113"/>
      <c r="T514" s="113">
        <v>46108.0</v>
      </c>
      <c r="U514" s="113"/>
      <c r="V514" s="113"/>
      <c r="W514" s="113"/>
      <c r="X514" s="113"/>
      <c r="Y514" s="113"/>
      <c r="Z514" s="114"/>
    </row>
    <row r="515">
      <c r="A515" s="90"/>
      <c r="B515" s="61" t="s">
        <v>23</v>
      </c>
      <c r="C515" s="61"/>
      <c r="D515" s="61" t="s">
        <v>899</v>
      </c>
      <c r="E515" s="61" t="s">
        <v>1072</v>
      </c>
      <c r="F515" s="61" t="s">
        <v>1888</v>
      </c>
      <c r="G515" s="62" t="s">
        <v>45</v>
      </c>
      <c r="H515" s="61" t="s">
        <v>106</v>
      </c>
      <c r="I515" s="61" t="s">
        <v>106</v>
      </c>
      <c r="J515" s="105"/>
      <c r="K515" s="62" t="s">
        <v>45</v>
      </c>
      <c r="L515" s="105"/>
      <c r="M515" s="125" t="s">
        <v>1889</v>
      </c>
      <c r="N515" s="66"/>
      <c r="O515" s="66" t="str">
        <f t="shared" si="1"/>
        <v/>
      </c>
      <c r="P515" s="66">
        <v>0.0</v>
      </c>
      <c r="Q515" s="66">
        <v>0.0</v>
      </c>
      <c r="R515" s="112"/>
      <c r="S515" s="66"/>
      <c r="T515" s="66"/>
      <c r="U515" s="66"/>
      <c r="V515" s="66"/>
      <c r="W515" s="66"/>
      <c r="X515" s="66"/>
      <c r="Y515" s="66"/>
      <c r="Z515" s="82"/>
    </row>
    <row r="516">
      <c r="A516" s="90"/>
      <c r="B516" s="61" t="s">
        <v>23</v>
      </c>
      <c r="C516" s="61"/>
      <c r="D516" s="61" t="s">
        <v>899</v>
      </c>
      <c r="E516" s="61" t="s">
        <v>1072</v>
      </c>
      <c r="F516" s="61" t="s">
        <v>1890</v>
      </c>
      <c r="G516" s="62" t="s">
        <v>44</v>
      </c>
      <c r="H516" s="61" t="s">
        <v>106</v>
      </c>
      <c r="I516" s="61" t="s">
        <v>106</v>
      </c>
      <c r="J516" s="105"/>
      <c r="K516" s="80"/>
      <c r="L516" s="105"/>
      <c r="M516" s="65"/>
      <c r="N516" s="66"/>
      <c r="O516" s="66" t="str">
        <f t="shared" si="1"/>
        <v/>
      </c>
      <c r="P516" s="66">
        <v>0.0</v>
      </c>
      <c r="Q516" s="66">
        <v>0.0</v>
      </c>
      <c r="R516" s="112"/>
      <c r="S516" s="66"/>
      <c r="T516" s="66"/>
      <c r="U516" s="66"/>
      <c r="V516" s="66"/>
      <c r="W516" s="66"/>
      <c r="X516" s="66"/>
      <c r="Y516" s="66"/>
      <c r="Z516" s="82"/>
    </row>
    <row r="517">
      <c r="A517" s="90"/>
      <c r="B517" s="61" t="s">
        <v>23</v>
      </c>
      <c r="C517" s="61"/>
      <c r="D517" s="61" t="s">
        <v>1891</v>
      </c>
      <c r="E517" s="61" t="s">
        <v>531</v>
      </c>
      <c r="F517" s="61" t="s">
        <v>1892</v>
      </c>
      <c r="G517" s="62" t="s">
        <v>44</v>
      </c>
      <c r="H517" s="61" t="s">
        <v>64</v>
      </c>
      <c r="I517" s="62" t="s">
        <v>98</v>
      </c>
      <c r="J517" s="62" t="s">
        <v>44</v>
      </c>
      <c r="K517" s="105"/>
      <c r="L517" s="61" t="s">
        <v>1893</v>
      </c>
      <c r="M517" s="65"/>
      <c r="N517" s="66"/>
      <c r="O517" s="66" t="str">
        <f t="shared" si="1"/>
        <v/>
      </c>
      <c r="P517" s="66">
        <v>0.0</v>
      </c>
      <c r="Q517" s="66">
        <v>0.0</v>
      </c>
      <c r="R517" s="112"/>
      <c r="S517" s="66"/>
      <c r="T517" s="66"/>
      <c r="U517" s="66"/>
      <c r="V517" s="66"/>
      <c r="W517" s="66"/>
      <c r="X517" s="66"/>
      <c r="Y517" s="66"/>
      <c r="Z517" s="82"/>
    </row>
    <row r="518">
      <c r="A518" s="96"/>
      <c r="B518" s="61" t="s">
        <v>20</v>
      </c>
      <c r="C518" s="97"/>
      <c r="D518" s="97" t="s">
        <v>1894</v>
      </c>
      <c r="E518" s="97" t="s">
        <v>531</v>
      </c>
      <c r="F518" s="97" t="s">
        <v>1895</v>
      </c>
      <c r="G518" s="98" t="s">
        <v>44</v>
      </c>
      <c r="H518" s="97" t="s">
        <v>106</v>
      </c>
      <c r="I518" s="175"/>
      <c r="J518" s="99" t="s">
        <v>1896</v>
      </c>
      <c r="K518" s="166"/>
      <c r="L518" s="97" t="s">
        <v>1897</v>
      </c>
      <c r="M518" s="102"/>
      <c r="N518" s="66"/>
      <c r="O518" s="66" t="str">
        <f t="shared" si="1"/>
        <v>이메일</v>
      </c>
      <c r="P518" s="241">
        <v>0.0</v>
      </c>
      <c r="Q518" s="232">
        <v>1.0</v>
      </c>
      <c r="R518" s="112"/>
      <c r="S518" s="113"/>
      <c r="T518" s="113">
        <v>46108.0</v>
      </c>
      <c r="U518" s="113"/>
      <c r="V518" s="113"/>
      <c r="W518" s="113"/>
      <c r="X518" s="113"/>
      <c r="Y518" s="113"/>
      <c r="Z518" s="114"/>
    </row>
    <row r="519">
      <c r="A519" s="96"/>
      <c r="B519" s="61" t="s">
        <v>20</v>
      </c>
      <c r="C519" s="97"/>
      <c r="D519" s="97" t="s">
        <v>1898</v>
      </c>
      <c r="E519" s="97" t="s">
        <v>1110</v>
      </c>
      <c r="F519" s="97" t="s">
        <v>1899</v>
      </c>
      <c r="G519" s="98" t="s">
        <v>1660</v>
      </c>
      <c r="H519" s="97" t="s">
        <v>64</v>
      </c>
      <c r="I519" s="98" t="s">
        <v>115</v>
      </c>
      <c r="J519" s="99" t="s">
        <v>1900</v>
      </c>
      <c r="K519" s="166"/>
      <c r="L519" s="97" t="s">
        <v>1901</v>
      </c>
      <c r="M519" s="102"/>
      <c r="N519" s="66"/>
      <c r="O519" s="66" t="str">
        <f t="shared" si="1"/>
        <v>이메일</v>
      </c>
      <c r="P519" s="241">
        <v>0.0</v>
      </c>
      <c r="Q519" s="232">
        <v>1.0</v>
      </c>
      <c r="R519" s="112"/>
      <c r="S519" s="113"/>
      <c r="T519" s="113">
        <v>46108.0</v>
      </c>
      <c r="U519" s="113"/>
      <c r="V519" s="113"/>
      <c r="W519" s="113"/>
      <c r="X519" s="113"/>
      <c r="Y519" s="113"/>
      <c r="Z519" s="114"/>
    </row>
    <row r="520">
      <c r="A520" s="96"/>
      <c r="B520" s="61" t="s">
        <v>20</v>
      </c>
      <c r="C520" s="97"/>
      <c r="D520" s="97" t="s">
        <v>1902</v>
      </c>
      <c r="E520" s="97" t="s">
        <v>1110</v>
      </c>
      <c r="F520" s="97" t="s">
        <v>1903</v>
      </c>
      <c r="G520" s="98" t="s">
        <v>1903</v>
      </c>
      <c r="H520" s="97" t="s">
        <v>64</v>
      </c>
      <c r="I520" s="175"/>
      <c r="J520" s="99" t="s">
        <v>1904</v>
      </c>
      <c r="K520" s="166"/>
      <c r="L520" s="97" t="s">
        <v>1905</v>
      </c>
      <c r="M520" s="102"/>
      <c r="N520" s="66"/>
      <c r="O520" s="66" t="str">
        <f t="shared" si="1"/>
        <v>이메일</v>
      </c>
      <c r="P520" s="241">
        <v>0.0</v>
      </c>
      <c r="Q520" s="232">
        <v>1.0</v>
      </c>
      <c r="R520" s="112"/>
      <c r="S520" s="113"/>
      <c r="T520" s="113">
        <v>46108.0</v>
      </c>
      <c r="U520" s="113"/>
      <c r="V520" s="113"/>
      <c r="W520" s="113"/>
      <c r="X520" s="113"/>
      <c r="Y520" s="113"/>
      <c r="Z520" s="114"/>
    </row>
    <row r="521">
      <c r="A521" s="96"/>
      <c r="B521" s="61" t="s">
        <v>20</v>
      </c>
      <c r="C521" s="97"/>
      <c r="D521" s="97" t="s">
        <v>1906</v>
      </c>
      <c r="E521" s="97" t="s">
        <v>109</v>
      </c>
      <c r="F521" s="97" t="s">
        <v>1907</v>
      </c>
      <c r="G521" s="98" t="s">
        <v>44</v>
      </c>
      <c r="H521" s="97" t="s">
        <v>64</v>
      </c>
      <c r="I521" s="98" t="s">
        <v>648</v>
      </c>
      <c r="J521" s="99" t="s">
        <v>1908</v>
      </c>
      <c r="K521" s="166"/>
      <c r="L521" s="97" t="s">
        <v>1909</v>
      </c>
      <c r="M521" s="102"/>
      <c r="N521" s="66"/>
      <c r="O521" s="66" t="str">
        <f t="shared" si="1"/>
        <v>이메일</v>
      </c>
      <c r="P521" s="241">
        <v>0.0</v>
      </c>
      <c r="Q521" s="232">
        <v>1.0</v>
      </c>
      <c r="R521" s="112"/>
      <c r="S521" s="113"/>
      <c r="T521" s="113">
        <v>46108.0</v>
      </c>
      <c r="U521" s="113"/>
      <c r="V521" s="113"/>
      <c r="W521" s="113"/>
      <c r="X521" s="113"/>
      <c r="Y521" s="113"/>
      <c r="Z521" s="114"/>
    </row>
    <row r="522">
      <c r="A522" s="90"/>
      <c r="B522" s="61" t="s">
        <v>23</v>
      </c>
      <c r="C522" s="61"/>
      <c r="D522" s="61" t="s">
        <v>1910</v>
      </c>
      <c r="E522" s="61" t="s">
        <v>109</v>
      </c>
      <c r="F522" s="61" t="s">
        <v>1911</v>
      </c>
      <c r="G522" s="62" t="s">
        <v>44</v>
      </c>
      <c r="H522" s="61" t="s">
        <v>106</v>
      </c>
      <c r="I522" s="105"/>
      <c r="J522" s="62" t="s">
        <v>44</v>
      </c>
      <c r="K522" s="105"/>
      <c r="L522" s="61" t="s">
        <v>1912</v>
      </c>
      <c r="M522" s="65"/>
      <c r="N522" s="66"/>
      <c r="O522" s="66" t="str">
        <f t="shared" si="1"/>
        <v/>
      </c>
      <c r="P522" s="66">
        <v>0.0</v>
      </c>
      <c r="Q522" s="66">
        <v>0.0</v>
      </c>
      <c r="R522" s="112"/>
      <c r="S522" s="66"/>
      <c r="T522" s="66"/>
      <c r="U522" s="66"/>
      <c r="V522" s="66"/>
      <c r="W522" s="66"/>
      <c r="X522" s="66"/>
      <c r="Y522" s="66"/>
      <c r="Z522" s="82"/>
    </row>
    <row r="523">
      <c r="A523" s="90"/>
      <c r="B523" s="61" t="s">
        <v>23</v>
      </c>
      <c r="C523" s="61"/>
      <c r="D523" s="61" t="s">
        <v>471</v>
      </c>
      <c r="E523" s="61" t="s">
        <v>109</v>
      </c>
      <c r="F523" s="61" t="s">
        <v>1913</v>
      </c>
      <c r="G523" s="62" t="s">
        <v>44</v>
      </c>
      <c r="H523" s="61" t="s">
        <v>106</v>
      </c>
      <c r="I523" s="354"/>
      <c r="J523" s="62" t="s">
        <v>44</v>
      </c>
      <c r="K523" s="105"/>
      <c r="L523" s="61" t="s">
        <v>1914</v>
      </c>
      <c r="M523" s="65"/>
      <c r="N523" s="66"/>
      <c r="O523" s="66" t="str">
        <f t="shared" si="1"/>
        <v/>
      </c>
      <c r="P523" s="66">
        <v>0.0</v>
      </c>
      <c r="Q523" s="66">
        <v>0.0</v>
      </c>
      <c r="R523" s="112"/>
      <c r="S523" s="66"/>
      <c r="T523" s="66"/>
      <c r="U523" s="66"/>
      <c r="V523" s="66"/>
      <c r="W523" s="66"/>
      <c r="X523" s="66"/>
      <c r="Y523" s="66"/>
      <c r="Z523" s="82"/>
    </row>
    <row r="524">
      <c r="A524" s="96"/>
      <c r="B524" s="61" t="s">
        <v>20</v>
      </c>
      <c r="C524" s="97" t="s">
        <v>1733</v>
      </c>
      <c r="D524" s="97" t="s">
        <v>1915</v>
      </c>
      <c r="E524" s="97" t="s">
        <v>109</v>
      </c>
      <c r="F524" s="97" t="s">
        <v>1916</v>
      </c>
      <c r="G524" s="98" t="s">
        <v>44</v>
      </c>
      <c r="H524" s="97" t="s">
        <v>64</v>
      </c>
      <c r="I524" s="300" t="s">
        <v>648</v>
      </c>
      <c r="J524" s="251"/>
      <c r="K524" s="166"/>
      <c r="L524" s="97" t="s">
        <v>1917</v>
      </c>
      <c r="M524" s="102"/>
      <c r="N524" s="66"/>
      <c r="O524" s="66" t="str">
        <f t="shared" si="1"/>
        <v>이메일</v>
      </c>
      <c r="P524" s="241">
        <v>0.0</v>
      </c>
      <c r="Q524" s="232">
        <v>1.0</v>
      </c>
      <c r="R524" s="112"/>
      <c r="S524" s="113"/>
      <c r="T524" s="113">
        <v>46108.0</v>
      </c>
      <c r="U524" s="113"/>
      <c r="V524" s="113"/>
      <c r="W524" s="113"/>
      <c r="X524" s="113"/>
      <c r="Y524" s="113"/>
      <c r="Z524" s="114"/>
    </row>
    <row r="525">
      <c r="A525" s="96"/>
      <c r="B525" s="61" t="s">
        <v>20</v>
      </c>
      <c r="C525" s="97"/>
      <c r="D525" s="97" t="s">
        <v>1918</v>
      </c>
      <c r="E525" s="97" t="s">
        <v>429</v>
      </c>
      <c r="F525" s="97" t="s">
        <v>1919</v>
      </c>
      <c r="G525" s="98" t="s">
        <v>44</v>
      </c>
      <c r="H525" s="97" t="s">
        <v>64</v>
      </c>
      <c r="I525" s="98" t="s">
        <v>648</v>
      </c>
      <c r="J525" s="99" t="s">
        <v>1920</v>
      </c>
      <c r="K525" s="166"/>
      <c r="L525" s="97" t="s">
        <v>1921</v>
      </c>
      <c r="M525" s="102"/>
      <c r="N525" s="66"/>
      <c r="O525" s="66" t="str">
        <f t="shared" si="1"/>
        <v>이메일</v>
      </c>
      <c r="P525" s="241">
        <v>0.0</v>
      </c>
      <c r="Q525" s="232">
        <v>1.0</v>
      </c>
      <c r="R525" s="112"/>
      <c r="S525" s="113"/>
      <c r="T525" s="113">
        <v>46108.0</v>
      </c>
      <c r="U525" s="113"/>
      <c r="V525" s="113"/>
      <c r="W525" s="113"/>
      <c r="X525" s="113"/>
      <c r="Y525" s="113"/>
      <c r="Z525" s="114"/>
    </row>
    <row r="526">
      <c r="A526" s="96"/>
      <c r="B526" s="61" t="s">
        <v>20</v>
      </c>
      <c r="C526" s="97"/>
      <c r="D526" s="97" t="s">
        <v>1922</v>
      </c>
      <c r="E526" s="97" t="s">
        <v>429</v>
      </c>
      <c r="F526" s="97" t="s">
        <v>1923</v>
      </c>
      <c r="G526" s="98" t="s">
        <v>648</v>
      </c>
      <c r="H526" s="97" t="s">
        <v>64</v>
      </c>
      <c r="I526" s="98" t="s">
        <v>1924</v>
      </c>
      <c r="J526" s="99" t="s">
        <v>1925</v>
      </c>
      <c r="K526" s="166"/>
      <c r="L526" s="97" t="s">
        <v>1926</v>
      </c>
      <c r="M526" s="102"/>
      <c r="N526" s="66"/>
      <c r="O526" s="66" t="str">
        <f t="shared" si="1"/>
        <v>이메일</v>
      </c>
      <c r="P526" s="241">
        <v>0.0</v>
      </c>
      <c r="Q526" s="232">
        <v>1.0</v>
      </c>
      <c r="R526" s="112"/>
      <c r="S526" s="113"/>
      <c r="T526" s="113">
        <v>46108.0</v>
      </c>
      <c r="U526" s="113"/>
      <c r="V526" s="113"/>
      <c r="W526" s="113"/>
      <c r="X526" s="113"/>
      <c r="Y526" s="113"/>
      <c r="Z526" s="114"/>
    </row>
    <row r="527">
      <c r="A527" s="96"/>
      <c r="B527" s="61" t="s">
        <v>23</v>
      </c>
      <c r="C527" s="97"/>
      <c r="D527" s="97" t="s">
        <v>1927</v>
      </c>
      <c r="E527" s="97" t="s">
        <v>1377</v>
      </c>
      <c r="F527" s="97" t="s">
        <v>1928</v>
      </c>
      <c r="G527" s="98" t="s">
        <v>648</v>
      </c>
      <c r="H527" s="97" t="s">
        <v>64</v>
      </c>
      <c r="I527" s="300" t="s">
        <v>98</v>
      </c>
      <c r="J527" s="251"/>
      <c r="K527" s="355" t="s">
        <v>1929</v>
      </c>
      <c r="L527" s="175"/>
      <c r="M527" s="102"/>
      <c r="N527" s="66"/>
      <c r="O527" s="66" t="str">
        <f t="shared" si="1"/>
        <v/>
      </c>
      <c r="P527" s="241">
        <v>0.0</v>
      </c>
      <c r="Q527" s="241">
        <v>0.0</v>
      </c>
      <c r="R527" s="112"/>
      <c r="S527" s="241"/>
      <c r="T527" s="241"/>
      <c r="U527" s="241"/>
      <c r="V527" s="241"/>
      <c r="W527" s="241"/>
      <c r="X527" s="241"/>
      <c r="Y527" s="241"/>
      <c r="Z527" s="242"/>
    </row>
    <row r="528">
      <c r="A528" s="90"/>
      <c r="B528" s="61" t="s">
        <v>23</v>
      </c>
      <c r="C528" s="61"/>
      <c r="D528" s="61" t="s">
        <v>112</v>
      </c>
      <c r="E528" s="61" t="s">
        <v>1180</v>
      </c>
      <c r="F528" s="61" t="s">
        <v>1930</v>
      </c>
      <c r="G528" s="198" t="s">
        <v>1931</v>
      </c>
      <c r="H528" s="61" t="s">
        <v>64</v>
      </c>
      <c r="I528" s="62" t="s">
        <v>1932</v>
      </c>
      <c r="J528" s="62" t="s">
        <v>44</v>
      </c>
      <c r="K528" s="105"/>
      <c r="L528" s="61" t="s">
        <v>1933</v>
      </c>
      <c r="M528" s="65"/>
      <c r="N528" s="66"/>
      <c r="O528" s="66" t="str">
        <f t="shared" si="1"/>
        <v/>
      </c>
      <c r="P528" s="66">
        <v>0.0</v>
      </c>
      <c r="Q528" s="66">
        <v>0.0</v>
      </c>
      <c r="R528" s="112"/>
      <c r="S528" s="66"/>
      <c r="T528" s="66"/>
      <c r="U528" s="66"/>
      <c r="V528" s="66"/>
      <c r="W528" s="66"/>
      <c r="X528" s="66"/>
      <c r="Y528" s="66"/>
      <c r="Z528" s="82"/>
    </row>
    <row r="529">
      <c r="A529" s="90"/>
      <c r="B529" s="61" t="s">
        <v>23</v>
      </c>
      <c r="C529" s="61"/>
      <c r="D529" s="61" t="s">
        <v>1934</v>
      </c>
      <c r="E529" s="61" t="s">
        <v>1494</v>
      </c>
      <c r="F529" s="61" t="s">
        <v>1935</v>
      </c>
      <c r="G529" s="62" t="s">
        <v>44</v>
      </c>
      <c r="H529" s="61" t="s">
        <v>64</v>
      </c>
      <c r="I529" s="62" t="s">
        <v>98</v>
      </c>
      <c r="J529" s="62" t="s">
        <v>44</v>
      </c>
      <c r="K529" s="105"/>
      <c r="L529" s="348" t="s">
        <v>1936</v>
      </c>
      <c r="M529" s="176" t="s">
        <v>1937</v>
      </c>
      <c r="N529" s="66"/>
      <c r="O529" s="66" t="str">
        <f t="shared" si="1"/>
        <v/>
      </c>
      <c r="P529" s="66">
        <v>0.0</v>
      </c>
      <c r="Q529" s="66">
        <v>0.0</v>
      </c>
      <c r="R529" s="112"/>
      <c r="S529" s="66"/>
      <c r="T529" s="66"/>
      <c r="U529" s="66"/>
      <c r="V529" s="66"/>
      <c r="W529" s="66"/>
      <c r="X529" s="66"/>
      <c r="Y529" s="66"/>
      <c r="Z529" s="82"/>
    </row>
    <row r="530">
      <c r="A530" s="90"/>
      <c r="B530" s="61" t="s">
        <v>23</v>
      </c>
      <c r="C530" s="61"/>
      <c r="D530" s="61" t="s">
        <v>115</v>
      </c>
      <c r="E530" s="61" t="s">
        <v>513</v>
      </c>
      <c r="F530" s="61" t="s">
        <v>1938</v>
      </c>
      <c r="G530" s="62" t="s">
        <v>1939</v>
      </c>
      <c r="H530" s="61" t="s">
        <v>64</v>
      </c>
      <c r="I530" s="62" t="s">
        <v>1940</v>
      </c>
      <c r="J530" s="105"/>
      <c r="K530" s="62" t="s">
        <v>45</v>
      </c>
      <c r="L530" s="105"/>
      <c r="M530" s="65"/>
      <c r="N530" s="66"/>
      <c r="O530" s="66" t="str">
        <f t="shared" si="1"/>
        <v/>
      </c>
      <c r="P530" s="66">
        <v>0.0</v>
      </c>
      <c r="Q530" s="66">
        <v>0.0</v>
      </c>
      <c r="R530" s="112"/>
      <c r="S530" s="66"/>
      <c r="T530" s="66"/>
      <c r="U530" s="66"/>
      <c r="V530" s="66"/>
      <c r="W530" s="66"/>
      <c r="X530" s="66"/>
      <c r="Y530" s="66"/>
      <c r="Z530" s="82"/>
    </row>
    <row r="531">
      <c r="A531" s="90"/>
      <c r="B531" s="61" t="s">
        <v>23</v>
      </c>
      <c r="C531" s="61"/>
      <c r="D531" s="61" t="s">
        <v>1906</v>
      </c>
      <c r="E531" s="61" t="s">
        <v>513</v>
      </c>
      <c r="F531" s="61" t="s">
        <v>1941</v>
      </c>
      <c r="G531" s="112"/>
      <c r="H531" s="112"/>
      <c r="I531" s="112"/>
      <c r="J531" s="62" t="s">
        <v>44</v>
      </c>
      <c r="K531" s="105"/>
      <c r="L531" s="105"/>
      <c r="M531" s="176" t="s">
        <v>1942</v>
      </c>
      <c r="N531" s="66"/>
      <c r="O531" s="66" t="str">
        <f t="shared" si="1"/>
        <v/>
      </c>
      <c r="P531" s="66">
        <v>0.0</v>
      </c>
      <c r="Q531" s="66">
        <v>0.0</v>
      </c>
      <c r="R531" s="112"/>
      <c r="S531" s="66"/>
      <c r="T531" s="66"/>
      <c r="U531" s="66"/>
      <c r="V531" s="66"/>
      <c r="W531" s="66"/>
      <c r="X531" s="66"/>
      <c r="Y531" s="66"/>
      <c r="Z531" s="82"/>
    </row>
    <row r="532">
      <c r="A532" s="90"/>
      <c r="B532" s="61" t="s">
        <v>23</v>
      </c>
      <c r="C532" s="61"/>
      <c r="D532" s="61" t="s">
        <v>1943</v>
      </c>
      <c r="E532" s="61" t="s">
        <v>69</v>
      </c>
      <c r="F532" s="61" t="s">
        <v>1944</v>
      </c>
      <c r="G532" s="62" t="s">
        <v>44</v>
      </c>
      <c r="H532" s="61" t="s">
        <v>106</v>
      </c>
      <c r="I532" s="105"/>
      <c r="J532" s="62" t="s">
        <v>44</v>
      </c>
      <c r="K532" s="105"/>
      <c r="L532" s="61" t="s">
        <v>1945</v>
      </c>
      <c r="M532" s="65"/>
      <c r="N532" s="66"/>
      <c r="O532" s="66" t="str">
        <f t="shared" si="1"/>
        <v/>
      </c>
      <c r="P532" s="66">
        <v>0.0</v>
      </c>
      <c r="Q532" s="66">
        <v>0.0</v>
      </c>
      <c r="R532" s="112"/>
      <c r="S532" s="66"/>
      <c r="T532" s="66"/>
      <c r="U532" s="66"/>
      <c r="V532" s="66"/>
      <c r="W532" s="66"/>
      <c r="X532" s="66"/>
      <c r="Y532" s="66"/>
      <c r="Z532" s="82"/>
    </row>
    <row r="533">
      <c r="A533" s="96"/>
      <c r="B533" s="61" t="s">
        <v>20</v>
      </c>
      <c r="C533" s="97"/>
      <c r="D533" s="97" t="s">
        <v>1943</v>
      </c>
      <c r="E533" s="97" t="s">
        <v>69</v>
      </c>
      <c r="F533" s="97" t="s">
        <v>1946</v>
      </c>
      <c r="G533" s="98" t="s">
        <v>44</v>
      </c>
      <c r="H533" s="97" t="s">
        <v>106</v>
      </c>
      <c r="I533" s="356"/>
      <c r="J533" s="99" t="s">
        <v>1947</v>
      </c>
      <c r="K533" s="166"/>
      <c r="L533" s="97" t="s">
        <v>1948</v>
      </c>
      <c r="M533" s="102"/>
      <c r="N533" s="66"/>
      <c r="O533" s="66" t="str">
        <f t="shared" si="1"/>
        <v>이메일</v>
      </c>
      <c r="P533" s="241">
        <v>0.0</v>
      </c>
      <c r="Q533" s="232">
        <v>1.0</v>
      </c>
      <c r="R533" s="112"/>
      <c r="S533" s="113"/>
      <c r="T533" s="113">
        <v>46108.0</v>
      </c>
      <c r="U533" s="113"/>
      <c r="V533" s="113"/>
      <c r="W533" s="113"/>
      <c r="X533" s="113"/>
      <c r="Y533" s="113"/>
      <c r="Z533" s="114"/>
    </row>
    <row r="534">
      <c r="A534" s="90"/>
      <c r="B534" s="61" t="s">
        <v>23</v>
      </c>
      <c r="C534" s="61"/>
      <c r="D534" s="61" t="s">
        <v>1026</v>
      </c>
      <c r="E534" s="61" t="s">
        <v>494</v>
      </c>
      <c r="F534" s="61" t="s">
        <v>1949</v>
      </c>
      <c r="G534" s="62" t="s">
        <v>789</v>
      </c>
      <c r="H534" s="61" t="s">
        <v>106</v>
      </c>
      <c r="I534" s="105"/>
      <c r="J534" s="105"/>
      <c r="K534" s="105"/>
      <c r="L534" s="105"/>
      <c r="M534" s="65"/>
      <c r="N534" s="66"/>
      <c r="O534" s="66" t="str">
        <f t="shared" si="1"/>
        <v/>
      </c>
      <c r="P534" s="66">
        <v>0.0</v>
      </c>
      <c r="Q534" s="66">
        <v>0.0</v>
      </c>
      <c r="R534" s="112"/>
      <c r="S534" s="66"/>
      <c r="T534" s="66"/>
      <c r="U534" s="66"/>
      <c r="V534" s="66"/>
      <c r="W534" s="66"/>
      <c r="X534" s="66"/>
      <c r="Y534" s="66"/>
      <c r="Z534" s="82"/>
    </row>
    <row r="535">
      <c r="A535" s="90"/>
      <c r="B535" s="61" t="s">
        <v>23</v>
      </c>
      <c r="C535" s="61"/>
      <c r="D535" s="61" t="s">
        <v>1950</v>
      </c>
      <c r="E535" s="61" t="s">
        <v>429</v>
      </c>
      <c r="F535" s="61" t="s">
        <v>1951</v>
      </c>
      <c r="G535" s="62" t="s">
        <v>789</v>
      </c>
      <c r="H535" s="61" t="s">
        <v>64</v>
      </c>
      <c r="I535" s="62" t="s">
        <v>548</v>
      </c>
      <c r="J535" s="105"/>
      <c r="K535" s="62" t="s">
        <v>45</v>
      </c>
      <c r="L535" s="62" t="s">
        <v>1952</v>
      </c>
      <c r="M535" s="125" t="s">
        <v>1953</v>
      </c>
      <c r="N535" s="66"/>
      <c r="O535" s="66" t="str">
        <f t="shared" si="1"/>
        <v/>
      </c>
      <c r="P535" s="66">
        <v>0.0</v>
      </c>
      <c r="Q535" s="66">
        <v>0.0</v>
      </c>
      <c r="R535" s="112"/>
      <c r="S535" s="66"/>
      <c r="T535" s="66"/>
      <c r="U535" s="66"/>
      <c r="V535" s="66"/>
      <c r="W535" s="66"/>
      <c r="X535" s="66"/>
      <c r="Y535" s="66"/>
      <c r="Z535" s="82"/>
    </row>
    <row r="536">
      <c r="A536" s="96"/>
      <c r="B536" s="61" t="s">
        <v>23</v>
      </c>
      <c r="C536" s="97"/>
      <c r="D536" s="97" t="s">
        <v>1954</v>
      </c>
      <c r="E536" s="97" t="s">
        <v>429</v>
      </c>
      <c r="F536" s="97" t="s">
        <v>1955</v>
      </c>
      <c r="G536" s="98" t="s">
        <v>44</v>
      </c>
      <c r="H536" s="97" t="s">
        <v>106</v>
      </c>
      <c r="I536" s="175"/>
      <c r="J536" s="99" t="s">
        <v>1956</v>
      </c>
      <c r="K536" s="357" t="s">
        <v>1957</v>
      </c>
      <c r="L536" s="97" t="s">
        <v>1958</v>
      </c>
      <c r="M536" s="102"/>
      <c r="N536" s="66"/>
      <c r="O536" s="66" t="str">
        <f t="shared" si="1"/>
        <v/>
      </c>
      <c r="P536" s="241">
        <v>0.0</v>
      </c>
      <c r="Q536" s="241">
        <v>0.0</v>
      </c>
      <c r="R536" s="112"/>
      <c r="S536" s="241"/>
      <c r="T536" s="241"/>
      <c r="U536" s="241"/>
      <c r="V536" s="241"/>
      <c r="W536" s="241"/>
      <c r="X536" s="241"/>
      <c r="Y536" s="241"/>
      <c r="Z536" s="242"/>
    </row>
    <row r="537">
      <c r="A537" s="90"/>
      <c r="B537" s="61" t="s">
        <v>23</v>
      </c>
      <c r="C537" s="61"/>
      <c r="D537" s="61" t="s">
        <v>274</v>
      </c>
      <c r="E537" s="61" t="s">
        <v>1189</v>
      </c>
      <c r="F537" s="61" t="s">
        <v>1959</v>
      </c>
      <c r="G537" s="105"/>
      <c r="H537" s="61" t="s">
        <v>64</v>
      </c>
      <c r="I537" s="105"/>
      <c r="J537" s="62" t="s">
        <v>44</v>
      </c>
      <c r="K537" s="62" t="s">
        <v>45</v>
      </c>
      <c r="L537" s="61" t="s">
        <v>1960</v>
      </c>
      <c r="M537" s="65"/>
      <c r="N537" s="66"/>
      <c r="O537" s="66" t="str">
        <f t="shared" si="1"/>
        <v/>
      </c>
      <c r="P537" s="66">
        <v>0.0</v>
      </c>
      <c r="Q537" s="66">
        <v>0.0</v>
      </c>
      <c r="R537" s="112"/>
      <c r="S537" s="66"/>
      <c r="T537" s="66"/>
      <c r="U537" s="66"/>
      <c r="V537" s="66"/>
      <c r="W537" s="66"/>
      <c r="X537" s="66"/>
      <c r="Y537" s="66"/>
      <c r="Z537" s="82"/>
    </row>
    <row r="538">
      <c r="A538" s="90"/>
      <c r="B538" s="61" t="s">
        <v>23</v>
      </c>
      <c r="C538" s="61"/>
      <c r="D538" s="61" t="s">
        <v>1961</v>
      </c>
      <c r="E538" s="61" t="s">
        <v>1189</v>
      </c>
      <c r="F538" s="61" t="s">
        <v>1962</v>
      </c>
      <c r="G538" s="105"/>
      <c r="H538" s="61" t="s">
        <v>106</v>
      </c>
      <c r="I538" s="105"/>
      <c r="J538" s="62" t="s">
        <v>44</v>
      </c>
      <c r="K538" s="105"/>
      <c r="L538" s="61" t="s">
        <v>1963</v>
      </c>
      <c r="M538" s="176" t="s">
        <v>1964</v>
      </c>
      <c r="N538" s="66"/>
      <c r="O538" s="66" t="str">
        <f t="shared" si="1"/>
        <v/>
      </c>
      <c r="P538" s="66">
        <v>0.0</v>
      </c>
      <c r="Q538" s="66">
        <v>0.0</v>
      </c>
      <c r="R538" s="112"/>
      <c r="S538" s="66"/>
      <c r="T538" s="66"/>
      <c r="U538" s="66"/>
      <c r="V538" s="66"/>
      <c r="W538" s="66"/>
      <c r="X538" s="66"/>
      <c r="Y538" s="66"/>
      <c r="Z538" s="82"/>
    </row>
    <row r="539">
      <c r="A539" s="96"/>
      <c r="B539" s="61" t="s">
        <v>20</v>
      </c>
      <c r="C539" s="97" t="s">
        <v>1733</v>
      </c>
      <c r="D539" s="97" t="s">
        <v>1965</v>
      </c>
      <c r="E539" s="97" t="s">
        <v>353</v>
      </c>
      <c r="F539" s="97" t="s">
        <v>1966</v>
      </c>
      <c r="G539" s="98" t="s">
        <v>44</v>
      </c>
      <c r="H539" s="97" t="s">
        <v>64</v>
      </c>
      <c r="I539" s="170"/>
      <c r="J539" s="358" t="s">
        <v>1967</v>
      </c>
      <c r="K539" s="359" t="s">
        <v>1968</v>
      </c>
      <c r="L539" s="275" t="s">
        <v>1969</v>
      </c>
      <c r="M539" s="108"/>
      <c r="N539" s="66"/>
      <c r="O539" s="66" t="str">
        <f t="shared" si="1"/>
        <v>DM+이메일</v>
      </c>
      <c r="P539" s="232">
        <v>1.0</v>
      </c>
      <c r="Q539" s="232">
        <v>1.0</v>
      </c>
      <c r="R539" s="112"/>
      <c r="S539" s="113"/>
      <c r="T539" s="113">
        <v>46108.0</v>
      </c>
      <c r="U539" s="113"/>
      <c r="V539" s="113"/>
      <c r="W539" s="113"/>
      <c r="X539" s="113"/>
      <c r="Y539" s="113"/>
      <c r="Z539" s="114"/>
    </row>
    <row r="540">
      <c r="A540" s="96"/>
      <c r="B540" s="61" t="s">
        <v>20</v>
      </c>
      <c r="C540" s="97"/>
      <c r="D540" s="97" t="s">
        <v>1970</v>
      </c>
      <c r="E540" s="97" t="s">
        <v>353</v>
      </c>
      <c r="F540" s="97" t="s">
        <v>1971</v>
      </c>
      <c r="G540" s="98" t="s">
        <v>98</v>
      </c>
      <c r="H540" s="112"/>
      <c r="I540" s="98" t="s">
        <v>98</v>
      </c>
      <c r="J540" s="103"/>
      <c r="K540" s="107" t="s">
        <v>1972</v>
      </c>
      <c r="L540" s="97" t="s">
        <v>1973</v>
      </c>
      <c r="M540" s="102"/>
      <c r="N540" s="66"/>
      <c r="O540" s="66" t="str">
        <f t="shared" si="1"/>
        <v>DM+이메일</v>
      </c>
      <c r="P540" s="232">
        <v>1.0</v>
      </c>
      <c r="Q540" s="232">
        <v>1.0</v>
      </c>
      <c r="R540" s="112"/>
      <c r="S540" s="113"/>
      <c r="T540" s="113">
        <v>46108.0</v>
      </c>
      <c r="U540" s="113"/>
      <c r="V540" s="113"/>
      <c r="W540" s="113"/>
      <c r="X540" s="113"/>
      <c r="Y540" s="113"/>
      <c r="Z540" s="114"/>
    </row>
    <row r="541">
      <c r="A541" s="90"/>
      <c r="B541" s="61" t="s">
        <v>23</v>
      </c>
      <c r="C541" s="360"/>
      <c r="D541" s="360" t="s">
        <v>1974</v>
      </c>
      <c r="E541" s="61" t="s">
        <v>1370</v>
      </c>
      <c r="F541" s="61" t="s">
        <v>1975</v>
      </c>
      <c r="G541" s="62" t="s">
        <v>45</v>
      </c>
      <c r="H541" s="61" t="s">
        <v>106</v>
      </c>
      <c r="I541" s="61" t="s">
        <v>106</v>
      </c>
      <c r="J541" s="105"/>
      <c r="K541" s="62" t="s">
        <v>45</v>
      </c>
      <c r="L541" s="105"/>
      <c r="M541" s="125" t="s">
        <v>1976</v>
      </c>
      <c r="N541" s="66"/>
      <c r="O541" s="66" t="str">
        <f t="shared" si="1"/>
        <v/>
      </c>
      <c r="P541" s="66">
        <v>0.0</v>
      </c>
      <c r="Q541" s="66">
        <v>0.0</v>
      </c>
      <c r="R541" s="112"/>
      <c r="S541" s="66"/>
      <c r="T541" s="66"/>
      <c r="U541" s="66"/>
      <c r="V541" s="66"/>
      <c r="W541" s="66"/>
      <c r="X541" s="66"/>
      <c r="Y541" s="66"/>
      <c r="Z541" s="82"/>
    </row>
    <row r="542">
      <c r="A542" s="90"/>
      <c r="B542" s="61" t="s">
        <v>23</v>
      </c>
      <c r="C542" s="61"/>
      <c r="D542" s="61" t="s">
        <v>1977</v>
      </c>
      <c r="E542" s="61" t="s">
        <v>1370</v>
      </c>
      <c r="F542" s="210" t="s">
        <v>1978</v>
      </c>
      <c r="G542" s="62" t="s">
        <v>44</v>
      </c>
      <c r="H542" s="61" t="s">
        <v>431</v>
      </c>
      <c r="I542" s="61" t="s">
        <v>431</v>
      </c>
      <c r="J542" s="62" t="s">
        <v>44</v>
      </c>
      <c r="K542" s="105"/>
      <c r="L542" s="61" t="s">
        <v>1979</v>
      </c>
      <c r="M542" s="125" t="s">
        <v>1980</v>
      </c>
      <c r="N542" s="66"/>
      <c r="O542" s="66" t="str">
        <f t="shared" si="1"/>
        <v/>
      </c>
      <c r="P542" s="66">
        <v>0.0</v>
      </c>
      <c r="Q542" s="66">
        <v>0.0</v>
      </c>
      <c r="R542" s="112"/>
      <c r="S542" s="66"/>
      <c r="T542" s="66"/>
      <c r="U542" s="66"/>
      <c r="V542" s="66"/>
      <c r="W542" s="66"/>
      <c r="X542" s="66"/>
      <c r="Y542" s="66"/>
      <c r="Z542" s="82"/>
    </row>
    <row r="543">
      <c r="A543" s="96"/>
      <c r="B543" s="61" t="s">
        <v>20</v>
      </c>
      <c r="C543" s="97"/>
      <c r="D543" s="97" t="s">
        <v>1981</v>
      </c>
      <c r="E543" s="97" t="s">
        <v>1072</v>
      </c>
      <c r="F543" s="97" t="s">
        <v>1982</v>
      </c>
      <c r="G543" s="98" t="s">
        <v>44</v>
      </c>
      <c r="H543" s="97" t="s">
        <v>106</v>
      </c>
      <c r="I543" s="175"/>
      <c r="J543" s="99" t="s">
        <v>1983</v>
      </c>
      <c r="K543" s="166"/>
      <c r="L543" s="97" t="s">
        <v>937</v>
      </c>
      <c r="M543" s="102"/>
      <c r="N543" s="66"/>
      <c r="O543" s="66" t="str">
        <f t="shared" si="1"/>
        <v>이메일</v>
      </c>
      <c r="P543" s="241">
        <v>0.0</v>
      </c>
      <c r="Q543" s="232">
        <v>1.0</v>
      </c>
      <c r="R543" s="112"/>
      <c r="S543" s="113"/>
      <c r="T543" s="113">
        <v>46108.0</v>
      </c>
      <c r="U543" s="113"/>
      <c r="V543" s="113"/>
      <c r="W543" s="113"/>
      <c r="X543" s="113"/>
      <c r="Y543" s="113"/>
      <c r="Z543" s="114"/>
    </row>
    <row r="544">
      <c r="A544" s="90"/>
      <c r="B544" s="61" t="s">
        <v>23</v>
      </c>
      <c r="C544" s="61"/>
      <c r="D544" s="61" t="s">
        <v>1984</v>
      </c>
      <c r="E544" s="61" t="s">
        <v>1072</v>
      </c>
      <c r="F544" s="61" t="s">
        <v>1985</v>
      </c>
      <c r="G544" s="62" t="s">
        <v>44</v>
      </c>
      <c r="H544" s="61" t="s">
        <v>106</v>
      </c>
      <c r="I544" s="105"/>
      <c r="J544" s="62" t="s">
        <v>44</v>
      </c>
      <c r="K544" s="105"/>
      <c r="L544" s="61" t="s">
        <v>1986</v>
      </c>
      <c r="M544" s="65"/>
      <c r="N544" s="66"/>
      <c r="O544" s="66" t="str">
        <f t="shared" si="1"/>
        <v/>
      </c>
      <c r="P544" s="66">
        <v>0.0</v>
      </c>
      <c r="Q544" s="66">
        <v>0.0</v>
      </c>
      <c r="R544" s="112"/>
      <c r="S544" s="66"/>
      <c r="T544" s="66"/>
      <c r="U544" s="66"/>
      <c r="V544" s="66"/>
      <c r="W544" s="66"/>
      <c r="X544" s="66"/>
      <c r="Y544" s="66"/>
      <c r="Z544" s="82"/>
    </row>
    <row r="545">
      <c r="A545" s="96"/>
      <c r="B545" s="61" t="s">
        <v>20</v>
      </c>
      <c r="C545" s="97"/>
      <c r="D545" s="97" t="s">
        <v>1987</v>
      </c>
      <c r="E545" s="97" t="s">
        <v>1494</v>
      </c>
      <c r="F545" s="97" t="s">
        <v>1988</v>
      </c>
      <c r="G545" s="98" t="s">
        <v>44</v>
      </c>
      <c r="H545" s="97" t="s">
        <v>64</v>
      </c>
      <c r="I545" s="98" t="s">
        <v>1989</v>
      </c>
      <c r="J545" s="99" t="s">
        <v>1990</v>
      </c>
      <c r="K545" s="166"/>
      <c r="L545" s="300" t="s">
        <v>1991</v>
      </c>
      <c r="M545" s="102"/>
      <c r="N545" s="66"/>
      <c r="O545" s="66" t="str">
        <f t="shared" si="1"/>
        <v>이메일</v>
      </c>
      <c r="P545" s="241">
        <v>0.0</v>
      </c>
      <c r="Q545" s="232">
        <v>1.0</v>
      </c>
      <c r="R545" s="112"/>
      <c r="S545" s="113"/>
      <c r="T545" s="113">
        <v>46108.0</v>
      </c>
      <c r="U545" s="113"/>
      <c r="V545" s="113"/>
      <c r="W545" s="113"/>
      <c r="X545" s="113"/>
      <c r="Y545" s="113"/>
      <c r="Z545" s="114"/>
    </row>
    <row r="546">
      <c r="A546" s="96"/>
      <c r="B546" s="61" t="s">
        <v>23</v>
      </c>
      <c r="C546" s="97"/>
      <c r="D546" s="97" t="s">
        <v>787</v>
      </c>
      <c r="E546" s="97" t="s">
        <v>1180</v>
      </c>
      <c r="F546" s="97" t="s">
        <v>1992</v>
      </c>
      <c r="G546" s="98" t="s">
        <v>44</v>
      </c>
      <c r="H546" s="97" t="s">
        <v>106</v>
      </c>
      <c r="I546" s="175"/>
      <c r="J546" s="99" t="s">
        <v>1993</v>
      </c>
      <c r="K546" s="166"/>
      <c r="L546" s="361" t="s">
        <v>1994</v>
      </c>
      <c r="M546" s="108" t="s">
        <v>1995</v>
      </c>
      <c r="N546" s="66"/>
      <c r="O546" s="66" t="str">
        <f t="shared" si="1"/>
        <v>이메일</v>
      </c>
      <c r="P546" s="241">
        <v>0.0</v>
      </c>
      <c r="Q546" s="232">
        <v>1.0</v>
      </c>
      <c r="R546" s="112"/>
      <c r="S546" s="113"/>
      <c r="T546" s="113">
        <v>46108.0</v>
      </c>
      <c r="U546" s="113"/>
      <c r="V546" s="113"/>
      <c r="W546" s="67" t="s">
        <v>25</v>
      </c>
      <c r="X546" s="113"/>
      <c r="Y546" s="113"/>
      <c r="Z546" s="114"/>
    </row>
    <row r="547">
      <c r="A547" s="90"/>
      <c r="B547" s="61" t="s">
        <v>23</v>
      </c>
      <c r="C547" s="61" t="s">
        <v>1084</v>
      </c>
      <c r="D547" s="61" t="s">
        <v>112</v>
      </c>
      <c r="E547" s="61" t="s">
        <v>1377</v>
      </c>
      <c r="F547" s="61" t="s">
        <v>1447</v>
      </c>
      <c r="G547" s="62" t="s">
        <v>44</v>
      </c>
      <c r="H547" s="61" t="s">
        <v>64</v>
      </c>
      <c r="I547" s="62" t="s">
        <v>648</v>
      </c>
      <c r="J547" s="105"/>
      <c r="K547" s="105"/>
      <c r="L547" s="61" t="s">
        <v>1449</v>
      </c>
      <c r="M547" s="65"/>
      <c r="N547" s="66"/>
      <c r="O547" s="66" t="str">
        <f t="shared" si="1"/>
        <v/>
      </c>
      <c r="P547" s="66">
        <v>0.0</v>
      </c>
      <c r="Q547" s="66">
        <v>0.0</v>
      </c>
      <c r="R547" s="112"/>
      <c r="S547" s="66"/>
      <c r="T547" s="66"/>
      <c r="U547" s="66"/>
      <c r="V547" s="66"/>
      <c r="W547" s="66"/>
      <c r="X547" s="66"/>
      <c r="Y547" s="66"/>
      <c r="Z547" s="82"/>
    </row>
    <row r="548">
      <c r="A548" s="90"/>
      <c r="B548" s="61" t="s">
        <v>23</v>
      </c>
      <c r="C548" s="61"/>
      <c r="D548" s="61" t="s">
        <v>1996</v>
      </c>
      <c r="E548" s="61" t="s">
        <v>1110</v>
      </c>
      <c r="F548" s="61" t="s">
        <v>1997</v>
      </c>
      <c r="G548" s="62" t="s">
        <v>44</v>
      </c>
      <c r="H548" s="61" t="s">
        <v>106</v>
      </c>
      <c r="I548" s="105"/>
      <c r="J548" s="62" t="s">
        <v>44</v>
      </c>
      <c r="K548" s="105"/>
      <c r="L548" s="61" t="s">
        <v>1998</v>
      </c>
      <c r="M548" s="65"/>
      <c r="N548" s="66"/>
      <c r="O548" s="66" t="str">
        <f t="shared" si="1"/>
        <v/>
      </c>
      <c r="P548" s="66">
        <v>0.0</v>
      </c>
      <c r="Q548" s="66">
        <v>0.0</v>
      </c>
      <c r="R548" s="112"/>
      <c r="S548" s="66"/>
      <c r="T548" s="66"/>
      <c r="U548" s="66"/>
      <c r="V548" s="66"/>
      <c r="W548" s="66"/>
      <c r="X548" s="66"/>
      <c r="Y548" s="66"/>
      <c r="Z548" s="82"/>
    </row>
    <row r="549">
      <c r="A549" s="96"/>
      <c r="B549" s="61" t="s">
        <v>20</v>
      </c>
      <c r="C549" s="97"/>
      <c r="D549" s="97" t="s">
        <v>1996</v>
      </c>
      <c r="E549" s="97" t="s">
        <v>1110</v>
      </c>
      <c r="F549" s="97" t="s">
        <v>1999</v>
      </c>
      <c r="G549" s="98" t="s">
        <v>44</v>
      </c>
      <c r="H549" s="97" t="s">
        <v>106</v>
      </c>
      <c r="I549" s="170"/>
      <c r="J549" s="99" t="s">
        <v>2000</v>
      </c>
      <c r="K549" s="166"/>
      <c r="L549" s="97" t="s">
        <v>2001</v>
      </c>
      <c r="M549" s="102"/>
      <c r="N549" s="66"/>
      <c r="O549" s="66" t="str">
        <f t="shared" si="1"/>
        <v>이메일</v>
      </c>
      <c r="P549" s="241">
        <v>0.0</v>
      </c>
      <c r="Q549" s="232">
        <v>1.0</v>
      </c>
      <c r="R549" s="112"/>
      <c r="S549" s="113"/>
      <c r="T549" s="113">
        <v>46108.0</v>
      </c>
      <c r="U549" s="113"/>
      <c r="V549" s="113"/>
      <c r="W549" s="113"/>
      <c r="X549" s="113"/>
      <c r="Y549" s="113"/>
      <c r="Z549" s="114"/>
    </row>
    <row r="550">
      <c r="A550" s="90"/>
      <c r="B550" s="61" t="s">
        <v>23</v>
      </c>
      <c r="C550" s="266"/>
      <c r="D550" s="266" t="s">
        <v>112</v>
      </c>
      <c r="E550" s="266" t="s">
        <v>578</v>
      </c>
      <c r="F550" s="266" t="s">
        <v>2002</v>
      </c>
      <c r="G550" s="268" t="s">
        <v>789</v>
      </c>
      <c r="H550" s="269"/>
      <c r="I550" s="269"/>
      <c r="J550" s="269"/>
      <c r="K550" s="268" t="s">
        <v>45</v>
      </c>
      <c r="L550" s="269"/>
      <c r="M550" s="296" t="s">
        <v>2003</v>
      </c>
      <c r="N550" s="66"/>
      <c r="O550" s="66" t="str">
        <f t="shared" si="1"/>
        <v/>
      </c>
      <c r="P550" s="66">
        <v>0.0</v>
      </c>
      <c r="Q550" s="66">
        <v>0.0</v>
      </c>
      <c r="R550" s="112"/>
      <c r="S550" s="66"/>
      <c r="T550" s="66"/>
      <c r="U550" s="66"/>
      <c r="V550" s="66"/>
      <c r="W550" s="66"/>
      <c r="X550" s="66"/>
      <c r="Y550" s="66"/>
      <c r="Z550" s="82"/>
    </row>
    <row r="551">
      <c r="A551" s="90"/>
      <c r="B551" s="61" t="s">
        <v>23</v>
      </c>
      <c r="C551" s="61"/>
      <c r="D551" s="61" t="s">
        <v>574</v>
      </c>
      <c r="E551" s="61" t="s">
        <v>2004</v>
      </c>
      <c r="F551" s="61" t="s">
        <v>2005</v>
      </c>
      <c r="G551" s="62" t="s">
        <v>789</v>
      </c>
      <c r="H551" s="61" t="s">
        <v>64</v>
      </c>
      <c r="I551" s="62" t="s">
        <v>2006</v>
      </c>
      <c r="J551" s="105"/>
      <c r="K551" s="62" t="s">
        <v>45</v>
      </c>
      <c r="L551" s="105"/>
      <c r="M551" s="65"/>
      <c r="N551" s="66"/>
      <c r="O551" s="66" t="str">
        <f t="shared" si="1"/>
        <v/>
      </c>
      <c r="P551" s="66">
        <v>0.0</v>
      </c>
      <c r="Q551" s="66">
        <v>0.0</v>
      </c>
      <c r="R551" s="112"/>
      <c r="S551" s="66"/>
      <c r="T551" s="66"/>
      <c r="U551" s="66"/>
      <c r="V551" s="66"/>
      <c r="W551" s="66"/>
      <c r="X551" s="66"/>
      <c r="Y551" s="66"/>
      <c r="Z551" s="82"/>
    </row>
    <row r="552">
      <c r="A552" s="90"/>
      <c r="B552" s="61" t="s">
        <v>23</v>
      </c>
      <c r="C552" s="61"/>
      <c r="D552" s="61" t="s">
        <v>2007</v>
      </c>
      <c r="E552" s="61" t="s">
        <v>1199</v>
      </c>
      <c r="F552" s="61" t="s">
        <v>2008</v>
      </c>
      <c r="G552" s="62" t="s">
        <v>44</v>
      </c>
      <c r="H552" s="61" t="s">
        <v>64</v>
      </c>
      <c r="I552" s="62" t="s">
        <v>98</v>
      </c>
      <c r="J552" s="62" t="s">
        <v>44</v>
      </c>
      <c r="K552" s="62" t="s">
        <v>45</v>
      </c>
      <c r="L552" s="105"/>
      <c r="M552" s="65"/>
      <c r="N552" s="66"/>
      <c r="O552" s="66" t="str">
        <f t="shared" si="1"/>
        <v/>
      </c>
      <c r="P552" s="66">
        <v>0.0</v>
      </c>
      <c r="Q552" s="66">
        <v>0.0</v>
      </c>
      <c r="R552" s="112"/>
      <c r="S552" s="66"/>
      <c r="T552" s="66"/>
      <c r="U552" s="66"/>
      <c r="V552" s="66"/>
      <c r="W552" s="66"/>
      <c r="X552" s="66"/>
      <c r="Y552" s="66"/>
      <c r="Z552" s="82"/>
    </row>
    <row r="553">
      <c r="A553" s="90"/>
      <c r="B553" s="61" t="s">
        <v>23</v>
      </c>
      <c r="C553" s="61"/>
      <c r="D553" s="61" t="s">
        <v>1698</v>
      </c>
      <c r="E553" s="61" t="s">
        <v>1199</v>
      </c>
      <c r="F553" s="61" t="s">
        <v>2009</v>
      </c>
      <c r="G553" s="62" t="s">
        <v>44</v>
      </c>
      <c r="H553" s="61" t="s">
        <v>64</v>
      </c>
      <c r="I553" s="62" t="s">
        <v>2010</v>
      </c>
      <c r="J553" s="62" t="s">
        <v>44</v>
      </c>
      <c r="K553" s="62" t="s">
        <v>45</v>
      </c>
      <c r="L553" s="105"/>
      <c r="M553" s="65"/>
      <c r="N553" s="66"/>
      <c r="O553" s="66" t="str">
        <f t="shared" si="1"/>
        <v/>
      </c>
      <c r="P553" s="66">
        <v>0.0</v>
      </c>
      <c r="Q553" s="66">
        <v>0.0</v>
      </c>
      <c r="R553" s="112"/>
      <c r="S553" s="66"/>
      <c r="T553" s="66"/>
      <c r="U553" s="66"/>
      <c r="V553" s="66"/>
      <c r="W553" s="66"/>
      <c r="X553" s="66"/>
      <c r="Y553" s="66"/>
      <c r="Z553" s="82"/>
    </row>
    <row r="554">
      <c r="A554" s="90"/>
      <c r="B554" s="61" t="s">
        <v>23</v>
      </c>
      <c r="C554" s="61"/>
      <c r="D554" s="61" t="s">
        <v>881</v>
      </c>
      <c r="E554" s="61" t="s">
        <v>1377</v>
      </c>
      <c r="F554" s="61" t="s">
        <v>2011</v>
      </c>
      <c r="G554" s="62" t="s">
        <v>44</v>
      </c>
      <c r="H554" s="61" t="s">
        <v>2012</v>
      </c>
      <c r="I554" s="354"/>
      <c r="J554" s="62" t="s">
        <v>44</v>
      </c>
      <c r="K554" s="105"/>
      <c r="L554" s="61" t="s">
        <v>2013</v>
      </c>
      <c r="M554" s="65"/>
      <c r="N554" s="66"/>
      <c r="O554" s="66" t="str">
        <f t="shared" si="1"/>
        <v/>
      </c>
      <c r="P554" s="66">
        <v>0.0</v>
      </c>
      <c r="Q554" s="66">
        <v>0.0</v>
      </c>
      <c r="R554" s="112"/>
      <c r="S554" s="66"/>
      <c r="T554" s="66"/>
      <c r="U554" s="66"/>
      <c r="V554" s="66"/>
      <c r="W554" s="66"/>
      <c r="X554" s="66"/>
      <c r="Y554" s="66"/>
      <c r="Z554" s="82"/>
    </row>
    <row r="555">
      <c r="A555" s="90"/>
      <c r="B555" s="61" t="s">
        <v>23</v>
      </c>
      <c r="C555" s="278"/>
      <c r="D555" s="278" t="s">
        <v>713</v>
      </c>
      <c r="E555" s="278" t="s">
        <v>1180</v>
      </c>
      <c r="F555" s="278" t="s">
        <v>2014</v>
      </c>
      <c r="G555" s="362" t="s">
        <v>44</v>
      </c>
      <c r="H555" s="278" t="s">
        <v>106</v>
      </c>
      <c r="I555" s="280"/>
      <c r="J555" s="279" t="s">
        <v>44</v>
      </c>
      <c r="K555" s="280"/>
      <c r="L555" s="278" t="s">
        <v>1948</v>
      </c>
      <c r="M555" s="281"/>
      <c r="N555" s="66"/>
      <c r="O555" s="66" t="str">
        <f t="shared" si="1"/>
        <v/>
      </c>
      <c r="P555" s="66">
        <v>0.0</v>
      </c>
      <c r="Q555" s="66">
        <v>0.0</v>
      </c>
      <c r="R555" s="112"/>
      <c r="S555" s="66"/>
      <c r="T555" s="66"/>
      <c r="U555" s="66"/>
      <c r="V555" s="66"/>
      <c r="W555" s="66"/>
      <c r="X555" s="66"/>
      <c r="Y555" s="66"/>
      <c r="Z555" s="82"/>
    </row>
    <row r="556">
      <c r="A556" s="90"/>
      <c r="B556" s="61" t="s">
        <v>23</v>
      </c>
      <c r="C556" s="61"/>
      <c r="D556" s="61" t="s">
        <v>881</v>
      </c>
      <c r="E556" s="61" t="s">
        <v>531</v>
      </c>
      <c r="F556" s="61" t="s">
        <v>2015</v>
      </c>
      <c r="G556" s="62" t="s">
        <v>44</v>
      </c>
      <c r="H556" s="61" t="s">
        <v>106</v>
      </c>
      <c r="I556" s="105"/>
      <c r="J556" s="62" t="s">
        <v>44</v>
      </c>
      <c r="K556" s="105"/>
      <c r="L556" s="61" t="s">
        <v>2016</v>
      </c>
      <c r="M556" s="65"/>
      <c r="N556" s="66"/>
      <c r="O556" s="66" t="str">
        <f t="shared" si="1"/>
        <v/>
      </c>
      <c r="P556" s="66">
        <v>0.0</v>
      </c>
      <c r="Q556" s="66">
        <v>0.0</v>
      </c>
      <c r="R556" s="112"/>
      <c r="S556" s="66"/>
      <c r="T556" s="66"/>
      <c r="U556" s="66"/>
      <c r="V556" s="66"/>
      <c r="W556" s="66"/>
      <c r="X556" s="66"/>
      <c r="Y556" s="66"/>
      <c r="Z556" s="82"/>
    </row>
    <row r="557">
      <c r="A557" s="96"/>
      <c r="B557" s="61" t="s">
        <v>25</v>
      </c>
      <c r="C557" s="97"/>
      <c r="D557" s="97" t="s">
        <v>881</v>
      </c>
      <c r="E557" s="97" t="s">
        <v>531</v>
      </c>
      <c r="F557" s="97" t="s">
        <v>2017</v>
      </c>
      <c r="G557" s="98" t="s">
        <v>44</v>
      </c>
      <c r="H557" s="97" t="s">
        <v>106</v>
      </c>
      <c r="I557" s="175"/>
      <c r="J557" s="99" t="s">
        <v>2018</v>
      </c>
      <c r="K557" s="100" t="s">
        <v>2019</v>
      </c>
      <c r="L557" s="97" t="s">
        <v>2020</v>
      </c>
      <c r="M557" s="102"/>
      <c r="N557" s="66"/>
      <c r="O557" s="66" t="str">
        <f t="shared" si="1"/>
        <v/>
      </c>
      <c r="P557" s="241">
        <v>0.0</v>
      </c>
      <c r="Q557" s="241">
        <v>0.0</v>
      </c>
      <c r="R557" s="112"/>
      <c r="S557" s="241"/>
      <c r="T557" s="241"/>
      <c r="U557" s="241"/>
      <c r="V557" s="241"/>
      <c r="W557" s="241"/>
      <c r="X557" s="241"/>
      <c r="Y557" s="241"/>
      <c r="Z557" s="242"/>
    </row>
    <row r="558">
      <c r="A558" s="96"/>
      <c r="B558" s="61" t="s">
        <v>20</v>
      </c>
      <c r="C558" s="97"/>
      <c r="D558" s="97" t="s">
        <v>2021</v>
      </c>
      <c r="E558" s="97" t="s">
        <v>2022</v>
      </c>
      <c r="F558" s="97" t="s">
        <v>2023</v>
      </c>
      <c r="G558" s="98" t="s">
        <v>44</v>
      </c>
      <c r="H558" s="97" t="s">
        <v>64</v>
      </c>
      <c r="I558" s="98" t="s">
        <v>2010</v>
      </c>
      <c r="J558" s="99" t="s">
        <v>2024</v>
      </c>
      <c r="K558" s="166"/>
      <c r="L558" s="97" t="s">
        <v>2025</v>
      </c>
      <c r="M558" s="102"/>
      <c r="N558" s="66"/>
      <c r="O558" s="66" t="str">
        <f t="shared" si="1"/>
        <v>이메일</v>
      </c>
      <c r="P558" s="241">
        <v>0.0</v>
      </c>
      <c r="Q558" s="232">
        <v>1.0</v>
      </c>
      <c r="R558" s="112"/>
      <c r="S558" s="113"/>
      <c r="T558" s="113">
        <v>46108.0</v>
      </c>
      <c r="U558" s="113"/>
      <c r="V558" s="113"/>
      <c r="W558" s="113"/>
      <c r="X558" s="113"/>
      <c r="Y558" s="113"/>
      <c r="Z558" s="114"/>
    </row>
    <row r="559">
      <c r="A559" s="90"/>
      <c r="B559" s="61" t="s">
        <v>23</v>
      </c>
      <c r="C559" s="61"/>
      <c r="D559" s="61" t="s">
        <v>881</v>
      </c>
      <c r="E559" s="61" t="s">
        <v>2022</v>
      </c>
      <c r="F559" s="61" t="s">
        <v>2026</v>
      </c>
      <c r="G559" s="62" t="s">
        <v>44</v>
      </c>
      <c r="H559" s="61" t="s">
        <v>106</v>
      </c>
      <c r="I559" s="105"/>
      <c r="J559" s="105"/>
      <c r="K559" s="62" t="s">
        <v>45</v>
      </c>
      <c r="L559" s="61" t="s">
        <v>2027</v>
      </c>
      <c r="M559" s="65"/>
      <c r="N559" s="66"/>
      <c r="O559" s="66" t="str">
        <f t="shared" si="1"/>
        <v/>
      </c>
      <c r="P559" s="66">
        <v>0.0</v>
      </c>
      <c r="Q559" s="66">
        <v>0.0</v>
      </c>
      <c r="R559" s="112"/>
      <c r="S559" s="66"/>
      <c r="T559" s="66"/>
      <c r="U559" s="66"/>
      <c r="V559" s="66"/>
      <c r="W559" s="66"/>
      <c r="X559" s="66"/>
      <c r="Y559" s="66"/>
      <c r="Z559" s="82"/>
    </row>
    <row r="560">
      <c r="A560" s="90"/>
      <c r="B560" s="61" t="s">
        <v>23</v>
      </c>
      <c r="C560" s="61"/>
      <c r="D560" s="61" t="s">
        <v>881</v>
      </c>
      <c r="E560" s="61" t="s">
        <v>69</v>
      </c>
      <c r="F560" s="61" t="s">
        <v>2028</v>
      </c>
      <c r="G560" s="62" t="s">
        <v>44</v>
      </c>
      <c r="H560" s="61" t="s">
        <v>106</v>
      </c>
      <c r="I560" s="105"/>
      <c r="J560" s="62" t="s">
        <v>44</v>
      </c>
      <c r="K560" s="105"/>
      <c r="L560" s="61" t="s">
        <v>2029</v>
      </c>
      <c r="M560" s="65"/>
      <c r="N560" s="66"/>
      <c r="O560" s="66" t="str">
        <f t="shared" si="1"/>
        <v/>
      </c>
      <c r="P560" s="66">
        <v>0.0</v>
      </c>
      <c r="Q560" s="66">
        <v>0.0</v>
      </c>
      <c r="R560" s="112"/>
      <c r="S560" s="66"/>
      <c r="T560" s="66"/>
      <c r="U560" s="66"/>
      <c r="V560" s="66"/>
      <c r="W560" s="66"/>
      <c r="X560" s="66"/>
      <c r="Y560" s="66"/>
      <c r="Z560" s="82"/>
    </row>
    <row r="561">
      <c r="A561" s="90"/>
      <c r="B561" s="61" t="s">
        <v>23</v>
      </c>
      <c r="C561" s="61"/>
      <c r="D561" s="61" t="s">
        <v>881</v>
      </c>
      <c r="E561" s="61" t="s">
        <v>69</v>
      </c>
      <c r="F561" s="61" t="s">
        <v>2030</v>
      </c>
      <c r="G561" s="290" t="s">
        <v>44</v>
      </c>
      <c r="H561" s="264" t="s">
        <v>106</v>
      </c>
      <c r="I561" s="112"/>
      <c r="J561" s="290" t="s">
        <v>44</v>
      </c>
      <c r="K561" s="105"/>
      <c r="L561" s="61" t="s">
        <v>2031</v>
      </c>
      <c r="M561" s="65"/>
      <c r="N561" s="66"/>
      <c r="O561" s="66" t="str">
        <f t="shared" si="1"/>
        <v/>
      </c>
      <c r="P561" s="66">
        <v>0.0</v>
      </c>
      <c r="Q561" s="66">
        <v>0.0</v>
      </c>
      <c r="R561" s="112"/>
      <c r="S561" s="66"/>
      <c r="T561" s="66"/>
      <c r="U561" s="66"/>
      <c r="V561" s="66"/>
      <c r="W561" s="66"/>
      <c r="X561" s="66"/>
      <c r="Y561" s="66"/>
      <c r="Z561" s="82"/>
    </row>
    <row r="562">
      <c r="A562" s="90"/>
      <c r="B562" s="61" t="s">
        <v>23</v>
      </c>
      <c r="C562" s="61"/>
      <c r="D562" s="61" t="s">
        <v>2032</v>
      </c>
      <c r="E562" s="61" t="s">
        <v>353</v>
      </c>
      <c r="F562" s="61" t="s">
        <v>2033</v>
      </c>
      <c r="G562" s="198" t="s">
        <v>44</v>
      </c>
      <c r="H562" s="264" t="s">
        <v>106</v>
      </c>
      <c r="I562" s="282"/>
      <c r="J562" s="62" t="s">
        <v>44</v>
      </c>
      <c r="K562" s="105"/>
      <c r="L562" s="61" t="s">
        <v>2034</v>
      </c>
      <c r="M562" s="65"/>
      <c r="N562" s="66"/>
      <c r="O562" s="66" t="str">
        <f t="shared" si="1"/>
        <v/>
      </c>
      <c r="P562" s="66">
        <v>0.0</v>
      </c>
      <c r="Q562" s="66">
        <v>0.0</v>
      </c>
      <c r="R562" s="112"/>
      <c r="S562" s="66"/>
      <c r="T562" s="66"/>
      <c r="U562" s="66"/>
      <c r="V562" s="66"/>
      <c r="W562" s="66"/>
      <c r="X562" s="66"/>
      <c r="Y562" s="66"/>
      <c r="Z562" s="82"/>
    </row>
    <row r="563">
      <c r="A563" s="90"/>
      <c r="B563" s="61" t="s">
        <v>23</v>
      </c>
      <c r="C563" s="61"/>
      <c r="D563" s="61" t="s">
        <v>112</v>
      </c>
      <c r="E563" s="61" t="s">
        <v>332</v>
      </c>
      <c r="F563" s="61" t="s">
        <v>2035</v>
      </c>
      <c r="G563" s="62" t="s">
        <v>594</v>
      </c>
      <c r="H563" s="61" t="s">
        <v>106</v>
      </c>
      <c r="I563" s="61" t="s">
        <v>106</v>
      </c>
      <c r="J563" s="105"/>
      <c r="K563" s="105"/>
      <c r="L563" s="363" t="s">
        <v>2036</v>
      </c>
      <c r="M563" s="125" t="s">
        <v>2037</v>
      </c>
      <c r="N563" s="66"/>
      <c r="O563" s="66" t="str">
        <f t="shared" si="1"/>
        <v/>
      </c>
      <c r="P563" s="66">
        <v>0.0</v>
      </c>
      <c r="Q563" s="66">
        <v>0.0</v>
      </c>
      <c r="R563" s="112"/>
      <c r="S563" s="66"/>
      <c r="T563" s="66"/>
      <c r="U563" s="66"/>
      <c r="V563" s="66"/>
      <c r="W563" s="66"/>
      <c r="X563" s="66"/>
      <c r="Y563" s="66"/>
      <c r="Z563" s="82"/>
    </row>
    <row r="564">
      <c r="A564" s="90"/>
      <c r="B564" s="61" t="s">
        <v>23</v>
      </c>
      <c r="C564" s="61"/>
      <c r="D564" s="61" t="s">
        <v>574</v>
      </c>
      <c r="E564" s="61" t="s">
        <v>429</v>
      </c>
      <c r="F564" s="61" t="s">
        <v>2038</v>
      </c>
      <c r="G564" s="62" t="s">
        <v>636</v>
      </c>
      <c r="H564" s="61" t="s">
        <v>64</v>
      </c>
      <c r="I564" s="62" t="s">
        <v>2039</v>
      </c>
      <c r="J564" s="62" t="s">
        <v>44</v>
      </c>
      <c r="K564" s="62" t="s">
        <v>45</v>
      </c>
      <c r="L564" s="105"/>
      <c r="M564" s="65"/>
      <c r="N564" s="66"/>
      <c r="O564" s="66" t="str">
        <f t="shared" si="1"/>
        <v/>
      </c>
      <c r="P564" s="66">
        <v>0.0</v>
      </c>
      <c r="Q564" s="66">
        <v>0.0</v>
      </c>
      <c r="R564" s="112"/>
      <c r="S564" s="66"/>
      <c r="T564" s="66"/>
      <c r="U564" s="66"/>
      <c r="V564" s="66"/>
      <c r="W564" s="66"/>
      <c r="X564" s="66"/>
      <c r="Y564" s="66"/>
      <c r="Z564" s="82"/>
    </row>
    <row r="565">
      <c r="A565" s="90"/>
      <c r="B565" s="61" t="s">
        <v>23</v>
      </c>
      <c r="C565" s="61"/>
      <c r="D565" s="61" t="s">
        <v>1036</v>
      </c>
      <c r="E565" s="61" t="s">
        <v>2022</v>
      </c>
      <c r="F565" s="61" t="s">
        <v>2040</v>
      </c>
      <c r="G565" s="62" t="s">
        <v>2041</v>
      </c>
      <c r="H565" s="61" t="s">
        <v>64</v>
      </c>
      <c r="I565" s="62" t="s">
        <v>2010</v>
      </c>
      <c r="J565" s="62" t="s">
        <v>44</v>
      </c>
      <c r="K565" s="62" t="s">
        <v>45</v>
      </c>
      <c r="L565" s="61" t="s">
        <v>2042</v>
      </c>
      <c r="M565" s="65"/>
      <c r="N565" s="66"/>
      <c r="O565" s="66" t="str">
        <f t="shared" si="1"/>
        <v/>
      </c>
      <c r="P565" s="66">
        <v>0.0</v>
      </c>
      <c r="Q565" s="66">
        <v>0.0</v>
      </c>
      <c r="R565" s="112"/>
      <c r="S565" s="66"/>
      <c r="T565" s="66"/>
      <c r="U565" s="66"/>
      <c r="V565" s="66"/>
      <c r="W565" s="66"/>
      <c r="X565" s="66"/>
      <c r="Y565" s="66"/>
      <c r="Z565" s="82"/>
    </row>
    <row r="566">
      <c r="A566" s="96"/>
      <c r="B566" s="61" t="s">
        <v>20</v>
      </c>
      <c r="C566" s="97"/>
      <c r="D566" s="97" t="s">
        <v>2043</v>
      </c>
      <c r="E566" s="97" t="s">
        <v>1370</v>
      </c>
      <c r="F566" s="97" t="s">
        <v>2044</v>
      </c>
      <c r="G566" s="98" t="s">
        <v>44</v>
      </c>
      <c r="H566" s="97" t="s">
        <v>106</v>
      </c>
      <c r="I566" s="175"/>
      <c r="J566" s="99" t="s">
        <v>2045</v>
      </c>
      <c r="K566" s="166"/>
      <c r="L566" s="97" t="s">
        <v>2046</v>
      </c>
      <c r="M566" s="102"/>
      <c r="N566" s="66"/>
      <c r="O566" s="66" t="str">
        <f t="shared" si="1"/>
        <v>이메일</v>
      </c>
      <c r="P566" s="241">
        <v>0.0</v>
      </c>
      <c r="Q566" s="232">
        <v>1.0</v>
      </c>
      <c r="R566" s="112"/>
      <c r="S566" s="113"/>
      <c r="T566" s="113">
        <v>46108.0</v>
      </c>
      <c r="U566" s="113"/>
      <c r="V566" s="113"/>
      <c r="W566" s="113"/>
      <c r="X566" s="113"/>
      <c r="Y566" s="113"/>
      <c r="Z566" s="114"/>
    </row>
    <row r="567">
      <c r="A567" s="96"/>
      <c r="B567" s="61" t="s">
        <v>20</v>
      </c>
      <c r="C567" s="97" t="s">
        <v>1733</v>
      </c>
      <c r="D567" s="97" t="s">
        <v>1961</v>
      </c>
      <c r="E567" s="97" t="s">
        <v>1072</v>
      </c>
      <c r="F567" s="97" t="s">
        <v>2047</v>
      </c>
      <c r="G567" s="98" t="s">
        <v>44</v>
      </c>
      <c r="H567" s="97" t="s">
        <v>106</v>
      </c>
      <c r="I567" s="97" t="s">
        <v>106</v>
      </c>
      <c r="J567" s="99" t="s">
        <v>2048</v>
      </c>
      <c r="K567" s="166"/>
      <c r="L567" s="97" t="s">
        <v>2049</v>
      </c>
      <c r="M567" s="102"/>
      <c r="N567" s="66"/>
      <c r="O567" s="66" t="str">
        <f t="shared" si="1"/>
        <v>이메일</v>
      </c>
      <c r="P567" s="241">
        <v>0.0</v>
      </c>
      <c r="Q567" s="232">
        <v>1.0</v>
      </c>
      <c r="R567" s="112"/>
      <c r="S567" s="113"/>
      <c r="T567" s="113">
        <v>46108.0</v>
      </c>
      <c r="U567" s="113"/>
      <c r="V567" s="113"/>
      <c r="W567" s="113"/>
      <c r="X567" s="113"/>
      <c r="Y567" s="113"/>
      <c r="Z567" s="114"/>
    </row>
    <row r="568">
      <c r="A568" s="96"/>
      <c r="B568" s="61" t="s">
        <v>20</v>
      </c>
      <c r="C568" s="97"/>
      <c r="D568" s="97" t="s">
        <v>938</v>
      </c>
      <c r="E568" s="97" t="s">
        <v>578</v>
      </c>
      <c r="F568" s="97" t="s">
        <v>2050</v>
      </c>
      <c r="G568" s="98" t="s">
        <v>789</v>
      </c>
      <c r="H568" s="175"/>
      <c r="I568" s="98" t="s">
        <v>2051</v>
      </c>
      <c r="J568" s="99" t="s">
        <v>2052</v>
      </c>
      <c r="K568" s="104" t="s">
        <v>2053</v>
      </c>
      <c r="L568" s="97"/>
      <c r="M568" s="102"/>
      <c r="N568" s="66"/>
      <c r="O568" s="66" t="str">
        <f t="shared" si="1"/>
        <v>DM</v>
      </c>
      <c r="P568" s="232">
        <v>1.0</v>
      </c>
      <c r="Q568" s="241">
        <v>0.0</v>
      </c>
      <c r="R568" s="112"/>
      <c r="S568" s="113"/>
      <c r="T568" s="113">
        <v>46108.0</v>
      </c>
      <c r="U568" s="113"/>
      <c r="V568" s="113"/>
      <c r="W568" s="113"/>
      <c r="X568" s="113"/>
      <c r="Y568" s="113"/>
      <c r="Z568" s="114"/>
    </row>
    <row r="569">
      <c r="A569" s="90"/>
      <c r="B569" s="61" t="s">
        <v>23</v>
      </c>
      <c r="C569" s="61"/>
      <c r="D569" s="61" t="s">
        <v>2054</v>
      </c>
      <c r="E569" s="61" t="s">
        <v>1110</v>
      </c>
      <c r="F569" s="61" t="s">
        <v>2055</v>
      </c>
      <c r="G569" s="62" t="s">
        <v>1252</v>
      </c>
      <c r="H569" s="61"/>
      <c r="I569" s="105"/>
      <c r="J569" s="62" t="s">
        <v>44</v>
      </c>
      <c r="K569" s="105"/>
      <c r="L569" s="61" t="s">
        <v>2056</v>
      </c>
      <c r="M569" s="65"/>
      <c r="N569" s="66"/>
      <c r="O569" s="66" t="str">
        <f t="shared" si="1"/>
        <v/>
      </c>
      <c r="P569" s="66">
        <v>0.0</v>
      </c>
      <c r="Q569" s="66">
        <v>0.0</v>
      </c>
      <c r="R569" s="112"/>
      <c r="S569" s="66"/>
      <c r="T569" s="66"/>
      <c r="U569" s="66"/>
      <c r="V569" s="66"/>
      <c r="W569" s="66"/>
      <c r="X569" s="66"/>
      <c r="Y569" s="66"/>
      <c r="Z569" s="82"/>
    </row>
    <row r="570">
      <c r="A570" s="96"/>
      <c r="B570" s="61" t="s">
        <v>23</v>
      </c>
      <c r="C570" s="97" t="s">
        <v>1084</v>
      </c>
      <c r="D570" s="97" t="s">
        <v>2057</v>
      </c>
      <c r="E570" s="97" t="s">
        <v>1110</v>
      </c>
      <c r="F570" s="97" t="s">
        <v>2058</v>
      </c>
      <c r="G570" s="98" t="s">
        <v>44</v>
      </c>
      <c r="H570" s="97"/>
      <c r="I570" s="175"/>
      <c r="J570" s="99" t="s">
        <v>2059</v>
      </c>
      <c r="K570" s="107" t="s">
        <v>2060</v>
      </c>
      <c r="L570" s="97" t="s">
        <v>1545</v>
      </c>
      <c r="M570" s="102"/>
      <c r="N570" s="66"/>
      <c r="O570" s="66" t="str">
        <f t="shared" si="1"/>
        <v/>
      </c>
      <c r="P570" s="241">
        <v>0.0</v>
      </c>
      <c r="Q570" s="241">
        <v>0.0</v>
      </c>
      <c r="R570" s="112"/>
      <c r="S570" s="241"/>
      <c r="T570" s="241"/>
      <c r="U570" s="241"/>
      <c r="V570" s="241"/>
      <c r="W570" s="241"/>
      <c r="X570" s="241"/>
      <c r="Y570" s="241"/>
      <c r="Z570" s="242"/>
    </row>
    <row r="571">
      <c r="A571" s="90"/>
      <c r="B571" s="61" t="s">
        <v>23</v>
      </c>
      <c r="C571" s="61"/>
      <c r="D571" s="61" t="s">
        <v>2061</v>
      </c>
      <c r="E571" s="61" t="s">
        <v>1199</v>
      </c>
      <c r="F571" s="61" t="s">
        <v>2062</v>
      </c>
      <c r="G571" s="62" t="s">
        <v>45</v>
      </c>
      <c r="H571" s="61" t="s">
        <v>64</v>
      </c>
      <c r="I571" s="62" t="s">
        <v>2063</v>
      </c>
      <c r="J571" s="105"/>
      <c r="K571" s="62" t="s">
        <v>45</v>
      </c>
      <c r="L571" s="105"/>
      <c r="M571" s="65"/>
      <c r="N571" s="66"/>
      <c r="O571" s="66" t="str">
        <f t="shared" si="1"/>
        <v/>
      </c>
      <c r="P571" s="66">
        <v>0.0</v>
      </c>
      <c r="Q571" s="66">
        <v>0.0</v>
      </c>
      <c r="R571" s="112"/>
      <c r="S571" s="66"/>
      <c r="T571" s="66"/>
      <c r="U571" s="66"/>
      <c r="V571" s="66"/>
      <c r="W571" s="66"/>
      <c r="X571" s="66"/>
      <c r="Y571" s="66"/>
      <c r="Z571" s="82"/>
    </row>
    <row r="572">
      <c r="A572" s="96"/>
      <c r="B572" s="61" t="s">
        <v>20</v>
      </c>
      <c r="C572" s="97"/>
      <c r="D572" s="97" t="s">
        <v>2064</v>
      </c>
      <c r="E572" s="97" t="s">
        <v>109</v>
      </c>
      <c r="F572" s="97" t="s">
        <v>2065</v>
      </c>
      <c r="G572" s="98" t="s">
        <v>44</v>
      </c>
      <c r="H572" s="97" t="s">
        <v>106</v>
      </c>
      <c r="I572" s="175"/>
      <c r="J572" s="99" t="s">
        <v>2066</v>
      </c>
      <c r="K572" s="107" t="s">
        <v>2067</v>
      </c>
      <c r="L572" s="97" t="s">
        <v>2068</v>
      </c>
      <c r="M572" s="102"/>
      <c r="N572" s="66"/>
      <c r="O572" s="66" t="str">
        <f t="shared" si="1"/>
        <v>DM+이메일</v>
      </c>
      <c r="P572" s="232">
        <v>1.0</v>
      </c>
      <c r="Q572" s="232">
        <v>1.0</v>
      </c>
      <c r="R572" s="112"/>
      <c r="S572" s="113"/>
      <c r="T572" s="113">
        <v>46108.0</v>
      </c>
      <c r="U572" s="113"/>
      <c r="V572" s="113"/>
      <c r="W572" s="113"/>
      <c r="X572" s="113"/>
      <c r="Y572" s="113"/>
      <c r="Z572" s="114"/>
    </row>
    <row r="573">
      <c r="A573" s="90"/>
      <c r="B573" s="61" t="s">
        <v>23</v>
      </c>
      <c r="C573" s="61"/>
      <c r="D573" s="61" t="s">
        <v>938</v>
      </c>
      <c r="E573" s="61" t="s">
        <v>513</v>
      </c>
      <c r="F573" s="61" t="s">
        <v>1287</v>
      </c>
      <c r="G573" s="62" t="s">
        <v>2069</v>
      </c>
      <c r="H573" s="61" t="s">
        <v>64</v>
      </c>
      <c r="I573" s="62" t="s">
        <v>2070</v>
      </c>
      <c r="J573" s="112"/>
      <c r="K573" s="62" t="s">
        <v>45</v>
      </c>
      <c r="L573" s="105"/>
      <c r="M573" s="65"/>
      <c r="N573" s="66"/>
      <c r="O573" s="66" t="str">
        <f t="shared" si="1"/>
        <v/>
      </c>
      <c r="P573" s="66">
        <v>0.0</v>
      </c>
      <c r="Q573" s="66">
        <v>0.0</v>
      </c>
      <c r="R573" s="112"/>
      <c r="S573" s="66"/>
      <c r="T573" s="66"/>
      <c r="U573" s="66"/>
      <c r="V573" s="66"/>
      <c r="W573" s="66"/>
      <c r="X573" s="66"/>
      <c r="Y573" s="66"/>
      <c r="Z573" s="82"/>
    </row>
    <row r="574">
      <c r="A574" s="90"/>
      <c r="B574" s="61" t="s">
        <v>23</v>
      </c>
      <c r="C574" s="61"/>
      <c r="D574" s="61" t="s">
        <v>708</v>
      </c>
      <c r="E574" s="61" t="s">
        <v>506</v>
      </c>
      <c r="F574" s="61" t="s">
        <v>2071</v>
      </c>
      <c r="G574" s="62" t="s">
        <v>640</v>
      </c>
      <c r="H574" s="61" t="s">
        <v>64</v>
      </c>
      <c r="I574" s="62" t="s">
        <v>640</v>
      </c>
      <c r="J574" s="105"/>
      <c r="K574" s="62" t="s">
        <v>45</v>
      </c>
      <c r="L574" s="105"/>
      <c r="M574" s="65"/>
      <c r="N574" s="66"/>
      <c r="O574" s="66" t="str">
        <f t="shared" si="1"/>
        <v/>
      </c>
      <c r="P574" s="66">
        <v>0.0</v>
      </c>
      <c r="Q574" s="66">
        <v>0.0</v>
      </c>
      <c r="R574" s="112"/>
      <c r="S574" s="66"/>
      <c r="T574" s="66"/>
      <c r="U574" s="66"/>
      <c r="V574" s="66"/>
      <c r="W574" s="66"/>
      <c r="X574" s="66"/>
      <c r="Y574" s="66"/>
      <c r="Z574" s="82"/>
    </row>
    <row r="575">
      <c r="A575" s="90"/>
      <c r="B575" s="61" t="s">
        <v>23</v>
      </c>
      <c r="C575" s="61"/>
      <c r="D575" s="61" t="s">
        <v>2072</v>
      </c>
      <c r="E575" s="61" t="s">
        <v>531</v>
      </c>
      <c r="F575" s="61" t="s">
        <v>2073</v>
      </c>
      <c r="G575" s="61" t="s">
        <v>44</v>
      </c>
      <c r="H575" s="105"/>
      <c r="I575" s="105"/>
      <c r="J575" s="105"/>
      <c r="K575" s="105"/>
      <c r="L575" s="105"/>
      <c r="M575" s="65"/>
      <c r="N575" s="66"/>
      <c r="O575" s="66" t="str">
        <f t="shared" si="1"/>
        <v/>
      </c>
      <c r="P575" s="66">
        <v>0.0</v>
      </c>
      <c r="Q575" s="66">
        <v>0.0</v>
      </c>
      <c r="R575" s="112"/>
      <c r="S575" s="66"/>
      <c r="T575" s="66"/>
      <c r="U575" s="66"/>
      <c r="V575" s="66"/>
      <c r="W575" s="66"/>
      <c r="X575" s="66"/>
      <c r="Y575" s="66"/>
      <c r="Z575" s="82"/>
    </row>
    <row r="576">
      <c r="A576" s="90"/>
      <c r="B576" s="61" t="s">
        <v>23</v>
      </c>
      <c r="C576" s="61"/>
      <c r="D576" s="61" t="s">
        <v>2074</v>
      </c>
      <c r="E576" s="61" t="s">
        <v>1180</v>
      </c>
      <c r="F576" s="61" t="s">
        <v>2075</v>
      </c>
      <c r="G576" s="62" t="s">
        <v>2076</v>
      </c>
      <c r="H576" s="61" t="s">
        <v>64</v>
      </c>
      <c r="I576" s="61" t="s">
        <v>2077</v>
      </c>
      <c r="J576" s="62" t="s">
        <v>44</v>
      </c>
      <c r="K576" s="62" t="s">
        <v>45</v>
      </c>
      <c r="L576" s="61" t="s">
        <v>2078</v>
      </c>
      <c r="M576" s="65"/>
      <c r="N576" s="66"/>
      <c r="O576" s="66" t="str">
        <f t="shared" si="1"/>
        <v/>
      </c>
      <c r="P576" s="66">
        <v>0.0</v>
      </c>
      <c r="Q576" s="66">
        <v>0.0</v>
      </c>
      <c r="R576" s="112"/>
      <c r="S576" s="66"/>
      <c r="T576" s="66"/>
      <c r="U576" s="66"/>
      <c r="V576" s="66"/>
      <c r="W576" s="66"/>
      <c r="X576" s="66"/>
      <c r="Y576" s="66"/>
      <c r="Z576" s="82"/>
    </row>
    <row r="577">
      <c r="A577" s="96"/>
      <c r="B577" s="61" t="s">
        <v>20</v>
      </c>
      <c r="C577" s="97"/>
      <c r="D577" s="97" t="s">
        <v>2079</v>
      </c>
      <c r="E577" s="97" t="s">
        <v>494</v>
      </c>
      <c r="F577" s="97" t="s">
        <v>2080</v>
      </c>
      <c r="G577" s="98" t="s">
        <v>44</v>
      </c>
      <c r="H577" s="97" t="s">
        <v>106</v>
      </c>
      <c r="I577" s="170"/>
      <c r="J577" s="99" t="s">
        <v>2081</v>
      </c>
      <c r="K577" s="107" t="s">
        <v>2082</v>
      </c>
      <c r="L577" s="364" t="s">
        <v>2083</v>
      </c>
      <c r="M577" s="102"/>
      <c r="N577" s="66"/>
      <c r="O577" s="66" t="str">
        <f t="shared" si="1"/>
        <v>DM+이메일</v>
      </c>
      <c r="P577" s="232">
        <v>1.0</v>
      </c>
      <c r="Q577" s="232">
        <v>1.0</v>
      </c>
      <c r="R577" s="112"/>
      <c r="S577" s="113"/>
      <c r="T577" s="113">
        <v>46108.0</v>
      </c>
      <c r="U577" s="113"/>
      <c r="V577" s="113"/>
      <c r="W577" s="113"/>
      <c r="X577" s="113"/>
      <c r="Y577" s="113"/>
      <c r="Z577" s="114"/>
    </row>
    <row r="578">
      <c r="A578" s="90"/>
      <c r="B578" s="61" t="s">
        <v>23</v>
      </c>
      <c r="C578" s="61"/>
      <c r="D578" s="61" t="s">
        <v>2074</v>
      </c>
      <c r="E578" s="61" t="s">
        <v>1072</v>
      </c>
      <c r="F578" s="61" t="s">
        <v>2084</v>
      </c>
      <c r="G578" s="62" t="s">
        <v>44</v>
      </c>
      <c r="H578" s="61" t="s">
        <v>106</v>
      </c>
      <c r="I578" s="105"/>
      <c r="J578" s="62" t="s">
        <v>44</v>
      </c>
      <c r="K578" s="62" t="s">
        <v>45</v>
      </c>
      <c r="L578" s="61" t="s">
        <v>2085</v>
      </c>
      <c r="M578" s="65"/>
      <c r="N578" s="66"/>
      <c r="O578" s="66" t="str">
        <f t="shared" si="1"/>
        <v/>
      </c>
      <c r="P578" s="66">
        <v>0.0</v>
      </c>
      <c r="Q578" s="66">
        <v>0.0</v>
      </c>
      <c r="R578" s="112"/>
      <c r="S578" s="66"/>
      <c r="T578" s="66"/>
      <c r="U578" s="66"/>
      <c r="V578" s="66"/>
      <c r="W578" s="66"/>
      <c r="X578" s="66"/>
      <c r="Y578" s="66"/>
      <c r="Z578" s="82"/>
    </row>
    <row r="579">
      <c r="A579" s="90"/>
      <c r="B579" s="61" t="s">
        <v>23</v>
      </c>
      <c r="C579" s="266"/>
      <c r="D579" s="266" t="s">
        <v>2086</v>
      </c>
      <c r="E579" s="266" t="s">
        <v>1377</v>
      </c>
      <c r="F579" s="266" t="s">
        <v>2087</v>
      </c>
      <c r="G579" s="268" t="s">
        <v>789</v>
      </c>
      <c r="H579" s="266" t="s">
        <v>106</v>
      </c>
      <c r="I579" s="269"/>
      <c r="J579" s="269"/>
      <c r="K579" s="268" t="s">
        <v>45</v>
      </c>
      <c r="L579" s="269"/>
      <c r="M579" s="272"/>
      <c r="N579" s="66"/>
      <c r="O579" s="66" t="str">
        <f t="shared" si="1"/>
        <v/>
      </c>
      <c r="P579" s="66">
        <v>0.0</v>
      </c>
      <c r="Q579" s="66">
        <v>0.0</v>
      </c>
      <c r="R579" s="112"/>
      <c r="S579" s="66"/>
      <c r="T579" s="66"/>
      <c r="U579" s="66"/>
      <c r="V579" s="66"/>
      <c r="W579" s="66"/>
      <c r="X579" s="66"/>
      <c r="Y579" s="66"/>
      <c r="Z579" s="82"/>
    </row>
    <row r="580">
      <c r="A580" s="96"/>
      <c r="B580" s="61" t="s">
        <v>20</v>
      </c>
      <c r="C580" s="97"/>
      <c r="D580" s="97" t="s">
        <v>2088</v>
      </c>
      <c r="E580" s="97" t="s">
        <v>109</v>
      </c>
      <c r="F580" s="97" t="s">
        <v>2089</v>
      </c>
      <c r="G580" s="98" t="s">
        <v>44</v>
      </c>
      <c r="H580" s="175"/>
      <c r="I580" s="98" t="s">
        <v>2051</v>
      </c>
      <c r="J580" s="99" t="s">
        <v>2090</v>
      </c>
      <c r="K580" s="166"/>
      <c r="L580" s="97" t="s">
        <v>2091</v>
      </c>
      <c r="M580" s="102"/>
      <c r="N580" s="66"/>
      <c r="O580" s="66" t="str">
        <f t="shared" si="1"/>
        <v>이메일</v>
      </c>
      <c r="P580" s="241">
        <v>0.0</v>
      </c>
      <c r="Q580" s="232">
        <v>1.0</v>
      </c>
      <c r="R580" s="112"/>
      <c r="S580" s="113"/>
      <c r="T580" s="113">
        <v>46108.0</v>
      </c>
      <c r="U580" s="113"/>
      <c r="V580" s="113"/>
      <c r="W580" s="113"/>
      <c r="X580" s="113"/>
      <c r="Y580" s="113"/>
      <c r="Z580" s="114"/>
    </row>
    <row r="581">
      <c r="A581" s="96"/>
      <c r="B581" s="61" t="s">
        <v>20</v>
      </c>
      <c r="C581" s="97"/>
      <c r="D581" s="97" t="s">
        <v>574</v>
      </c>
      <c r="E581" s="97" t="s">
        <v>61</v>
      </c>
      <c r="F581" s="97" t="s">
        <v>2092</v>
      </c>
      <c r="G581" s="98" t="s">
        <v>44</v>
      </c>
      <c r="H581" s="97" t="s">
        <v>106</v>
      </c>
      <c r="I581" s="175"/>
      <c r="J581" s="99" t="s">
        <v>2093</v>
      </c>
      <c r="K581" s="107" t="s">
        <v>2094</v>
      </c>
      <c r="L581" s="97" t="s">
        <v>2095</v>
      </c>
      <c r="M581" s="102"/>
      <c r="N581" s="66"/>
      <c r="O581" s="66" t="str">
        <f t="shared" si="1"/>
        <v>DM+이메일</v>
      </c>
      <c r="P581" s="232">
        <v>1.0</v>
      </c>
      <c r="Q581" s="232">
        <v>1.0</v>
      </c>
      <c r="R581" s="112"/>
      <c r="S581" s="113"/>
      <c r="T581" s="113">
        <v>46108.0</v>
      </c>
      <c r="U581" s="113"/>
      <c r="V581" s="113"/>
      <c r="W581" s="113"/>
      <c r="X581" s="113"/>
      <c r="Y581" s="113"/>
      <c r="Z581" s="114"/>
    </row>
    <row r="582">
      <c r="A582" s="96"/>
      <c r="B582" s="61" t="s">
        <v>20</v>
      </c>
      <c r="C582" s="97"/>
      <c r="D582" s="97" t="s">
        <v>1922</v>
      </c>
      <c r="E582" s="97" t="s">
        <v>69</v>
      </c>
      <c r="F582" s="97" t="s">
        <v>2096</v>
      </c>
      <c r="G582" s="98" t="s">
        <v>44</v>
      </c>
      <c r="H582" s="97" t="s">
        <v>106</v>
      </c>
      <c r="I582" s="175"/>
      <c r="J582" s="99" t="s">
        <v>2097</v>
      </c>
      <c r="K582" s="166"/>
      <c r="L582" s="97" t="s">
        <v>2098</v>
      </c>
      <c r="M582" s="102"/>
      <c r="N582" s="66"/>
      <c r="O582" s="66" t="str">
        <f t="shared" si="1"/>
        <v>이메일</v>
      </c>
      <c r="P582" s="241">
        <v>0.0</v>
      </c>
      <c r="Q582" s="232">
        <v>1.0</v>
      </c>
      <c r="R582" s="112"/>
      <c r="S582" s="113"/>
      <c r="T582" s="113">
        <v>46108.0</v>
      </c>
      <c r="U582" s="113"/>
      <c r="V582" s="113"/>
      <c r="W582" s="113"/>
      <c r="X582" s="113"/>
      <c r="Y582" s="113"/>
      <c r="Z582" s="114"/>
    </row>
    <row r="583">
      <c r="A583" s="96"/>
      <c r="B583" s="61" t="s">
        <v>20</v>
      </c>
      <c r="C583" s="97"/>
      <c r="D583" s="97" t="s">
        <v>1922</v>
      </c>
      <c r="E583" s="97" t="s">
        <v>69</v>
      </c>
      <c r="F583" s="97" t="s">
        <v>2099</v>
      </c>
      <c r="G583" s="98" t="s">
        <v>44</v>
      </c>
      <c r="H583" s="97" t="s">
        <v>106</v>
      </c>
      <c r="I583" s="175"/>
      <c r="J583" s="99" t="s">
        <v>2100</v>
      </c>
      <c r="K583" s="166"/>
      <c r="L583" s="97" t="s">
        <v>2101</v>
      </c>
      <c r="M583" s="102"/>
      <c r="N583" s="66"/>
      <c r="O583" s="66" t="str">
        <f t="shared" si="1"/>
        <v>이메일</v>
      </c>
      <c r="P583" s="241">
        <v>0.0</v>
      </c>
      <c r="Q583" s="232">
        <v>1.0</v>
      </c>
      <c r="R583" s="112"/>
      <c r="S583" s="113"/>
      <c r="T583" s="113">
        <v>46108.0</v>
      </c>
      <c r="U583" s="113"/>
      <c r="V583" s="113"/>
      <c r="W583" s="113"/>
      <c r="X583" s="113"/>
      <c r="Y583" s="113"/>
      <c r="Z583" s="114"/>
    </row>
    <row r="584">
      <c r="A584" s="96"/>
      <c r="B584" s="61" t="s">
        <v>23</v>
      </c>
      <c r="C584" s="97"/>
      <c r="D584" s="97" t="s">
        <v>2102</v>
      </c>
      <c r="E584" s="97" t="s">
        <v>1072</v>
      </c>
      <c r="F584" s="97" t="s">
        <v>2103</v>
      </c>
      <c r="G584" s="98" t="s">
        <v>44</v>
      </c>
      <c r="H584" s="97" t="s">
        <v>64</v>
      </c>
      <c r="I584" s="97" t="s">
        <v>496</v>
      </c>
      <c r="J584" s="99" t="s">
        <v>2104</v>
      </c>
      <c r="K584" s="332"/>
      <c r="L584" s="97" t="s">
        <v>2105</v>
      </c>
      <c r="M584" s="108" t="s">
        <v>2106</v>
      </c>
      <c r="N584" s="66"/>
      <c r="O584" s="66" t="str">
        <f t="shared" si="1"/>
        <v/>
      </c>
      <c r="P584" s="241">
        <v>0.0</v>
      </c>
      <c r="Q584" s="241">
        <v>0.0</v>
      </c>
      <c r="R584" s="112"/>
      <c r="S584" s="241"/>
      <c r="T584" s="241"/>
      <c r="U584" s="241"/>
      <c r="V584" s="241"/>
      <c r="W584" s="241"/>
      <c r="X584" s="241"/>
      <c r="Y584" s="241"/>
      <c r="Z584" s="242"/>
    </row>
    <row r="585">
      <c r="A585" s="96"/>
      <c r="B585" s="61" t="s">
        <v>20</v>
      </c>
      <c r="C585" s="97"/>
      <c r="D585" s="97" t="s">
        <v>2107</v>
      </c>
      <c r="E585" s="97" t="s">
        <v>1063</v>
      </c>
      <c r="F585" s="97" t="s">
        <v>2108</v>
      </c>
      <c r="G585" s="98" t="s">
        <v>44</v>
      </c>
      <c r="H585" s="97" t="s">
        <v>106</v>
      </c>
      <c r="I585" s="175"/>
      <c r="J585" s="99" t="s">
        <v>2109</v>
      </c>
      <c r="K585" s="166"/>
      <c r="L585" s="97" t="s">
        <v>2110</v>
      </c>
      <c r="M585" s="102"/>
      <c r="N585" s="66"/>
      <c r="O585" s="66" t="str">
        <f t="shared" si="1"/>
        <v>이메일</v>
      </c>
      <c r="P585" s="241">
        <v>0.0</v>
      </c>
      <c r="Q585" s="232">
        <v>1.0</v>
      </c>
      <c r="R585" s="112"/>
      <c r="S585" s="113"/>
      <c r="T585" s="113">
        <v>46108.0</v>
      </c>
      <c r="U585" s="113"/>
      <c r="V585" s="113"/>
      <c r="W585" s="113"/>
      <c r="X585" s="113"/>
      <c r="Y585" s="113"/>
      <c r="Z585" s="114"/>
    </row>
    <row r="586">
      <c r="A586" s="90"/>
      <c r="B586" s="61" t="s">
        <v>23</v>
      </c>
      <c r="C586" s="61"/>
      <c r="D586" s="61" t="s">
        <v>1821</v>
      </c>
      <c r="E586" s="61" t="s">
        <v>513</v>
      </c>
      <c r="F586" s="61" t="s">
        <v>2111</v>
      </c>
      <c r="G586" s="62" t="s">
        <v>44</v>
      </c>
      <c r="H586" s="61" t="s">
        <v>64</v>
      </c>
      <c r="I586" s="62" t="s">
        <v>648</v>
      </c>
      <c r="J586" s="62" t="s">
        <v>44</v>
      </c>
      <c r="K586" s="62" t="s">
        <v>45</v>
      </c>
      <c r="L586" s="105"/>
      <c r="M586" s="65"/>
      <c r="N586" s="66"/>
      <c r="O586" s="66" t="str">
        <f t="shared" si="1"/>
        <v/>
      </c>
      <c r="P586" s="66">
        <v>0.0</v>
      </c>
      <c r="Q586" s="66">
        <v>0.0</v>
      </c>
      <c r="R586" s="112"/>
      <c r="S586" s="66"/>
      <c r="T586" s="66"/>
      <c r="U586" s="66"/>
      <c r="V586" s="66"/>
      <c r="W586" s="66"/>
      <c r="X586" s="66"/>
      <c r="Y586" s="66"/>
      <c r="Z586" s="82"/>
    </row>
    <row r="587">
      <c r="A587" s="90"/>
      <c r="B587" s="61" t="s">
        <v>23</v>
      </c>
      <c r="C587" s="61"/>
      <c r="D587" s="61" t="s">
        <v>2072</v>
      </c>
      <c r="E587" s="61" t="s">
        <v>69</v>
      </c>
      <c r="F587" s="61" t="s">
        <v>2112</v>
      </c>
      <c r="G587" s="62" t="s">
        <v>44</v>
      </c>
      <c r="H587" s="61" t="s">
        <v>106</v>
      </c>
      <c r="I587" s="105"/>
      <c r="J587" s="62" t="s">
        <v>44</v>
      </c>
      <c r="K587" s="105"/>
      <c r="L587" s="210" t="s">
        <v>2113</v>
      </c>
      <c r="M587" s="65"/>
      <c r="N587" s="66"/>
      <c r="O587" s="66" t="str">
        <f t="shared" si="1"/>
        <v/>
      </c>
      <c r="P587" s="66">
        <v>0.0</v>
      </c>
      <c r="Q587" s="66">
        <v>0.0</v>
      </c>
      <c r="R587" s="112"/>
      <c r="S587" s="66"/>
      <c r="T587" s="66"/>
      <c r="U587" s="66"/>
      <c r="V587" s="66"/>
      <c r="W587" s="66"/>
      <c r="X587" s="66"/>
      <c r="Y587" s="66"/>
      <c r="Z587" s="82"/>
    </row>
    <row r="588">
      <c r="A588" s="90"/>
      <c r="B588" s="61" t="s">
        <v>23</v>
      </c>
      <c r="C588" s="61"/>
      <c r="D588" s="61" t="s">
        <v>2072</v>
      </c>
      <c r="E588" s="61" t="s">
        <v>69</v>
      </c>
      <c r="F588" s="61" t="s">
        <v>2114</v>
      </c>
      <c r="G588" s="62" t="s">
        <v>44</v>
      </c>
      <c r="H588" s="61" t="s">
        <v>64</v>
      </c>
      <c r="I588" s="62" t="s">
        <v>2115</v>
      </c>
      <c r="J588" s="62" t="s">
        <v>44</v>
      </c>
      <c r="K588" s="105"/>
      <c r="L588" s="61" t="s">
        <v>2116</v>
      </c>
      <c r="M588" s="65"/>
      <c r="N588" s="66"/>
      <c r="O588" s="66" t="str">
        <f t="shared" si="1"/>
        <v/>
      </c>
      <c r="P588" s="66">
        <v>0.0</v>
      </c>
      <c r="Q588" s="66">
        <v>0.0</v>
      </c>
      <c r="R588" s="112"/>
      <c r="S588" s="66"/>
      <c r="T588" s="66"/>
      <c r="U588" s="66"/>
      <c r="V588" s="66"/>
      <c r="W588" s="66"/>
      <c r="X588" s="66"/>
      <c r="Y588" s="66"/>
      <c r="Z588" s="82"/>
    </row>
    <row r="589">
      <c r="A589" s="90"/>
      <c r="B589" s="61" t="s">
        <v>23</v>
      </c>
      <c r="C589" s="61"/>
      <c r="D589" s="61" t="s">
        <v>1779</v>
      </c>
      <c r="E589" s="61" t="s">
        <v>531</v>
      </c>
      <c r="F589" s="61" t="s">
        <v>2117</v>
      </c>
      <c r="G589" s="62" t="s">
        <v>44</v>
      </c>
      <c r="H589" s="61" t="s">
        <v>106</v>
      </c>
      <c r="I589" s="105"/>
      <c r="J589" s="62" t="s">
        <v>44</v>
      </c>
      <c r="K589" s="105"/>
      <c r="L589" s="61" t="s">
        <v>2118</v>
      </c>
      <c r="M589" s="65"/>
      <c r="N589" s="66"/>
      <c r="O589" s="66" t="str">
        <f t="shared" si="1"/>
        <v/>
      </c>
      <c r="P589" s="66">
        <v>0.0</v>
      </c>
      <c r="Q589" s="66">
        <v>0.0</v>
      </c>
      <c r="R589" s="112"/>
      <c r="S589" s="66"/>
      <c r="T589" s="66"/>
      <c r="U589" s="66"/>
      <c r="V589" s="66"/>
      <c r="W589" s="66"/>
      <c r="X589" s="66"/>
      <c r="Y589" s="66"/>
      <c r="Z589" s="82"/>
    </row>
    <row r="590">
      <c r="A590" s="90"/>
      <c r="B590" s="61" t="s">
        <v>23</v>
      </c>
      <c r="C590" s="61"/>
      <c r="D590" s="61" t="s">
        <v>2119</v>
      </c>
      <c r="E590" s="61" t="s">
        <v>353</v>
      </c>
      <c r="F590" s="61" t="s">
        <v>2120</v>
      </c>
      <c r="G590" s="62" t="s">
        <v>44</v>
      </c>
      <c r="H590" s="61" t="s">
        <v>106</v>
      </c>
      <c r="I590" s="105"/>
      <c r="J590" s="62" t="s">
        <v>44</v>
      </c>
      <c r="K590" s="105"/>
      <c r="L590" s="61" t="s">
        <v>2121</v>
      </c>
      <c r="M590" s="125" t="s">
        <v>2122</v>
      </c>
      <c r="N590" s="66"/>
      <c r="O590" s="66" t="str">
        <f t="shared" si="1"/>
        <v/>
      </c>
      <c r="P590" s="66">
        <v>0.0</v>
      </c>
      <c r="Q590" s="66">
        <v>0.0</v>
      </c>
      <c r="R590" s="112"/>
      <c r="S590" s="66"/>
      <c r="T590" s="66"/>
      <c r="U590" s="66"/>
      <c r="V590" s="66"/>
      <c r="W590" s="66"/>
      <c r="X590" s="66"/>
      <c r="Y590" s="66"/>
      <c r="Z590" s="82"/>
    </row>
    <row r="591">
      <c r="A591" s="90"/>
      <c r="B591" s="61" t="s">
        <v>23</v>
      </c>
      <c r="C591" s="61"/>
      <c r="D591" s="61" t="s">
        <v>145</v>
      </c>
      <c r="E591" s="61" t="s">
        <v>109</v>
      </c>
      <c r="F591" s="61" t="s">
        <v>2123</v>
      </c>
      <c r="G591" s="62" t="s">
        <v>44</v>
      </c>
      <c r="H591" s="61" t="s">
        <v>64</v>
      </c>
      <c r="I591" s="61" t="s">
        <v>2124</v>
      </c>
      <c r="J591" s="62" t="s">
        <v>44</v>
      </c>
      <c r="K591" s="105"/>
      <c r="L591" s="61" t="s">
        <v>2125</v>
      </c>
      <c r="M591" s="65"/>
      <c r="N591" s="66"/>
      <c r="O591" s="66" t="str">
        <f t="shared" si="1"/>
        <v/>
      </c>
      <c r="P591" s="66">
        <v>0.0</v>
      </c>
      <c r="Q591" s="66">
        <v>0.0</v>
      </c>
      <c r="R591" s="112"/>
      <c r="S591" s="66"/>
      <c r="T591" s="66"/>
      <c r="U591" s="66"/>
      <c r="V591" s="66"/>
      <c r="W591" s="66"/>
      <c r="X591" s="66"/>
      <c r="Y591" s="66"/>
      <c r="Z591" s="82"/>
    </row>
    <row r="592">
      <c r="A592" s="90"/>
      <c r="B592" s="61" t="s">
        <v>23</v>
      </c>
      <c r="C592" s="61"/>
      <c r="D592" s="61" t="s">
        <v>2076</v>
      </c>
      <c r="E592" s="61" t="s">
        <v>109</v>
      </c>
      <c r="F592" s="61" t="s">
        <v>2126</v>
      </c>
      <c r="G592" s="62" t="s">
        <v>44</v>
      </c>
      <c r="H592" s="61" t="s">
        <v>64</v>
      </c>
      <c r="I592" s="62" t="s">
        <v>2115</v>
      </c>
      <c r="J592" s="62" t="s">
        <v>44</v>
      </c>
      <c r="K592" s="105"/>
      <c r="L592" s="61" t="s">
        <v>2127</v>
      </c>
      <c r="M592" s="65"/>
      <c r="N592" s="66"/>
      <c r="O592" s="66" t="str">
        <f t="shared" si="1"/>
        <v/>
      </c>
      <c r="P592" s="66">
        <v>0.0</v>
      </c>
      <c r="Q592" s="66">
        <v>0.0</v>
      </c>
      <c r="R592" s="112"/>
      <c r="S592" s="66"/>
      <c r="T592" s="66"/>
      <c r="U592" s="66"/>
      <c r="V592" s="66"/>
      <c r="W592" s="66"/>
      <c r="X592" s="66"/>
      <c r="Y592" s="66"/>
      <c r="Z592" s="82"/>
    </row>
    <row r="593">
      <c r="A593" s="90"/>
      <c r="B593" s="61" t="s">
        <v>23</v>
      </c>
      <c r="C593" s="61"/>
      <c r="D593" s="61" t="s">
        <v>247</v>
      </c>
      <c r="E593" s="61" t="s">
        <v>1063</v>
      </c>
      <c r="F593" s="61" t="s">
        <v>2128</v>
      </c>
      <c r="G593" s="62" t="s">
        <v>44</v>
      </c>
      <c r="H593" s="61" t="s">
        <v>64</v>
      </c>
      <c r="I593" s="62" t="s">
        <v>1486</v>
      </c>
      <c r="J593" s="62" t="s">
        <v>44</v>
      </c>
      <c r="K593" s="105"/>
      <c r="L593" s="61" t="s">
        <v>2129</v>
      </c>
      <c r="M593" s="65"/>
      <c r="N593" s="66"/>
      <c r="O593" s="66" t="str">
        <f t="shared" si="1"/>
        <v/>
      </c>
      <c r="P593" s="66">
        <v>0.0</v>
      </c>
      <c r="Q593" s="66">
        <v>0.0</v>
      </c>
      <c r="R593" s="112"/>
      <c r="S593" s="66"/>
      <c r="T593" s="66"/>
      <c r="U593" s="66"/>
      <c r="V593" s="66"/>
      <c r="W593" s="66"/>
      <c r="X593" s="66"/>
      <c r="Y593" s="66"/>
      <c r="Z593" s="82"/>
    </row>
    <row r="594">
      <c r="A594" s="90"/>
      <c r="B594" s="61" t="s">
        <v>23</v>
      </c>
      <c r="C594" s="61"/>
      <c r="D594" s="61" t="s">
        <v>985</v>
      </c>
      <c r="E594" s="61" t="s">
        <v>2022</v>
      </c>
      <c r="F594" s="61" t="s">
        <v>2130</v>
      </c>
      <c r="G594" s="62" t="s">
        <v>44</v>
      </c>
      <c r="H594" s="61" t="s">
        <v>64</v>
      </c>
      <c r="I594" s="62" t="s">
        <v>1486</v>
      </c>
      <c r="J594" s="62" t="s">
        <v>44</v>
      </c>
      <c r="K594" s="105"/>
      <c r="L594" s="61" t="s">
        <v>2131</v>
      </c>
      <c r="M594" s="125" t="s">
        <v>2132</v>
      </c>
      <c r="N594" s="66"/>
      <c r="O594" s="66" t="str">
        <f t="shared" si="1"/>
        <v/>
      </c>
      <c r="P594" s="66">
        <v>0.0</v>
      </c>
      <c r="Q594" s="66">
        <v>0.0</v>
      </c>
      <c r="R594" s="112"/>
      <c r="S594" s="66"/>
      <c r="T594" s="66"/>
      <c r="U594" s="66"/>
      <c r="V594" s="66"/>
      <c r="W594" s="66"/>
      <c r="X594" s="66"/>
      <c r="Y594" s="66"/>
      <c r="Z594" s="82"/>
    </row>
    <row r="595">
      <c r="A595" s="90"/>
      <c r="B595" s="61" t="s">
        <v>23</v>
      </c>
      <c r="C595" s="61"/>
      <c r="D595" s="61" t="s">
        <v>2133</v>
      </c>
      <c r="E595" s="61" t="s">
        <v>1180</v>
      </c>
      <c r="F595" s="61" t="s">
        <v>2134</v>
      </c>
      <c r="G595" s="62" t="s">
        <v>44</v>
      </c>
      <c r="H595" s="61" t="s">
        <v>64</v>
      </c>
      <c r="I595" s="62" t="s">
        <v>319</v>
      </c>
      <c r="J595" s="62" t="s">
        <v>44</v>
      </c>
      <c r="K595" s="62" t="s">
        <v>45</v>
      </c>
      <c r="L595" s="61" t="s">
        <v>322</v>
      </c>
      <c r="M595" s="65"/>
      <c r="N595" s="66"/>
      <c r="O595" s="66" t="str">
        <f t="shared" si="1"/>
        <v/>
      </c>
      <c r="P595" s="66">
        <v>0.0</v>
      </c>
      <c r="Q595" s="66">
        <v>0.0</v>
      </c>
      <c r="R595" s="112"/>
      <c r="S595" s="66"/>
      <c r="T595" s="66"/>
      <c r="U595" s="66"/>
      <c r="V595" s="66"/>
      <c r="W595" s="66"/>
      <c r="X595" s="66"/>
      <c r="Y595" s="66"/>
      <c r="Z595" s="82"/>
    </row>
    <row r="596">
      <c r="A596" s="90"/>
      <c r="B596" s="61" t="s">
        <v>23</v>
      </c>
      <c r="C596" s="61"/>
      <c r="D596" s="61" t="s">
        <v>2135</v>
      </c>
      <c r="E596" s="61" t="s">
        <v>1377</v>
      </c>
      <c r="F596" s="61" t="s">
        <v>2136</v>
      </c>
      <c r="G596" s="62" t="s">
        <v>44</v>
      </c>
      <c r="H596" s="61" t="s">
        <v>64</v>
      </c>
      <c r="I596" s="62" t="s">
        <v>2137</v>
      </c>
      <c r="J596" s="62" t="s">
        <v>44</v>
      </c>
      <c r="K596" s="105"/>
      <c r="L596" s="61" t="s">
        <v>2138</v>
      </c>
      <c r="M596" s="65"/>
      <c r="N596" s="66"/>
      <c r="O596" s="66" t="str">
        <f t="shared" si="1"/>
        <v/>
      </c>
      <c r="P596" s="66">
        <v>0.0</v>
      </c>
      <c r="Q596" s="66">
        <v>0.0</v>
      </c>
      <c r="R596" s="112"/>
      <c r="S596" s="66"/>
      <c r="T596" s="66"/>
      <c r="U596" s="66"/>
      <c r="V596" s="66"/>
      <c r="W596" s="66"/>
      <c r="X596" s="66"/>
      <c r="Y596" s="66"/>
      <c r="Z596" s="82"/>
    </row>
    <row r="597">
      <c r="A597" s="90"/>
      <c r="B597" s="61" t="s">
        <v>23</v>
      </c>
      <c r="C597" s="61"/>
      <c r="D597" s="61" t="s">
        <v>145</v>
      </c>
      <c r="E597" s="61" t="s">
        <v>1377</v>
      </c>
      <c r="F597" s="61" t="s">
        <v>2139</v>
      </c>
      <c r="G597" s="62" t="s">
        <v>789</v>
      </c>
      <c r="H597" s="61" t="s">
        <v>64</v>
      </c>
      <c r="I597" s="62" t="s">
        <v>553</v>
      </c>
      <c r="J597" s="105"/>
      <c r="K597" s="62" t="s">
        <v>45</v>
      </c>
      <c r="L597" s="105"/>
      <c r="M597" s="65"/>
      <c r="N597" s="66"/>
      <c r="O597" s="66" t="str">
        <f t="shared" si="1"/>
        <v/>
      </c>
      <c r="P597" s="66">
        <v>0.0</v>
      </c>
      <c r="Q597" s="66">
        <v>0.0</v>
      </c>
      <c r="R597" s="112"/>
      <c r="S597" s="66"/>
      <c r="T597" s="66"/>
      <c r="U597" s="66"/>
      <c r="V597" s="66"/>
      <c r="W597" s="66"/>
      <c r="X597" s="66"/>
      <c r="Y597" s="66"/>
      <c r="Z597" s="82"/>
    </row>
    <row r="598">
      <c r="A598" s="90"/>
      <c r="B598" s="61" t="s">
        <v>23</v>
      </c>
      <c r="C598" s="278"/>
      <c r="D598" s="278" t="s">
        <v>2140</v>
      </c>
      <c r="E598" s="278" t="s">
        <v>146</v>
      </c>
      <c r="F598" s="278" t="s">
        <v>824</v>
      </c>
      <c r="G598" s="279" t="s">
        <v>789</v>
      </c>
      <c r="H598" s="278" t="s">
        <v>64</v>
      </c>
      <c r="I598" s="278" t="s">
        <v>2141</v>
      </c>
      <c r="J598" s="280"/>
      <c r="K598" s="279" t="s">
        <v>45</v>
      </c>
      <c r="L598" s="280"/>
      <c r="M598" s="281"/>
      <c r="N598" s="66"/>
      <c r="O598" s="66" t="str">
        <f t="shared" si="1"/>
        <v/>
      </c>
      <c r="P598" s="66">
        <v>0.0</v>
      </c>
      <c r="Q598" s="66">
        <v>0.0</v>
      </c>
      <c r="R598" s="112"/>
      <c r="S598" s="66"/>
      <c r="T598" s="66"/>
      <c r="U598" s="66"/>
      <c r="V598" s="66"/>
      <c r="W598" s="66"/>
      <c r="X598" s="66"/>
      <c r="Y598" s="66"/>
      <c r="Z598" s="82"/>
    </row>
    <row r="599">
      <c r="A599" s="90"/>
      <c r="B599" s="61" t="s">
        <v>23</v>
      </c>
      <c r="C599" s="61"/>
      <c r="D599" s="61" t="s">
        <v>1922</v>
      </c>
      <c r="E599" s="61" t="s">
        <v>69</v>
      </c>
      <c r="F599" s="61" t="s">
        <v>2142</v>
      </c>
      <c r="G599" s="62" t="s">
        <v>44</v>
      </c>
      <c r="H599" s="61" t="s">
        <v>106</v>
      </c>
      <c r="I599" s="105"/>
      <c r="J599" s="62" t="s">
        <v>44</v>
      </c>
      <c r="K599" s="105"/>
      <c r="L599" s="61" t="s">
        <v>2143</v>
      </c>
      <c r="M599" s="65"/>
      <c r="N599" s="66"/>
      <c r="O599" s="66" t="str">
        <f t="shared" si="1"/>
        <v/>
      </c>
      <c r="P599" s="66">
        <v>0.0</v>
      </c>
      <c r="Q599" s="66">
        <v>0.0</v>
      </c>
      <c r="R599" s="112"/>
      <c r="S599" s="66"/>
      <c r="T599" s="66"/>
      <c r="U599" s="66"/>
      <c r="V599" s="66"/>
      <c r="W599" s="66"/>
      <c r="X599" s="66"/>
      <c r="Y599" s="66"/>
      <c r="Z599" s="82"/>
    </row>
    <row r="600">
      <c r="A600" s="90"/>
      <c r="B600" s="61" t="s">
        <v>23</v>
      </c>
      <c r="C600" s="61"/>
      <c r="D600" s="61" t="s">
        <v>2144</v>
      </c>
      <c r="E600" s="61" t="s">
        <v>69</v>
      </c>
      <c r="F600" s="61" t="s">
        <v>2145</v>
      </c>
      <c r="G600" s="62" t="s">
        <v>44</v>
      </c>
      <c r="H600" s="61" t="s">
        <v>106</v>
      </c>
      <c r="I600" s="105"/>
      <c r="J600" s="62" t="s">
        <v>44</v>
      </c>
      <c r="K600" s="105"/>
      <c r="L600" s="61" t="s">
        <v>2146</v>
      </c>
      <c r="M600" s="65"/>
      <c r="N600" s="66"/>
      <c r="O600" s="66" t="str">
        <f t="shared" si="1"/>
        <v/>
      </c>
      <c r="P600" s="66">
        <v>0.0</v>
      </c>
      <c r="Q600" s="66">
        <v>0.0</v>
      </c>
      <c r="R600" s="112"/>
      <c r="S600" s="66"/>
      <c r="T600" s="66"/>
      <c r="U600" s="66"/>
      <c r="V600" s="66"/>
      <c r="W600" s="66"/>
      <c r="X600" s="66"/>
      <c r="Y600" s="66"/>
      <c r="Z600" s="82"/>
    </row>
    <row r="601">
      <c r="A601" s="90"/>
      <c r="B601" s="61" t="s">
        <v>23</v>
      </c>
      <c r="C601" s="61"/>
      <c r="D601" s="61" t="s">
        <v>2147</v>
      </c>
      <c r="E601" s="61" t="s">
        <v>353</v>
      </c>
      <c r="F601" s="61" t="s">
        <v>2148</v>
      </c>
      <c r="G601" s="62" t="s">
        <v>44</v>
      </c>
      <c r="H601" s="61" t="s">
        <v>64</v>
      </c>
      <c r="I601" s="62" t="s">
        <v>2149</v>
      </c>
      <c r="J601" s="62" t="s">
        <v>44</v>
      </c>
      <c r="K601" s="62" t="s">
        <v>45</v>
      </c>
      <c r="L601" s="61" t="s">
        <v>2150</v>
      </c>
      <c r="M601" s="65"/>
      <c r="N601" s="66"/>
      <c r="O601" s="66" t="str">
        <f t="shared" si="1"/>
        <v/>
      </c>
      <c r="P601" s="66">
        <v>0.0</v>
      </c>
      <c r="Q601" s="66">
        <v>0.0</v>
      </c>
      <c r="R601" s="112"/>
      <c r="S601" s="66"/>
      <c r="T601" s="66"/>
      <c r="U601" s="66"/>
      <c r="V601" s="66"/>
      <c r="W601" s="66"/>
      <c r="X601" s="66"/>
      <c r="Y601" s="66"/>
      <c r="Z601" s="82"/>
    </row>
    <row r="602">
      <c r="A602" s="90"/>
      <c r="B602" s="61" t="s">
        <v>23</v>
      </c>
      <c r="C602" s="61"/>
      <c r="D602" s="61" t="s">
        <v>2151</v>
      </c>
      <c r="E602" s="61" t="s">
        <v>1110</v>
      </c>
      <c r="F602" s="61" t="s">
        <v>2152</v>
      </c>
      <c r="G602" s="62" t="s">
        <v>2153</v>
      </c>
      <c r="H602" s="61" t="s">
        <v>64</v>
      </c>
      <c r="I602" s="62" t="s">
        <v>2153</v>
      </c>
      <c r="J602" s="62" t="s">
        <v>2154</v>
      </c>
      <c r="K602" s="61" t="s">
        <v>431</v>
      </c>
      <c r="L602" s="61" t="s">
        <v>2155</v>
      </c>
      <c r="M602" s="65"/>
      <c r="N602" s="66"/>
      <c r="O602" s="66" t="str">
        <f t="shared" si="1"/>
        <v/>
      </c>
      <c r="P602" s="66">
        <v>0.0</v>
      </c>
      <c r="Q602" s="66">
        <v>0.0</v>
      </c>
      <c r="R602" s="112"/>
      <c r="S602" s="66"/>
      <c r="T602" s="66"/>
      <c r="U602" s="66"/>
      <c r="V602" s="66"/>
      <c r="W602" s="66"/>
      <c r="X602" s="66"/>
      <c r="Y602" s="66"/>
      <c r="Z602" s="82"/>
    </row>
    <row r="603">
      <c r="A603" s="90"/>
      <c r="B603" s="61" t="s">
        <v>23</v>
      </c>
      <c r="C603" s="61"/>
      <c r="D603" s="61" t="s">
        <v>2156</v>
      </c>
      <c r="E603" s="61" t="s">
        <v>506</v>
      </c>
      <c r="F603" s="61" t="s">
        <v>2157</v>
      </c>
      <c r="G603" s="62" t="s">
        <v>553</v>
      </c>
      <c r="H603" s="61" t="s">
        <v>64</v>
      </c>
      <c r="I603" s="62" t="s">
        <v>553</v>
      </c>
      <c r="J603" s="61" t="s">
        <v>431</v>
      </c>
      <c r="K603" s="112"/>
      <c r="L603" s="61" t="s">
        <v>2158</v>
      </c>
      <c r="M603" s="65"/>
      <c r="N603" s="66"/>
      <c r="O603" s="66" t="str">
        <f t="shared" si="1"/>
        <v/>
      </c>
      <c r="P603" s="66">
        <v>0.0</v>
      </c>
      <c r="Q603" s="66">
        <v>0.0</v>
      </c>
      <c r="R603" s="112"/>
      <c r="S603" s="66"/>
      <c r="T603" s="66"/>
      <c r="U603" s="66"/>
      <c r="V603" s="66"/>
      <c r="W603" s="66"/>
      <c r="X603" s="66"/>
      <c r="Y603" s="66"/>
      <c r="Z603" s="82"/>
    </row>
    <row r="604">
      <c r="A604" s="90"/>
      <c r="B604" s="61" t="s">
        <v>23</v>
      </c>
      <c r="C604" s="61"/>
      <c r="D604" s="61" t="s">
        <v>115</v>
      </c>
      <c r="E604" s="61" t="s">
        <v>1199</v>
      </c>
      <c r="F604" s="61" t="s">
        <v>2159</v>
      </c>
      <c r="G604" s="62" t="s">
        <v>45</v>
      </c>
      <c r="H604" s="61" t="s">
        <v>64</v>
      </c>
      <c r="I604" s="62" t="s">
        <v>1989</v>
      </c>
      <c r="J604" s="62" t="s">
        <v>44</v>
      </c>
      <c r="K604" s="62" t="s">
        <v>45</v>
      </c>
      <c r="L604" s="61" t="s">
        <v>2160</v>
      </c>
      <c r="M604" s="65"/>
      <c r="N604" s="66"/>
      <c r="O604" s="66" t="str">
        <f t="shared" si="1"/>
        <v/>
      </c>
      <c r="P604" s="66">
        <v>0.0</v>
      </c>
      <c r="Q604" s="66">
        <v>0.0</v>
      </c>
      <c r="R604" s="112"/>
      <c r="S604" s="66"/>
      <c r="T604" s="66"/>
      <c r="U604" s="66"/>
      <c r="V604" s="66"/>
      <c r="W604" s="66"/>
      <c r="X604" s="66"/>
      <c r="Y604" s="66"/>
      <c r="Z604" s="82"/>
    </row>
    <row r="605">
      <c r="A605" s="90"/>
      <c r="B605" s="61" t="s">
        <v>23</v>
      </c>
      <c r="C605" s="266"/>
      <c r="D605" s="266" t="s">
        <v>508</v>
      </c>
      <c r="E605" s="266" t="s">
        <v>1072</v>
      </c>
      <c r="F605" s="266" t="s">
        <v>2161</v>
      </c>
      <c r="G605" s="268" t="s">
        <v>44</v>
      </c>
      <c r="H605" s="266" t="s">
        <v>64</v>
      </c>
      <c r="I605" s="268" t="s">
        <v>1486</v>
      </c>
      <c r="J605" s="268" t="s">
        <v>44</v>
      </c>
      <c r="K605" s="269"/>
      <c r="L605" s="266" t="s">
        <v>2162</v>
      </c>
      <c r="M605" s="272"/>
      <c r="N605" s="66"/>
      <c r="O605" s="66" t="str">
        <f t="shared" si="1"/>
        <v/>
      </c>
      <c r="P605" s="66">
        <v>0.0</v>
      </c>
      <c r="Q605" s="66">
        <v>0.0</v>
      </c>
      <c r="R605" s="112"/>
      <c r="S605" s="66"/>
      <c r="T605" s="66"/>
      <c r="U605" s="66"/>
      <c r="V605" s="66"/>
      <c r="W605" s="66"/>
      <c r="X605" s="66"/>
      <c r="Y605" s="66"/>
      <c r="Z605" s="82"/>
    </row>
    <row r="606">
      <c r="A606" s="90"/>
      <c r="B606" s="61" t="s">
        <v>23</v>
      </c>
      <c r="C606" s="61"/>
      <c r="D606" s="61" t="s">
        <v>985</v>
      </c>
      <c r="E606" s="61" t="s">
        <v>531</v>
      </c>
      <c r="F606" s="61" t="s">
        <v>2163</v>
      </c>
      <c r="G606" s="62" t="s">
        <v>44</v>
      </c>
      <c r="H606" s="61" t="s">
        <v>106</v>
      </c>
      <c r="I606" s="105"/>
      <c r="J606" s="62" t="s">
        <v>44</v>
      </c>
      <c r="K606" s="105"/>
      <c r="L606" s="61" t="s">
        <v>2164</v>
      </c>
      <c r="M606" s="65"/>
      <c r="N606" s="66"/>
      <c r="O606" s="66" t="str">
        <f t="shared" si="1"/>
        <v/>
      </c>
      <c r="P606" s="66">
        <v>0.0</v>
      </c>
      <c r="Q606" s="66">
        <v>0.0</v>
      </c>
      <c r="R606" s="112"/>
      <c r="S606" s="66"/>
      <c r="T606" s="66"/>
      <c r="U606" s="66"/>
      <c r="V606" s="66"/>
      <c r="W606" s="66"/>
      <c r="X606" s="66"/>
      <c r="Y606" s="66"/>
      <c r="Z606" s="82"/>
    </row>
    <row r="607">
      <c r="A607" s="90"/>
      <c r="B607" s="61" t="s">
        <v>23</v>
      </c>
      <c r="C607" s="61"/>
      <c r="D607" s="61" t="s">
        <v>2165</v>
      </c>
      <c r="E607" s="61" t="s">
        <v>1370</v>
      </c>
      <c r="F607" s="61" t="s">
        <v>2166</v>
      </c>
      <c r="G607" s="62" t="s">
        <v>44</v>
      </c>
      <c r="H607" s="61" t="s">
        <v>106</v>
      </c>
      <c r="I607" s="105"/>
      <c r="J607" s="62" t="s">
        <v>44</v>
      </c>
      <c r="K607" s="105"/>
      <c r="L607" s="61" t="s">
        <v>2167</v>
      </c>
      <c r="M607" s="176" t="s">
        <v>2168</v>
      </c>
      <c r="N607" s="66"/>
      <c r="O607" s="66" t="str">
        <f t="shared" si="1"/>
        <v/>
      </c>
      <c r="P607" s="66">
        <v>0.0</v>
      </c>
      <c r="Q607" s="66">
        <v>0.0</v>
      </c>
      <c r="R607" s="112"/>
      <c r="S607" s="66"/>
      <c r="T607" s="66"/>
      <c r="U607" s="66"/>
      <c r="V607" s="66"/>
      <c r="W607" s="66"/>
      <c r="X607" s="66"/>
      <c r="Y607" s="66"/>
      <c r="Z607" s="82"/>
    </row>
    <row r="608">
      <c r="A608" s="90"/>
      <c r="B608" s="61" t="s">
        <v>23</v>
      </c>
      <c r="C608" s="61"/>
      <c r="D608" s="61" t="s">
        <v>2169</v>
      </c>
      <c r="E608" s="61" t="s">
        <v>1072</v>
      </c>
      <c r="F608" s="61" t="s">
        <v>2170</v>
      </c>
      <c r="G608" s="62" t="s">
        <v>44</v>
      </c>
      <c r="H608" s="61" t="s">
        <v>106</v>
      </c>
      <c r="I608" s="105"/>
      <c r="J608" s="62" t="s">
        <v>44</v>
      </c>
      <c r="K608" s="62" t="s">
        <v>45</v>
      </c>
      <c r="L608" s="105"/>
      <c r="M608" s="65"/>
      <c r="N608" s="66"/>
      <c r="O608" s="66" t="str">
        <f t="shared" si="1"/>
        <v/>
      </c>
      <c r="P608" s="66">
        <v>0.0</v>
      </c>
      <c r="Q608" s="66">
        <v>0.0</v>
      </c>
      <c r="R608" s="112"/>
      <c r="S608" s="66"/>
      <c r="T608" s="66"/>
      <c r="U608" s="66"/>
      <c r="V608" s="66"/>
      <c r="W608" s="66"/>
      <c r="X608" s="66"/>
      <c r="Y608" s="66"/>
      <c r="Z608" s="82"/>
    </row>
    <row r="609">
      <c r="A609" s="90"/>
      <c r="B609" s="61" t="s">
        <v>23</v>
      </c>
      <c r="C609" s="61"/>
      <c r="D609" s="61" t="s">
        <v>2171</v>
      </c>
      <c r="E609" s="61" t="s">
        <v>1180</v>
      </c>
      <c r="F609" s="61" t="s">
        <v>2172</v>
      </c>
      <c r="G609" s="62" t="s">
        <v>553</v>
      </c>
      <c r="H609" s="61" t="s">
        <v>106</v>
      </c>
      <c r="I609" s="105"/>
      <c r="J609" s="105"/>
      <c r="K609" s="105"/>
      <c r="L609" s="365" t="s">
        <v>2173</v>
      </c>
      <c r="M609" s="65"/>
      <c r="N609" s="66"/>
      <c r="O609" s="66" t="str">
        <f t="shared" si="1"/>
        <v/>
      </c>
      <c r="P609" s="66">
        <v>0.0</v>
      </c>
      <c r="Q609" s="66">
        <v>0.0</v>
      </c>
      <c r="R609" s="112"/>
      <c r="S609" s="66"/>
      <c r="T609" s="66"/>
      <c r="U609" s="66"/>
      <c r="V609" s="66"/>
      <c r="W609" s="66"/>
      <c r="X609" s="66"/>
      <c r="Y609" s="66"/>
      <c r="Z609" s="82"/>
    </row>
    <row r="610">
      <c r="A610" s="90"/>
      <c r="B610" s="61" t="s">
        <v>23</v>
      </c>
      <c r="C610" s="61"/>
      <c r="D610" s="61" t="s">
        <v>899</v>
      </c>
      <c r="E610" s="61" t="s">
        <v>2022</v>
      </c>
      <c r="F610" s="61" t="s">
        <v>2174</v>
      </c>
      <c r="G610" s="62" t="s">
        <v>44</v>
      </c>
      <c r="H610" s="61" t="s">
        <v>106</v>
      </c>
      <c r="I610" s="105"/>
      <c r="J610" s="62" t="s">
        <v>44</v>
      </c>
      <c r="K610" s="105"/>
      <c r="L610" s="61" t="s">
        <v>2175</v>
      </c>
      <c r="M610" s="176" t="s">
        <v>2176</v>
      </c>
      <c r="N610" s="66"/>
      <c r="O610" s="66" t="str">
        <f t="shared" si="1"/>
        <v/>
      </c>
      <c r="P610" s="66">
        <v>0.0</v>
      </c>
      <c r="Q610" s="66">
        <v>0.0</v>
      </c>
      <c r="R610" s="112"/>
      <c r="S610" s="66"/>
      <c r="T610" s="66"/>
      <c r="U610" s="66"/>
      <c r="V610" s="66"/>
      <c r="W610" s="66"/>
      <c r="X610" s="66"/>
      <c r="Y610" s="66"/>
      <c r="Z610" s="82"/>
    </row>
    <row r="611">
      <c r="A611" s="96"/>
      <c r="B611" s="61" t="s">
        <v>20</v>
      </c>
      <c r="C611" s="97"/>
      <c r="D611" s="97" t="s">
        <v>2177</v>
      </c>
      <c r="E611" s="97" t="s">
        <v>429</v>
      </c>
      <c r="F611" s="97" t="s">
        <v>2178</v>
      </c>
      <c r="G611" s="98" t="s">
        <v>115</v>
      </c>
      <c r="H611" s="97" t="s">
        <v>106</v>
      </c>
      <c r="I611" s="98" t="s">
        <v>2179</v>
      </c>
      <c r="J611" s="99" t="s">
        <v>2180</v>
      </c>
      <c r="K611" s="107" t="s">
        <v>2181</v>
      </c>
      <c r="L611" s="97" t="s">
        <v>2182</v>
      </c>
      <c r="M611" s="102"/>
      <c r="N611" s="66"/>
      <c r="O611" s="66" t="str">
        <f t="shared" si="1"/>
        <v>DM+이메일</v>
      </c>
      <c r="P611" s="232">
        <v>1.0</v>
      </c>
      <c r="Q611" s="232">
        <v>1.0</v>
      </c>
      <c r="R611" s="112"/>
      <c r="S611" s="113"/>
      <c r="T611" s="113">
        <v>46108.0</v>
      </c>
      <c r="U611" s="113"/>
      <c r="V611" s="113"/>
      <c r="W611" s="113"/>
      <c r="X611" s="113"/>
      <c r="Y611" s="113"/>
      <c r="Z611" s="114"/>
    </row>
    <row r="612">
      <c r="A612" s="90"/>
      <c r="B612" s="61" t="s">
        <v>23</v>
      </c>
      <c r="C612" s="61"/>
      <c r="D612" s="61" t="s">
        <v>2076</v>
      </c>
      <c r="E612" s="61" t="s">
        <v>109</v>
      </c>
      <c r="F612" s="61" t="s">
        <v>2183</v>
      </c>
      <c r="G612" s="62" t="s">
        <v>44</v>
      </c>
      <c r="H612" s="61" t="s">
        <v>64</v>
      </c>
      <c r="I612" s="62" t="s">
        <v>2184</v>
      </c>
      <c r="J612" s="62" t="s">
        <v>44</v>
      </c>
      <c r="K612" s="105"/>
      <c r="L612" s="61" t="s">
        <v>2185</v>
      </c>
      <c r="M612" s="65"/>
      <c r="N612" s="66"/>
      <c r="O612" s="66" t="str">
        <f t="shared" si="1"/>
        <v/>
      </c>
      <c r="P612" s="66">
        <v>0.0</v>
      </c>
      <c r="Q612" s="66">
        <v>0.0</v>
      </c>
      <c r="R612" s="112"/>
      <c r="S612" s="66"/>
      <c r="T612" s="66"/>
      <c r="U612" s="66"/>
      <c r="V612" s="66"/>
      <c r="W612" s="66"/>
      <c r="X612" s="66"/>
      <c r="Y612" s="66"/>
      <c r="Z612" s="82"/>
    </row>
    <row r="613">
      <c r="A613" s="90"/>
      <c r="B613" s="61" t="s">
        <v>23</v>
      </c>
      <c r="C613" s="61"/>
      <c r="D613" s="61" t="s">
        <v>2186</v>
      </c>
      <c r="E613" s="61" t="s">
        <v>109</v>
      </c>
      <c r="F613" s="61" t="s">
        <v>2187</v>
      </c>
      <c r="G613" s="62" t="s">
        <v>44</v>
      </c>
      <c r="H613" s="61" t="s">
        <v>64</v>
      </c>
      <c r="I613" s="62" t="s">
        <v>2184</v>
      </c>
      <c r="J613" s="62" t="s">
        <v>44</v>
      </c>
      <c r="K613" s="105"/>
      <c r="L613" s="61" t="s">
        <v>2188</v>
      </c>
      <c r="M613" s="65"/>
      <c r="N613" s="66"/>
      <c r="O613" s="66" t="str">
        <f t="shared" si="1"/>
        <v/>
      </c>
      <c r="P613" s="66">
        <v>0.0</v>
      </c>
      <c r="Q613" s="66">
        <v>0.0</v>
      </c>
      <c r="R613" s="112"/>
      <c r="S613" s="66"/>
      <c r="T613" s="66"/>
      <c r="U613" s="66"/>
      <c r="V613" s="66"/>
      <c r="W613" s="66"/>
      <c r="X613" s="66"/>
      <c r="Y613" s="66"/>
      <c r="Z613" s="82"/>
    </row>
    <row r="614">
      <c r="A614" s="90"/>
      <c r="B614" s="61" t="s">
        <v>23</v>
      </c>
      <c r="C614" s="61"/>
      <c r="D614" s="61" t="s">
        <v>938</v>
      </c>
      <c r="E614" s="61" t="s">
        <v>494</v>
      </c>
      <c r="F614" s="61" t="s">
        <v>2189</v>
      </c>
      <c r="G614" s="62" t="s">
        <v>44</v>
      </c>
      <c r="H614" s="61" t="s">
        <v>64</v>
      </c>
      <c r="I614" s="62" t="s">
        <v>1031</v>
      </c>
      <c r="J614" s="105"/>
      <c r="K614" s="105"/>
      <c r="L614" s="61" t="s">
        <v>2190</v>
      </c>
      <c r="M614" s="65"/>
      <c r="N614" s="66"/>
      <c r="O614" s="66" t="str">
        <f t="shared" si="1"/>
        <v/>
      </c>
      <c r="P614" s="66">
        <v>0.0</v>
      </c>
      <c r="Q614" s="66">
        <v>0.0</v>
      </c>
      <c r="R614" s="112"/>
      <c r="S614" s="66"/>
      <c r="T614" s="66"/>
      <c r="U614" s="66"/>
      <c r="V614" s="66"/>
      <c r="W614" s="66"/>
      <c r="X614" s="66"/>
      <c r="Y614" s="66"/>
      <c r="Z614" s="82"/>
    </row>
    <row r="615">
      <c r="A615" s="90"/>
      <c r="B615" s="61" t="s">
        <v>23</v>
      </c>
      <c r="C615" s="61"/>
      <c r="D615" s="61" t="s">
        <v>2191</v>
      </c>
      <c r="E615" s="61" t="s">
        <v>69</v>
      </c>
      <c r="F615" s="61" t="s">
        <v>2192</v>
      </c>
      <c r="G615" s="62" t="s">
        <v>44</v>
      </c>
      <c r="H615" s="61" t="s">
        <v>106</v>
      </c>
      <c r="I615" s="105"/>
      <c r="J615" s="62" t="s">
        <v>44</v>
      </c>
      <c r="K615" s="105"/>
      <c r="L615" s="61" t="s">
        <v>1731</v>
      </c>
      <c r="M615" s="65"/>
      <c r="N615" s="66"/>
      <c r="O615" s="66" t="str">
        <f t="shared" si="1"/>
        <v/>
      </c>
      <c r="P615" s="66">
        <v>0.0</v>
      </c>
      <c r="Q615" s="66">
        <v>0.0</v>
      </c>
      <c r="R615" s="112"/>
      <c r="S615" s="66"/>
      <c r="T615" s="66"/>
      <c r="U615" s="66"/>
      <c r="V615" s="66"/>
      <c r="W615" s="66"/>
      <c r="X615" s="66"/>
      <c r="Y615" s="66"/>
      <c r="Z615" s="82"/>
    </row>
    <row r="616">
      <c r="A616" s="90"/>
      <c r="B616" s="61" t="s">
        <v>23</v>
      </c>
      <c r="C616" s="61"/>
      <c r="D616" s="61" t="s">
        <v>2191</v>
      </c>
      <c r="E616" s="61" t="s">
        <v>69</v>
      </c>
      <c r="F616" s="61" t="s">
        <v>2193</v>
      </c>
      <c r="G616" s="62" t="s">
        <v>44</v>
      </c>
      <c r="H616" s="61" t="s">
        <v>106</v>
      </c>
      <c r="I616" s="105"/>
      <c r="J616" s="62" t="s">
        <v>44</v>
      </c>
      <c r="K616" s="105"/>
      <c r="L616" s="61" t="s">
        <v>2194</v>
      </c>
      <c r="M616" s="65"/>
      <c r="N616" s="66"/>
      <c r="O616" s="66" t="str">
        <f t="shared" si="1"/>
        <v/>
      </c>
      <c r="P616" s="66">
        <v>0.0</v>
      </c>
      <c r="Q616" s="66">
        <v>0.0</v>
      </c>
      <c r="R616" s="112"/>
      <c r="S616" s="66"/>
      <c r="T616" s="66"/>
      <c r="U616" s="66"/>
      <c r="V616" s="66"/>
      <c r="W616" s="66"/>
      <c r="X616" s="66"/>
      <c r="Y616" s="66"/>
      <c r="Z616" s="82"/>
    </row>
    <row r="617">
      <c r="A617" s="90"/>
      <c r="B617" s="61" t="s">
        <v>23</v>
      </c>
      <c r="C617" s="61"/>
      <c r="D617" s="61" t="s">
        <v>145</v>
      </c>
      <c r="E617" s="61" t="s">
        <v>109</v>
      </c>
      <c r="F617" s="61" t="s">
        <v>2195</v>
      </c>
      <c r="G617" s="62" t="s">
        <v>44</v>
      </c>
      <c r="H617" s="61" t="s">
        <v>64</v>
      </c>
      <c r="I617" s="62" t="s">
        <v>2196</v>
      </c>
      <c r="J617" s="62" t="s">
        <v>44</v>
      </c>
      <c r="K617" s="105"/>
      <c r="L617" s="61" t="s">
        <v>953</v>
      </c>
      <c r="M617" s="65"/>
      <c r="N617" s="66"/>
      <c r="O617" s="66" t="str">
        <f t="shared" si="1"/>
        <v/>
      </c>
      <c r="P617" s="66">
        <v>0.0</v>
      </c>
      <c r="Q617" s="66">
        <v>0.0</v>
      </c>
      <c r="R617" s="112"/>
      <c r="S617" s="66"/>
      <c r="T617" s="66"/>
      <c r="U617" s="66"/>
      <c r="V617" s="66"/>
      <c r="W617" s="66"/>
      <c r="X617" s="66"/>
      <c r="Y617" s="66"/>
      <c r="Z617" s="82"/>
    </row>
    <row r="618">
      <c r="A618" s="90"/>
      <c r="B618" s="61" t="s">
        <v>23</v>
      </c>
      <c r="C618" s="61"/>
      <c r="D618" s="61" t="s">
        <v>145</v>
      </c>
      <c r="E618" s="61" t="s">
        <v>109</v>
      </c>
      <c r="F618" s="61" t="s">
        <v>2197</v>
      </c>
      <c r="G618" s="62" t="s">
        <v>44</v>
      </c>
      <c r="H618" s="61" t="s">
        <v>64</v>
      </c>
      <c r="I618" s="62" t="s">
        <v>244</v>
      </c>
      <c r="J618" s="62" t="s">
        <v>44</v>
      </c>
      <c r="K618" s="105"/>
      <c r="L618" s="61" t="s">
        <v>2198</v>
      </c>
      <c r="M618" s="65"/>
      <c r="N618" s="66"/>
      <c r="O618" s="66" t="str">
        <f t="shared" si="1"/>
        <v/>
      </c>
      <c r="P618" s="66">
        <v>0.0</v>
      </c>
      <c r="Q618" s="66">
        <v>0.0</v>
      </c>
      <c r="R618" s="112"/>
      <c r="S618" s="66"/>
      <c r="T618" s="66"/>
      <c r="U618" s="66"/>
      <c r="V618" s="66"/>
      <c r="W618" s="66"/>
      <c r="X618" s="66"/>
      <c r="Y618" s="66"/>
      <c r="Z618" s="82"/>
    </row>
    <row r="619">
      <c r="A619" s="90"/>
      <c r="B619" s="61" t="s">
        <v>23</v>
      </c>
      <c r="C619" s="61"/>
      <c r="D619" s="61" t="s">
        <v>2199</v>
      </c>
      <c r="E619" s="61" t="s">
        <v>109</v>
      </c>
      <c r="F619" s="61" t="s">
        <v>2200</v>
      </c>
      <c r="G619" s="62" t="s">
        <v>44</v>
      </c>
      <c r="H619" s="61" t="s">
        <v>64</v>
      </c>
      <c r="I619" s="62" t="s">
        <v>65</v>
      </c>
      <c r="J619" s="62" t="s">
        <v>44</v>
      </c>
      <c r="K619" s="105"/>
      <c r="L619" s="61" t="s">
        <v>2201</v>
      </c>
      <c r="M619" s="65"/>
      <c r="N619" s="66"/>
      <c r="O619" s="66" t="str">
        <f t="shared" si="1"/>
        <v/>
      </c>
      <c r="P619" s="66">
        <v>0.0</v>
      </c>
      <c r="Q619" s="66">
        <v>0.0</v>
      </c>
      <c r="R619" s="112"/>
      <c r="S619" s="66"/>
      <c r="T619" s="66"/>
      <c r="U619" s="66"/>
      <c r="V619" s="66"/>
      <c r="W619" s="66"/>
      <c r="X619" s="66"/>
      <c r="Y619" s="66"/>
      <c r="Z619" s="82"/>
    </row>
    <row r="620">
      <c r="A620" s="96"/>
      <c r="B620" s="61" t="s">
        <v>20</v>
      </c>
      <c r="C620" s="97" t="s">
        <v>1733</v>
      </c>
      <c r="D620" s="97" t="s">
        <v>713</v>
      </c>
      <c r="E620" s="97" t="s">
        <v>69</v>
      </c>
      <c r="F620" s="97" t="s">
        <v>2202</v>
      </c>
      <c r="G620" s="98" t="s">
        <v>44</v>
      </c>
      <c r="H620" s="97" t="s">
        <v>106</v>
      </c>
      <c r="I620" s="175"/>
      <c r="J620" s="99" t="s">
        <v>2203</v>
      </c>
      <c r="K620" s="166"/>
      <c r="L620" s="97" t="s">
        <v>2204</v>
      </c>
      <c r="M620" s="102"/>
      <c r="N620" s="66"/>
      <c r="O620" s="66" t="str">
        <f t="shared" si="1"/>
        <v>이메일</v>
      </c>
      <c r="P620" s="241">
        <v>0.0</v>
      </c>
      <c r="Q620" s="232">
        <v>1.0</v>
      </c>
      <c r="R620" s="112"/>
      <c r="S620" s="113"/>
      <c r="T620" s="113">
        <v>46108.0</v>
      </c>
      <c r="U620" s="113"/>
      <c r="V620" s="113"/>
      <c r="W620" s="113"/>
      <c r="X620" s="113"/>
      <c r="Y620" s="113"/>
      <c r="Z620" s="114"/>
    </row>
    <row r="621">
      <c r="A621" s="90"/>
      <c r="B621" s="61" t="s">
        <v>23</v>
      </c>
      <c r="C621" s="61"/>
      <c r="D621" s="61" t="s">
        <v>713</v>
      </c>
      <c r="E621" s="61" t="s">
        <v>69</v>
      </c>
      <c r="F621" s="210" t="s">
        <v>2205</v>
      </c>
      <c r="G621" s="62" t="s">
        <v>44</v>
      </c>
      <c r="H621" s="61" t="s">
        <v>106</v>
      </c>
      <c r="I621" s="105"/>
      <c r="J621" s="62" t="s">
        <v>44</v>
      </c>
      <c r="K621" s="105"/>
      <c r="L621" s="61" t="s">
        <v>2206</v>
      </c>
      <c r="M621" s="65"/>
      <c r="N621" s="66"/>
      <c r="O621" s="66" t="str">
        <f t="shared" si="1"/>
        <v/>
      </c>
      <c r="P621" s="66">
        <v>0.0</v>
      </c>
      <c r="Q621" s="66">
        <v>0.0</v>
      </c>
      <c r="R621" s="112"/>
      <c r="S621" s="66"/>
      <c r="T621" s="66"/>
      <c r="U621" s="66"/>
      <c r="V621" s="66"/>
      <c r="W621" s="66"/>
      <c r="X621" s="66"/>
      <c r="Y621" s="66"/>
      <c r="Z621" s="82"/>
    </row>
    <row r="622">
      <c r="A622" s="90"/>
      <c r="B622" s="61" t="s">
        <v>23</v>
      </c>
      <c r="C622" s="61"/>
      <c r="D622" s="61" t="s">
        <v>904</v>
      </c>
      <c r="E622" s="61" t="s">
        <v>109</v>
      </c>
      <c r="F622" s="61" t="s">
        <v>2207</v>
      </c>
      <c r="G622" s="62" t="s">
        <v>44</v>
      </c>
      <c r="H622" s="61" t="s">
        <v>106</v>
      </c>
      <c r="I622" s="105"/>
      <c r="J622" s="62" t="s">
        <v>44</v>
      </c>
      <c r="K622" s="105"/>
      <c r="L622" s="61" t="s">
        <v>1917</v>
      </c>
      <c r="M622" s="65"/>
      <c r="N622" s="66"/>
      <c r="O622" s="66" t="str">
        <f t="shared" si="1"/>
        <v/>
      </c>
      <c r="P622" s="66">
        <v>0.0</v>
      </c>
      <c r="Q622" s="66">
        <v>0.0</v>
      </c>
      <c r="R622" s="112"/>
      <c r="S622" s="66"/>
      <c r="T622" s="66"/>
      <c r="U622" s="66"/>
      <c r="V622" s="66"/>
      <c r="W622" s="66"/>
      <c r="X622" s="66"/>
      <c r="Y622" s="66"/>
      <c r="Z622" s="82"/>
    </row>
    <row r="623">
      <c r="A623" s="90"/>
      <c r="B623" s="61" t="s">
        <v>23</v>
      </c>
      <c r="C623" s="61"/>
      <c r="D623" s="61" t="s">
        <v>899</v>
      </c>
      <c r="E623" s="61" t="s">
        <v>69</v>
      </c>
      <c r="F623" s="61" t="s">
        <v>2208</v>
      </c>
      <c r="G623" s="62" t="s">
        <v>44</v>
      </c>
      <c r="H623" s="61" t="s">
        <v>106</v>
      </c>
      <c r="I623" s="105"/>
      <c r="J623" s="62" t="s">
        <v>44</v>
      </c>
      <c r="K623" s="105"/>
      <c r="L623" s="61" t="s">
        <v>2209</v>
      </c>
      <c r="M623" s="65"/>
      <c r="N623" s="66"/>
      <c r="O623" s="66" t="str">
        <f t="shared" si="1"/>
        <v/>
      </c>
      <c r="P623" s="66">
        <v>0.0</v>
      </c>
      <c r="Q623" s="66">
        <v>0.0</v>
      </c>
      <c r="R623" s="112"/>
      <c r="S623" s="66"/>
      <c r="T623" s="66"/>
      <c r="U623" s="66"/>
      <c r="V623" s="66"/>
      <c r="W623" s="66"/>
      <c r="X623" s="66"/>
      <c r="Y623" s="66"/>
      <c r="Z623" s="82"/>
    </row>
    <row r="624">
      <c r="A624" s="90"/>
      <c r="B624" s="61" t="s">
        <v>23</v>
      </c>
      <c r="C624" s="61"/>
      <c r="D624" s="61" t="s">
        <v>899</v>
      </c>
      <c r="E624" s="61" t="s">
        <v>69</v>
      </c>
      <c r="F624" s="61" t="s">
        <v>2210</v>
      </c>
      <c r="G624" s="62" t="s">
        <v>44</v>
      </c>
      <c r="H624" s="61" t="s">
        <v>106</v>
      </c>
      <c r="I624" s="105"/>
      <c r="J624" s="62" t="s">
        <v>44</v>
      </c>
      <c r="K624" s="105"/>
      <c r="L624" s="61" t="s">
        <v>2211</v>
      </c>
      <c r="M624" s="65"/>
      <c r="N624" s="66"/>
      <c r="O624" s="66" t="str">
        <f t="shared" si="1"/>
        <v/>
      </c>
      <c r="P624" s="66">
        <v>0.0</v>
      </c>
      <c r="Q624" s="66">
        <v>0.0</v>
      </c>
      <c r="R624" s="112"/>
      <c r="S624" s="66"/>
      <c r="T624" s="66"/>
      <c r="U624" s="66"/>
      <c r="V624" s="66"/>
      <c r="W624" s="66"/>
      <c r="X624" s="66"/>
      <c r="Y624" s="66"/>
      <c r="Z624" s="82"/>
    </row>
    <row r="625">
      <c r="A625" s="90"/>
      <c r="B625" s="61" t="s">
        <v>23</v>
      </c>
      <c r="C625" s="61"/>
      <c r="D625" s="61" t="s">
        <v>881</v>
      </c>
      <c r="E625" s="61" t="s">
        <v>531</v>
      </c>
      <c r="F625" s="61" t="s">
        <v>2212</v>
      </c>
      <c r="G625" s="62" t="s">
        <v>44</v>
      </c>
      <c r="H625" s="61" t="s">
        <v>106</v>
      </c>
      <c r="I625" s="105"/>
      <c r="J625" s="62" t="s">
        <v>44</v>
      </c>
      <c r="K625" s="62" t="s">
        <v>45</v>
      </c>
      <c r="L625" s="61" t="s">
        <v>2213</v>
      </c>
      <c r="M625" s="65"/>
      <c r="N625" s="66"/>
      <c r="O625" s="66" t="str">
        <f t="shared" si="1"/>
        <v/>
      </c>
      <c r="P625" s="66">
        <v>0.0</v>
      </c>
      <c r="Q625" s="66">
        <v>0.0</v>
      </c>
      <c r="R625" s="112"/>
      <c r="S625" s="66"/>
      <c r="T625" s="66"/>
      <c r="U625" s="66"/>
      <c r="V625" s="66"/>
      <c r="W625" s="66"/>
      <c r="X625" s="66"/>
      <c r="Y625" s="66"/>
      <c r="Z625" s="82"/>
    </row>
    <row r="626">
      <c r="A626" s="90"/>
      <c r="B626" s="61" t="s">
        <v>23</v>
      </c>
      <c r="C626" s="61"/>
      <c r="D626" s="61" t="s">
        <v>985</v>
      </c>
      <c r="E626" s="61" t="s">
        <v>2022</v>
      </c>
      <c r="F626" s="61" t="s">
        <v>2214</v>
      </c>
      <c r="G626" s="62" t="s">
        <v>44</v>
      </c>
      <c r="H626" s="61" t="s">
        <v>64</v>
      </c>
      <c r="I626" s="105"/>
      <c r="J626" s="62" t="s">
        <v>44</v>
      </c>
      <c r="K626" s="105"/>
      <c r="L626" s="61" t="s">
        <v>2215</v>
      </c>
      <c r="M626" s="176" t="s">
        <v>2216</v>
      </c>
      <c r="N626" s="66"/>
      <c r="O626" s="66" t="str">
        <f t="shared" si="1"/>
        <v/>
      </c>
      <c r="P626" s="66">
        <v>0.0</v>
      </c>
      <c r="Q626" s="66">
        <v>0.0</v>
      </c>
      <c r="R626" s="112"/>
      <c r="S626" s="66"/>
      <c r="T626" s="66"/>
      <c r="U626" s="66"/>
      <c r="V626" s="66"/>
      <c r="W626" s="66"/>
      <c r="X626" s="66"/>
      <c r="Y626" s="66"/>
      <c r="Z626" s="82"/>
    </row>
    <row r="627">
      <c r="A627" s="90"/>
      <c r="B627" s="61" t="s">
        <v>23</v>
      </c>
      <c r="C627" s="61"/>
      <c r="D627" s="61" t="s">
        <v>2217</v>
      </c>
      <c r="E627" s="61" t="s">
        <v>2218</v>
      </c>
      <c r="F627" s="61" t="s">
        <v>2219</v>
      </c>
      <c r="G627" s="62" t="s">
        <v>45</v>
      </c>
      <c r="H627" s="61" t="s">
        <v>64</v>
      </c>
      <c r="I627" s="61" t="s">
        <v>301</v>
      </c>
      <c r="J627" s="62" t="s">
        <v>44</v>
      </c>
      <c r="K627" s="62" t="s">
        <v>45</v>
      </c>
      <c r="L627" s="105"/>
      <c r="M627" s="125" t="s">
        <v>2220</v>
      </c>
      <c r="N627" s="66"/>
      <c r="O627" s="66" t="str">
        <f t="shared" si="1"/>
        <v/>
      </c>
      <c r="P627" s="66">
        <v>0.0</v>
      </c>
      <c r="Q627" s="66">
        <v>0.0</v>
      </c>
      <c r="R627" s="112"/>
      <c r="S627" s="66"/>
      <c r="T627" s="66"/>
      <c r="U627" s="66"/>
      <c r="V627" s="66"/>
      <c r="W627" s="66"/>
      <c r="X627" s="66"/>
      <c r="Y627" s="66"/>
      <c r="Z627" s="82"/>
    </row>
    <row r="628">
      <c r="A628" s="90"/>
      <c r="B628" s="61" t="s">
        <v>20</v>
      </c>
      <c r="C628" s="97"/>
      <c r="D628" s="97" t="s">
        <v>2221</v>
      </c>
      <c r="E628" s="97" t="s">
        <v>429</v>
      </c>
      <c r="F628" s="97" t="s">
        <v>2222</v>
      </c>
      <c r="G628" s="98" t="s">
        <v>45</v>
      </c>
      <c r="H628" s="97" t="s">
        <v>64</v>
      </c>
      <c r="I628" s="98" t="s">
        <v>648</v>
      </c>
      <c r="J628" s="99" t="s">
        <v>2223</v>
      </c>
      <c r="K628" s="166"/>
      <c r="L628" s="97" t="s">
        <v>2224</v>
      </c>
      <c r="M628" s="102"/>
      <c r="N628" s="66"/>
      <c r="O628" s="66" t="str">
        <f t="shared" si="1"/>
        <v>이메일</v>
      </c>
      <c r="P628" s="66">
        <v>0.0</v>
      </c>
      <c r="Q628" s="67">
        <v>1.0</v>
      </c>
      <c r="R628" s="112"/>
      <c r="S628" s="113"/>
      <c r="T628" s="113">
        <v>46108.0</v>
      </c>
      <c r="U628" s="113"/>
      <c r="V628" s="113"/>
      <c r="W628" s="67" t="s">
        <v>2</v>
      </c>
      <c r="X628" s="113"/>
      <c r="Y628" s="113"/>
      <c r="Z628" s="114"/>
    </row>
    <row r="629">
      <c r="A629" s="90"/>
      <c r="B629" s="61" t="s">
        <v>23</v>
      </c>
      <c r="C629" s="266"/>
      <c r="D629" s="266" t="s">
        <v>759</v>
      </c>
      <c r="E629" s="266" t="s">
        <v>1199</v>
      </c>
      <c r="F629" s="266" t="s">
        <v>2225</v>
      </c>
      <c r="G629" s="268" t="s">
        <v>44</v>
      </c>
      <c r="H629" s="266" t="s">
        <v>64</v>
      </c>
      <c r="I629" s="268" t="s">
        <v>648</v>
      </c>
      <c r="J629" s="268" t="s">
        <v>44</v>
      </c>
      <c r="K629" s="268" t="s">
        <v>45</v>
      </c>
      <c r="L629" s="269"/>
      <c r="M629" s="272"/>
      <c r="N629" s="66"/>
      <c r="O629" s="66" t="str">
        <f t="shared" si="1"/>
        <v/>
      </c>
      <c r="P629" s="66">
        <v>0.0</v>
      </c>
      <c r="Q629" s="66">
        <v>0.0</v>
      </c>
      <c r="R629" s="112"/>
      <c r="S629" s="66"/>
      <c r="T629" s="66"/>
      <c r="U629" s="66"/>
      <c r="V629" s="66"/>
      <c r="W629" s="66"/>
      <c r="X629" s="66"/>
      <c r="Y629" s="66"/>
      <c r="Z629" s="82"/>
    </row>
    <row r="630">
      <c r="A630" s="90"/>
      <c r="B630" s="61" t="s">
        <v>23</v>
      </c>
      <c r="C630" s="61"/>
      <c r="D630" s="61" t="s">
        <v>2226</v>
      </c>
      <c r="E630" s="61" t="s">
        <v>578</v>
      </c>
      <c r="F630" s="61" t="s">
        <v>2227</v>
      </c>
      <c r="G630" s="62" t="s">
        <v>789</v>
      </c>
      <c r="H630" s="61" t="s">
        <v>64</v>
      </c>
      <c r="I630" s="62" t="s">
        <v>657</v>
      </c>
      <c r="J630" s="62" t="s">
        <v>44</v>
      </c>
      <c r="K630" s="62" t="s">
        <v>45</v>
      </c>
      <c r="L630" s="105"/>
      <c r="M630" s="65"/>
      <c r="N630" s="66"/>
      <c r="O630" s="66" t="str">
        <f t="shared" si="1"/>
        <v/>
      </c>
      <c r="P630" s="66">
        <v>0.0</v>
      </c>
      <c r="Q630" s="66">
        <v>0.0</v>
      </c>
      <c r="R630" s="112"/>
      <c r="S630" s="66"/>
      <c r="T630" s="66"/>
      <c r="U630" s="66"/>
      <c r="V630" s="66"/>
      <c r="W630" s="66"/>
      <c r="X630" s="66"/>
      <c r="Y630" s="66"/>
      <c r="Z630" s="82"/>
    </row>
    <row r="631">
      <c r="A631" s="90"/>
      <c r="B631" s="61" t="s">
        <v>20</v>
      </c>
      <c r="C631" s="97"/>
      <c r="D631" s="97" t="s">
        <v>1961</v>
      </c>
      <c r="E631" s="97" t="s">
        <v>1370</v>
      </c>
      <c r="F631" s="97" t="s">
        <v>2228</v>
      </c>
      <c r="G631" s="98" t="s">
        <v>44</v>
      </c>
      <c r="H631" s="97" t="s">
        <v>106</v>
      </c>
      <c r="I631" s="175"/>
      <c r="J631" s="99" t="s">
        <v>2229</v>
      </c>
      <c r="K631" s="107" t="s">
        <v>2230</v>
      </c>
      <c r="L631" s="97" t="s">
        <v>2231</v>
      </c>
      <c r="M631" s="247" t="s">
        <v>2232</v>
      </c>
      <c r="N631" s="66"/>
      <c r="O631" s="66" t="str">
        <f t="shared" si="1"/>
        <v>DM+이메일</v>
      </c>
      <c r="P631" s="67">
        <v>1.0</v>
      </c>
      <c r="Q631" s="67">
        <v>1.0</v>
      </c>
      <c r="R631" s="112"/>
      <c r="S631" s="113"/>
      <c r="T631" s="113">
        <v>46108.0</v>
      </c>
      <c r="U631" s="67" t="s">
        <v>25</v>
      </c>
      <c r="V631" s="113"/>
      <c r="W631" s="113"/>
      <c r="X631" s="113"/>
      <c r="Y631" s="113"/>
      <c r="Z631" s="68" t="s">
        <v>2233</v>
      </c>
    </row>
    <row r="632">
      <c r="A632" s="90"/>
      <c r="B632" s="61" t="s">
        <v>23</v>
      </c>
      <c r="C632" s="61"/>
      <c r="D632" s="61" t="s">
        <v>2234</v>
      </c>
      <c r="E632" s="61" t="s">
        <v>2218</v>
      </c>
      <c r="F632" s="61" t="s">
        <v>2235</v>
      </c>
      <c r="G632" s="62" t="s">
        <v>45</v>
      </c>
      <c r="H632" s="61" t="s">
        <v>106</v>
      </c>
      <c r="I632" s="105"/>
      <c r="J632" s="61" t="s">
        <v>106</v>
      </c>
      <c r="K632" s="62" t="s">
        <v>45</v>
      </c>
      <c r="L632" s="61" t="s">
        <v>2236</v>
      </c>
      <c r="M632" s="176" t="s">
        <v>2237</v>
      </c>
      <c r="N632" s="66"/>
      <c r="O632" s="66" t="str">
        <f t="shared" si="1"/>
        <v/>
      </c>
      <c r="P632" s="66">
        <v>0.0</v>
      </c>
      <c r="Q632" s="66">
        <v>0.0</v>
      </c>
      <c r="R632" s="112"/>
      <c r="S632" s="66"/>
      <c r="T632" s="66"/>
      <c r="U632" s="66"/>
      <c r="V632" s="66"/>
      <c r="W632" s="66"/>
      <c r="X632" s="66"/>
      <c r="Y632" s="66"/>
      <c r="Z632" s="82"/>
    </row>
    <row r="633">
      <c r="A633" s="96"/>
      <c r="B633" s="61" t="s">
        <v>20</v>
      </c>
      <c r="C633" s="97"/>
      <c r="D633" s="97" t="s">
        <v>2238</v>
      </c>
      <c r="E633" s="97" t="s">
        <v>506</v>
      </c>
      <c r="F633" s="97" t="s">
        <v>2239</v>
      </c>
      <c r="G633" s="98" t="s">
        <v>44</v>
      </c>
      <c r="H633" s="97" t="s">
        <v>106</v>
      </c>
      <c r="I633" s="175"/>
      <c r="J633" s="99" t="s">
        <v>2240</v>
      </c>
      <c r="K633" s="166"/>
      <c r="L633" s="106" t="s">
        <v>2241</v>
      </c>
      <c r="M633" s="102"/>
      <c r="N633" s="66"/>
      <c r="O633" s="66" t="str">
        <f t="shared" si="1"/>
        <v>이메일</v>
      </c>
      <c r="P633" s="66">
        <v>0.0</v>
      </c>
      <c r="Q633" s="67">
        <v>1.0</v>
      </c>
      <c r="R633" s="112"/>
      <c r="S633" s="113"/>
      <c r="T633" s="113">
        <v>46108.0</v>
      </c>
      <c r="U633" s="113"/>
      <c r="V633" s="113"/>
      <c r="W633" s="113"/>
      <c r="X633" s="113"/>
      <c r="Y633" s="113"/>
      <c r="Z633" s="114"/>
    </row>
    <row r="634">
      <c r="A634" s="90"/>
      <c r="B634" s="61" t="s">
        <v>23</v>
      </c>
      <c r="C634" s="61"/>
      <c r="D634" s="61" t="s">
        <v>2242</v>
      </c>
      <c r="E634" s="61" t="s">
        <v>1180</v>
      </c>
      <c r="F634" s="61" t="s">
        <v>2243</v>
      </c>
      <c r="G634" s="62" t="s">
        <v>44</v>
      </c>
      <c r="H634" s="61" t="s">
        <v>106</v>
      </c>
      <c r="I634" s="105"/>
      <c r="J634" s="62" t="s">
        <v>44</v>
      </c>
      <c r="K634" s="105"/>
      <c r="L634" s="105"/>
      <c r="M634" s="176" t="s">
        <v>2244</v>
      </c>
      <c r="N634" s="66"/>
      <c r="O634" s="66" t="str">
        <f t="shared" si="1"/>
        <v/>
      </c>
      <c r="P634" s="66">
        <v>0.0</v>
      </c>
      <c r="Q634" s="66">
        <v>0.0</v>
      </c>
      <c r="R634" s="112"/>
      <c r="S634" s="66"/>
      <c r="T634" s="66"/>
      <c r="U634" s="66"/>
      <c r="V634" s="66"/>
      <c r="W634" s="66"/>
      <c r="X634" s="66"/>
      <c r="Y634" s="66"/>
      <c r="Z634" s="82"/>
    </row>
    <row r="635">
      <c r="A635" s="90"/>
      <c r="B635" s="61" t="s">
        <v>23</v>
      </c>
      <c r="C635" s="61"/>
      <c r="D635" s="61" t="s">
        <v>2245</v>
      </c>
      <c r="E635" s="61" t="s">
        <v>2218</v>
      </c>
      <c r="F635" s="61" t="s">
        <v>2246</v>
      </c>
      <c r="G635" s="62" t="s">
        <v>45</v>
      </c>
      <c r="H635" s="61" t="s">
        <v>106</v>
      </c>
      <c r="I635" s="105"/>
      <c r="J635" s="61" t="s">
        <v>431</v>
      </c>
      <c r="K635" s="62" t="s">
        <v>45</v>
      </c>
      <c r="L635" s="105"/>
      <c r="M635" s="176" t="s">
        <v>2247</v>
      </c>
      <c r="N635" s="66"/>
      <c r="O635" s="66" t="str">
        <f t="shared" si="1"/>
        <v/>
      </c>
      <c r="P635" s="66">
        <v>0.0</v>
      </c>
      <c r="Q635" s="66">
        <v>0.0</v>
      </c>
      <c r="R635" s="112"/>
      <c r="S635" s="66"/>
      <c r="T635" s="66"/>
      <c r="U635" s="66"/>
      <c r="V635" s="66"/>
      <c r="W635" s="66"/>
      <c r="X635" s="66"/>
      <c r="Y635" s="66"/>
      <c r="Z635" s="82"/>
    </row>
    <row r="636">
      <c r="A636" s="90"/>
      <c r="B636" s="61" t="s">
        <v>23</v>
      </c>
      <c r="C636" s="61"/>
      <c r="D636" s="61" t="s">
        <v>2248</v>
      </c>
      <c r="E636" s="61" t="s">
        <v>1377</v>
      </c>
      <c r="F636" s="61" t="s">
        <v>2249</v>
      </c>
      <c r="G636" s="62" t="s">
        <v>553</v>
      </c>
      <c r="H636" s="61" t="s">
        <v>64</v>
      </c>
      <c r="I636" s="62" t="s">
        <v>657</v>
      </c>
      <c r="J636" s="61" t="s">
        <v>431</v>
      </c>
      <c r="K636" s="61" t="s">
        <v>431</v>
      </c>
      <c r="L636" s="61" t="s">
        <v>2250</v>
      </c>
      <c r="M636" s="65"/>
      <c r="N636" s="66"/>
      <c r="O636" s="66" t="str">
        <f t="shared" si="1"/>
        <v/>
      </c>
      <c r="P636" s="66">
        <v>0.0</v>
      </c>
      <c r="Q636" s="66">
        <v>0.0</v>
      </c>
      <c r="R636" s="112"/>
      <c r="S636" s="66"/>
      <c r="T636" s="66"/>
      <c r="U636" s="66"/>
      <c r="V636" s="66"/>
      <c r="W636" s="66"/>
      <c r="X636" s="66"/>
      <c r="Y636" s="66"/>
      <c r="Z636" s="82"/>
    </row>
    <row r="637">
      <c r="A637" s="90"/>
      <c r="B637" s="61" t="s">
        <v>23</v>
      </c>
      <c r="C637" s="266"/>
      <c r="D637" s="266" t="s">
        <v>247</v>
      </c>
      <c r="E637" s="266" t="s">
        <v>1063</v>
      </c>
      <c r="F637" s="266" t="s">
        <v>2251</v>
      </c>
      <c r="G637" s="268" t="s">
        <v>44</v>
      </c>
      <c r="H637" s="266" t="s">
        <v>64</v>
      </c>
      <c r="I637" s="268" t="s">
        <v>2252</v>
      </c>
      <c r="J637" s="268" t="s">
        <v>44</v>
      </c>
      <c r="K637" s="266" t="s">
        <v>106</v>
      </c>
      <c r="L637" s="266" t="s">
        <v>2253</v>
      </c>
      <c r="M637" s="272"/>
      <c r="N637" s="66"/>
      <c r="O637" s="66" t="str">
        <f t="shared" si="1"/>
        <v/>
      </c>
      <c r="P637" s="66">
        <v>0.0</v>
      </c>
      <c r="Q637" s="66">
        <v>0.0</v>
      </c>
      <c r="R637" s="112"/>
      <c r="S637" s="66"/>
      <c r="T637" s="66"/>
      <c r="U637" s="66"/>
      <c r="V637" s="66"/>
      <c r="W637" s="66"/>
      <c r="X637" s="66"/>
      <c r="Y637" s="66"/>
      <c r="Z637" s="82"/>
    </row>
    <row r="638">
      <c r="A638" s="90"/>
      <c r="B638" s="61" t="s">
        <v>23</v>
      </c>
      <c r="C638" s="61"/>
      <c r="D638" s="61" t="s">
        <v>88</v>
      </c>
      <c r="E638" s="61" t="s">
        <v>1063</v>
      </c>
      <c r="F638" s="61" t="s">
        <v>2254</v>
      </c>
      <c r="G638" s="62" t="s">
        <v>45</v>
      </c>
      <c r="H638" s="61" t="s">
        <v>64</v>
      </c>
      <c r="I638" s="62" t="s">
        <v>2255</v>
      </c>
      <c r="J638" s="62" t="s">
        <v>44</v>
      </c>
      <c r="K638" s="62" t="s">
        <v>45</v>
      </c>
      <c r="L638" s="61" t="s">
        <v>2256</v>
      </c>
      <c r="M638" s="65"/>
      <c r="N638" s="66"/>
      <c r="O638" s="66" t="str">
        <f t="shared" si="1"/>
        <v/>
      </c>
      <c r="P638" s="66">
        <v>0.0</v>
      </c>
      <c r="Q638" s="66">
        <v>0.0</v>
      </c>
      <c r="R638" s="112"/>
      <c r="S638" s="66"/>
      <c r="T638" s="66"/>
      <c r="U638" s="66"/>
      <c r="V638" s="66"/>
      <c r="W638" s="66"/>
      <c r="X638" s="66"/>
      <c r="Y638" s="66"/>
      <c r="Z638" s="82"/>
    </row>
    <row r="639">
      <c r="A639" s="96"/>
      <c r="B639" s="61" t="s">
        <v>20</v>
      </c>
      <c r="C639" s="97"/>
      <c r="D639" s="97" t="s">
        <v>2257</v>
      </c>
      <c r="E639" s="97" t="s">
        <v>494</v>
      </c>
      <c r="F639" s="97" t="s">
        <v>2258</v>
      </c>
      <c r="G639" s="98" t="s">
        <v>44</v>
      </c>
      <c r="H639" s="97" t="s">
        <v>64</v>
      </c>
      <c r="I639" s="98" t="s">
        <v>648</v>
      </c>
      <c r="J639" s="99" t="s">
        <v>1724</v>
      </c>
      <c r="K639" s="166"/>
      <c r="L639" s="97" t="s">
        <v>1725</v>
      </c>
      <c r="M639" s="247" t="s">
        <v>2259</v>
      </c>
      <c r="N639" s="66"/>
      <c r="O639" s="66" t="str">
        <f t="shared" si="1"/>
        <v>이메일</v>
      </c>
      <c r="P639" s="241">
        <v>0.0</v>
      </c>
      <c r="Q639" s="232">
        <v>1.0</v>
      </c>
      <c r="R639" s="112"/>
      <c r="S639" s="113"/>
      <c r="T639" s="113">
        <v>46108.0</v>
      </c>
      <c r="U639" s="113"/>
      <c r="V639" s="113"/>
      <c r="W639" s="113"/>
      <c r="X639" s="113"/>
      <c r="Y639" s="113"/>
      <c r="Z639" s="114"/>
    </row>
    <row r="640">
      <c r="A640" s="96"/>
      <c r="B640" s="61" t="s">
        <v>16</v>
      </c>
      <c r="C640" s="97"/>
      <c r="D640" s="97" t="s">
        <v>2260</v>
      </c>
      <c r="E640" s="97" t="s">
        <v>109</v>
      </c>
      <c r="F640" s="97" t="s">
        <v>2261</v>
      </c>
      <c r="G640" s="98" t="s">
        <v>45</v>
      </c>
      <c r="H640" s="97" t="s">
        <v>64</v>
      </c>
      <c r="I640" s="98" t="s">
        <v>256</v>
      </c>
      <c r="J640" s="103"/>
      <c r="K640" s="332"/>
      <c r="L640" s="97" t="s">
        <v>2262</v>
      </c>
      <c r="M640" s="102"/>
      <c r="N640" s="66"/>
      <c r="O640" s="66" t="str">
        <f t="shared" si="1"/>
        <v/>
      </c>
      <c r="P640" s="241">
        <v>0.0</v>
      </c>
      <c r="Q640" s="241">
        <v>0.0</v>
      </c>
      <c r="R640" s="112"/>
      <c r="S640" s="241"/>
      <c r="T640" s="241"/>
      <c r="U640" s="241"/>
      <c r="V640" s="241"/>
      <c r="W640" s="241"/>
      <c r="X640" s="241"/>
      <c r="Y640" s="241"/>
      <c r="Z640" s="242"/>
    </row>
    <row r="641">
      <c r="A641" s="90"/>
      <c r="B641" s="61" t="s">
        <v>23</v>
      </c>
      <c r="C641" s="61"/>
      <c r="D641" s="61" t="s">
        <v>985</v>
      </c>
      <c r="E641" s="61" t="s">
        <v>69</v>
      </c>
      <c r="F641" s="61" t="s">
        <v>2263</v>
      </c>
      <c r="G641" s="62" t="s">
        <v>44</v>
      </c>
      <c r="H641" s="61" t="s">
        <v>106</v>
      </c>
      <c r="I641" s="62" t="s">
        <v>44</v>
      </c>
      <c r="J641" s="105"/>
      <c r="K641" s="105"/>
      <c r="L641" s="61" t="s">
        <v>2264</v>
      </c>
      <c r="M641" s="65"/>
      <c r="N641" s="66"/>
      <c r="O641" s="66" t="str">
        <f t="shared" si="1"/>
        <v/>
      </c>
      <c r="P641" s="66">
        <v>0.0</v>
      </c>
      <c r="Q641" s="66">
        <v>0.0</v>
      </c>
      <c r="R641" s="112"/>
      <c r="S641" s="66"/>
      <c r="T641" s="66"/>
      <c r="U641" s="66"/>
      <c r="V641" s="66"/>
      <c r="W641" s="66"/>
      <c r="X641" s="66"/>
      <c r="Y641" s="66"/>
      <c r="Z641" s="82"/>
    </row>
    <row r="642">
      <c r="A642" s="90"/>
      <c r="B642" s="61" t="s">
        <v>23</v>
      </c>
      <c r="C642" s="61"/>
      <c r="D642" s="61" t="s">
        <v>508</v>
      </c>
      <c r="E642" s="61" t="s">
        <v>1072</v>
      </c>
      <c r="F642" s="61" t="s">
        <v>2265</v>
      </c>
      <c r="G642" s="62" t="s">
        <v>44</v>
      </c>
      <c r="H642" s="61" t="s">
        <v>64</v>
      </c>
      <c r="I642" s="198" t="s">
        <v>648</v>
      </c>
      <c r="J642" s="105"/>
      <c r="K642" s="105"/>
      <c r="L642" s="61" t="s">
        <v>2266</v>
      </c>
      <c r="M642" s="65"/>
      <c r="N642" s="66"/>
      <c r="O642" s="66" t="str">
        <f t="shared" si="1"/>
        <v/>
      </c>
      <c r="P642" s="66">
        <v>0.0</v>
      </c>
      <c r="Q642" s="66">
        <v>0.0</v>
      </c>
      <c r="R642" s="112"/>
      <c r="S642" s="66"/>
      <c r="T642" s="66"/>
      <c r="U642" s="66"/>
      <c r="V642" s="66"/>
      <c r="W642" s="66"/>
      <c r="X642" s="66"/>
      <c r="Y642" s="66"/>
      <c r="Z642" s="82"/>
    </row>
    <row r="643">
      <c r="A643" s="90"/>
      <c r="B643" s="61" t="s">
        <v>15</v>
      </c>
      <c r="C643" s="61"/>
      <c r="D643" s="61" t="s">
        <v>694</v>
      </c>
      <c r="E643" s="61" t="s">
        <v>1180</v>
      </c>
      <c r="F643" s="61" t="s">
        <v>2267</v>
      </c>
      <c r="G643" s="62" t="s">
        <v>553</v>
      </c>
      <c r="H643" s="61" t="s">
        <v>106</v>
      </c>
      <c r="I643" s="105"/>
      <c r="J643" s="105"/>
      <c r="K643" s="105"/>
      <c r="L643" s="105"/>
      <c r="M643" s="176" t="s">
        <v>2268</v>
      </c>
      <c r="N643" s="66"/>
      <c r="O643" s="66" t="str">
        <f t="shared" si="1"/>
        <v/>
      </c>
      <c r="P643" s="66">
        <v>0.0</v>
      </c>
      <c r="Q643" s="66">
        <v>0.0</v>
      </c>
      <c r="R643" s="112"/>
      <c r="S643" s="66"/>
      <c r="T643" s="66"/>
      <c r="U643" s="66"/>
      <c r="V643" s="66"/>
      <c r="W643" s="66"/>
      <c r="X643" s="66"/>
      <c r="Y643" s="66"/>
      <c r="Z643" s="82"/>
    </row>
    <row r="644">
      <c r="A644" s="90"/>
      <c r="B644" s="61" t="s">
        <v>23</v>
      </c>
      <c r="C644" s="61" t="s">
        <v>2269</v>
      </c>
      <c r="D644" s="61" t="s">
        <v>787</v>
      </c>
      <c r="E644" s="61" t="s">
        <v>2270</v>
      </c>
      <c r="F644" s="61" t="s">
        <v>2271</v>
      </c>
      <c r="G644" s="62" t="s">
        <v>44</v>
      </c>
      <c r="H644" s="61" t="s">
        <v>64</v>
      </c>
      <c r="I644" s="62" t="s">
        <v>301</v>
      </c>
      <c r="J644" s="62" t="s">
        <v>44</v>
      </c>
      <c r="K644" s="61" t="s">
        <v>106</v>
      </c>
      <c r="L644" s="215" t="s">
        <v>2272</v>
      </c>
      <c r="M644" s="65"/>
      <c r="N644" s="66"/>
      <c r="O644" s="66" t="str">
        <f t="shared" si="1"/>
        <v/>
      </c>
      <c r="P644" s="66">
        <v>0.0</v>
      </c>
      <c r="Q644" s="66">
        <v>0.0</v>
      </c>
      <c r="R644" s="112"/>
      <c r="S644" s="66"/>
      <c r="T644" s="66"/>
      <c r="U644" s="66"/>
      <c r="V644" s="66"/>
      <c r="W644" s="66"/>
      <c r="X644" s="66"/>
      <c r="Y644" s="66"/>
      <c r="Z644" s="82"/>
    </row>
    <row r="645">
      <c r="A645" s="90"/>
      <c r="B645" s="61" t="s">
        <v>15</v>
      </c>
      <c r="C645" s="61" t="s">
        <v>2273</v>
      </c>
      <c r="D645" s="61" t="s">
        <v>713</v>
      </c>
      <c r="E645" s="61" t="s">
        <v>2022</v>
      </c>
      <c r="F645" s="61" t="s">
        <v>2274</v>
      </c>
      <c r="G645" s="62" t="s">
        <v>44</v>
      </c>
      <c r="H645" s="61" t="s">
        <v>64</v>
      </c>
      <c r="I645" s="80"/>
      <c r="J645" s="62" t="s">
        <v>44</v>
      </c>
      <c r="K645" s="105"/>
      <c r="L645" s="61" t="s">
        <v>2275</v>
      </c>
      <c r="M645" s="125" t="s">
        <v>2276</v>
      </c>
      <c r="N645" s="66"/>
      <c r="O645" s="66" t="str">
        <f t="shared" si="1"/>
        <v/>
      </c>
      <c r="P645" s="66">
        <v>0.0</v>
      </c>
      <c r="Q645" s="66">
        <v>0.0</v>
      </c>
      <c r="R645" s="112"/>
      <c r="S645" s="66"/>
      <c r="T645" s="66"/>
      <c r="U645" s="66"/>
      <c r="V645" s="66"/>
      <c r="W645" s="66"/>
      <c r="X645" s="66"/>
      <c r="Y645" s="66"/>
      <c r="Z645" s="82"/>
    </row>
    <row r="646">
      <c r="A646" s="90"/>
      <c r="B646" s="61" t="s">
        <v>15</v>
      </c>
      <c r="C646" s="61" t="s">
        <v>2273</v>
      </c>
      <c r="D646" s="61" t="s">
        <v>713</v>
      </c>
      <c r="E646" s="61" t="s">
        <v>69</v>
      </c>
      <c r="F646" s="61" t="s">
        <v>2277</v>
      </c>
      <c r="G646" s="62" t="s">
        <v>44</v>
      </c>
      <c r="H646" s="61" t="s">
        <v>106</v>
      </c>
      <c r="I646" s="62" t="s">
        <v>44</v>
      </c>
      <c r="J646" s="105"/>
      <c r="K646" s="105"/>
      <c r="L646" s="61" t="s">
        <v>2278</v>
      </c>
      <c r="M646" s="65"/>
      <c r="N646" s="66"/>
      <c r="O646" s="66" t="str">
        <f t="shared" si="1"/>
        <v/>
      </c>
      <c r="P646" s="66">
        <v>0.0</v>
      </c>
      <c r="Q646" s="66">
        <v>0.0</v>
      </c>
      <c r="R646" s="112"/>
      <c r="S646" s="66"/>
      <c r="T646" s="66"/>
      <c r="U646" s="66"/>
      <c r="V646" s="66"/>
      <c r="W646" s="66"/>
      <c r="X646" s="66"/>
      <c r="Y646" s="66"/>
      <c r="Z646" s="82"/>
    </row>
    <row r="647">
      <c r="A647" s="90"/>
      <c r="B647" s="61" t="s">
        <v>23</v>
      </c>
      <c r="C647" s="61" t="s">
        <v>2273</v>
      </c>
      <c r="D647" s="61" t="s">
        <v>2279</v>
      </c>
      <c r="E647" s="61" t="s">
        <v>69</v>
      </c>
      <c r="F647" s="61" t="s">
        <v>2280</v>
      </c>
      <c r="G647" s="62" t="s">
        <v>640</v>
      </c>
      <c r="H647" s="61" t="s">
        <v>64</v>
      </c>
      <c r="I647" s="62" t="s">
        <v>640</v>
      </c>
      <c r="J647" s="105"/>
      <c r="K647" s="105"/>
      <c r="L647" s="61" t="s">
        <v>2281</v>
      </c>
      <c r="M647" s="65"/>
      <c r="N647" s="66"/>
      <c r="O647" s="66" t="str">
        <f t="shared" si="1"/>
        <v/>
      </c>
      <c r="P647" s="66">
        <v>0.0</v>
      </c>
      <c r="Q647" s="66">
        <v>0.0</v>
      </c>
      <c r="R647" s="112"/>
      <c r="S647" s="66"/>
      <c r="T647" s="66"/>
      <c r="U647" s="66"/>
      <c r="V647" s="66"/>
      <c r="W647" s="66"/>
      <c r="X647" s="66"/>
      <c r="Y647" s="66"/>
      <c r="Z647" s="82"/>
    </row>
    <row r="648">
      <c r="A648" s="90"/>
      <c r="B648" s="61" t="s">
        <v>23</v>
      </c>
      <c r="C648" s="61" t="s">
        <v>2282</v>
      </c>
      <c r="D648" s="61" t="s">
        <v>2283</v>
      </c>
      <c r="E648" s="61" t="s">
        <v>353</v>
      </c>
      <c r="F648" s="61" t="s">
        <v>2284</v>
      </c>
      <c r="G648" s="62" t="s">
        <v>44</v>
      </c>
      <c r="H648" s="61" t="s">
        <v>64</v>
      </c>
      <c r="I648" s="62" t="s">
        <v>496</v>
      </c>
      <c r="J648" s="62" t="s">
        <v>44</v>
      </c>
      <c r="K648" s="62" t="s">
        <v>45</v>
      </c>
      <c r="L648" s="105"/>
      <c r="M648" s="65"/>
      <c r="N648" s="66"/>
      <c r="O648" s="66" t="str">
        <f t="shared" si="1"/>
        <v/>
      </c>
      <c r="P648" s="66">
        <v>0.0</v>
      </c>
      <c r="Q648" s="66">
        <v>0.0</v>
      </c>
      <c r="R648" s="112"/>
      <c r="S648" s="66"/>
      <c r="T648" s="66"/>
      <c r="U648" s="66"/>
      <c r="V648" s="66"/>
      <c r="W648" s="66"/>
      <c r="X648" s="66"/>
      <c r="Y648" s="66"/>
      <c r="Z648" s="82"/>
    </row>
    <row r="649">
      <c r="A649" s="90"/>
      <c r="B649" s="61" t="s">
        <v>15</v>
      </c>
      <c r="C649" s="61" t="s">
        <v>2273</v>
      </c>
      <c r="D649" s="61" t="s">
        <v>2285</v>
      </c>
      <c r="E649" s="61" t="s">
        <v>1072</v>
      </c>
      <c r="F649" s="61" t="s">
        <v>2286</v>
      </c>
      <c r="G649" s="62" t="s">
        <v>2287</v>
      </c>
      <c r="H649" s="61" t="s">
        <v>64</v>
      </c>
      <c r="I649" s="62" t="s">
        <v>2287</v>
      </c>
      <c r="J649" s="62" t="s">
        <v>44</v>
      </c>
      <c r="K649" s="105"/>
      <c r="L649" s="61" t="s">
        <v>2288</v>
      </c>
      <c r="M649" s="65"/>
      <c r="N649" s="66"/>
      <c r="O649" s="66" t="str">
        <f t="shared" si="1"/>
        <v/>
      </c>
      <c r="P649" s="66">
        <v>0.0</v>
      </c>
      <c r="Q649" s="66">
        <v>0.0</v>
      </c>
      <c r="R649" s="112"/>
      <c r="S649" s="66"/>
      <c r="T649" s="66"/>
      <c r="U649" s="66"/>
      <c r="V649" s="66"/>
      <c r="W649" s="66"/>
      <c r="X649" s="66"/>
      <c r="Y649" s="66"/>
      <c r="Z649" s="82"/>
    </row>
    <row r="650">
      <c r="A650" s="90"/>
      <c r="B650" s="61" t="s">
        <v>24</v>
      </c>
      <c r="C650" s="61" t="s">
        <v>2273</v>
      </c>
      <c r="D650" s="61" t="s">
        <v>2076</v>
      </c>
      <c r="E650" s="61" t="s">
        <v>429</v>
      </c>
      <c r="F650" s="61" t="s">
        <v>2289</v>
      </c>
      <c r="G650" s="62" t="s">
        <v>1031</v>
      </c>
      <c r="H650" s="61" t="s">
        <v>64</v>
      </c>
      <c r="I650" s="62" t="s">
        <v>496</v>
      </c>
      <c r="J650" s="105"/>
      <c r="K650" s="62" t="s">
        <v>45</v>
      </c>
      <c r="L650" s="61" t="s">
        <v>2290</v>
      </c>
      <c r="M650" s="176" t="s">
        <v>2291</v>
      </c>
      <c r="N650" s="66"/>
      <c r="O650" s="66" t="str">
        <f t="shared" si="1"/>
        <v/>
      </c>
      <c r="P650" s="66">
        <v>0.0</v>
      </c>
      <c r="Q650" s="66">
        <v>0.0</v>
      </c>
      <c r="R650" s="112"/>
      <c r="S650" s="66"/>
      <c r="T650" s="66"/>
      <c r="U650" s="66"/>
      <c r="V650" s="66"/>
      <c r="W650" s="66"/>
      <c r="X650" s="66"/>
      <c r="Y650" s="66"/>
      <c r="Z650" s="82"/>
    </row>
    <row r="651">
      <c r="A651" s="90"/>
      <c r="B651" s="61" t="s">
        <v>24</v>
      </c>
      <c r="C651" s="61" t="s">
        <v>2273</v>
      </c>
      <c r="D651" s="61" t="s">
        <v>2292</v>
      </c>
      <c r="E651" s="61" t="s">
        <v>2218</v>
      </c>
      <c r="F651" s="61" t="s">
        <v>2293</v>
      </c>
      <c r="G651" s="62" t="s">
        <v>44</v>
      </c>
      <c r="H651" s="61" t="s">
        <v>64</v>
      </c>
      <c r="I651" s="62" t="s">
        <v>2294</v>
      </c>
      <c r="J651" s="62" t="s">
        <v>44</v>
      </c>
      <c r="K651" s="61" t="s">
        <v>106</v>
      </c>
      <c r="L651" s="61" t="s">
        <v>2295</v>
      </c>
      <c r="M651" s="125" t="s">
        <v>2296</v>
      </c>
      <c r="N651" s="66"/>
      <c r="O651" s="66" t="str">
        <f t="shared" si="1"/>
        <v/>
      </c>
      <c r="P651" s="66">
        <v>0.0</v>
      </c>
      <c r="Q651" s="66">
        <v>0.0</v>
      </c>
      <c r="R651" s="112"/>
      <c r="S651" s="66"/>
      <c r="T651" s="66"/>
      <c r="U651" s="66"/>
      <c r="V651" s="66"/>
      <c r="W651" s="66"/>
      <c r="X651" s="66"/>
      <c r="Y651" s="66"/>
      <c r="Z651" s="82"/>
    </row>
    <row r="652">
      <c r="A652" s="90"/>
      <c r="B652" s="61" t="s">
        <v>23</v>
      </c>
      <c r="C652" s="61" t="s">
        <v>2273</v>
      </c>
      <c r="D652" s="61" t="s">
        <v>2297</v>
      </c>
      <c r="E652" s="61" t="s">
        <v>2022</v>
      </c>
      <c r="F652" s="61" t="s">
        <v>2298</v>
      </c>
      <c r="G652" s="62" t="s">
        <v>44</v>
      </c>
      <c r="H652" s="61" t="s">
        <v>64</v>
      </c>
      <c r="I652" s="62" t="s">
        <v>648</v>
      </c>
      <c r="J652" s="99" t="s">
        <v>2299</v>
      </c>
      <c r="K652" s="332"/>
      <c r="L652" s="61" t="s">
        <v>2300</v>
      </c>
      <c r="M652" s="65"/>
      <c r="N652" s="66"/>
      <c r="O652" s="66" t="str">
        <f t="shared" si="1"/>
        <v/>
      </c>
      <c r="P652" s="66">
        <v>0.0</v>
      </c>
      <c r="Q652" s="66">
        <v>0.0</v>
      </c>
      <c r="R652" s="112"/>
      <c r="S652" s="66"/>
      <c r="T652" s="66"/>
      <c r="U652" s="66"/>
      <c r="V652" s="66"/>
      <c r="W652" s="66"/>
      <c r="X652" s="66"/>
      <c r="Y652" s="66"/>
      <c r="Z652" s="82"/>
    </row>
    <row r="653">
      <c r="A653" s="90"/>
      <c r="B653" s="61" t="s">
        <v>24</v>
      </c>
      <c r="C653" s="61" t="s">
        <v>2273</v>
      </c>
      <c r="D653" s="61" t="s">
        <v>1987</v>
      </c>
      <c r="E653" s="61" t="s">
        <v>1494</v>
      </c>
      <c r="F653" s="61" t="s">
        <v>2301</v>
      </c>
      <c r="G653" s="62" t="s">
        <v>44</v>
      </c>
      <c r="H653" s="61" t="s">
        <v>106</v>
      </c>
      <c r="I653" s="105"/>
      <c r="J653" s="62" t="s">
        <v>44</v>
      </c>
      <c r="K653" s="62" t="s">
        <v>45</v>
      </c>
      <c r="L653" s="61" t="s">
        <v>2302</v>
      </c>
      <c r="M653" s="65"/>
      <c r="N653" s="66"/>
      <c r="O653" s="66" t="str">
        <f t="shared" si="1"/>
        <v/>
      </c>
      <c r="P653" s="66">
        <v>0.0</v>
      </c>
      <c r="Q653" s="66">
        <v>0.0</v>
      </c>
      <c r="R653" s="112"/>
      <c r="S653" s="66"/>
      <c r="T653" s="66"/>
      <c r="U653" s="66"/>
      <c r="V653" s="66"/>
      <c r="W653" s="66"/>
      <c r="X653" s="66"/>
      <c r="Y653" s="66"/>
      <c r="Z653" s="82"/>
    </row>
    <row r="654">
      <c r="A654" s="90"/>
      <c r="B654" s="61" t="s">
        <v>24</v>
      </c>
      <c r="C654" s="61" t="s">
        <v>2273</v>
      </c>
      <c r="D654" s="61" t="s">
        <v>2303</v>
      </c>
      <c r="E654" s="61" t="s">
        <v>1180</v>
      </c>
      <c r="F654" s="61" t="s">
        <v>2304</v>
      </c>
      <c r="G654" s="62" t="s">
        <v>44</v>
      </c>
      <c r="H654" s="61" t="s">
        <v>64</v>
      </c>
      <c r="I654" s="62" t="s">
        <v>568</v>
      </c>
      <c r="J654" s="62" t="s">
        <v>44</v>
      </c>
      <c r="K654" s="105"/>
      <c r="L654" s="61" t="s">
        <v>2305</v>
      </c>
      <c r="M654" s="65"/>
      <c r="N654" s="66"/>
      <c r="O654" s="66" t="str">
        <f t="shared" si="1"/>
        <v/>
      </c>
      <c r="P654" s="66">
        <v>0.0</v>
      </c>
      <c r="Q654" s="66">
        <v>0.0</v>
      </c>
      <c r="R654" s="112"/>
      <c r="S654" s="66"/>
      <c r="T654" s="66"/>
      <c r="U654" s="66"/>
      <c r="V654" s="66"/>
      <c r="W654" s="66"/>
      <c r="X654" s="66"/>
      <c r="Y654" s="66"/>
      <c r="Z654" s="82"/>
    </row>
    <row r="655">
      <c r="A655" s="90"/>
      <c r="B655" s="61" t="s">
        <v>23</v>
      </c>
      <c r="C655" s="266"/>
      <c r="D655" s="266" t="s">
        <v>1075</v>
      </c>
      <c r="E655" s="266" t="s">
        <v>1110</v>
      </c>
      <c r="F655" s="266" t="s">
        <v>2306</v>
      </c>
      <c r="G655" s="268" t="s">
        <v>44</v>
      </c>
      <c r="H655" s="269"/>
      <c r="I655" s="269"/>
      <c r="J655" s="268" t="s">
        <v>44</v>
      </c>
      <c r="K655" s="269"/>
      <c r="L655" s="269"/>
      <c r="M655" s="272"/>
      <c r="N655" s="66"/>
      <c r="O655" s="66" t="str">
        <f t="shared" si="1"/>
        <v/>
      </c>
      <c r="P655" s="66">
        <v>0.0</v>
      </c>
      <c r="Q655" s="66">
        <v>0.0</v>
      </c>
      <c r="R655" s="112"/>
      <c r="S655" s="66"/>
      <c r="T655" s="66"/>
      <c r="U655" s="66"/>
      <c r="V655" s="66"/>
      <c r="W655" s="66"/>
      <c r="X655" s="66"/>
      <c r="Y655" s="66"/>
      <c r="Z655" s="82"/>
    </row>
    <row r="656">
      <c r="A656" s="90"/>
      <c r="B656" s="61" t="s">
        <v>23</v>
      </c>
      <c r="C656" s="61" t="s">
        <v>2282</v>
      </c>
      <c r="D656" s="61" t="s">
        <v>2307</v>
      </c>
      <c r="E656" s="61" t="s">
        <v>69</v>
      </c>
      <c r="F656" s="61" t="s">
        <v>2308</v>
      </c>
      <c r="G656" s="62" t="s">
        <v>44</v>
      </c>
      <c r="H656" s="61" t="s">
        <v>64</v>
      </c>
      <c r="I656" s="62" t="s">
        <v>2309</v>
      </c>
      <c r="J656" s="62" t="s">
        <v>44</v>
      </c>
      <c r="K656" s="112"/>
      <c r="L656" s="61" t="s">
        <v>2310</v>
      </c>
      <c r="M656" s="65"/>
      <c r="N656" s="66"/>
      <c r="O656" s="66" t="str">
        <f t="shared" si="1"/>
        <v/>
      </c>
      <c r="P656" s="66">
        <v>0.0</v>
      </c>
      <c r="Q656" s="66">
        <v>0.0</v>
      </c>
      <c r="R656" s="112"/>
      <c r="S656" s="66"/>
      <c r="T656" s="66"/>
      <c r="U656" s="66"/>
      <c r="V656" s="66"/>
      <c r="W656" s="66"/>
      <c r="X656" s="66"/>
      <c r="Y656" s="66"/>
      <c r="Z656" s="82"/>
    </row>
    <row r="657">
      <c r="A657" s="90"/>
      <c r="B657" s="61" t="s">
        <v>23</v>
      </c>
      <c r="C657" s="61" t="s">
        <v>2282</v>
      </c>
      <c r="D657" s="61" t="s">
        <v>2311</v>
      </c>
      <c r="E657" s="61" t="s">
        <v>429</v>
      </c>
      <c r="F657" s="61" t="s">
        <v>2312</v>
      </c>
      <c r="G657" s="62" t="s">
        <v>2313</v>
      </c>
      <c r="H657" s="61" t="s">
        <v>64</v>
      </c>
      <c r="I657" s="62" t="s">
        <v>496</v>
      </c>
      <c r="J657" s="62" t="s">
        <v>44</v>
      </c>
      <c r="K657" s="105"/>
      <c r="L657" s="61" t="s">
        <v>2314</v>
      </c>
      <c r="M657" s="65"/>
      <c r="N657" s="66"/>
      <c r="O657" s="66" t="str">
        <f t="shared" si="1"/>
        <v/>
      </c>
      <c r="P657" s="66">
        <v>0.0</v>
      </c>
      <c r="Q657" s="66">
        <v>0.0</v>
      </c>
      <c r="R657" s="112"/>
      <c r="S657" s="66"/>
      <c r="T657" s="66"/>
      <c r="U657" s="66"/>
      <c r="V657" s="66"/>
      <c r="W657" s="66"/>
      <c r="X657" s="66"/>
      <c r="Y657" s="66"/>
      <c r="Z657" s="82"/>
    </row>
    <row r="658">
      <c r="A658" s="90"/>
      <c r="B658" s="61" t="s">
        <v>23</v>
      </c>
      <c r="C658" s="266"/>
      <c r="D658" s="266" t="s">
        <v>574</v>
      </c>
      <c r="E658" s="266" t="s">
        <v>531</v>
      </c>
      <c r="F658" s="266" t="s">
        <v>2315</v>
      </c>
      <c r="G658" s="268" t="s">
        <v>2316</v>
      </c>
      <c r="H658" s="266" t="s">
        <v>64</v>
      </c>
      <c r="I658" s="268" t="s">
        <v>2317</v>
      </c>
      <c r="J658" s="268" t="s">
        <v>44</v>
      </c>
      <c r="K658" s="269"/>
      <c r="L658" s="266" t="s">
        <v>2318</v>
      </c>
      <c r="M658" s="272"/>
      <c r="N658" s="66"/>
      <c r="O658" s="66" t="str">
        <f t="shared" si="1"/>
        <v/>
      </c>
      <c r="P658" s="66">
        <v>0.0</v>
      </c>
      <c r="Q658" s="66">
        <v>0.0</v>
      </c>
      <c r="R658" s="112"/>
      <c r="S658" s="66"/>
      <c r="T658" s="66"/>
      <c r="U658" s="66"/>
      <c r="V658" s="66"/>
      <c r="W658" s="66"/>
      <c r="X658" s="66"/>
      <c r="Y658" s="66"/>
      <c r="Z658" s="82"/>
    </row>
    <row r="659">
      <c r="A659" s="90"/>
      <c r="B659" s="61" t="s">
        <v>23</v>
      </c>
      <c r="C659" s="61" t="s">
        <v>2282</v>
      </c>
      <c r="D659" s="61" t="s">
        <v>574</v>
      </c>
      <c r="E659" s="61" t="s">
        <v>2022</v>
      </c>
      <c r="F659" s="61" t="s">
        <v>2319</v>
      </c>
      <c r="G659" s="62" t="s">
        <v>44</v>
      </c>
      <c r="H659" s="61" t="s">
        <v>106</v>
      </c>
      <c r="I659" s="105"/>
      <c r="J659" s="62" t="s">
        <v>44</v>
      </c>
      <c r="K659" s="105"/>
      <c r="L659" s="61" t="s">
        <v>2320</v>
      </c>
      <c r="M659" s="65"/>
      <c r="N659" s="66"/>
      <c r="O659" s="66" t="str">
        <f t="shared" si="1"/>
        <v/>
      </c>
      <c r="P659" s="66">
        <v>0.0</v>
      </c>
      <c r="Q659" s="66">
        <v>0.0</v>
      </c>
      <c r="R659" s="112"/>
      <c r="S659" s="66"/>
      <c r="T659" s="66"/>
      <c r="U659" s="66"/>
      <c r="V659" s="66"/>
      <c r="W659" s="66"/>
      <c r="X659" s="66"/>
      <c r="Y659" s="66"/>
      <c r="Z659" s="82"/>
    </row>
    <row r="660">
      <c r="A660" s="90"/>
      <c r="B660" s="61" t="s">
        <v>25</v>
      </c>
      <c r="C660" s="61"/>
      <c r="D660" s="61" t="s">
        <v>2321</v>
      </c>
      <c r="E660" s="61" t="s">
        <v>2270</v>
      </c>
      <c r="F660" s="366" t="s">
        <v>2322</v>
      </c>
      <c r="G660" s="62" t="s">
        <v>2323</v>
      </c>
      <c r="H660" s="61" t="s">
        <v>64</v>
      </c>
      <c r="I660" s="61" t="s">
        <v>301</v>
      </c>
      <c r="J660" s="62" t="s">
        <v>44</v>
      </c>
      <c r="K660" s="62" t="s">
        <v>45</v>
      </c>
      <c r="L660" s="61" t="s">
        <v>2324</v>
      </c>
      <c r="M660" s="65"/>
      <c r="N660" s="66"/>
      <c r="O660" s="66" t="str">
        <f t="shared" si="1"/>
        <v/>
      </c>
      <c r="P660" s="66">
        <v>0.0</v>
      </c>
      <c r="Q660" s="66">
        <v>0.0</v>
      </c>
      <c r="R660" s="112"/>
      <c r="S660" s="66"/>
      <c r="T660" s="66"/>
      <c r="U660" s="66"/>
      <c r="V660" s="66"/>
      <c r="W660" s="66"/>
      <c r="X660" s="66"/>
      <c r="Y660" s="66"/>
      <c r="Z660" s="82"/>
    </row>
    <row r="661">
      <c r="A661" s="90"/>
      <c r="B661" s="61" t="s">
        <v>24</v>
      </c>
      <c r="C661" s="61"/>
      <c r="D661" s="61" t="s">
        <v>2325</v>
      </c>
      <c r="E661" s="61" t="s">
        <v>506</v>
      </c>
      <c r="F661" s="61" t="s">
        <v>2326</v>
      </c>
      <c r="G661" s="62" t="s">
        <v>44</v>
      </c>
      <c r="H661" s="61" t="s">
        <v>64</v>
      </c>
      <c r="I661" s="62" t="s">
        <v>272</v>
      </c>
      <c r="J661" s="62" t="s">
        <v>44</v>
      </c>
      <c r="K661" s="62" t="s">
        <v>45</v>
      </c>
      <c r="L661" s="210" t="s">
        <v>2327</v>
      </c>
      <c r="M661" s="65"/>
      <c r="N661" s="66"/>
      <c r="O661" s="66" t="str">
        <f t="shared" si="1"/>
        <v/>
      </c>
      <c r="P661" s="66">
        <v>0.0</v>
      </c>
      <c r="Q661" s="66">
        <v>0.0</v>
      </c>
      <c r="R661" s="112"/>
      <c r="S661" s="66"/>
      <c r="T661" s="66"/>
      <c r="U661" s="66"/>
      <c r="V661" s="66"/>
      <c r="W661" s="66"/>
      <c r="X661" s="66"/>
      <c r="Y661" s="66"/>
      <c r="Z661" s="82"/>
    </row>
    <row r="662">
      <c r="A662" s="90"/>
      <c r="B662" s="61" t="s">
        <v>24</v>
      </c>
      <c r="C662" s="61"/>
      <c r="D662" s="61" t="s">
        <v>274</v>
      </c>
      <c r="E662" s="61" t="s">
        <v>2328</v>
      </c>
      <c r="F662" s="61" t="s">
        <v>2329</v>
      </c>
      <c r="G662" s="62" t="s">
        <v>516</v>
      </c>
      <c r="H662" s="62" t="s">
        <v>516</v>
      </c>
      <c r="I662" s="61" t="s">
        <v>301</v>
      </c>
      <c r="J662" s="62" t="s">
        <v>516</v>
      </c>
      <c r="K662" s="62" t="s">
        <v>45</v>
      </c>
      <c r="L662" s="61" t="s">
        <v>2330</v>
      </c>
      <c r="M662" s="65"/>
      <c r="N662" s="66"/>
      <c r="O662" s="66" t="str">
        <f t="shared" si="1"/>
        <v/>
      </c>
      <c r="P662" s="66">
        <v>0.0</v>
      </c>
      <c r="Q662" s="66">
        <v>0.0</v>
      </c>
      <c r="R662" s="112"/>
      <c r="S662" s="66"/>
      <c r="T662" s="66"/>
      <c r="U662" s="66"/>
      <c r="V662" s="66"/>
      <c r="W662" s="66"/>
      <c r="X662" s="66"/>
      <c r="Y662" s="66"/>
      <c r="Z662" s="82"/>
    </row>
    <row r="663">
      <c r="A663" s="90"/>
      <c r="B663" s="61" t="s">
        <v>23</v>
      </c>
      <c r="C663" s="61" t="s">
        <v>1084</v>
      </c>
      <c r="D663" s="61" t="s">
        <v>2331</v>
      </c>
      <c r="E663" s="61" t="s">
        <v>69</v>
      </c>
      <c r="F663" s="61" t="s">
        <v>2332</v>
      </c>
      <c r="G663" s="62" t="s">
        <v>44</v>
      </c>
      <c r="H663" s="61" t="s">
        <v>106</v>
      </c>
      <c r="I663" s="105"/>
      <c r="J663" s="99" t="s">
        <v>2333</v>
      </c>
      <c r="K663" s="355" t="s">
        <v>1187</v>
      </c>
      <c r="L663" s="105"/>
      <c r="M663" s="367"/>
      <c r="N663" s="66"/>
      <c r="O663" s="66" t="str">
        <f t="shared" si="1"/>
        <v/>
      </c>
      <c r="P663" s="66">
        <v>0.0</v>
      </c>
      <c r="Q663" s="66">
        <v>0.0</v>
      </c>
      <c r="R663" s="112"/>
      <c r="S663" s="66"/>
      <c r="T663" s="66"/>
      <c r="U663" s="66"/>
      <c r="V663" s="66"/>
      <c r="W663" s="66"/>
      <c r="X663" s="66"/>
      <c r="Y663" s="66"/>
      <c r="Z663" s="82"/>
    </row>
    <row r="664">
      <c r="A664" s="90"/>
      <c r="B664" s="61" t="s">
        <v>23</v>
      </c>
      <c r="C664" s="61"/>
      <c r="D664" s="61" t="s">
        <v>2321</v>
      </c>
      <c r="E664" s="61" t="s">
        <v>1072</v>
      </c>
      <c r="F664" s="61" t="s">
        <v>2334</v>
      </c>
      <c r="G664" s="62" t="s">
        <v>44</v>
      </c>
      <c r="H664" s="61" t="s">
        <v>64</v>
      </c>
      <c r="I664" s="62" t="s">
        <v>2335</v>
      </c>
      <c r="J664" s="62" t="s">
        <v>44</v>
      </c>
      <c r="K664" s="62" t="s">
        <v>45</v>
      </c>
      <c r="L664" s="105"/>
      <c r="M664" s="65"/>
      <c r="N664" s="66"/>
      <c r="O664" s="66" t="str">
        <f t="shared" si="1"/>
        <v/>
      </c>
      <c r="P664" s="66">
        <v>0.0</v>
      </c>
      <c r="Q664" s="66">
        <v>0.0</v>
      </c>
      <c r="R664" s="112"/>
      <c r="S664" s="66"/>
      <c r="T664" s="66"/>
      <c r="U664" s="66"/>
      <c r="V664" s="66"/>
      <c r="W664" s="66"/>
      <c r="X664" s="66"/>
      <c r="Y664" s="66"/>
      <c r="Z664" s="82"/>
    </row>
    <row r="665">
      <c r="A665" s="90"/>
      <c r="B665" s="61" t="s">
        <v>23</v>
      </c>
      <c r="C665" s="61"/>
      <c r="D665" s="61" t="s">
        <v>938</v>
      </c>
      <c r="E665" s="61" t="s">
        <v>2022</v>
      </c>
      <c r="F665" s="61" t="s">
        <v>2336</v>
      </c>
      <c r="G665" s="62" t="s">
        <v>44</v>
      </c>
      <c r="H665" s="61" t="s">
        <v>64</v>
      </c>
      <c r="I665" s="62" t="s">
        <v>2337</v>
      </c>
      <c r="J665" s="62" t="s">
        <v>44</v>
      </c>
      <c r="K665" s="61" t="s">
        <v>106</v>
      </c>
      <c r="L665" s="61" t="s">
        <v>106</v>
      </c>
      <c r="M665" s="125" t="s">
        <v>2338</v>
      </c>
      <c r="N665" s="66"/>
      <c r="O665" s="66" t="str">
        <f t="shared" si="1"/>
        <v/>
      </c>
      <c r="P665" s="66">
        <v>0.0</v>
      </c>
      <c r="Q665" s="66">
        <v>0.0</v>
      </c>
      <c r="R665" s="112"/>
      <c r="S665" s="66"/>
      <c r="T665" s="66"/>
      <c r="U665" s="66"/>
      <c r="V665" s="66"/>
      <c r="W665" s="66"/>
      <c r="X665" s="66"/>
      <c r="Y665" s="66"/>
      <c r="Z665" s="82"/>
    </row>
    <row r="666">
      <c r="A666" s="90"/>
      <c r="B666" s="61" t="s">
        <v>24</v>
      </c>
      <c r="C666" s="61"/>
      <c r="D666" s="61" t="s">
        <v>459</v>
      </c>
      <c r="E666" s="61" t="s">
        <v>531</v>
      </c>
      <c r="F666" s="61" t="s">
        <v>2339</v>
      </c>
      <c r="G666" s="62" t="s">
        <v>44</v>
      </c>
      <c r="H666" s="105"/>
      <c r="I666" s="105"/>
      <c r="J666" s="62" t="s">
        <v>44</v>
      </c>
      <c r="K666" s="105"/>
      <c r="L666" s="61" t="s">
        <v>2340</v>
      </c>
      <c r="M666" s="65"/>
      <c r="N666" s="66"/>
      <c r="O666" s="66" t="str">
        <f t="shared" si="1"/>
        <v/>
      </c>
      <c r="P666" s="66">
        <v>0.0</v>
      </c>
      <c r="Q666" s="66">
        <v>0.0</v>
      </c>
      <c r="R666" s="112"/>
      <c r="S666" s="66"/>
      <c r="T666" s="66"/>
      <c r="U666" s="66"/>
      <c r="V666" s="66"/>
      <c r="W666" s="66"/>
      <c r="X666" s="66"/>
      <c r="Y666" s="66"/>
      <c r="Z666" s="82"/>
    </row>
    <row r="667">
      <c r="A667" s="90"/>
      <c r="B667" s="61" t="s">
        <v>24</v>
      </c>
      <c r="C667" s="61"/>
      <c r="D667" s="61" t="s">
        <v>2341</v>
      </c>
      <c r="E667" s="61" t="s">
        <v>429</v>
      </c>
      <c r="F667" s="61" t="s">
        <v>2342</v>
      </c>
      <c r="G667" s="62" t="s">
        <v>44</v>
      </c>
      <c r="H667" s="61" t="s">
        <v>106</v>
      </c>
      <c r="I667" s="61" t="s">
        <v>106</v>
      </c>
      <c r="J667" s="62" t="s">
        <v>44</v>
      </c>
      <c r="K667" s="62" t="s">
        <v>45</v>
      </c>
      <c r="L667" s="61" t="s">
        <v>2343</v>
      </c>
      <c r="M667" s="65"/>
      <c r="N667" s="66"/>
      <c r="O667" s="66" t="str">
        <f t="shared" si="1"/>
        <v/>
      </c>
      <c r="P667" s="66">
        <v>0.0</v>
      </c>
      <c r="Q667" s="66">
        <v>0.0</v>
      </c>
      <c r="R667" s="112"/>
      <c r="S667" s="66"/>
      <c r="T667" s="66"/>
      <c r="U667" s="66"/>
      <c r="V667" s="66"/>
      <c r="W667" s="66"/>
      <c r="X667" s="66"/>
      <c r="Y667" s="66"/>
      <c r="Z667" s="82"/>
    </row>
    <row r="668">
      <c r="A668" s="90"/>
      <c r="B668" s="61" t="s">
        <v>23</v>
      </c>
      <c r="C668" s="61" t="s">
        <v>2344</v>
      </c>
      <c r="D668" s="61" t="s">
        <v>1713</v>
      </c>
      <c r="E668" s="61" t="s">
        <v>1370</v>
      </c>
      <c r="F668" s="61" t="s">
        <v>2345</v>
      </c>
      <c r="G668" s="62" t="s">
        <v>44</v>
      </c>
      <c r="H668" s="61" t="s">
        <v>431</v>
      </c>
      <c r="I668" s="61" t="s">
        <v>431</v>
      </c>
      <c r="J668" s="62" t="s">
        <v>44</v>
      </c>
      <c r="K668" s="105"/>
      <c r="L668" s="61" t="s">
        <v>2346</v>
      </c>
      <c r="M668" s="65"/>
      <c r="N668" s="66"/>
      <c r="O668" s="66" t="str">
        <f t="shared" si="1"/>
        <v/>
      </c>
      <c r="P668" s="66">
        <v>0.0</v>
      </c>
      <c r="Q668" s="66">
        <v>0.0</v>
      </c>
      <c r="R668" s="112"/>
      <c r="S668" s="66"/>
      <c r="T668" s="66"/>
      <c r="U668" s="66"/>
      <c r="V668" s="66"/>
      <c r="W668" s="66"/>
      <c r="X668" s="66"/>
      <c r="Y668" s="66"/>
      <c r="Z668" s="82"/>
    </row>
    <row r="669">
      <c r="A669" s="90"/>
      <c r="B669" s="61" t="s">
        <v>23</v>
      </c>
      <c r="C669" s="61" t="s">
        <v>2344</v>
      </c>
      <c r="D669" s="61" t="s">
        <v>2347</v>
      </c>
      <c r="E669" s="61" t="s">
        <v>2270</v>
      </c>
      <c r="F669" s="61" t="s">
        <v>2348</v>
      </c>
      <c r="G669" s="62" t="s">
        <v>44</v>
      </c>
      <c r="H669" s="61" t="s">
        <v>64</v>
      </c>
      <c r="I669" s="62" t="s">
        <v>2349</v>
      </c>
      <c r="J669" s="62" t="s">
        <v>44</v>
      </c>
      <c r="K669" s="62" t="s">
        <v>45</v>
      </c>
      <c r="L669" s="105"/>
      <c r="M669" s="65"/>
      <c r="N669" s="66"/>
      <c r="O669" s="66" t="str">
        <f t="shared" si="1"/>
        <v/>
      </c>
      <c r="P669" s="66">
        <v>0.0</v>
      </c>
      <c r="Q669" s="66">
        <v>0.0</v>
      </c>
      <c r="R669" s="112"/>
      <c r="S669" s="66"/>
      <c r="T669" s="66"/>
      <c r="U669" s="66"/>
      <c r="V669" s="66"/>
      <c r="W669" s="66"/>
      <c r="X669" s="66"/>
      <c r="Y669" s="66"/>
      <c r="Z669" s="82"/>
    </row>
    <row r="670">
      <c r="A670" s="90"/>
      <c r="B670" s="61" t="s">
        <v>23</v>
      </c>
      <c r="C670" s="61" t="s">
        <v>2344</v>
      </c>
      <c r="D670" s="61" t="s">
        <v>2350</v>
      </c>
      <c r="E670" s="61" t="s">
        <v>1063</v>
      </c>
      <c r="F670" s="61" t="s">
        <v>2351</v>
      </c>
      <c r="G670" s="62" t="s">
        <v>789</v>
      </c>
      <c r="H670" s="61" t="s">
        <v>431</v>
      </c>
      <c r="I670" s="61" t="s">
        <v>431</v>
      </c>
      <c r="J670" s="105"/>
      <c r="K670" s="62" t="s">
        <v>45</v>
      </c>
      <c r="L670" s="105"/>
      <c r="M670" s="65"/>
      <c r="N670" s="66"/>
      <c r="O670" s="66" t="str">
        <f t="shared" si="1"/>
        <v/>
      </c>
      <c r="P670" s="66">
        <v>0.0</v>
      </c>
      <c r="Q670" s="66">
        <v>0.0</v>
      </c>
      <c r="R670" s="112"/>
      <c r="S670" s="66"/>
      <c r="T670" s="66"/>
      <c r="U670" s="66"/>
      <c r="V670" s="66"/>
      <c r="W670" s="66"/>
      <c r="X670" s="66"/>
      <c r="Y670" s="66"/>
      <c r="Z670" s="82"/>
    </row>
    <row r="671">
      <c r="A671" s="90"/>
      <c r="B671" s="61" t="s">
        <v>23</v>
      </c>
      <c r="C671" s="61" t="s">
        <v>2344</v>
      </c>
      <c r="D671" s="61" t="s">
        <v>2352</v>
      </c>
      <c r="E671" s="61" t="s">
        <v>146</v>
      </c>
      <c r="F671" s="61" t="s">
        <v>2353</v>
      </c>
      <c r="G671" s="62" t="s">
        <v>44</v>
      </c>
      <c r="H671" s="61" t="s">
        <v>106</v>
      </c>
      <c r="I671" s="61" t="s">
        <v>2354</v>
      </c>
      <c r="J671" s="62" t="s">
        <v>44</v>
      </c>
      <c r="K671" s="105"/>
      <c r="L671" s="198" t="s">
        <v>2355</v>
      </c>
      <c r="M671" s="65"/>
      <c r="N671" s="66"/>
      <c r="O671" s="66" t="str">
        <f t="shared" si="1"/>
        <v/>
      </c>
      <c r="P671" s="66">
        <v>0.0</v>
      </c>
      <c r="Q671" s="66">
        <v>0.0</v>
      </c>
      <c r="R671" s="112"/>
      <c r="S671" s="66"/>
      <c r="T671" s="66"/>
      <c r="U671" s="66"/>
      <c r="V671" s="66"/>
      <c r="W671" s="66"/>
      <c r="X671" s="66"/>
      <c r="Y671" s="66"/>
      <c r="Z671" s="82"/>
    </row>
    <row r="672">
      <c r="A672" s="90"/>
      <c r="B672" s="61" t="s">
        <v>23</v>
      </c>
      <c r="C672" s="61" t="s">
        <v>2344</v>
      </c>
      <c r="D672" s="61" t="s">
        <v>2356</v>
      </c>
      <c r="E672" s="61" t="s">
        <v>2328</v>
      </c>
      <c r="F672" s="61" t="s">
        <v>2357</v>
      </c>
      <c r="G672" s="198" t="s">
        <v>2358</v>
      </c>
      <c r="H672" s="61" t="s">
        <v>64</v>
      </c>
      <c r="I672" s="105"/>
      <c r="J672" s="62" t="s">
        <v>516</v>
      </c>
      <c r="K672" s="105"/>
      <c r="L672" s="335" t="s">
        <v>2359</v>
      </c>
      <c r="M672" s="65"/>
      <c r="N672" s="66"/>
      <c r="O672" s="66" t="str">
        <f t="shared" si="1"/>
        <v/>
      </c>
      <c r="P672" s="66">
        <v>0.0</v>
      </c>
      <c r="Q672" s="66">
        <v>0.0</v>
      </c>
      <c r="R672" s="112"/>
      <c r="S672" s="66"/>
      <c r="T672" s="66"/>
      <c r="U672" s="66"/>
      <c r="V672" s="66"/>
      <c r="W672" s="66"/>
      <c r="X672" s="66"/>
      <c r="Y672" s="66"/>
      <c r="Z672" s="82"/>
    </row>
    <row r="673">
      <c r="A673" s="90"/>
      <c r="B673" s="61" t="s">
        <v>24</v>
      </c>
      <c r="C673" s="61"/>
      <c r="D673" s="61" t="s">
        <v>2360</v>
      </c>
      <c r="E673" s="61" t="s">
        <v>1110</v>
      </c>
      <c r="F673" s="61" t="s">
        <v>2361</v>
      </c>
      <c r="G673" s="62" t="s">
        <v>1031</v>
      </c>
      <c r="H673" s="61" t="s">
        <v>431</v>
      </c>
      <c r="I673" s="105"/>
      <c r="J673" s="62" t="s">
        <v>44</v>
      </c>
      <c r="K673" s="105"/>
      <c r="L673" s="61" t="s">
        <v>2362</v>
      </c>
      <c r="M673" s="65"/>
      <c r="N673" s="66"/>
      <c r="O673" s="66" t="str">
        <f t="shared" si="1"/>
        <v/>
      </c>
      <c r="P673" s="66">
        <v>0.0</v>
      </c>
      <c r="Q673" s="66">
        <v>0.0</v>
      </c>
      <c r="R673" s="112"/>
      <c r="S673" s="66"/>
      <c r="T673" s="66"/>
      <c r="U673" s="66"/>
      <c r="V673" s="66"/>
      <c r="W673" s="66"/>
      <c r="X673" s="66"/>
      <c r="Y673" s="66"/>
      <c r="Z673" s="82"/>
    </row>
    <row r="674">
      <c r="A674" s="90"/>
      <c r="B674" s="61" t="s">
        <v>24</v>
      </c>
      <c r="C674" s="61"/>
      <c r="D674" s="61" t="s">
        <v>2363</v>
      </c>
      <c r="E674" s="61" t="s">
        <v>513</v>
      </c>
      <c r="F674" s="61" t="s">
        <v>2364</v>
      </c>
      <c r="G674" s="62" t="s">
        <v>44</v>
      </c>
      <c r="H674" s="61" t="s">
        <v>64</v>
      </c>
      <c r="I674" s="62" t="s">
        <v>2365</v>
      </c>
      <c r="J674" s="62" t="s">
        <v>44</v>
      </c>
      <c r="K674" s="105"/>
      <c r="L674" s="61" t="s">
        <v>2366</v>
      </c>
      <c r="M674" s="125" t="s">
        <v>2367</v>
      </c>
      <c r="N674" s="66"/>
      <c r="O674" s="66" t="str">
        <f t="shared" si="1"/>
        <v/>
      </c>
      <c r="P674" s="66">
        <v>0.0</v>
      </c>
      <c r="Q674" s="66">
        <v>0.0</v>
      </c>
      <c r="R674" s="112"/>
      <c r="S674" s="66"/>
      <c r="T674" s="66"/>
      <c r="U674" s="66"/>
      <c r="V674" s="66"/>
      <c r="W674" s="66"/>
      <c r="X674" s="66"/>
      <c r="Y674" s="66"/>
      <c r="Z674" s="82"/>
    </row>
    <row r="675">
      <c r="A675" s="90"/>
      <c r="B675" s="61" t="s">
        <v>23</v>
      </c>
      <c r="C675" s="61"/>
      <c r="D675" s="61" t="s">
        <v>2368</v>
      </c>
      <c r="E675" s="61" t="s">
        <v>578</v>
      </c>
      <c r="F675" s="61" t="s">
        <v>2369</v>
      </c>
      <c r="G675" s="62" t="s">
        <v>789</v>
      </c>
      <c r="H675" s="61" t="s">
        <v>64</v>
      </c>
      <c r="I675" s="62" t="s">
        <v>2370</v>
      </c>
      <c r="J675" s="105"/>
      <c r="K675" s="62" t="s">
        <v>45</v>
      </c>
      <c r="L675" s="105"/>
      <c r="M675" s="65"/>
      <c r="N675" s="66"/>
      <c r="O675" s="66" t="str">
        <f t="shared" si="1"/>
        <v/>
      </c>
      <c r="P675" s="66">
        <v>0.0</v>
      </c>
      <c r="Q675" s="66">
        <v>0.0</v>
      </c>
      <c r="R675" s="112"/>
      <c r="S675" s="66"/>
      <c r="T675" s="66"/>
      <c r="U675" s="66"/>
      <c r="V675" s="66"/>
      <c r="W675" s="66"/>
      <c r="X675" s="66"/>
      <c r="Y675" s="66"/>
      <c r="Z675" s="82"/>
    </row>
    <row r="676">
      <c r="A676" s="90"/>
      <c r="B676" s="61" t="s">
        <v>23</v>
      </c>
      <c r="C676" s="61"/>
      <c r="D676" s="61" t="s">
        <v>2371</v>
      </c>
      <c r="E676" s="61" t="s">
        <v>1199</v>
      </c>
      <c r="F676" s="61" t="s">
        <v>2372</v>
      </c>
      <c r="G676" s="62" t="s">
        <v>45</v>
      </c>
      <c r="H676" s="61" t="s">
        <v>64</v>
      </c>
      <c r="I676" s="62" t="s">
        <v>657</v>
      </c>
      <c r="J676" s="62" t="s">
        <v>44</v>
      </c>
      <c r="K676" s="62" t="s">
        <v>45</v>
      </c>
      <c r="L676" s="105"/>
      <c r="M676" s="65"/>
      <c r="N676" s="66"/>
      <c r="O676" s="66" t="str">
        <f t="shared" si="1"/>
        <v/>
      </c>
      <c r="P676" s="66">
        <v>0.0</v>
      </c>
      <c r="Q676" s="66">
        <v>0.0</v>
      </c>
      <c r="R676" s="112"/>
      <c r="S676" s="66"/>
      <c r="T676" s="66"/>
      <c r="U676" s="66"/>
      <c r="V676" s="66"/>
      <c r="W676" s="66"/>
      <c r="X676" s="66"/>
      <c r="Y676" s="66"/>
      <c r="Z676" s="82"/>
    </row>
    <row r="677">
      <c r="A677" s="90"/>
      <c r="B677" s="61" t="s">
        <v>23</v>
      </c>
      <c r="C677" s="61"/>
      <c r="D677" s="61" t="s">
        <v>2373</v>
      </c>
      <c r="E677" s="61" t="s">
        <v>1063</v>
      </c>
      <c r="F677" s="61" t="s">
        <v>2374</v>
      </c>
      <c r="G677" s="62" t="s">
        <v>44</v>
      </c>
      <c r="H677" s="61" t="s">
        <v>106</v>
      </c>
      <c r="I677" s="61" t="s">
        <v>106</v>
      </c>
      <c r="J677" s="62" t="s">
        <v>44</v>
      </c>
      <c r="K677" s="105"/>
      <c r="L677" s="61" t="s">
        <v>2375</v>
      </c>
      <c r="M677" s="65"/>
      <c r="N677" s="66"/>
      <c r="O677" s="66" t="str">
        <f t="shared" si="1"/>
        <v/>
      </c>
      <c r="P677" s="66">
        <v>0.0</v>
      </c>
      <c r="Q677" s="66">
        <v>0.0</v>
      </c>
      <c r="R677" s="112"/>
      <c r="S677" s="66"/>
      <c r="T677" s="66"/>
      <c r="U677" s="66"/>
      <c r="V677" s="66"/>
      <c r="W677" s="66"/>
      <c r="X677" s="66"/>
      <c r="Y677" s="66"/>
      <c r="Z677" s="82"/>
    </row>
    <row r="678">
      <c r="A678" s="90"/>
      <c r="B678" s="61" t="s">
        <v>23</v>
      </c>
      <c r="C678" s="61"/>
      <c r="D678" s="61" t="s">
        <v>911</v>
      </c>
      <c r="E678" s="61" t="s">
        <v>2270</v>
      </c>
      <c r="F678" s="61" t="s">
        <v>1174</v>
      </c>
      <c r="G678" s="62" t="s">
        <v>44</v>
      </c>
      <c r="H678" s="61" t="s">
        <v>64</v>
      </c>
      <c r="I678" s="61" t="s">
        <v>106</v>
      </c>
      <c r="J678" s="62" t="s">
        <v>44</v>
      </c>
      <c r="K678" s="61" t="s">
        <v>106</v>
      </c>
      <c r="L678" s="61" t="s">
        <v>1177</v>
      </c>
      <c r="M678" s="65"/>
      <c r="N678" s="66"/>
      <c r="O678" s="66" t="str">
        <f t="shared" si="1"/>
        <v/>
      </c>
      <c r="P678" s="66">
        <v>0.0</v>
      </c>
      <c r="Q678" s="66">
        <v>0.0</v>
      </c>
      <c r="R678" s="112"/>
      <c r="S678" s="66"/>
      <c r="T678" s="66"/>
      <c r="U678" s="66"/>
      <c r="V678" s="66"/>
      <c r="W678" s="66"/>
      <c r="X678" s="66"/>
      <c r="Y678" s="66"/>
      <c r="Z678" s="82"/>
    </row>
    <row r="679">
      <c r="A679" s="90"/>
      <c r="B679" s="61" t="s">
        <v>20</v>
      </c>
      <c r="C679" s="61"/>
      <c r="D679" s="61" t="s">
        <v>1026</v>
      </c>
      <c r="E679" s="61" t="s">
        <v>332</v>
      </c>
      <c r="F679" s="61" t="s">
        <v>2376</v>
      </c>
      <c r="G679" s="62" t="s">
        <v>1031</v>
      </c>
      <c r="H679" s="61" t="s">
        <v>106</v>
      </c>
      <c r="I679" s="61" t="s">
        <v>106</v>
      </c>
      <c r="J679" s="251"/>
      <c r="K679" s="166"/>
      <c r="L679" s="61"/>
      <c r="M679" s="125" t="s">
        <v>2377</v>
      </c>
      <c r="N679" s="66"/>
      <c r="O679" s="66" t="str">
        <f t="shared" si="1"/>
        <v/>
      </c>
      <c r="P679" s="66">
        <v>0.0</v>
      </c>
      <c r="Q679" s="66">
        <v>0.0</v>
      </c>
      <c r="R679" s="112"/>
      <c r="S679" s="113"/>
      <c r="T679" s="113">
        <v>46108.0</v>
      </c>
      <c r="U679" s="113"/>
      <c r="V679" s="113"/>
      <c r="W679" s="113"/>
      <c r="X679" s="113"/>
      <c r="Y679" s="113"/>
      <c r="Z679" s="114"/>
    </row>
    <row r="680">
      <c r="A680" s="90"/>
      <c r="B680" s="61" t="s">
        <v>23</v>
      </c>
      <c r="C680" s="61" t="s">
        <v>2344</v>
      </c>
      <c r="D680" s="61" t="s">
        <v>2378</v>
      </c>
      <c r="E680" s="61" t="s">
        <v>69</v>
      </c>
      <c r="F680" s="61" t="s">
        <v>2379</v>
      </c>
      <c r="G680" s="62" t="s">
        <v>44</v>
      </c>
      <c r="H680" s="61" t="s">
        <v>106</v>
      </c>
      <c r="I680" s="61" t="s">
        <v>106</v>
      </c>
      <c r="J680" s="62" t="s">
        <v>44</v>
      </c>
      <c r="K680" s="105"/>
      <c r="L680" s="210" t="s">
        <v>2380</v>
      </c>
      <c r="M680" s="65"/>
      <c r="N680" s="66"/>
      <c r="O680" s="66" t="str">
        <f t="shared" si="1"/>
        <v/>
      </c>
      <c r="P680" s="66">
        <v>0.0</v>
      </c>
      <c r="Q680" s="66">
        <v>0.0</v>
      </c>
      <c r="R680" s="112"/>
      <c r="S680" s="66"/>
      <c r="T680" s="66"/>
      <c r="U680" s="66"/>
      <c r="V680" s="66"/>
      <c r="W680" s="66"/>
      <c r="X680" s="66"/>
      <c r="Y680" s="66"/>
      <c r="Z680" s="82"/>
    </row>
    <row r="681">
      <c r="A681" s="90"/>
      <c r="B681" s="61" t="s">
        <v>23</v>
      </c>
      <c r="C681" s="61" t="s">
        <v>2344</v>
      </c>
      <c r="D681" s="61" t="s">
        <v>2169</v>
      </c>
      <c r="E681" s="61" t="s">
        <v>429</v>
      </c>
      <c r="F681" s="61" t="s">
        <v>2381</v>
      </c>
      <c r="G681" s="62" t="s">
        <v>789</v>
      </c>
      <c r="H681" s="61" t="s">
        <v>64</v>
      </c>
      <c r="I681" s="62" t="s">
        <v>2382</v>
      </c>
      <c r="J681" s="105"/>
      <c r="K681" s="62" t="s">
        <v>45</v>
      </c>
      <c r="L681" s="61" t="s">
        <v>2383</v>
      </c>
      <c r="M681" s="176" t="s">
        <v>2384</v>
      </c>
      <c r="N681" s="66"/>
      <c r="O681" s="66" t="str">
        <f t="shared" si="1"/>
        <v/>
      </c>
      <c r="P681" s="66">
        <v>0.0</v>
      </c>
      <c r="Q681" s="66">
        <v>0.0</v>
      </c>
      <c r="R681" s="112"/>
      <c r="S681" s="66"/>
      <c r="T681" s="66"/>
      <c r="U681" s="66"/>
      <c r="V681" s="66"/>
      <c r="W681" s="66"/>
      <c r="X681" s="66"/>
      <c r="Y681" s="66"/>
      <c r="Z681" s="82"/>
    </row>
    <row r="682">
      <c r="A682" s="90"/>
      <c r="B682" s="61" t="s">
        <v>23</v>
      </c>
      <c r="C682" s="61" t="s">
        <v>2344</v>
      </c>
      <c r="D682" s="61" t="s">
        <v>2385</v>
      </c>
      <c r="E682" s="61" t="s">
        <v>353</v>
      </c>
      <c r="F682" s="61" t="s">
        <v>2386</v>
      </c>
      <c r="G682" s="62" t="s">
        <v>2358</v>
      </c>
      <c r="H682" s="61" t="s">
        <v>64</v>
      </c>
      <c r="I682" s="62" t="s">
        <v>657</v>
      </c>
      <c r="J682" s="62" t="s">
        <v>44</v>
      </c>
      <c r="K682" s="105"/>
      <c r="L682" s="61" t="s">
        <v>2387</v>
      </c>
      <c r="M682" s="65"/>
      <c r="N682" s="66"/>
      <c r="O682" s="66" t="str">
        <f t="shared" si="1"/>
        <v/>
      </c>
      <c r="P682" s="66">
        <v>0.0</v>
      </c>
      <c r="Q682" s="66">
        <v>0.0</v>
      </c>
      <c r="R682" s="112"/>
      <c r="S682" s="66"/>
      <c r="T682" s="66"/>
      <c r="U682" s="66"/>
      <c r="V682" s="66"/>
      <c r="W682" s="66"/>
      <c r="X682" s="66"/>
      <c r="Y682" s="66"/>
      <c r="Z682" s="82"/>
    </row>
    <row r="683">
      <c r="A683" s="90"/>
      <c r="B683" s="61" t="s">
        <v>23</v>
      </c>
      <c r="C683" s="61" t="s">
        <v>2344</v>
      </c>
      <c r="D683" s="61" t="s">
        <v>2388</v>
      </c>
      <c r="E683" s="61" t="s">
        <v>1370</v>
      </c>
      <c r="F683" s="61" t="s">
        <v>2389</v>
      </c>
      <c r="G683" s="62" t="s">
        <v>44</v>
      </c>
      <c r="H683" s="61" t="s">
        <v>106</v>
      </c>
      <c r="I683" s="61" t="s">
        <v>106</v>
      </c>
      <c r="J683" s="62" t="s">
        <v>44</v>
      </c>
      <c r="K683" s="105"/>
      <c r="L683" s="215" t="s">
        <v>2390</v>
      </c>
      <c r="M683" s="125" t="s">
        <v>2391</v>
      </c>
      <c r="N683" s="66"/>
      <c r="O683" s="66" t="str">
        <f t="shared" si="1"/>
        <v/>
      </c>
      <c r="P683" s="66">
        <v>0.0</v>
      </c>
      <c r="Q683" s="66">
        <v>0.0</v>
      </c>
      <c r="R683" s="112"/>
      <c r="S683" s="66"/>
      <c r="T683" s="66"/>
      <c r="U683" s="66"/>
      <c r="V683" s="66"/>
      <c r="W683" s="66"/>
      <c r="X683" s="66"/>
      <c r="Y683" s="66"/>
      <c r="Z683" s="82"/>
    </row>
    <row r="684">
      <c r="A684" s="90"/>
      <c r="B684" s="61" t="s">
        <v>23</v>
      </c>
      <c r="C684" s="61" t="s">
        <v>2344</v>
      </c>
      <c r="D684" s="61" t="s">
        <v>2392</v>
      </c>
      <c r="E684" s="61" t="s">
        <v>578</v>
      </c>
      <c r="F684" s="61" t="s">
        <v>2393</v>
      </c>
      <c r="G684" s="62" t="s">
        <v>789</v>
      </c>
      <c r="H684" s="61" t="s">
        <v>106</v>
      </c>
      <c r="I684" s="105"/>
      <c r="J684" s="62" t="s">
        <v>44</v>
      </c>
      <c r="K684" s="62" t="s">
        <v>45</v>
      </c>
      <c r="L684" s="105"/>
      <c r="M684" s="65"/>
      <c r="N684" s="66"/>
      <c r="O684" s="66" t="str">
        <f t="shared" si="1"/>
        <v/>
      </c>
      <c r="P684" s="66">
        <v>0.0</v>
      </c>
      <c r="Q684" s="66">
        <v>0.0</v>
      </c>
      <c r="R684" s="112"/>
      <c r="S684" s="66"/>
      <c r="T684" s="66"/>
      <c r="U684" s="66"/>
      <c r="V684" s="66"/>
      <c r="W684" s="66"/>
      <c r="X684" s="66"/>
      <c r="Y684" s="66"/>
      <c r="Z684" s="82"/>
    </row>
    <row r="685">
      <c r="A685" s="90"/>
      <c r="B685" s="61" t="s">
        <v>23</v>
      </c>
      <c r="C685" s="61" t="s">
        <v>2344</v>
      </c>
      <c r="D685" s="61" t="s">
        <v>2394</v>
      </c>
      <c r="E685" s="61" t="s">
        <v>513</v>
      </c>
      <c r="F685" s="61" t="s">
        <v>2395</v>
      </c>
      <c r="G685" s="62" t="s">
        <v>44</v>
      </c>
      <c r="H685" s="61" t="s">
        <v>64</v>
      </c>
      <c r="I685" s="62" t="s">
        <v>462</v>
      </c>
      <c r="J685" s="105"/>
      <c r="K685" s="105"/>
      <c r="L685" s="62" t="s">
        <v>2396</v>
      </c>
      <c r="M685" s="125" t="s">
        <v>2397</v>
      </c>
      <c r="N685" s="66"/>
      <c r="O685" s="66" t="str">
        <f t="shared" si="1"/>
        <v/>
      </c>
      <c r="P685" s="66">
        <v>0.0</v>
      </c>
      <c r="Q685" s="66">
        <v>0.0</v>
      </c>
      <c r="R685" s="112"/>
      <c r="S685" s="66"/>
      <c r="T685" s="66"/>
      <c r="U685" s="66"/>
      <c r="V685" s="66"/>
      <c r="W685" s="66"/>
      <c r="X685" s="66"/>
      <c r="Y685" s="66"/>
      <c r="Z685" s="82"/>
    </row>
    <row r="686">
      <c r="A686" s="90"/>
      <c r="B686" s="61" t="s">
        <v>23</v>
      </c>
      <c r="C686" s="61" t="s">
        <v>2344</v>
      </c>
      <c r="D686" s="61" t="s">
        <v>881</v>
      </c>
      <c r="E686" s="61" t="s">
        <v>531</v>
      </c>
      <c r="F686" s="61" t="s">
        <v>2398</v>
      </c>
      <c r="G686" s="62" t="s">
        <v>44</v>
      </c>
      <c r="H686" s="61" t="s">
        <v>106</v>
      </c>
      <c r="I686" s="105"/>
      <c r="J686" s="62" t="s">
        <v>44</v>
      </c>
      <c r="K686" s="105"/>
      <c r="L686" s="61" t="s">
        <v>2399</v>
      </c>
      <c r="M686" s="65"/>
      <c r="N686" s="66"/>
      <c r="O686" s="66" t="str">
        <f t="shared" si="1"/>
        <v/>
      </c>
      <c r="P686" s="66">
        <v>0.0</v>
      </c>
      <c r="Q686" s="66">
        <v>0.0</v>
      </c>
      <c r="R686" s="112"/>
      <c r="S686" s="66"/>
      <c r="T686" s="66"/>
      <c r="U686" s="66"/>
      <c r="V686" s="66"/>
      <c r="W686" s="66"/>
      <c r="X686" s="66"/>
      <c r="Y686" s="66"/>
      <c r="Z686" s="82"/>
    </row>
    <row r="687">
      <c r="A687" s="90"/>
      <c r="B687" s="61" t="s">
        <v>23</v>
      </c>
      <c r="C687" s="61" t="s">
        <v>2400</v>
      </c>
      <c r="D687" s="61" t="s">
        <v>424</v>
      </c>
      <c r="E687" s="61" t="s">
        <v>2022</v>
      </c>
      <c r="F687" s="61" t="s">
        <v>2401</v>
      </c>
      <c r="G687" s="62" t="s">
        <v>44</v>
      </c>
      <c r="H687" s="61" t="s">
        <v>64</v>
      </c>
      <c r="I687" s="62" t="s">
        <v>2402</v>
      </c>
      <c r="J687" s="62" t="s">
        <v>44</v>
      </c>
      <c r="K687" s="105"/>
      <c r="L687" s="61" t="s">
        <v>2403</v>
      </c>
      <c r="M687" s="125" t="s">
        <v>2404</v>
      </c>
      <c r="N687" s="66"/>
      <c r="O687" s="66" t="str">
        <f t="shared" si="1"/>
        <v/>
      </c>
      <c r="P687" s="66">
        <v>0.0</v>
      </c>
      <c r="Q687" s="66">
        <v>0.0</v>
      </c>
      <c r="R687" s="112"/>
      <c r="S687" s="66"/>
      <c r="T687" s="66"/>
      <c r="U687" s="66"/>
      <c r="V687" s="66"/>
      <c r="W687" s="66"/>
      <c r="X687" s="66"/>
      <c r="Y687" s="66"/>
      <c r="Z687" s="82"/>
    </row>
    <row r="688">
      <c r="A688" s="90"/>
      <c r="B688" s="61" t="s">
        <v>23</v>
      </c>
      <c r="C688" s="61" t="s">
        <v>2405</v>
      </c>
      <c r="D688" s="61" t="s">
        <v>2406</v>
      </c>
      <c r="E688" s="61" t="s">
        <v>2270</v>
      </c>
      <c r="F688" s="61" t="s">
        <v>2407</v>
      </c>
      <c r="G688" s="62" t="s">
        <v>44</v>
      </c>
      <c r="H688" s="61" t="s">
        <v>64</v>
      </c>
      <c r="I688" s="62" t="s">
        <v>2408</v>
      </c>
      <c r="J688" s="62" t="s">
        <v>44</v>
      </c>
      <c r="K688" s="62" t="s">
        <v>45</v>
      </c>
      <c r="L688" s="105"/>
      <c r="M688" s="65"/>
      <c r="N688" s="66"/>
      <c r="O688" s="66" t="str">
        <f t="shared" si="1"/>
        <v/>
      </c>
      <c r="P688" s="66">
        <v>0.0</v>
      </c>
      <c r="Q688" s="66">
        <v>0.0</v>
      </c>
      <c r="R688" s="112"/>
      <c r="S688" s="66"/>
      <c r="T688" s="66"/>
      <c r="U688" s="66"/>
      <c r="V688" s="66"/>
      <c r="W688" s="66"/>
      <c r="X688" s="66"/>
      <c r="Y688" s="66"/>
      <c r="Z688" s="82"/>
    </row>
    <row r="689">
      <c r="A689" s="90"/>
      <c r="B689" s="61" t="s">
        <v>23</v>
      </c>
      <c r="C689" s="61" t="s">
        <v>2282</v>
      </c>
      <c r="D689" s="61" t="s">
        <v>294</v>
      </c>
      <c r="E689" s="61" t="s">
        <v>1180</v>
      </c>
      <c r="F689" s="61" t="s">
        <v>2409</v>
      </c>
      <c r="G689" s="62" t="s">
        <v>45</v>
      </c>
      <c r="H689" s="61" t="s">
        <v>64</v>
      </c>
      <c r="I689" s="62" t="s">
        <v>426</v>
      </c>
      <c r="J689" s="105"/>
      <c r="K689" s="62" t="s">
        <v>45</v>
      </c>
      <c r="L689" s="61" t="s">
        <v>2410</v>
      </c>
      <c r="M689" s="65"/>
      <c r="N689" s="66"/>
      <c r="O689" s="66" t="str">
        <f t="shared" si="1"/>
        <v/>
      </c>
      <c r="P689" s="66">
        <v>0.0</v>
      </c>
      <c r="Q689" s="66">
        <v>0.0</v>
      </c>
      <c r="R689" s="112"/>
      <c r="S689" s="66"/>
      <c r="T689" s="66"/>
      <c r="U689" s="66"/>
      <c r="V689" s="66"/>
      <c r="W689" s="66"/>
      <c r="X689" s="66"/>
      <c r="Y689" s="66"/>
      <c r="Z689" s="82"/>
    </row>
    <row r="690">
      <c r="A690" s="90"/>
      <c r="B690" s="61" t="s">
        <v>23</v>
      </c>
      <c r="C690" s="61" t="s">
        <v>2282</v>
      </c>
      <c r="D690" s="61" t="s">
        <v>2411</v>
      </c>
      <c r="E690" s="61" t="s">
        <v>2218</v>
      </c>
      <c r="F690" s="61" t="s">
        <v>2412</v>
      </c>
      <c r="G690" s="62" t="s">
        <v>789</v>
      </c>
      <c r="H690" s="61" t="s">
        <v>106</v>
      </c>
      <c r="I690" s="105"/>
      <c r="J690" s="62" t="s">
        <v>115</v>
      </c>
      <c r="K690" s="105"/>
      <c r="L690" s="61" t="s">
        <v>2413</v>
      </c>
      <c r="M690" s="125" t="s">
        <v>2414</v>
      </c>
      <c r="N690" s="66"/>
      <c r="O690" s="66" t="str">
        <f t="shared" si="1"/>
        <v/>
      </c>
      <c r="P690" s="66">
        <v>0.0</v>
      </c>
      <c r="Q690" s="66">
        <v>0.0</v>
      </c>
      <c r="R690" s="112"/>
      <c r="S690" s="66"/>
      <c r="T690" s="66"/>
      <c r="U690" s="66"/>
      <c r="V690" s="66"/>
      <c r="W690" s="66"/>
      <c r="X690" s="66"/>
      <c r="Y690" s="66"/>
      <c r="Z690" s="82"/>
    </row>
    <row r="691">
      <c r="A691" s="90"/>
      <c r="B691" s="61" t="s">
        <v>23</v>
      </c>
      <c r="C691" s="61" t="s">
        <v>2282</v>
      </c>
      <c r="D691" s="61" t="s">
        <v>424</v>
      </c>
      <c r="E691" s="61" t="s">
        <v>1199</v>
      </c>
      <c r="F691" s="61" t="s">
        <v>2415</v>
      </c>
      <c r="G691" s="62" t="s">
        <v>45</v>
      </c>
      <c r="H691" s="61" t="s">
        <v>64</v>
      </c>
      <c r="I691" s="62" t="s">
        <v>657</v>
      </c>
      <c r="J691" s="62" t="s">
        <v>44</v>
      </c>
      <c r="K691" s="62" t="s">
        <v>45</v>
      </c>
      <c r="L691" s="105"/>
      <c r="M691" s="65"/>
      <c r="N691" s="66"/>
      <c r="O691" s="66" t="str">
        <f t="shared" si="1"/>
        <v/>
      </c>
      <c r="P691" s="66">
        <v>0.0</v>
      </c>
      <c r="Q691" s="66">
        <v>0.0</v>
      </c>
      <c r="R691" s="112"/>
      <c r="S691" s="66"/>
      <c r="T691" s="66"/>
      <c r="U691" s="66"/>
      <c r="V691" s="66"/>
      <c r="W691" s="66"/>
      <c r="X691" s="66"/>
      <c r="Y691" s="66"/>
      <c r="Z691" s="82"/>
    </row>
    <row r="692">
      <c r="A692" s="75"/>
      <c r="B692" s="70" t="s">
        <v>23</v>
      </c>
      <c r="C692" s="70" t="s">
        <v>2282</v>
      </c>
      <c r="D692" s="70" t="s">
        <v>2416</v>
      </c>
      <c r="E692" s="70" t="s">
        <v>1494</v>
      </c>
      <c r="F692" s="70" t="s">
        <v>2417</v>
      </c>
      <c r="G692" s="72" t="s">
        <v>2418</v>
      </c>
      <c r="H692" s="70" t="s">
        <v>106</v>
      </c>
      <c r="I692" s="88"/>
      <c r="J692" s="88"/>
      <c r="K692" s="88"/>
      <c r="L692" s="88"/>
      <c r="M692" s="116"/>
      <c r="N692" s="75"/>
      <c r="O692" s="75" t="str">
        <f t="shared" si="1"/>
        <v/>
      </c>
      <c r="P692" s="75">
        <v>0.0</v>
      </c>
      <c r="Q692" s="75">
        <v>0.0</v>
      </c>
      <c r="S692" s="75"/>
      <c r="T692" s="75"/>
      <c r="U692" s="75"/>
      <c r="V692" s="75"/>
      <c r="W692" s="75"/>
      <c r="X692" s="75"/>
      <c r="Y692" s="75"/>
      <c r="Z692" s="75"/>
    </row>
    <row r="693">
      <c r="A693" s="75"/>
      <c r="B693" s="70" t="s">
        <v>24</v>
      </c>
      <c r="C693" s="88"/>
      <c r="D693" s="70"/>
      <c r="E693" s="88"/>
      <c r="F693" s="70" t="s">
        <v>2419</v>
      </c>
      <c r="G693" s="72" t="s">
        <v>125</v>
      </c>
      <c r="H693" s="70" t="s">
        <v>106</v>
      </c>
      <c r="I693" s="88"/>
      <c r="J693" s="117"/>
      <c r="K693" s="368" t="s">
        <v>2420</v>
      </c>
      <c r="L693" s="88"/>
      <c r="M693" s="116"/>
      <c r="N693" s="75"/>
      <c r="O693" s="75" t="str">
        <f t="shared" si="1"/>
        <v/>
      </c>
      <c r="P693" s="75">
        <v>0.0</v>
      </c>
      <c r="Q693" s="75">
        <v>0.0</v>
      </c>
      <c r="S693" s="75"/>
      <c r="T693" s="75"/>
      <c r="U693" s="75"/>
      <c r="V693" s="75"/>
      <c r="W693" s="75"/>
      <c r="X693" s="75"/>
      <c r="Y693" s="75"/>
      <c r="Z693" s="75"/>
    </row>
    <row r="694">
      <c r="A694" s="90"/>
      <c r="B694" s="61" t="s">
        <v>23</v>
      </c>
      <c r="C694" s="61" t="s">
        <v>2421</v>
      </c>
      <c r="D694" s="61" t="s">
        <v>2422</v>
      </c>
      <c r="E694" s="61" t="s">
        <v>332</v>
      </c>
      <c r="F694" s="61" t="s">
        <v>2423</v>
      </c>
      <c r="G694" s="62" t="s">
        <v>486</v>
      </c>
      <c r="H694" s="61" t="s">
        <v>106</v>
      </c>
      <c r="I694" s="105"/>
      <c r="J694" s="105"/>
      <c r="K694" s="369" t="s">
        <v>486</v>
      </c>
      <c r="L694" s="105"/>
      <c r="M694" s="65"/>
      <c r="N694" s="66"/>
      <c r="O694" s="66" t="str">
        <f t="shared" si="1"/>
        <v/>
      </c>
      <c r="P694" s="66">
        <v>0.0</v>
      </c>
      <c r="Q694" s="66">
        <v>0.0</v>
      </c>
      <c r="R694" s="112"/>
      <c r="S694" s="66"/>
      <c r="T694" s="66"/>
      <c r="U694" s="66"/>
      <c r="V694" s="66"/>
      <c r="W694" s="66"/>
      <c r="X694" s="66"/>
      <c r="Y694" s="66"/>
      <c r="Z694" s="82"/>
    </row>
    <row r="695">
      <c r="A695" s="90"/>
      <c r="B695" s="61" t="s">
        <v>23</v>
      </c>
      <c r="C695" s="61"/>
      <c r="D695" s="61" t="s">
        <v>2424</v>
      </c>
      <c r="E695" s="61" t="s">
        <v>429</v>
      </c>
      <c r="F695" s="61" t="s">
        <v>2425</v>
      </c>
      <c r="G695" s="62" t="s">
        <v>674</v>
      </c>
      <c r="H695" s="61" t="s">
        <v>64</v>
      </c>
      <c r="I695" s="62" t="s">
        <v>1044</v>
      </c>
      <c r="J695" s="62" t="s">
        <v>44</v>
      </c>
      <c r="K695" s="369" t="s">
        <v>486</v>
      </c>
      <c r="L695" s="370" t="s">
        <v>2426</v>
      </c>
      <c r="M695" s="176" t="s">
        <v>2427</v>
      </c>
      <c r="N695" s="66"/>
      <c r="O695" s="66" t="str">
        <f t="shared" si="1"/>
        <v/>
      </c>
      <c r="P695" s="66">
        <v>0.0</v>
      </c>
      <c r="Q695" s="66">
        <v>0.0</v>
      </c>
      <c r="R695" s="112"/>
      <c r="S695" s="66"/>
      <c r="T695" s="66"/>
      <c r="U695" s="66"/>
      <c r="V695" s="66"/>
      <c r="W695" s="66"/>
      <c r="X695" s="66"/>
      <c r="Y695" s="66"/>
      <c r="Z695" s="82"/>
    </row>
    <row r="696">
      <c r="A696" s="90"/>
      <c r="B696" s="61" t="s">
        <v>23</v>
      </c>
      <c r="C696" s="215" t="s">
        <v>2428</v>
      </c>
      <c r="D696" s="215" t="s">
        <v>2429</v>
      </c>
      <c r="E696" s="61" t="s">
        <v>429</v>
      </c>
      <c r="F696" s="61" t="s">
        <v>2430</v>
      </c>
      <c r="G696" s="62" t="s">
        <v>2431</v>
      </c>
      <c r="H696" s="61" t="s">
        <v>106</v>
      </c>
      <c r="I696" s="105"/>
      <c r="J696" s="62" t="s">
        <v>44</v>
      </c>
      <c r="K696" s="371"/>
      <c r="L696" s="61" t="s">
        <v>2432</v>
      </c>
      <c r="M696" s="176" t="s">
        <v>267</v>
      </c>
      <c r="N696" s="66"/>
      <c r="O696" s="66" t="str">
        <f t="shared" si="1"/>
        <v/>
      </c>
      <c r="P696" s="66">
        <v>0.0</v>
      </c>
      <c r="Q696" s="66">
        <v>0.0</v>
      </c>
      <c r="R696" s="112"/>
      <c r="S696" s="66"/>
      <c r="T696" s="66"/>
      <c r="U696" s="66"/>
      <c r="V696" s="66"/>
      <c r="W696" s="66"/>
      <c r="X696" s="66"/>
      <c r="Y696" s="66"/>
      <c r="Z696" s="82"/>
    </row>
    <row r="697">
      <c r="A697" s="90"/>
      <c r="B697" s="61" t="s">
        <v>23</v>
      </c>
      <c r="C697" s="61" t="s">
        <v>2433</v>
      </c>
      <c r="D697" s="61" t="s">
        <v>2434</v>
      </c>
      <c r="E697" s="61" t="s">
        <v>506</v>
      </c>
      <c r="F697" s="61" t="s">
        <v>2435</v>
      </c>
      <c r="G697" s="62" t="s">
        <v>44</v>
      </c>
      <c r="H697" s="61" t="s">
        <v>64</v>
      </c>
      <c r="I697" s="62" t="s">
        <v>272</v>
      </c>
      <c r="J697" s="62" t="s">
        <v>44</v>
      </c>
      <c r="K697" s="371"/>
      <c r="L697" s="61" t="s">
        <v>1625</v>
      </c>
      <c r="M697" s="65"/>
      <c r="N697" s="66"/>
      <c r="O697" s="66" t="str">
        <f t="shared" si="1"/>
        <v/>
      </c>
      <c r="P697" s="66">
        <v>0.0</v>
      </c>
      <c r="Q697" s="66">
        <v>0.0</v>
      </c>
      <c r="R697" s="112"/>
      <c r="S697" s="66"/>
      <c r="T697" s="66"/>
      <c r="U697" s="66"/>
      <c r="V697" s="66"/>
      <c r="W697" s="66"/>
      <c r="X697" s="66"/>
      <c r="Y697" s="66"/>
      <c r="Z697" s="82"/>
    </row>
    <row r="698">
      <c r="A698" s="90"/>
      <c r="B698" s="61" t="s">
        <v>23</v>
      </c>
      <c r="C698" s="61" t="s">
        <v>2436</v>
      </c>
      <c r="D698" s="61" t="s">
        <v>2437</v>
      </c>
      <c r="E698" s="61" t="s">
        <v>494</v>
      </c>
      <c r="F698" s="61" t="s">
        <v>2438</v>
      </c>
      <c r="G698" s="62" t="s">
        <v>44</v>
      </c>
      <c r="H698" s="61" t="s">
        <v>64</v>
      </c>
      <c r="I698" s="62" t="s">
        <v>675</v>
      </c>
      <c r="J698" s="62" t="s">
        <v>44</v>
      </c>
      <c r="K698" s="369" t="s">
        <v>486</v>
      </c>
      <c r="L698" s="245" t="s">
        <v>2439</v>
      </c>
      <c r="M698" s="65"/>
      <c r="N698" s="66"/>
      <c r="O698" s="66" t="str">
        <f t="shared" si="1"/>
        <v/>
      </c>
      <c r="P698" s="66">
        <v>0.0</v>
      </c>
      <c r="Q698" s="66">
        <v>0.0</v>
      </c>
      <c r="R698" s="112"/>
      <c r="S698" s="66"/>
      <c r="T698" s="66"/>
      <c r="U698" s="66"/>
      <c r="V698" s="66"/>
      <c r="W698" s="66"/>
      <c r="X698" s="66"/>
      <c r="Y698" s="66"/>
      <c r="Z698" s="82"/>
    </row>
    <row r="699">
      <c r="A699" s="90"/>
      <c r="B699" s="61" t="s">
        <v>23</v>
      </c>
      <c r="C699" s="61"/>
      <c r="D699" s="61" t="s">
        <v>2440</v>
      </c>
      <c r="E699" s="61" t="s">
        <v>1180</v>
      </c>
      <c r="F699" s="61" t="s">
        <v>2441</v>
      </c>
      <c r="G699" s="62" t="s">
        <v>44</v>
      </c>
      <c r="H699" s="61" t="s">
        <v>64</v>
      </c>
      <c r="I699" s="62" t="s">
        <v>594</v>
      </c>
      <c r="J699" s="62" t="s">
        <v>44</v>
      </c>
      <c r="K699" s="371"/>
      <c r="L699" s="303" t="s">
        <v>2442</v>
      </c>
      <c r="M699" s="176" t="s">
        <v>115</v>
      </c>
      <c r="N699" s="66"/>
      <c r="O699" s="66" t="str">
        <f t="shared" si="1"/>
        <v/>
      </c>
      <c r="P699" s="66">
        <v>0.0</v>
      </c>
      <c r="Q699" s="66">
        <v>0.0</v>
      </c>
      <c r="R699" s="112"/>
      <c r="S699" s="66"/>
      <c r="T699" s="66"/>
      <c r="U699" s="66"/>
      <c r="V699" s="66"/>
      <c r="W699" s="66"/>
      <c r="X699" s="66"/>
      <c r="Y699" s="66"/>
      <c r="Z699" s="82"/>
    </row>
    <row r="700">
      <c r="A700" s="90"/>
      <c r="B700" s="61" t="s">
        <v>23</v>
      </c>
      <c r="C700" s="61" t="s">
        <v>1084</v>
      </c>
      <c r="D700" s="61" t="s">
        <v>2443</v>
      </c>
      <c r="E700" s="61" t="s">
        <v>1059</v>
      </c>
      <c r="F700" s="61" t="s">
        <v>923</v>
      </c>
      <c r="G700" s="62" t="s">
        <v>44</v>
      </c>
      <c r="H700" s="61" t="s">
        <v>64</v>
      </c>
      <c r="I700" s="62" t="s">
        <v>125</v>
      </c>
      <c r="J700" s="62" t="s">
        <v>44</v>
      </c>
      <c r="K700" s="371"/>
      <c r="L700" s="105"/>
      <c r="M700" s="176" t="s">
        <v>2444</v>
      </c>
      <c r="N700" s="66"/>
      <c r="O700" s="66" t="str">
        <f t="shared" si="1"/>
        <v/>
      </c>
      <c r="P700" s="66">
        <v>0.0</v>
      </c>
      <c r="Q700" s="66">
        <v>0.0</v>
      </c>
      <c r="R700" s="112"/>
      <c r="S700" s="66"/>
      <c r="T700" s="66"/>
      <c r="U700" s="66"/>
      <c r="V700" s="66"/>
      <c r="W700" s="66"/>
      <c r="X700" s="66"/>
      <c r="Y700" s="66"/>
      <c r="Z700" s="82"/>
    </row>
    <row r="701">
      <c r="A701" s="90"/>
      <c r="B701" s="61" t="s">
        <v>23</v>
      </c>
      <c r="C701" s="61"/>
      <c r="D701" s="61" t="s">
        <v>904</v>
      </c>
      <c r="E701" s="61" t="s">
        <v>1210</v>
      </c>
      <c r="F701" s="61" t="s">
        <v>2445</v>
      </c>
      <c r="G701" s="372" t="s">
        <v>44</v>
      </c>
      <c r="H701" s="61" t="s">
        <v>64</v>
      </c>
      <c r="I701" s="62" t="s">
        <v>992</v>
      </c>
      <c r="J701" s="62" t="s">
        <v>44</v>
      </c>
      <c r="K701" s="371"/>
      <c r="L701" s="61" t="s">
        <v>2446</v>
      </c>
      <c r="M701" s="125"/>
      <c r="N701" s="66"/>
      <c r="O701" s="66" t="str">
        <f t="shared" si="1"/>
        <v/>
      </c>
      <c r="P701" s="66">
        <v>0.0</v>
      </c>
      <c r="Q701" s="66">
        <v>0.0</v>
      </c>
      <c r="R701" s="112"/>
      <c r="S701" s="66"/>
      <c r="T701" s="66"/>
      <c r="U701" s="66"/>
      <c r="V701" s="66"/>
      <c r="W701" s="66"/>
      <c r="X701" s="66"/>
      <c r="Y701" s="66"/>
      <c r="Z701" s="82"/>
    </row>
    <row r="702">
      <c r="A702" s="90"/>
      <c r="B702" s="61" t="s">
        <v>23</v>
      </c>
      <c r="C702" s="61" t="s">
        <v>2447</v>
      </c>
      <c r="D702" s="61" t="s">
        <v>1036</v>
      </c>
      <c r="E702" s="61" t="s">
        <v>1063</v>
      </c>
      <c r="F702" s="61" t="s">
        <v>2448</v>
      </c>
      <c r="G702" s="62" t="s">
        <v>44</v>
      </c>
      <c r="H702" s="61" t="s">
        <v>64</v>
      </c>
      <c r="I702" s="62" t="s">
        <v>594</v>
      </c>
      <c r="J702" s="62" t="s">
        <v>44</v>
      </c>
      <c r="K702" s="371"/>
      <c r="L702" s="105"/>
      <c r="M702" s="65"/>
      <c r="N702" s="66"/>
      <c r="O702" s="66" t="str">
        <f t="shared" si="1"/>
        <v/>
      </c>
      <c r="P702" s="66">
        <v>0.0</v>
      </c>
      <c r="Q702" s="66">
        <v>0.0</v>
      </c>
      <c r="R702" s="112"/>
      <c r="S702" s="66"/>
      <c r="T702" s="66"/>
      <c r="U702" s="66"/>
      <c r="V702" s="66"/>
      <c r="W702" s="66"/>
      <c r="X702" s="66"/>
      <c r="Y702" s="66"/>
      <c r="Z702" s="82"/>
    </row>
    <row r="703">
      <c r="A703" s="90"/>
      <c r="B703" s="61" t="s">
        <v>23</v>
      </c>
      <c r="C703" s="61" t="s">
        <v>2449</v>
      </c>
      <c r="D703" s="61" t="s">
        <v>2450</v>
      </c>
      <c r="E703" s="61" t="s">
        <v>1377</v>
      </c>
      <c r="F703" s="61" t="s">
        <v>2451</v>
      </c>
      <c r="G703" s="62" t="s">
        <v>44</v>
      </c>
      <c r="H703" s="61" t="s">
        <v>106</v>
      </c>
      <c r="I703" s="105"/>
      <c r="J703" s="62" t="s">
        <v>44</v>
      </c>
      <c r="K703" s="371"/>
      <c r="L703" s="61" t="s">
        <v>2452</v>
      </c>
      <c r="M703" s="65"/>
      <c r="N703" s="66"/>
      <c r="O703" s="66" t="str">
        <f t="shared" si="1"/>
        <v/>
      </c>
      <c r="P703" s="66">
        <v>0.0</v>
      </c>
      <c r="Q703" s="66">
        <v>0.0</v>
      </c>
      <c r="R703" s="112"/>
      <c r="S703" s="66"/>
      <c r="T703" s="66"/>
      <c r="U703" s="66"/>
      <c r="V703" s="66"/>
      <c r="W703" s="66"/>
      <c r="X703" s="66"/>
      <c r="Y703" s="66"/>
      <c r="Z703" s="82"/>
    </row>
    <row r="704">
      <c r="A704" s="90"/>
      <c r="B704" s="61" t="s">
        <v>24</v>
      </c>
      <c r="C704" s="61"/>
      <c r="D704" s="61" t="s">
        <v>2453</v>
      </c>
      <c r="E704" s="61" t="s">
        <v>506</v>
      </c>
      <c r="F704" s="61" t="s">
        <v>2454</v>
      </c>
      <c r="G704" s="62" t="s">
        <v>44</v>
      </c>
      <c r="H704" s="61" t="s">
        <v>64</v>
      </c>
      <c r="I704" s="62" t="s">
        <v>2455</v>
      </c>
      <c r="J704" s="62" t="s">
        <v>44</v>
      </c>
      <c r="K704" s="369" t="s">
        <v>486</v>
      </c>
      <c r="L704" s="61" t="s">
        <v>2456</v>
      </c>
      <c r="M704" s="373" t="s">
        <v>2457</v>
      </c>
      <c r="N704" s="66"/>
      <c r="O704" s="66" t="str">
        <f t="shared" si="1"/>
        <v/>
      </c>
      <c r="P704" s="66">
        <v>0.0</v>
      </c>
      <c r="Q704" s="66">
        <v>0.0</v>
      </c>
      <c r="R704" s="112"/>
      <c r="S704" s="66"/>
      <c r="T704" s="66"/>
      <c r="U704" s="66"/>
      <c r="V704" s="66"/>
      <c r="W704" s="66"/>
      <c r="X704" s="66"/>
      <c r="Y704" s="66"/>
      <c r="Z704" s="82"/>
    </row>
    <row r="705">
      <c r="A705" s="90"/>
      <c r="B705" s="61" t="s">
        <v>23</v>
      </c>
      <c r="C705" s="329" t="s">
        <v>2458</v>
      </c>
      <c r="D705" s="329" t="s">
        <v>2459</v>
      </c>
      <c r="E705" s="61" t="s">
        <v>1072</v>
      </c>
      <c r="F705" s="61" t="s">
        <v>2460</v>
      </c>
      <c r="G705" s="62" t="s">
        <v>44</v>
      </c>
      <c r="H705" s="61" t="s">
        <v>64</v>
      </c>
      <c r="I705" s="62" t="s">
        <v>125</v>
      </c>
      <c r="J705" s="62" t="s">
        <v>44</v>
      </c>
      <c r="K705" s="369" t="s">
        <v>486</v>
      </c>
      <c r="L705" s="105"/>
      <c r="M705" s="125" t="s">
        <v>2461</v>
      </c>
      <c r="N705" s="66"/>
      <c r="O705" s="66" t="str">
        <f t="shared" si="1"/>
        <v/>
      </c>
      <c r="P705" s="66">
        <v>0.0</v>
      </c>
      <c r="Q705" s="66">
        <v>0.0</v>
      </c>
      <c r="R705" s="112"/>
      <c r="S705" s="66"/>
      <c r="T705" s="66"/>
      <c r="U705" s="66"/>
      <c r="V705" s="66"/>
      <c r="W705" s="66"/>
      <c r="X705" s="66"/>
      <c r="Y705" s="66"/>
      <c r="Z705" s="82"/>
    </row>
    <row r="706">
      <c r="A706" s="96"/>
      <c r="B706" s="61" t="s">
        <v>23</v>
      </c>
      <c r="C706" s="61"/>
      <c r="D706" s="61" t="s">
        <v>2462</v>
      </c>
      <c r="E706" s="61" t="s">
        <v>1199</v>
      </c>
      <c r="F706" s="61" t="s">
        <v>2463</v>
      </c>
      <c r="G706" s="62" t="s">
        <v>44</v>
      </c>
      <c r="H706" s="61" t="s">
        <v>64</v>
      </c>
      <c r="I706" s="105"/>
      <c r="J706" s="99" t="s">
        <v>2464</v>
      </c>
      <c r="K706" s="104" t="s">
        <v>2465</v>
      </c>
      <c r="L706" s="105"/>
      <c r="M706" s="65"/>
      <c r="N706" s="66"/>
      <c r="O706" s="66" t="str">
        <f t="shared" si="1"/>
        <v/>
      </c>
      <c r="P706" s="241">
        <v>0.0</v>
      </c>
      <c r="Q706" s="241">
        <v>0.0</v>
      </c>
      <c r="R706" s="112"/>
      <c r="S706" s="241"/>
      <c r="T706" s="241"/>
      <c r="U706" s="241"/>
      <c r="V706" s="241"/>
      <c r="W706" s="241"/>
      <c r="X706" s="241"/>
      <c r="Y706" s="241"/>
      <c r="Z706" s="242"/>
    </row>
    <row r="707">
      <c r="A707" s="90"/>
      <c r="B707" s="61" t="s">
        <v>23</v>
      </c>
      <c r="C707" s="61" t="s">
        <v>1084</v>
      </c>
      <c r="D707" s="61" t="s">
        <v>574</v>
      </c>
      <c r="E707" s="61" t="s">
        <v>1199</v>
      </c>
      <c r="F707" s="61" t="s">
        <v>586</v>
      </c>
      <c r="G707" s="62" t="s">
        <v>44</v>
      </c>
      <c r="H707" s="61" t="s">
        <v>64</v>
      </c>
      <c r="I707" s="62" t="s">
        <v>1989</v>
      </c>
      <c r="J707" s="62" t="s">
        <v>44</v>
      </c>
      <c r="K707" s="371"/>
      <c r="L707" s="61" t="s">
        <v>2272</v>
      </c>
      <c r="M707" s="65"/>
      <c r="N707" s="66"/>
      <c r="O707" s="66" t="str">
        <f t="shared" si="1"/>
        <v/>
      </c>
      <c r="P707" s="66">
        <v>0.0</v>
      </c>
      <c r="Q707" s="66">
        <v>0.0</v>
      </c>
      <c r="R707" s="112"/>
      <c r="S707" s="66"/>
      <c r="T707" s="66"/>
      <c r="U707" s="66"/>
      <c r="V707" s="66"/>
      <c r="W707" s="66"/>
      <c r="X707" s="66"/>
      <c r="Y707" s="66"/>
      <c r="Z707" s="82"/>
    </row>
    <row r="708">
      <c r="A708" s="96"/>
      <c r="B708" s="61" t="s">
        <v>20</v>
      </c>
      <c r="C708" s="61"/>
      <c r="D708" s="61" t="s">
        <v>2179</v>
      </c>
      <c r="E708" s="61" t="s">
        <v>1072</v>
      </c>
      <c r="F708" s="61" t="s">
        <v>2466</v>
      </c>
      <c r="G708" s="62" t="s">
        <v>44</v>
      </c>
      <c r="H708" s="105"/>
      <c r="I708" s="62" t="s">
        <v>731</v>
      </c>
      <c r="J708" s="251"/>
      <c r="K708" s="218"/>
      <c r="L708" s="105"/>
      <c r="M708" s="374" t="s">
        <v>2467</v>
      </c>
      <c r="N708" s="66"/>
      <c r="O708" s="66" t="str">
        <f t="shared" si="1"/>
        <v/>
      </c>
      <c r="P708" s="241">
        <v>0.0</v>
      </c>
      <c r="Q708" s="241">
        <v>0.0</v>
      </c>
      <c r="R708" s="112"/>
      <c r="S708" s="113"/>
      <c r="T708" s="113">
        <v>46108.0</v>
      </c>
      <c r="U708" s="113"/>
      <c r="V708" s="113"/>
      <c r="W708" s="113"/>
      <c r="X708" s="113"/>
      <c r="Y708" s="113"/>
      <c r="Z708" s="114"/>
    </row>
    <row r="709">
      <c r="A709" s="90"/>
      <c r="B709" s="61" t="s">
        <v>23</v>
      </c>
      <c r="C709" s="61" t="s">
        <v>2468</v>
      </c>
      <c r="D709" s="61" t="s">
        <v>2422</v>
      </c>
      <c r="E709" s="61" t="s">
        <v>69</v>
      </c>
      <c r="F709" s="61" t="s">
        <v>2469</v>
      </c>
      <c r="G709" s="62" t="s">
        <v>789</v>
      </c>
      <c r="H709" s="61" t="s">
        <v>106</v>
      </c>
      <c r="I709" s="105"/>
      <c r="J709" s="105"/>
      <c r="K709" s="371"/>
      <c r="L709" s="61" t="s">
        <v>2470</v>
      </c>
      <c r="M709" s="65"/>
      <c r="N709" s="66"/>
      <c r="O709" s="66" t="str">
        <f t="shared" si="1"/>
        <v/>
      </c>
      <c r="P709" s="66">
        <v>0.0</v>
      </c>
      <c r="Q709" s="66">
        <v>0.0</v>
      </c>
      <c r="R709" s="112"/>
      <c r="S709" s="66"/>
      <c r="T709" s="66"/>
      <c r="U709" s="66"/>
      <c r="V709" s="66"/>
      <c r="W709" s="66"/>
      <c r="X709" s="66"/>
      <c r="Y709" s="66"/>
      <c r="Z709" s="82"/>
    </row>
    <row r="710">
      <c r="A710" s="90"/>
      <c r="B710" s="61" t="s">
        <v>23</v>
      </c>
      <c r="C710" s="61"/>
      <c r="D710" s="61" t="s">
        <v>2311</v>
      </c>
      <c r="E710" s="61" t="s">
        <v>69</v>
      </c>
      <c r="F710" s="61" t="s">
        <v>2471</v>
      </c>
      <c r="G710" s="62" t="s">
        <v>44</v>
      </c>
      <c r="H710" s="61" t="s">
        <v>106</v>
      </c>
      <c r="I710" s="105"/>
      <c r="J710" s="62" t="s">
        <v>44</v>
      </c>
      <c r="K710" s="371"/>
      <c r="L710" s="105"/>
      <c r="M710" s="65"/>
      <c r="N710" s="66"/>
      <c r="O710" s="66" t="str">
        <f t="shared" si="1"/>
        <v/>
      </c>
      <c r="P710" s="66">
        <v>0.0</v>
      </c>
      <c r="Q710" s="66">
        <v>0.0</v>
      </c>
      <c r="R710" s="112"/>
      <c r="S710" s="66"/>
      <c r="T710" s="66"/>
      <c r="U710" s="66"/>
      <c r="V710" s="66"/>
      <c r="W710" s="66"/>
      <c r="X710" s="66"/>
      <c r="Y710" s="66"/>
      <c r="Z710" s="82"/>
    </row>
    <row r="711">
      <c r="A711" s="90"/>
      <c r="B711" s="61" t="s">
        <v>23</v>
      </c>
      <c r="C711" s="61" t="s">
        <v>2472</v>
      </c>
      <c r="D711" s="61" t="s">
        <v>2311</v>
      </c>
      <c r="E711" s="61" t="s">
        <v>332</v>
      </c>
      <c r="F711" s="61" t="s">
        <v>2473</v>
      </c>
      <c r="G711" s="62" t="s">
        <v>486</v>
      </c>
      <c r="H711" s="61" t="s">
        <v>64</v>
      </c>
      <c r="I711" s="105"/>
      <c r="J711" s="105"/>
      <c r="K711" s="371"/>
      <c r="L711" s="375"/>
      <c r="M711" s="125" t="s">
        <v>2474</v>
      </c>
      <c r="N711" s="66"/>
      <c r="O711" s="66" t="str">
        <f t="shared" si="1"/>
        <v/>
      </c>
      <c r="P711" s="66">
        <v>0.0</v>
      </c>
      <c r="Q711" s="66">
        <v>0.0</v>
      </c>
      <c r="R711" s="112"/>
      <c r="S711" s="66"/>
      <c r="T711" s="66"/>
      <c r="U711" s="66"/>
      <c r="V711" s="66"/>
      <c r="W711" s="66"/>
      <c r="X711" s="66"/>
      <c r="Y711" s="66"/>
      <c r="Z711" s="82"/>
    </row>
    <row r="712">
      <c r="A712" s="90"/>
      <c r="B712" s="61" t="s">
        <v>23</v>
      </c>
      <c r="C712" s="61" t="s">
        <v>2475</v>
      </c>
      <c r="D712" s="61" t="s">
        <v>2476</v>
      </c>
      <c r="E712" s="61" t="s">
        <v>353</v>
      </c>
      <c r="F712" s="61" t="s">
        <v>2477</v>
      </c>
      <c r="G712" s="62" t="s">
        <v>44</v>
      </c>
      <c r="H712" s="61" t="s">
        <v>64</v>
      </c>
      <c r="I712" s="62" t="s">
        <v>657</v>
      </c>
      <c r="J712" s="62" t="s">
        <v>44</v>
      </c>
      <c r="K712" s="371"/>
      <c r="L712" s="376" t="s">
        <v>2478</v>
      </c>
      <c r="M712" s="125" t="s">
        <v>2479</v>
      </c>
      <c r="N712" s="66"/>
      <c r="O712" s="66" t="str">
        <f t="shared" si="1"/>
        <v/>
      </c>
      <c r="P712" s="66">
        <v>0.0</v>
      </c>
      <c r="Q712" s="66">
        <v>0.0</v>
      </c>
      <c r="R712" s="112"/>
      <c r="S712" s="66"/>
      <c r="T712" s="66"/>
      <c r="U712" s="66"/>
      <c r="V712" s="66"/>
      <c r="W712" s="66"/>
      <c r="X712" s="66"/>
      <c r="Y712" s="66"/>
      <c r="Z712" s="82"/>
    </row>
    <row r="713">
      <c r="A713" s="90"/>
      <c r="B713" s="61" t="s">
        <v>23</v>
      </c>
      <c r="C713" s="61" t="s">
        <v>2433</v>
      </c>
      <c r="D713" s="61" t="s">
        <v>2480</v>
      </c>
      <c r="E713" s="61" t="s">
        <v>353</v>
      </c>
      <c r="F713" s="61" t="s">
        <v>2481</v>
      </c>
      <c r="G713" s="62" t="s">
        <v>272</v>
      </c>
      <c r="H713" s="61" t="s">
        <v>64</v>
      </c>
      <c r="I713" s="62" t="s">
        <v>272</v>
      </c>
      <c r="J713" s="62" t="s">
        <v>44</v>
      </c>
      <c r="K713" s="369" t="s">
        <v>45</v>
      </c>
      <c r="L713" s="376" t="s">
        <v>2482</v>
      </c>
      <c r="M713" s="125"/>
      <c r="N713" s="66"/>
      <c r="O713" s="66" t="str">
        <f t="shared" si="1"/>
        <v/>
      </c>
      <c r="P713" s="66">
        <v>0.0</v>
      </c>
      <c r="Q713" s="66">
        <v>0.0</v>
      </c>
      <c r="R713" s="112"/>
      <c r="S713" s="66"/>
      <c r="T713" s="66"/>
      <c r="U713" s="66"/>
      <c r="V713" s="66"/>
      <c r="W713" s="66"/>
      <c r="X713" s="66"/>
      <c r="Y713" s="66"/>
      <c r="Z713" s="82"/>
    </row>
    <row r="714">
      <c r="A714" s="90"/>
      <c r="B714" s="61" t="s">
        <v>24</v>
      </c>
      <c r="C714" s="61"/>
      <c r="D714" s="61" t="s">
        <v>103</v>
      </c>
      <c r="E714" s="61" t="s">
        <v>1110</v>
      </c>
      <c r="F714" s="61" t="s">
        <v>2483</v>
      </c>
      <c r="G714" s="62" t="s">
        <v>1271</v>
      </c>
      <c r="H714" s="61" t="s">
        <v>106</v>
      </c>
      <c r="I714" s="105"/>
      <c r="J714" s="62" t="s">
        <v>44</v>
      </c>
      <c r="K714" s="369" t="s">
        <v>45</v>
      </c>
      <c r="L714" s="375"/>
      <c r="M714" s="125" t="s">
        <v>2484</v>
      </c>
      <c r="N714" s="66"/>
      <c r="O714" s="66" t="str">
        <f t="shared" si="1"/>
        <v/>
      </c>
      <c r="P714" s="66">
        <v>0.0</v>
      </c>
      <c r="Q714" s="66">
        <v>0.0</v>
      </c>
      <c r="R714" s="112"/>
      <c r="S714" s="66"/>
      <c r="T714" s="66"/>
      <c r="U714" s="66"/>
      <c r="V714" s="66"/>
      <c r="W714" s="66"/>
      <c r="X714" s="66"/>
      <c r="Y714" s="66"/>
      <c r="Z714" s="82"/>
    </row>
    <row r="715">
      <c r="A715" s="90"/>
      <c r="B715" s="61" t="s">
        <v>23</v>
      </c>
      <c r="C715" s="61" t="s">
        <v>2485</v>
      </c>
      <c r="D715" s="61" t="s">
        <v>804</v>
      </c>
      <c r="E715" s="61" t="s">
        <v>513</v>
      </c>
      <c r="F715" s="61" t="s">
        <v>2486</v>
      </c>
      <c r="G715" s="62" t="s">
        <v>44</v>
      </c>
      <c r="H715" s="61" t="s">
        <v>64</v>
      </c>
      <c r="I715" s="62" t="s">
        <v>648</v>
      </c>
      <c r="J715" s="62" t="s">
        <v>44</v>
      </c>
      <c r="K715" s="369" t="s">
        <v>45</v>
      </c>
      <c r="L715" s="376" t="s">
        <v>1257</v>
      </c>
      <c r="M715" s="125" t="s">
        <v>2487</v>
      </c>
      <c r="N715" s="66"/>
      <c r="O715" s="66" t="str">
        <f t="shared" si="1"/>
        <v/>
      </c>
      <c r="P715" s="66">
        <v>0.0</v>
      </c>
      <c r="Q715" s="66">
        <v>0.0</v>
      </c>
      <c r="R715" s="112"/>
      <c r="S715" s="66"/>
      <c r="T715" s="66"/>
      <c r="U715" s="66"/>
      <c r="V715" s="66"/>
      <c r="W715" s="66"/>
      <c r="X715" s="66"/>
      <c r="Y715" s="66"/>
      <c r="Z715" s="82"/>
    </row>
    <row r="716">
      <c r="A716" s="90"/>
      <c r="B716" s="61" t="s">
        <v>23</v>
      </c>
      <c r="C716" s="61" t="s">
        <v>2485</v>
      </c>
      <c r="D716" s="61" t="s">
        <v>804</v>
      </c>
      <c r="E716" s="61" t="s">
        <v>513</v>
      </c>
      <c r="F716" s="61" t="s">
        <v>2488</v>
      </c>
      <c r="G716" s="62" t="s">
        <v>44</v>
      </c>
      <c r="H716" s="61" t="s">
        <v>64</v>
      </c>
      <c r="I716" s="62" t="s">
        <v>2489</v>
      </c>
      <c r="J716" s="62" t="s">
        <v>44</v>
      </c>
      <c r="K716" s="369" t="s">
        <v>45</v>
      </c>
      <c r="L716" s="376" t="s">
        <v>2490</v>
      </c>
      <c r="M716" s="125" t="s">
        <v>2491</v>
      </c>
      <c r="N716" s="66"/>
      <c r="O716" s="66" t="str">
        <f t="shared" si="1"/>
        <v/>
      </c>
      <c r="P716" s="66">
        <v>0.0</v>
      </c>
      <c r="Q716" s="66">
        <v>0.0</v>
      </c>
      <c r="R716" s="112"/>
      <c r="S716" s="66"/>
      <c r="T716" s="66"/>
      <c r="U716" s="66"/>
      <c r="V716" s="66"/>
      <c r="W716" s="66"/>
      <c r="X716" s="66"/>
      <c r="Y716" s="66"/>
      <c r="Z716" s="82"/>
    </row>
    <row r="717">
      <c r="A717" s="90"/>
      <c r="B717" s="61" t="s">
        <v>23</v>
      </c>
      <c r="C717" s="61" t="s">
        <v>2492</v>
      </c>
      <c r="D717" s="61" t="s">
        <v>237</v>
      </c>
      <c r="E717" s="61" t="s">
        <v>69</v>
      </c>
      <c r="F717" s="61" t="s">
        <v>2493</v>
      </c>
      <c r="G717" s="62" t="s">
        <v>45</v>
      </c>
      <c r="H717" s="61" t="s">
        <v>106</v>
      </c>
      <c r="I717" s="105"/>
      <c r="J717" s="105"/>
      <c r="K717" s="369" t="s">
        <v>45</v>
      </c>
      <c r="L717" s="377" t="s">
        <v>2494</v>
      </c>
      <c r="M717" s="65"/>
      <c r="N717" s="66"/>
      <c r="O717" s="66" t="str">
        <f t="shared" si="1"/>
        <v/>
      </c>
      <c r="P717" s="66">
        <v>0.0</v>
      </c>
      <c r="Q717" s="66">
        <v>0.0</v>
      </c>
      <c r="R717" s="112"/>
      <c r="S717" s="66"/>
      <c r="T717" s="66"/>
      <c r="U717" s="66"/>
      <c r="V717" s="66"/>
      <c r="W717" s="66"/>
      <c r="X717" s="66"/>
      <c r="Y717" s="66"/>
      <c r="Z717" s="82"/>
    </row>
    <row r="718">
      <c r="A718" s="90"/>
      <c r="B718" s="61" t="s">
        <v>23</v>
      </c>
      <c r="C718" s="61" t="s">
        <v>2495</v>
      </c>
      <c r="D718" s="61" t="s">
        <v>237</v>
      </c>
      <c r="E718" s="61" t="s">
        <v>69</v>
      </c>
      <c r="F718" s="61" t="s">
        <v>2496</v>
      </c>
      <c r="G718" s="62" t="s">
        <v>45</v>
      </c>
      <c r="H718" s="61" t="s">
        <v>106</v>
      </c>
      <c r="I718" s="105"/>
      <c r="J718" s="105"/>
      <c r="K718" s="369" t="s">
        <v>45</v>
      </c>
      <c r="L718" s="377" t="s">
        <v>2497</v>
      </c>
      <c r="M718" s="65"/>
      <c r="N718" s="66"/>
      <c r="O718" s="66" t="str">
        <f t="shared" si="1"/>
        <v/>
      </c>
      <c r="P718" s="66">
        <v>0.0</v>
      </c>
      <c r="Q718" s="66">
        <v>0.0</v>
      </c>
      <c r="R718" s="112"/>
      <c r="S718" s="66"/>
      <c r="T718" s="66"/>
      <c r="U718" s="66"/>
      <c r="V718" s="66"/>
      <c r="W718" s="66"/>
      <c r="X718" s="66"/>
      <c r="Y718" s="66"/>
      <c r="Z718" s="82"/>
    </row>
    <row r="719">
      <c r="A719" s="90"/>
      <c r="B719" s="61" t="s">
        <v>23</v>
      </c>
      <c r="C719" s="61" t="s">
        <v>2495</v>
      </c>
      <c r="D719" s="61" t="s">
        <v>2498</v>
      </c>
      <c r="E719" s="61" t="s">
        <v>494</v>
      </c>
      <c r="F719" s="61" t="s">
        <v>2499</v>
      </c>
      <c r="G719" s="62" t="s">
        <v>44</v>
      </c>
      <c r="H719" s="61" t="s">
        <v>106</v>
      </c>
      <c r="I719" s="105"/>
      <c r="J719" s="105"/>
      <c r="K719" s="378"/>
      <c r="L719" s="376" t="s">
        <v>2500</v>
      </c>
      <c r="M719" s="65"/>
      <c r="N719" s="66"/>
      <c r="O719" s="66" t="str">
        <f t="shared" si="1"/>
        <v/>
      </c>
      <c r="P719" s="66">
        <v>0.0</v>
      </c>
      <c r="Q719" s="66">
        <v>0.0</v>
      </c>
      <c r="R719" s="112"/>
      <c r="S719" s="66"/>
      <c r="T719" s="66"/>
      <c r="U719" s="66"/>
      <c r="V719" s="66"/>
      <c r="W719" s="66"/>
      <c r="X719" s="66"/>
      <c r="Y719" s="66"/>
      <c r="Z719" s="82"/>
    </row>
    <row r="720">
      <c r="A720" s="90"/>
      <c r="B720" s="61" t="s">
        <v>23</v>
      </c>
      <c r="C720" s="61" t="s">
        <v>2501</v>
      </c>
      <c r="D720" s="61" t="s">
        <v>2502</v>
      </c>
      <c r="E720" s="61" t="s">
        <v>1180</v>
      </c>
      <c r="F720" s="61" t="s">
        <v>2503</v>
      </c>
      <c r="G720" s="62" t="s">
        <v>44</v>
      </c>
      <c r="H720" s="61" t="s">
        <v>64</v>
      </c>
      <c r="I720" s="62" t="s">
        <v>2504</v>
      </c>
      <c r="J720" s="62" t="s">
        <v>44</v>
      </c>
      <c r="K720" s="371"/>
      <c r="L720" s="215" t="s">
        <v>2505</v>
      </c>
      <c r="M720" s="65"/>
      <c r="N720" s="66"/>
      <c r="O720" s="66" t="str">
        <f t="shared" si="1"/>
        <v/>
      </c>
      <c r="P720" s="66">
        <v>0.0</v>
      </c>
      <c r="Q720" s="66">
        <v>0.0</v>
      </c>
      <c r="R720" s="112"/>
      <c r="S720" s="66"/>
      <c r="T720" s="66"/>
      <c r="U720" s="66"/>
      <c r="V720" s="66"/>
      <c r="W720" s="66"/>
      <c r="X720" s="66"/>
      <c r="Y720" s="66"/>
      <c r="Z720" s="82"/>
    </row>
    <row r="721">
      <c r="A721" s="90"/>
      <c r="B721" s="61" t="s">
        <v>23</v>
      </c>
      <c r="C721" s="61" t="s">
        <v>2433</v>
      </c>
      <c r="D721" s="61" t="s">
        <v>2506</v>
      </c>
      <c r="E721" s="61" t="s">
        <v>429</v>
      </c>
      <c r="F721" s="278" t="s">
        <v>2507</v>
      </c>
      <c r="G721" s="105"/>
      <c r="H721" s="61" t="s">
        <v>64</v>
      </c>
      <c r="I721" s="62" t="s">
        <v>272</v>
      </c>
      <c r="J721" s="105"/>
      <c r="K721" s="369" t="s">
        <v>486</v>
      </c>
      <c r="L721" s="105"/>
      <c r="M721" s="65"/>
      <c r="N721" s="66"/>
      <c r="O721" s="66" t="str">
        <f t="shared" si="1"/>
        <v/>
      </c>
      <c r="P721" s="66">
        <v>0.0</v>
      </c>
      <c r="Q721" s="66">
        <v>0.0</v>
      </c>
      <c r="R721" s="112"/>
      <c r="S721" s="66"/>
      <c r="T721" s="66"/>
      <c r="U721" s="66"/>
      <c r="V721" s="66"/>
      <c r="W721" s="66"/>
      <c r="X721" s="66"/>
      <c r="Y721" s="66"/>
      <c r="Z721" s="82"/>
    </row>
    <row r="722">
      <c r="A722" s="90"/>
      <c r="B722" s="61" t="s">
        <v>23</v>
      </c>
      <c r="C722" s="61" t="s">
        <v>2495</v>
      </c>
      <c r="D722" s="61" t="s">
        <v>2508</v>
      </c>
      <c r="E722" s="61" t="s">
        <v>429</v>
      </c>
      <c r="F722" s="61" t="s">
        <v>2509</v>
      </c>
      <c r="G722" s="62" t="s">
        <v>44</v>
      </c>
      <c r="H722" s="61" t="s">
        <v>64</v>
      </c>
      <c r="I722" s="62" t="s">
        <v>648</v>
      </c>
      <c r="J722" s="62" t="s">
        <v>44</v>
      </c>
      <c r="K722" s="371"/>
      <c r="L722" s="61" t="s">
        <v>2510</v>
      </c>
      <c r="M722" s="125" t="s">
        <v>2511</v>
      </c>
      <c r="N722" s="66"/>
      <c r="O722" s="66" t="str">
        <f t="shared" si="1"/>
        <v/>
      </c>
      <c r="P722" s="66">
        <v>0.0</v>
      </c>
      <c r="Q722" s="66">
        <v>0.0</v>
      </c>
      <c r="R722" s="112"/>
      <c r="S722" s="66"/>
      <c r="T722" s="66"/>
      <c r="U722" s="66"/>
      <c r="V722" s="66"/>
      <c r="W722" s="66"/>
      <c r="X722" s="66"/>
      <c r="Y722" s="66"/>
      <c r="Z722" s="82"/>
    </row>
    <row r="723">
      <c r="A723" s="75"/>
      <c r="B723" s="70" t="s">
        <v>23</v>
      </c>
      <c r="C723" s="70"/>
      <c r="D723" s="70" t="s">
        <v>914</v>
      </c>
      <c r="E723" s="70" t="s">
        <v>89</v>
      </c>
      <c r="F723" s="70" t="s">
        <v>2512</v>
      </c>
      <c r="G723" s="72" t="s">
        <v>2513</v>
      </c>
      <c r="H723" s="70" t="s">
        <v>64</v>
      </c>
      <c r="I723" s="72" t="s">
        <v>2514</v>
      </c>
      <c r="J723" s="72" t="s">
        <v>2515</v>
      </c>
      <c r="K723" s="379" t="s">
        <v>2516</v>
      </c>
      <c r="L723" s="70" t="s">
        <v>2517</v>
      </c>
      <c r="M723" s="116"/>
      <c r="N723" s="75"/>
      <c r="O723" s="75" t="str">
        <f t="shared" si="1"/>
        <v/>
      </c>
      <c r="P723" s="75">
        <v>0.0</v>
      </c>
      <c r="Q723" s="75">
        <v>0.0</v>
      </c>
      <c r="S723" s="75"/>
      <c r="T723" s="75"/>
      <c r="U723" s="75"/>
      <c r="V723" s="75"/>
      <c r="W723" s="75"/>
      <c r="X723" s="75"/>
      <c r="Y723" s="75"/>
      <c r="Z723" s="75"/>
    </row>
    <row r="724">
      <c r="A724" s="90"/>
      <c r="B724" s="61" t="s">
        <v>23</v>
      </c>
      <c r="C724" s="61" t="s">
        <v>2433</v>
      </c>
      <c r="D724" s="61" t="s">
        <v>2057</v>
      </c>
      <c r="E724" s="61" t="s">
        <v>1072</v>
      </c>
      <c r="F724" s="278" t="s">
        <v>2518</v>
      </c>
      <c r="G724" s="62" t="s">
        <v>272</v>
      </c>
      <c r="H724" s="61" t="s">
        <v>64</v>
      </c>
      <c r="I724" s="62" t="s">
        <v>272</v>
      </c>
      <c r="J724" s="62" t="s">
        <v>44</v>
      </c>
      <c r="K724" s="369" t="s">
        <v>45</v>
      </c>
      <c r="L724" s="61" t="s">
        <v>1601</v>
      </c>
      <c r="M724" s="65"/>
      <c r="N724" s="66"/>
      <c r="O724" s="66" t="str">
        <f t="shared" si="1"/>
        <v/>
      </c>
      <c r="P724" s="66">
        <v>0.0</v>
      </c>
      <c r="Q724" s="66">
        <v>0.0</v>
      </c>
      <c r="R724" s="112"/>
      <c r="S724" s="66"/>
      <c r="T724" s="66"/>
      <c r="U724" s="66"/>
      <c r="V724" s="66"/>
      <c r="W724" s="66"/>
      <c r="X724" s="66"/>
      <c r="Y724" s="66"/>
      <c r="Z724" s="82"/>
    </row>
    <row r="725">
      <c r="A725" s="90"/>
      <c r="B725" s="61" t="s">
        <v>23</v>
      </c>
      <c r="C725" s="61" t="s">
        <v>2495</v>
      </c>
      <c r="D725" s="61" t="s">
        <v>2519</v>
      </c>
      <c r="E725" s="61" t="s">
        <v>1199</v>
      </c>
      <c r="F725" s="61" t="s">
        <v>2520</v>
      </c>
      <c r="G725" s="62" t="s">
        <v>486</v>
      </c>
      <c r="H725" s="61" t="s">
        <v>64</v>
      </c>
      <c r="I725" s="62" t="s">
        <v>2521</v>
      </c>
      <c r="J725" s="105"/>
      <c r="K725" s="369" t="s">
        <v>486</v>
      </c>
      <c r="L725" s="105"/>
      <c r="M725" s="65"/>
      <c r="N725" s="66"/>
      <c r="O725" s="66" t="str">
        <f t="shared" si="1"/>
        <v/>
      </c>
      <c r="P725" s="66">
        <v>0.0</v>
      </c>
      <c r="Q725" s="66">
        <v>0.0</v>
      </c>
      <c r="R725" s="112"/>
      <c r="S725" s="66"/>
      <c r="T725" s="66"/>
      <c r="U725" s="66"/>
      <c r="V725" s="66"/>
      <c r="W725" s="66"/>
      <c r="X725" s="66"/>
      <c r="Y725" s="66"/>
      <c r="Z725" s="82"/>
    </row>
    <row r="726">
      <c r="A726" s="90"/>
      <c r="B726" s="61" t="s">
        <v>23</v>
      </c>
      <c r="C726" s="61" t="s">
        <v>2495</v>
      </c>
      <c r="D726" s="61" t="s">
        <v>970</v>
      </c>
      <c r="E726" s="61" t="s">
        <v>1199</v>
      </c>
      <c r="F726" s="61" t="s">
        <v>2522</v>
      </c>
      <c r="G726" s="62" t="s">
        <v>486</v>
      </c>
      <c r="H726" s="61" t="s">
        <v>106</v>
      </c>
      <c r="I726" s="105"/>
      <c r="J726" s="105"/>
      <c r="K726" s="369" t="s">
        <v>486</v>
      </c>
      <c r="L726" s="105"/>
      <c r="M726" s="65"/>
      <c r="N726" s="66"/>
      <c r="O726" s="66" t="str">
        <f t="shared" si="1"/>
        <v/>
      </c>
      <c r="P726" s="66">
        <v>0.0</v>
      </c>
      <c r="Q726" s="66">
        <v>0.0</v>
      </c>
      <c r="R726" s="112"/>
      <c r="S726" s="66"/>
      <c r="T726" s="66"/>
      <c r="U726" s="66"/>
      <c r="V726" s="66"/>
      <c r="W726" s="66"/>
      <c r="X726" s="66"/>
      <c r="Y726" s="66"/>
      <c r="Z726" s="82"/>
    </row>
    <row r="727">
      <c r="A727" s="90"/>
      <c r="B727" s="61" t="s">
        <v>23</v>
      </c>
      <c r="C727" s="61" t="s">
        <v>1084</v>
      </c>
      <c r="D727" s="61" t="s">
        <v>2523</v>
      </c>
      <c r="E727" s="61" t="s">
        <v>69</v>
      </c>
      <c r="F727" s="61" t="s">
        <v>764</v>
      </c>
      <c r="G727" s="62" t="s">
        <v>486</v>
      </c>
      <c r="H727" s="61" t="s">
        <v>106</v>
      </c>
      <c r="I727" s="105"/>
      <c r="J727" s="105"/>
      <c r="K727" s="369" t="s">
        <v>486</v>
      </c>
      <c r="L727" s="105"/>
      <c r="M727" s="65"/>
      <c r="N727" s="66"/>
      <c r="O727" s="66" t="str">
        <f t="shared" si="1"/>
        <v/>
      </c>
      <c r="P727" s="66">
        <v>0.0</v>
      </c>
      <c r="Q727" s="66">
        <v>0.0</v>
      </c>
      <c r="R727" s="112"/>
      <c r="S727" s="66"/>
      <c r="T727" s="66"/>
      <c r="U727" s="66"/>
      <c r="V727" s="66"/>
      <c r="W727" s="66"/>
      <c r="X727" s="66"/>
      <c r="Y727" s="66"/>
      <c r="Z727" s="82"/>
    </row>
    <row r="728">
      <c r="A728" s="90"/>
      <c r="B728" s="61" t="s">
        <v>20</v>
      </c>
      <c r="C728" s="380" t="s">
        <v>2524</v>
      </c>
      <c r="D728" s="61" t="s">
        <v>2525</v>
      </c>
      <c r="E728" s="210" t="s">
        <v>531</v>
      </c>
      <c r="F728" s="61" t="s">
        <v>2526</v>
      </c>
      <c r="G728" s="62" t="s">
        <v>44</v>
      </c>
      <c r="H728" s="61" t="s">
        <v>64</v>
      </c>
      <c r="I728" s="62" t="s">
        <v>2527</v>
      </c>
      <c r="J728" s="62" t="s">
        <v>2528</v>
      </c>
      <c r="K728" s="381" t="s">
        <v>2529</v>
      </c>
      <c r="L728" s="61" t="s">
        <v>2530</v>
      </c>
      <c r="M728" s="65"/>
      <c r="N728" s="66"/>
      <c r="O728" s="66" t="str">
        <f t="shared" si="1"/>
        <v>DM+이메일</v>
      </c>
      <c r="P728" s="67">
        <v>1.0</v>
      </c>
      <c r="Q728" s="67">
        <v>1.0</v>
      </c>
      <c r="R728" s="113">
        <v>46108.0</v>
      </c>
      <c r="S728" s="113"/>
      <c r="T728" s="112"/>
      <c r="U728" s="113"/>
      <c r="V728" s="113"/>
      <c r="W728" s="113"/>
      <c r="X728" s="113"/>
      <c r="Y728" s="113"/>
      <c r="Z728" s="114"/>
    </row>
    <row r="729">
      <c r="A729" s="90"/>
      <c r="B729" s="61" t="s">
        <v>23</v>
      </c>
      <c r="C729" s="61" t="s">
        <v>2531</v>
      </c>
      <c r="D729" s="61" t="s">
        <v>1080</v>
      </c>
      <c r="E729" s="61" t="s">
        <v>69</v>
      </c>
      <c r="F729" s="61" t="s">
        <v>2532</v>
      </c>
      <c r="G729" s="62" t="s">
        <v>45</v>
      </c>
      <c r="H729" s="61" t="s">
        <v>106</v>
      </c>
      <c r="I729" s="105"/>
      <c r="J729" s="105"/>
      <c r="K729" s="369" t="s">
        <v>45</v>
      </c>
      <c r="L729" s="105"/>
      <c r="M729" s="65"/>
      <c r="N729" s="66"/>
      <c r="O729" s="66" t="str">
        <f t="shared" si="1"/>
        <v/>
      </c>
      <c r="P729" s="67">
        <v>0.0</v>
      </c>
      <c r="Q729" s="67">
        <v>0.0</v>
      </c>
      <c r="R729" s="67"/>
      <c r="S729" s="67"/>
      <c r="T729" s="112"/>
      <c r="U729" s="67"/>
      <c r="V729" s="67"/>
      <c r="W729" s="67"/>
      <c r="X729" s="67"/>
      <c r="Y729" s="67"/>
      <c r="Z729" s="68"/>
    </row>
    <row r="730">
      <c r="A730" s="90"/>
      <c r="B730" s="61" t="s">
        <v>23</v>
      </c>
      <c r="C730" s="61" t="s">
        <v>2468</v>
      </c>
      <c r="D730" s="61" t="s">
        <v>247</v>
      </c>
      <c r="E730" s="61" t="s">
        <v>494</v>
      </c>
      <c r="F730" s="61" t="s">
        <v>2533</v>
      </c>
      <c r="G730" s="62" t="s">
        <v>2534</v>
      </c>
      <c r="H730" s="61" t="s">
        <v>64</v>
      </c>
      <c r="I730" s="62" t="s">
        <v>674</v>
      </c>
      <c r="J730" s="62" t="s">
        <v>44</v>
      </c>
      <c r="K730" s="371"/>
      <c r="L730" s="61" t="s">
        <v>2535</v>
      </c>
      <c r="M730" s="125" t="s">
        <v>1889</v>
      </c>
      <c r="N730" s="66"/>
      <c r="O730" s="66" t="str">
        <f t="shared" si="1"/>
        <v/>
      </c>
      <c r="P730" s="66">
        <v>0.0</v>
      </c>
      <c r="Q730" s="66">
        <v>0.0</v>
      </c>
      <c r="R730" s="66"/>
      <c r="S730" s="66"/>
      <c r="T730" s="112"/>
      <c r="U730" s="66"/>
      <c r="V730" s="66"/>
      <c r="W730" s="66"/>
      <c r="X730" s="66"/>
      <c r="Y730" s="66"/>
      <c r="Z730" s="82"/>
    </row>
    <row r="731">
      <c r="A731" s="90"/>
      <c r="B731" s="61" t="s">
        <v>20</v>
      </c>
      <c r="C731" s="61" t="s">
        <v>2536</v>
      </c>
      <c r="D731" s="61" t="s">
        <v>949</v>
      </c>
      <c r="E731" s="61" t="s">
        <v>494</v>
      </c>
      <c r="F731" s="61" t="s">
        <v>2537</v>
      </c>
      <c r="G731" s="62" t="s">
        <v>674</v>
      </c>
      <c r="H731" s="61" t="s">
        <v>106</v>
      </c>
      <c r="I731" s="105"/>
      <c r="J731" s="62" t="s">
        <v>2538</v>
      </c>
      <c r="K731" s="371"/>
      <c r="L731" s="61" t="s">
        <v>2539</v>
      </c>
      <c r="M731" s="65"/>
      <c r="N731" s="66"/>
      <c r="O731" s="66" t="str">
        <f t="shared" si="1"/>
        <v>이메일</v>
      </c>
      <c r="P731" s="66">
        <v>0.0</v>
      </c>
      <c r="Q731" s="67">
        <v>1.0</v>
      </c>
      <c r="R731" s="113">
        <v>46108.0</v>
      </c>
      <c r="S731" s="113"/>
      <c r="T731" s="112"/>
      <c r="U731" s="113"/>
      <c r="V731" s="113"/>
      <c r="W731" s="113"/>
      <c r="X731" s="113"/>
      <c r="Y731" s="113"/>
      <c r="Z731" s="114"/>
    </row>
    <row r="732">
      <c r="A732" s="90"/>
      <c r="B732" s="61" t="s">
        <v>25</v>
      </c>
      <c r="C732" s="61"/>
      <c r="D732" s="61" t="s">
        <v>2540</v>
      </c>
      <c r="E732" s="61" t="s">
        <v>109</v>
      </c>
      <c r="F732" s="61" t="s">
        <v>2541</v>
      </c>
      <c r="G732" s="62" t="s">
        <v>44</v>
      </c>
      <c r="H732" s="61" t="s">
        <v>106</v>
      </c>
      <c r="I732" s="105"/>
      <c r="J732" s="62" t="s">
        <v>2542</v>
      </c>
      <c r="K732" s="371"/>
      <c r="L732" s="61" t="s">
        <v>2543</v>
      </c>
      <c r="M732" s="65"/>
      <c r="N732" s="66"/>
      <c r="O732" s="66" t="str">
        <f t="shared" si="1"/>
        <v>이메일</v>
      </c>
      <c r="P732" s="66">
        <v>0.0</v>
      </c>
      <c r="Q732" s="67">
        <v>1.0</v>
      </c>
      <c r="R732" s="113">
        <v>46108.0</v>
      </c>
      <c r="S732" s="67" t="s">
        <v>25</v>
      </c>
      <c r="T732" s="112"/>
      <c r="U732" s="113"/>
      <c r="V732" s="113"/>
      <c r="W732" s="113"/>
      <c r="X732" s="113"/>
      <c r="Y732" s="113"/>
      <c r="Z732" s="68" t="s">
        <v>2544</v>
      </c>
    </row>
    <row r="733">
      <c r="A733" s="90"/>
      <c r="B733" s="61" t="s">
        <v>24</v>
      </c>
      <c r="C733" s="61" t="s">
        <v>2545</v>
      </c>
      <c r="D733" s="61" t="s">
        <v>2546</v>
      </c>
      <c r="E733" s="61" t="s">
        <v>109</v>
      </c>
      <c r="F733" s="61" t="s">
        <v>2547</v>
      </c>
      <c r="G733" s="62" t="s">
        <v>44</v>
      </c>
      <c r="H733" s="61" t="s">
        <v>64</v>
      </c>
      <c r="I733" s="62" t="s">
        <v>699</v>
      </c>
      <c r="J733" s="62" t="s">
        <v>44</v>
      </c>
      <c r="K733" s="371"/>
      <c r="L733" s="61" t="s">
        <v>2548</v>
      </c>
      <c r="M733" s="65"/>
      <c r="N733" s="66"/>
      <c r="O733" s="66" t="str">
        <f t="shared" si="1"/>
        <v/>
      </c>
      <c r="P733" s="66">
        <v>0.0</v>
      </c>
      <c r="Q733" s="66">
        <v>0.0</v>
      </c>
      <c r="R733" s="66"/>
      <c r="S733" s="66"/>
      <c r="T733" s="112"/>
      <c r="U733" s="66"/>
      <c r="V733" s="66"/>
      <c r="W733" s="66"/>
      <c r="X733" s="66"/>
      <c r="Y733" s="66"/>
      <c r="Z733" s="82"/>
    </row>
    <row r="734">
      <c r="A734" s="90"/>
      <c r="B734" s="61" t="s">
        <v>23</v>
      </c>
      <c r="C734" s="67" t="s">
        <v>2495</v>
      </c>
      <c r="D734" s="67" t="s">
        <v>2549</v>
      </c>
      <c r="E734" s="61" t="s">
        <v>1110</v>
      </c>
      <c r="F734" s="67" t="s">
        <v>2550</v>
      </c>
      <c r="G734" s="382" t="s">
        <v>115</v>
      </c>
      <c r="H734" s="67"/>
      <c r="I734" s="66"/>
      <c r="J734" s="382" t="s">
        <v>44</v>
      </c>
      <c r="K734" s="383"/>
      <c r="L734" s="61" t="s">
        <v>2551</v>
      </c>
      <c r="M734" s="125"/>
      <c r="N734" s="66"/>
      <c r="O734" s="66" t="str">
        <f t="shared" si="1"/>
        <v/>
      </c>
      <c r="P734" s="66">
        <v>0.0</v>
      </c>
      <c r="Q734" s="66">
        <v>0.0</v>
      </c>
      <c r="R734" s="66"/>
      <c r="S734" s="66"/>
      <c r="T734" s="112"/>
      <c r="U734" s="66"/>
      <c r="V734" s="66"/>
      <c r="W734" s="66"/>
      <c r="X734" s="66"/>
      <c r="Y734" s="66"/>
      <c r="Z734" s="82"/>
    </row>
    <row r="735">
      <c r="A735" s="90"/>
      <c r="B735" s="61" t="s">
        <v>20</v>
      </c>
      <c r="C735" s="61" t="s">
        <v>2552</v>
      </c>
      <c r="D735" s="61" t="s">
        <v>2553</v>
      </c>
      <c r="E735" s="61" t="s">
        <v>1110</v>
      </c>
      <c r="F735" s="61" t="s">
        <v>2554</v>
      </c>
      <c r="G735" s="62" t="s">
        <v>44</v>
      </c>
      <c r="H735" s="61" t="s">
        <v>64</v>
      </c>
      <c r="I735" s="62" t="s">
        <v>553</v>
      </c>
      <c r="J735" s="105"/>
      <c r="K735" s="369" t="s">
        <v>2555</v>
      </c>
      <c r="L735" s="61" t="s">
        <v>2556</v>
      </c>
      <c r="M735" s="65"/>
      <c r="N735" s="66"/>
      <c r="O735" s="66" t="str">
        <f t="shared" si="1"/>
        <v>DM</v>
      </c>
      <c r="P735" s="67">
        <v>1.0</v>
      </c>
      <c r="Q735" s="66">
        <v>0.0</v>
      </c>
      <c r="R735" s="113">
        <v>46108.0</v>
      </c>
      <c r="S735" s="113"/>
      <c r="T735" s="112"/>
      <c r="U735" s="113"/>
      <c r="V735" s="113"/>
      <c r="W735" s="113"/>
      <c r="X735" s="113"/>
      <c r="Y735" s="113"/>
      <c r="Z735" s="114"/>
    </row>
    <row r="736">
      <c r="A736" s="90"/>
      <c r="B736" s="61" t="s">
        <v>23</v>
      </c>
      <c r="C736" s="61" t="s">
        <v>2557</v>
      </c>
      <c r="D736" s="61" t="s">
        <v>2558</v>
      </c>
      <c r="E736" s="61" t="s">
        <v>353</v>
      </c>
      <c r="F736" s="61" t="s">
        <v>2559</v>
      </c>
      <c r="G736" s="62" t="s">
        <v>553</v>
      </c>
      <c r="H736" s="61" t="s">
        <v>64</v>
      </c>
      <c r="I736" s="62" t="s">
        <v>553</v>
      </c>
      <c r="J736" s="105"/>
      <c r="K736" s="369" t="s">
        <v>45</v>
      </c>
      <c r="L736" s="105"/>
      <c r="M736" s="65"/>
      <c r="N736" s="66"/>
      <c r="O736" s="66" t="str">
        <f t="shared" si="1"/>
        <v/>
      </c>
      <c r="P736" s="66">
        <v>0.0</v>
      </c>
      <c r="Q736" s="66">
        <v>0.0</v>
      </c>
      <c r="R736" s="66"/>
      <c r="S736" s="66"/>
      <c r="T736" s="112"/>
      <c r="U736" s="66"/>
      <c r="V736" s="66"/>
      <c r="W736" s="66"/>
      <c r="X736" s="66"/>
      <c r="Y736" s="66"/>
      <c r="Z736" s="82"/>
    </row>
    <row r="737">
      <c r="A737" s="90"/>
      <c r="B737" s="61" t="s">
        <v>23</v>
      </c>
      <c r="C737" s="61" t="s">
        <v>2495</v>
      </c>
      <c r="D737" s="61" t="s">
        <v>2560</v>
      </c>
      <c r="E737" s="61" t="s">
        <v>353</v>
      </c>
      <c r="F737" s="61" t="s">
        <v>2561</v>
      </c>
      <c r="G737" s="62" t="s">
        <v>553</v>
      </c>
      <c r="H737" s="61" t="s">
        <v>64</v>
      </c>
      <c r="I737" s="62" t="s">
        <v>553</v>
      </c>
      <c r="J737" s="112"/>
      <c r="K737" s="369" t="s">
        <v>45</v>
      </c>
      <c r="L737" s="61" t="s">
        <v>1057</v>
      </c>
      <c r="M737" s="65"/>
      <c r="N737" s="66"/>
      <c r="O737" s="66" t="str">
        <f t="shared" si="1"/>
        <v/>
      </c>
      <c r="P737" s="66">
        <v>0.0</v>
      </c>
      <c r="Q737" s="66">
        <v>0.0</v>
      </c>
      <c r="R737" s="66"/>
      <c r="S737" s="66"/>
      <c r="T737" s="112"/>
      <c r="U737" s="66"/>
      <c r="V737" s="66"/>
      <c r="W737" s="66"/>
      <c r="X737" s="66"/>
      <c r="Y737" s="66"/>
      <c r="Z737" s="82"/>
    </row>
    <row r="738">
      <c r="A738" s="90"/>
      <c r="B738" s="61" t="s">
        <v>23</v>
      </c>
      <c r="C738" s="61" t="s">
        <v>2562</v>
      </c>
      <c r="D738" s="61" t="s">
        <v>974</v>
      </c>
      <c r="E738" s="61" t="s">
        <v>89</v>
      </c>
      <c r="F738" s="61" t="s">
        <v>2563</v>
      </c>
      <c r="G738" s="62" t="s">
        <v>663</v>
      </c>
      <c r="H738" s="61" t="s">
        <v>64</v>
      </c>
      <c r="I738" s="62" t="s">
        <v>2564</v>
      </c>
      <c r="J738" s="62" t="s">
        <v>516</v>
      </c>
      <c r="K738" s="371"/>
      <c r="L738" s="61" t="s">
        <v>2565</v>
      </c>
      <c r="M738" s="65"/>
      <c r="N738" s="66"/>
      <c r="O738" s="66" t="str">
        <f t="shared" si="1"/>
        <v/>
      </c>
      <c r="P738" s="66">
        <v>0.0</v>
      </c>
      <c r="Q738" s="66">
        <v>0.0</v>
      </c>
      <c r="R738" s="66"/>
      <c r="S738" s="66"/>
      <c r="T738" s="112"/>
      <c r="U738" s="66"/>
      <c r="V738" s="66"/>
      <c r="W738" s="66"/>
      <c r="X738" s="66"/>
      <c r="Y738" s="66"/>
      <c r="Z738" s="82"/>
    </row>
    <row r="739">
      <c r="A739" s="90"/>
      <c r="B739" s="61" t="s">
        <v>23</v>
      </c>
      <c r="C739" s="210" t="s">
        <v>2566</v>
      </c>
      <c r="D739" s="210" t="s">
        <v>2567</v>
      </c>
      <c r="E739" s="61" t="s">
        <v>69</v>
      </c>
      <c r="F739" s="278" t="s">
        <v>2568</v>
      </c>
      <c r="G739" s="62" t="s">
        <v>45</v>
      </c>
      <c r="H739" s="61" t="s">
        <v>106</v>
      </c>
      <c r="I739" s="105"/>
      <c r="J739" s="105"/>
      <c r="K739" s="369" t="s">
        <v>45</v>
      </c>
      <c r="L739" s="105"/>
      <c r="M739" s="65"/>
      <c r="N739" s="66"/>
      <c r="O739" s="66" t="str">
        <f t="shared" si="1"/>
        <v/>
      </c>
      <c r="P739" s="66">
        <v>0.0</v>
      </c>
      <c r="Q739" s="66">
        <v>0.0</v>
      </c>
      <c r="R739" s="66"/>
      <c r="S739" s="66"/>
      <c r="T739" s="112"/>
      <c r="U739" s="66"/>
      <c r="V739" s="66"/>
      <c r="W739" s="66"/>
      <c r="X739" s="66"/>
      <c r="Y739" s="66"/>
      <c r="Z739" s="82"/>
    </row>
    <row r="740">
      <c r="A740" s="90"/>
      <c r="B740" s="61" t="s">
        <v>20</v>
      </c>
      <c r="C740" s="61" t="s">
        <v>2569</v>
      </c>
      <c r="D740" s="61" t="s">
        <v>237</v>
      </c>
      <c r="E740" s="61" t="s">
        <v>69</v>
      </c>
      <c r="F740" s="61" t="s">
        <v>2570</v>
      </c>
      <c r="G740" s="62" t="s">
        <v>45</v>
      </c>
      <c r="H740" s="61" t="s">
        <v>106</v>
      </c>
      <c r="I740" s="105"/>
      <c r="J740" s="105"/>
      <c r="K740" s="369" t="s">
        <v>2571</v>
      </c>
      <c r="L740" s="61" t="s">
        <v>2572</v>
      </c>
      <c r="M740" s="65"/>
      <c r="N740" s="66"/>
      <c r="O740" s="66" t="str">
        <f t="shared" si="1"/>
        <v>DM+이메일</v>
      </c>
      <c r="P740" s="67">
        <v>1.0</v>
      </c>
      <c r="Q740" s="67">
        <v>1.0</v>
      </c>
      <c r="R740" s="113">
        <v>46108.0</v>
      </c>
      <c r="S740" s="113"/>
      <c r="T740" s="112"/>
      <c r="U740" s="113"/>
      <c r="V740" s="113"/>
      <c r="W740" s="113"/>
      <c r="X740" s="113"/>
      <c r="Y740" s="113"/>
      <c r="Z740" s="114"/>
    </row>
    <row r="741">
      <c r="A741" s="90"/>
      <c r="B741" s="61" t="s">
        <v>23</v>
      </c>
      <c r="C741" s="61" t="s">
        <v>2573</v>
      </c>
      <c r="D741" s="61" t="s">
        <v>2574</v>
      </c>
      <c r="E741" s="61" t="s">
        <v>531</v>
      </c>
      <c r="F741" s="61" t="s">
        <v>2575</v>
      </c>
      <c r="G741" s="62" t="s">
        <v>1660</v>
      </c>
      <c r="H741" s="61" t="s">
        <v>64</v>
      </c>
      <c r="I741" s="62" t="s">
        <v>1660</v>
      </c>
      <c r="J741" s="105"/>
      <c r="K741" s="371"/>
      <c r="L741" s="61" t="s">
        <v>2576</v>
      </c>
      <c r="M741" s="65"/>
      <c r="N741" s="66"/>
      <c r="O741" s="66" t="str">
        <f t="shared" si="1"/>
        <v/>
      </c>
      <c r="P741" s="66">
        <v>0.0</v>
      </c>
      <c r="Q741" s="66">
        <v>0.0</v>
      </c>
      <c r="R741" s="66"/>
      <c r="S741" s="66"/>
      <c r="T741" s="112"/>
      <c r="U741" s="66"/>
      <c r="V741" s="66"/>
      <c r="W741" s="66"/>
      <c r="X741" s="66"/>
      <c r="Y741" s="66"/>
      <c r="Z741" s="82"/>
    </row>
    <row r="742">
      <c r="A742" s="90"/>
      <c r="B742" s="61" t="s">
        <v>23</v>
      </c>
      <c r="C742" s="61" t="s">
        <v>2569</v>
      </c>
      <c r="D742" s="61" t="s">
        <v>1075</v>
      </c>
      <c r="E742" s="61" t="s">
        <v>531</v>
      </c>
      <c r="F742" s="61" t="s">
        <v>2577</v>
      </c>
      <c r="G742" s="62" t="s">
        <v>44</v>
      </c>
      <c r="H742" s="61" t="s">
        <v>64</v>
      </c>
      <c r="I742" s="62" t="s">
        <v>1286</v>
      </c>
      <c r="J742" s="62" t="s">
        <v>44</v>
      </c>
      <c r="K742" s="369" t="s">
        <v>45</v>
      </c>
      <c r="L742" s="61"/>
      <c r="M742" s="65"/>
      <c r="N742" s="66"/>
      <c r="O742" s="66" t="str">
        <f t="shared" si="1"/>
        <v/>
      </c>
      <c r="P742" s="66">
        <v>0.0</v>
      </c>
      <c r="Q742" s="66">
        <v>0.0</v>
      </c>
      <c r="R742" s="66"/>
      <c r="S742" s="66"/>
      <c r="T742" s="112"/>
      <c r="U742" s="66"/>
      <c r="V742" s="66"/>
      <c r="W742" s="66"/>
      <c r="X742" s="66"/>
      <c r="Y742" s="66"/>
      <c r="Z742" s="82"/>
    </row>
    <row r="743">
      <c r="A743" s="90"/>
      <c r="B743" s="61" t="s">
        <v>20</v>
      </c>
      <c r="C743" s="61"/>
      <c r="D743" s="61" t="s">
        <v>1821</v>
      </c>
      <c r="E743" s="61" t="s">
        <v>513</v>
      </c>
      <c r="F743" s="61" t="s">
        <v>2578</v>
      </c>
      <c r="G743" s="62" t="s">
        <v>44</v>
      </c>
      <c r="H743" s="61" t="s">
        <v>64</v>
      </c>
      <c r="I743" s="62" t="s">
        <v>648</v>
      </c>
      <c r="J743" s="62" t="s">
        <v>2579</v>
      </c>
      <c r="K743" s="371"/>
      <c r="L743" s="61" t="s">
        <v>653</v>
      </c>
      <c r="M743" s="65"/>
      <c r="N743" s="66"/>
      <c r="O743" s="66" t="str">
        <f t="shared" si="1"/>
        <v>이메일</v>
      </c>
      <c r="P743" s="66">
        <v>0.0</v>
      </c>
      <c r="Q743" s="67">
        <v>1.0</v>
      </c>
      <c r="R743" s="113">
        <v>46108.0</v>
      </c>
      <c r="S743" s="113"/>
      <c r="T743" s="112"/>
      <c r="U743" s="113"/>
      <c r="V743" s="113"/>
      <c r="W743" s="113"/>
      <c r="X743" s="113"/>
      <c r="Y743" s="113"/>
      <c r="Z743" s="114"/>
    </row>
    <row r="744">
      <c r="A744" s="90"/>
      <c r="B744" s="61" t="s">
        <v>23</v>
      </c>
      <c r="C744" s="61" t="s">
        <v>2495</v>
      </c>
      <c r="D744" s="61"/>
      <c r="E744" s="61" t="s">
        <v>513</v>
      </c>
      <c r="F744" s="61" t="s">
        <v>2580</v>
      </c>
      <c r="G744" s="62" t="s">
        <v>44</v>
      </c>
      <c r="H744" s="61" t="s">
        <v>64</v>
      </c>
      <c r="I744" s="105"/>
      <c r="J744" s="62" t="s">
        <v>44</v>
      </c>
      <c r="K744" s="369" t="s">
        <v>45</v>
      </c>
      <c r="L744" s="61" t="s">
        <v>2581</v>
      </c>
      <c r="M744" s="65"/>
      <c r="N744" s="66"/>
      <c r="O744" s="66" t="str">
        <f t="shared" si="1"/>
        <v/>
      </c>
      <c r="P744" s="66">
        <v>0.0</v>
      </c>
      <c r="Q744" s="66">
        <v>0.0</v>
      </c>
      <c r="R744" s="66"/>
      <c r="S744" s="66"/>
      <c r="T744" s="112"/>
      <c r="U744" s="66"/>
      <c r="V744" s="66"/>
      <c r="W744" s="66"/>
      <c r="X744" s="66"/>
      <c r="Y744" s="66"/>
      <c r="Z744" s="82"/>
    </row>
    <row r="745">
      <c r="A745" s="90"/>
      <c r="B745" s="61" t="s">
        <v>16</v>
      </c>
      <c r="C745" s="61" t="s">
        <v>2582</v>
      </c>
      <c r="D745" s="61" t="s">
        <v>911</v>
      </c>
      <c r="E745" s="61" t="s">
        <v>1494</v>
      </c>
      <c r="F745" s="61" t="s">
        <v>2583</v>
      </c>
      <c r="G745" s="62" t="s">
        <v>44</v>
      </c>
      <c r="H745" s="61" t="s">
        <v>64</v>
      </c>
      <c r="I745" s="62" t="s">
        <v>2584</v>
      </c>
      <c r="J745" s="62" t="s">
        <v>44</v>
      </c>
      <c r="K745" s="369" t="s">
        <v>486</v>
      </c>
      <c r="L745" s="105"/>
      <c r="M745" s="65"/>
      <c r="N745" s="66"/>
      <c r="O745" s="66" t="str">
        <f t="shared" si="1"/>
        <v/>
      </c>
      <c r="P745" s="66">
        <v>0.0</v>
      </c>
      <c r="Q745" s="66">
        <v>0.0</v>
      </c>
      <c r="R745" s="66"/>
      <c r="S745" s="66"/>
      <c r="T745" s="112"/>
      <c r="U745" s="66"/>
      <c r="V745" s="66"/>
      <c r="W745" s="66"/>
      <c r="X745" s="66"/>
      <c r="Y745" s="66"/>
      <c r="Z745" s="82"/>
    </row>
    <row r="746">
      <c r="A746" s="90"/>
      <c r="B746" s="61" t="s">
        <v>23</v>
      </c>
      <c r="C746" s="210" t="s">
        <v>2585</v>
      </c>
      <c r="D746" s="210" t="s">
        <v>2586</v>
      </c>
      <c r="E746" s="210" t="s">
        <v>1494</v>
      </c>
      <c r="F746" s="210" t="s">
        <v>743</v>
      </c>
      <c r="G746" s="198" t="s">
        <v>44</v>
      </c>
      <c r="H746" s="210" t="s">
        <v>64</v>
      </c>
      <c r="I746" s="198" t="s">
        <v>2587</v>
      </c>
      <c r="J746" s="198" t="s">
        <v>44</v>
      </c>
      <c r="K746" s="381" t="s">
        <v>486</v>
      </c>
      <c r="L746" s="220"/>
      <c r="M746" s="65"/>
      <c r="N746" s="66"/>
      <c r="O746" s="66" t="str">
        <f t="shared" si="1"/>
        <v/>
      </c>
      <c r="P746" s="66">
        <v>0.0</v>
      </c>
      <c r="Q746" s="66">
        <v>0.0</v>
      </c>
      <c r="R746" s="66"/>
      <c r="S746" s="66"/>
      <c r="T746" s="112"/>
      <c r="U746" s="66"/>
      <c r="V746" s="66"/>
      <c r="W746" s="66"/>
      <c r="X746" s="66"/>
      <c r="Y746" s="66"/>
      <c r="Z746" s="82"/>
    </row>
    <row r="747">
      <c r="A747" s="90"/>
      <c r="B747" s="61" t="s">
        <v>23</v>
      </c>
      <c r="C747" s="61" t="s">
        <v>2588</v>
      </c>
      <c r="D747" s="61" t="s">
        <v>2589</v>
      </c>
      <c r="E747" s="61" t="s">
        <v>1180</v>
      </c>
      <c r="F747" s="61" t="s">
        <v>2590</v>
      </c>
      <c r="G747" s="62" t="s">
        <v>44</v>
      </c>
      <c r="H747" s="61" t="s">
        <v>64</v>
      </c>
      <c r="I747" s="62" t="s">
        <v>648</v>
      </c>
      <c r="J747" s="62" t="s">
        <v>44</v>
      </c>
      <c r="K747" s="371"/>
      <c r="L747" s="61" t="s">
        <v>2591</v>
      </c>
      <c r="M747" s="65"/>
      <c r="N747" s="66"/>
      <c r="O747" s="66" t="str">
        <f t="shared" si="1"/>
        <v/>
      </c>
      <c r="P747" s="66">
        <v>0.0</v>
      </c>
      <c r="Q747" s="66">
        <v>0.0</v>
      </c>
      <c r="R747" s="66"/>
      <c r="S747" s="66"/>
      <c r="T747" s="112"/>
      <c r="U747" s="66"/>
      <c r="V747" s="66"/>
      <c r="W747" s="66"/>
      <c r="X747" s="66"/>
      <c r="Y747" s="66"/>
      <c r="Z747" s="82"/>
    </row>
    <row r="748">
      <c r="A748" s="90"/>
      <c r="B748" s="61" t="s">
        <v>23</v>
      </c>
      <c r="C748" s="61" t="s">
        <v>2592</v>
      </c>
      <c r="D748" s="61" t="s">
        <v>2593</v>
      </c>
      <c r="E748" s="61" t="s">
        <v>1180</v>
      </c>
      <c r="F748" s="61" t="s">
        <v>2594</v>
      </c>
      <c r="G748" s="62" t="s">
        <v>45</v>
      </c>
      <c r="H748" s="61" t="s">
        <v>64</v>
      </c>
      <c r="I748" s="62" t="s">
        <v>2595</v>
      </c>
      <c r="J748" s="61"/>
      <c r="K748" s="369" t="s">
        <v>486</v>
      </c>
      <c r="L748" s="105"/>
      <c r="M748" s="125"/>
      <c r="N748" s="66"/>
      <c r="O748" s="66" t="str">
        <f t="shared" si="1"/>
        <v/>
      </c>
      <c r="P748" s="66">
        <v>0.0</v>
      </c>
      <c r="Q748" s="66">
        <v>0.0</v>
      </c>
      <c r="R748" s="66"/>
      <c r="S748" s="66"/>
      <c r="T748" s="112"/>
      <c r="U748" s="66"/>
      <c r="V748" s="66"/>
      <c r="W748" s="66"/>
      <c r="X748" s="66"/>
      <c r="Y748" s="66"/>
      <c r="Z748" s="82"/>
    </row>
    <row r="749">
      <c r="A749" s="90"/>
      <c r="B749" s="61" t="s">
        <v>20</v>
      </c>
      <c r="C749" s="61" t="s">
        <v>2596</v>
      </c>
      <c r="D749" s="61" t="s">
        <v>2597</v>
      </c>
      <c r="E749" s="61" t="s">
        <v>506</v>
      </c>
      <c r="F749" s="61" t="s">
        <v>2598</v>
      </c>
      <c r="G749" s="62" t="s">
        <v>44</v>
      </c>
      <c r="H749" s="105"/>
      <c r="I749" s="105"/>
      <c r="J749" s="62" t="s">
        <v>2599</v>
      </c>
      <c r="K749" s="369" t="s">
        <v>2600</v>
      </c>
      <c r="L749" s="61" t="s">
        <v>650</v>
      </c>
      <c r="M749" s="65"/>
      <c r="N749" s="66"/>
      <c r="O749" s="66" t="str">
        <f t="shared" si="1"/>
        <v>DM+이메일</v>
      </c>
      <c r="P749" s="67">
        <v>1.0</v>
      </c>
      <c r="Q749" s="67">
        <v>1.0</v>
      </c>
      <c r="R749" s="113">
        <v>46108.0</v>
      </c>
      <c r="S749" s="113"/>
      <c r="T749" s="112"/>
      <c r="U749" s="113"/>
      <c r="V749" s="113"/>
      <c r="W749" s="113"/>
      <c r="X749" s="113"/>
      <c r="Y749" s="113"/>
      <c r="Z749" s="114"/>
    </row>
    <row r="750">
      <c r="A750" s="90"/>
      <c r="B750" s="61" t="s">
        <v>20</v>
      </c>
      <c r="C750" s="61" t="s">
        <v>2601</v>
      </c>
      <c r="D750" s="61" t="s">
        <v>2602</v>
      </c>
      <c r="E750" s="61" t="s">
        <v>1059</v>
      </c>
      <c r="F750" s="61" t="s">
        <v>2603</v>
      </c>
      <c r="G750" s="62" t="s">
        <v>44</v>
      </c>
      <c r="H750" s="61" t="s">
        <v>64</v>
      </c>
      <c r="I750" s="62" t="s">
        <v>648</v>
      </c>
      <c r="J750" s="62" t="s">
        <v>2604</v>
      </c>
      <c r="K750" s="371"/>
      <c r="L750" s="198" t="s">
        <v>2605</v>
      </c>
      <c r="M750" s="65"/>
      <c r="N750" s="66"/>
      <c r="O750" s="66" t="str">
        <f t="shared" si="1"/>
        <v>이메일</v>
      </c>
      <c r="P750" s="66">
        <v>0.0</v>
      </c>
      <c r="Q750" s="67">
        <v>1.0</v>
      </c>
      <c r="R750" s="113">
        <v>46108.0</v>
      </c>
      <c r="S750" s="67" t="s">
        <v>2</v>
      </c>
      <c r="T750" s="112"/>
      <c r="U750" s="113"/>
      <c r="V750" s="113"/>
      <c r="W750" s="113"/>
      <c r="X750" s="113"/>
      <c r="Y750" s="67" t="s">
        <v>2606</v>
      </c>
      <c r="Z750" s="114"/>
    </row>
    <row r="751">
      <c r="A751" s="90"/>
      <c r="B751" s="61" t="s">
        <v>23</v>
      </c>
      <c r="C751" s="61" t="s">
        <v>1084</v>
      </c>
      <c r="D751" s="61" t="s">
        <v>2607</v>
      </c>
      <c r="E751" s="61" t="s">
        <v>89</v>
      </c>
      <c r="F751" s="61" t="s">
        <v>808</v>
      </c>
      <c r="G751" s="62" t="s">
        <v>115</v>
      </c>
      <c r="H751" s="61" t="s">
        <v>64</v>
      </c>
      <c r="I751" s="62" t="s">
        <v>809</v>
      </c>
      <c r="J751" s="62" t="s">
        <v>808</v>
      </c>
      <c r="K751" s="369" t="s">
        <v>45</v>
      </c>
      <c r="L751" s="61" t="s">
        <v>812</v>
      </c>
      <c r="M751" s="65"/>
      <c r="N751" s="66"/>
      <c r="O751" s="66" t="str">
        <f t="shared" si="1"/>
        <v/>
      </c>
      <c r="P751" s="66">
        <v>0.0</v>
      </c>
      <c r="Q751" s="66">
        <v>0.0</v>
      </c>
      <c r="R751" s="66"/>
      <c r="S751" s="66"/>
      <c r="T751" s="112"/>
      <c r="U751" s="66"/>
      <c r="V751" s="66"/>
      <c r="W751" s="66"/>
      <c r="X751" s="66"/>
      <c r="Y751" s="66"/>
      <c r="Z751" s="82"/>
    </row>
    <row r="752">
      <c r="A752" s="90"/>
      <c r="B752" s="61" t="s">
        <v>23</v>
      </c>
      <c r="C752" s="61" t="s">
        <v>2531</v>
      </c>
      <c r="D752" s="61" t="s">
        <v>2608</v>
      </c>
      <c r="E752" s="61" t="s">
        <v>1210</v>
      </c>
      <c r="F752" s="61" t="s">
        <v>2609</v>
      </c>
      <c r="G752" s="61" t="s">
        <v>44</v>
      </c>
      <c r="H752" s="61" t="s">
        <v>106</v>
      </c>
      <c r="I752" s="105"/>
      <c r="J752" s="62" t="s">
        <v>2610</v>
      </c>
      <c r="K752" s="371"/>
      <c r="L752" s="105"/>
      <c r="M752" s="65"/>
      <c r="N752" s="66"/>
      <c r="O752" s="66" t="str">
        <f t="shared" si="1"/>
        <v/>
      </c>
      <c r="P752" s="66">
        <v>0.0</v>
      </c>
      <c r="Q752" s="66">
        <v>0.0</v>
      </c>
      <c r="R752" s="66"/>
      <c r="S752" s="66"/>
      <c r="T752" s="112"/>
      <c r="U752" s="66"/>
      <c r="V752" s="66"/>
      <c r="W752" s="66"/>
      <c r="X752" s="66"/>
      <c r="Y752" s="66"/>
      <c r="Z752" s="82"/>
    </row>
    <row r="753">
      <c r="A753" s="90"/>
      <c r="B753" s="61" t="s">
        <v>25</v>
      </c>
      <c r="C753" s="61" t="s">
        <v>2611</v>
      </c>
      <c r="D753" s="61" t="s">
        <v>2612</v>
      </c>
      <c r="E753" s="61" t="s">
        <v>494</v>
      </c>
      <c r="F753" s="61" t="s">
        <v>2613</v>
      </c>
      <c r="G753" s="62" t="s">
        <v>44</v>
      </c>
      <c r="H753" s="61" t="s">
        <v>106</v>
      </c>
      <c r="I753" s="112"/>
      <c r="J753" s="63" t="s">
        <v>2614</v>
      </c>
      <c r="K753" s="371"/>
      <c r="L753" s="61" t="s">
        <v>2615</v>
      </c>
      <c r="M753" s="125" t="s">
        <v>2616</v>
      </c>
      <c r="N753" s="66"/>
      <c r="O753" s="66" t="str">
        <f t="shared" si="1"/>
        <v>이메일</v>
      </c>
      <c r="P753" s="66">
        <v>0.0</v>
      </c>
      <c r="Q753" s="67">
        <v>1.0</v>
      </c>
      <c r="R753" s="113">
        <v>46108.0</v>
      </c>
      <c r="S753" s="67" t="s">
        <v>2</v>
      </c>
      <c r="T753" s="112"/>
      <c r="U753" s="113"/>
      <c r="V753" s="113"/>
      <c r="W753" s="113"/>
      <c r="X753" s="113"/>
      <c r="Y753" s="67" t="s">
        <v>2617</v>
      </c>
      <c r="Z753" s="114"/>
    </row>
    <row r="754">
      <c r="A754" s="75"/>
      <c r="B754" s="70" t="s">
        <v>24</v>
      </c>
      <c r="C754" s="70" t="s">
        <v>2618</v>
      </c>
      <c r="D754" s="70" t="s">
        <v>2619</v>
      </c>
      <c r="E754" s="70"/>
      <c r="F754" s="70" t="s">
        <v>2620</v>
      </c>
      <c r="G754" s="72" t="s">
        <v>2621</v>
      </c>
      <c r="H754" s="70" t="s">
        <v>64</v>
      </c>
      <c r="I754" s="85"/>
      <c r="J754" s="384"/>
      <c r="K754" s="379" t="s">
        <v>2622</v>
      </c>
      <c r="L754" s="88"/>
      <c r="M754" s="139"/>
      <c r="N754" s="75"/>
      <c r="O754" s="75" t="str">
        <f t="shared" si="1"/>
        <v/>
      </c>
      <c r="P754" s="75">
        <v>0.0</v>
      </c>
      <c r="Q754" s="75">
        <v>0.0</v>
      </c>
      <c r="S754" s="75"/>
      <c r="T754" s="75"/>
      <c r="U754" s="75"/>
      <c r="V754" s="75"/>
      <c r="W754" s="75"/>
      <c r="X754" s="75"/>
      <c r="Y754" s="75"/>
      <c r="Z754" s="75"/>
    </row>
    <row r="755">
      <c r="A755" s="75"/>
      <c r="B755" s="70" t="s">
        <v>20</v>
      </c>
      <c r="C755" s="88"/>
      <c r="D755" s="70" t="s">
        <v>2623</v>
      </c>
      <c r="E755" s="88"/>
      <c r="F755" s="70" t="s">
        <v>2624</v>
      </c>
      <c r="G755" s="71" t="s">
        <v>2625</v>
      </c>
      <c r="H755" s="70" t="s">
        <v>64</v>
      </c>
      <c r="I755" s="71" t="s">
        <v>2625</v>
      </c>
      <c r="J755" s="385"/>
      <c r="K755" s="386" t="s">
        <v>2626</v>
      </c>
      <c r="L755" s="88"/>
      <c r="M755" s="116"/>
      <c r="N755" s="75"/>
      <c r="O755" s="75" t="str">
        <f t="shared" si="1"/>
        <v/>
      </c>
      <c r="P755" s="144">
        <v>0.0</v>
      </c>
      <c r="Q755" s="75">
        <v>0.0</v>
      </c>
      <c r="S755" s="328"/>
      <c r="T755" s="328">
        <v>46108.0</v>
      </c>
      <c r="U755" s="328"/>
      <c r="V755" s="328"/>
      <c r="W755" s="328"/>
      <c r="X755" s="328"/>
      <c r="Y755" s="328"/>
      <c r="Z755" s="328"/>
    </row>
    <row r="756">
      <c r="A756" s="90"/>
      <c r="B756" s="61" t="s">
        <v>20</v>
      </c>
      <c r="C756" s="105"/>
      <c r="D756" s="61" t="s">
        <v>508</v>
      </c>
      <c r="E756" s="105"/>
      <c r="F756" s="61" t="s">
        <v>2627</v>
      </c>
      <c r="G756" s="63" t="s">
        <v>2628</v>
      </c>
      <c r="H756" s="61" t="s">
        <v>64</v>
      </c>
      <c r="I756" s="63" t="s">
        <v>2629</v>
      </c>
      <c r="J756" s="387" t="s">
        <v>2630</v>
      </c>
      <c r="K756" s="371"/>
      <c r="L756" s="61" t="s">
        <v>2631</v>
      </c>
      <c r="M756" s="65"/>
      <c r="N756" s="66"/>
      <c r="O756" s="66" t="str">
        <f t="shared" si="1"/>
        <v>이메일</v>
      </c>
      <c r="P756" s="66">
        <v>0.0</v>
      </c>
      <c r="Q756" s="67">
        <v>1.0</v>
      </c>
      <c r="R756" s="112"/>
      <c r="S756" s="113"/>
      <c r="T756" s="113">
        <v>46108.0</v>
      </c>
      <c r="U756" s="113"/>
      <c r="V756" s="113"/>
      <c r="W756" s="113"/>
      <c r="X756" s="113"/>
      <c r="Y756" s="113"/>
      <c r="Z756" s="114"/>
    </row>
    <row r="757">
      <c r="A757" s="316"/>
      <c r="B757" s="61" t="s">
        <v>20</v>
      </c>
      <c r="C757" s="388"/>
      <c r="D757" s="389" t="s">
        <v>2632</v>
      </c>
      <c r="E757" s="389" t="s">
        <v>2218</v>
      </c>
      <c r="F757" s="389" t="s">
        <v>2633</v>
      </c>
      <c r="G757" s="390" t="s">
        <v>45</v>
      </c>
      <c r="H757" s="389" t="s">
        <v>106</v>
      </c>
      <c r="I757" s="388"/>
      <c r="J757" s="391"/>
      <c r="K757" s="392" t="s">
        <v>2634</v>
      </c>
      <c r="L757" s="389" t="s">
        <v>2635</v>
      </c>
      <c r="M757" s="393" t="s">
        <v>2636</v>
      </c>
      <c r="N757" s="66"/>
      <c r="O757" s="66" t="str">
        <f t="shared" si="1"/>
        <v>DM+이메일</v>
      </c>
      <c r="P757" s="394">
        <v>1.0</v>
      </c>
      <c r="Q757" s="394">
        <v>1.0</v>
      </c>
      <c r="R757" s="113">
        <v>46108.0</v>
      </c>
      <c r="S757" s="67" t="s">
        <v>2</v>
      </c>
      <c r="T757" s="113"/>
      <c r="U757" s="113"/>
      <c r="V757" s="113"/>
      <c r="W757" s="113"/>
      <c r="X757" s="113"/>
      <c r="Y757" s="67" t="s">
        <v>2617</v>
      </c>
      <c r="Z757" s="114"/>
    </row>
    <row r="758">
      <c r="A758" s="316"/>
      <c r="B758" s="61" t="s">
        <v>20</v>
      </c>
      <c r="C758" s="389" t="s">
        <v>109</v>
      </c>
      <c r="D758" s="389" t="s">
        <v>2637</v>
      </c>
      <c r="E758" s="389" t="s">
        <v>429</v>
      </c>
      <c r="F758" s="389" t="s">
        <v>2638</v>
      </c>
      <c r="G758" s="390" t="s">
        <v>648</v>
      </c>
      <c r="H758" s="389" t="s">
        <v>64</v>
      </c>
      <c r="I758" s="390" t="s">
        <v>640</v>
      </c>
      <c r="J758" s="390" t="s">
        <v>2639</v>
      </c>
      <c r="K758" s="388"/>
      <c r="L758" s="389" t="s">
        <v>2640</v>
      </c>
      <c r="M758" s="388"/>
      <c r="N758" s="66"/>
      <c r="O758" s="66" t="str">
        <f t="shared" si="1"/>
        <v>이메일</v>
      </c>
      <c r="P758" s="320">
        <v>0.0</v>
      </c>
      <c r="Q758" s="394">
        <v>1.0</v>
      </c>
      <c r="R758" s="113">
        <v>46108.0</v>
      </c>
      <c r="S758" s="113"/>
      <c r="T758" s="113"/>
      <c r="U758" s="113"/>
      <c r="V758" s="113"/>
      <c r="W758" s="113"/>
      <c r="X758" s="113"/>
      <c r="Y758" s="113"/>
      <c r="Z758" s="114"/>
    </row>
    <row r="759">
      <c r="A759" s="316"/>
      <c r="B759" s="61" t="s">
        <v>24</v>
      </c>
      <c r="C759" s="389" t="s">
        <v>2641</v>
      </c>
      <c r="D759" s="395" t="s">
        <v>2642</v>
      </c>
      <c r="E759" s="389" t="s">
        <v>506</v>
      </c>
      <c r="F759" s="389" t="s">
        <v>2643</v>
      </c>
      <c r="G759" s="390" t="s">
        <v>44</v>
      </c>
      <c r="H759" s="389" t="s">
        <v>64</v>
      </c>
      <c r="I759" s="390" t="s">
        <v>648</v>
      </c>
      <c r="J759" s="390" t="s">
        <v>2644</v>
      </c>
      <c r="K759" s="389" t="s">
        <v>106</v>
      </c>
      <c r="L759" s="396" t="s">
        <v>2645</v>
      </c>
      <c r="M759" s="397" t="s">
        <v>2646</v>
      </c>
      <c r="N759" s="66"/>
      <c r="O759" s="66" t="str">
        <f t="shared" si="1"/>
        <v>이메일</v>
      </c>
      <c r="P759" s="320">
        <v>0.0</v>
      </c>
      <c r="Q759" s="394">
        <v>1.0</v>
      </c>
      <c r="R759" s="113">
        <v>46108.0</v>
      </c>
      <c r="S759" s="67" t="s">
        <v>2</v>
      </c>
      <c r="T759" s="113"/>
      <c r="U759" s="113"/>
      <c r="V759" s="113"/>
      <c r="W759" s="113"/>
      <c r="X759" s="113"/>
      <c r="Y759" s="113"/>
      <c r="Z759" s="114"/>
    </row>
    <row r="760">
      <c r="A760" s="316"/>
      <c r="B760" s="61" t="s">
        <v>20</v>
      </c>
      <c r="C760" s="389" t="s">
        <v>2647</v>
      </c>
      <c r="D760" s="389" t="s">
        <v>574</v>
      </c>
      <c r="E760" s="389" t="s">
        <v>531</v>
      </c>
      <c r="F760" s="389" t="s">
        <v>2648</v>
      </c>
      <c r="G760" s="390" t="s">
        <v>2649</v>
      </c>
      <c r="H760" s="389" t="s">
        <v>106</v>
      </c>
      <c r="I760" s="388"/>
      <c r="J760" s="390" t="s">
        <v>2650</v>
      </c>
      <c r="K760" s="388"/>
      <c r="L760" s="389" t="s">
        <v>2651</v>
      </c>
      <c r="M760" s="388"/>
      <c r="N760" s="66"/>
      <c r="O760" s="66" t="str">
        <f t="shared" si="1"/>
        <v>이메일</v>
      </c>
      <c r="P760" s="320">
        <v>0.0</v>
      </c>
      <c r="Q760" s="394">
        <v>1.0</v>
      </c>
      <c r="R760" s="113">
        <v>46108.0</v>
      </c>
      <c r="S760" s="113"/>
      <c r="T760" s="113"/>
      <c r="U760" s="113"/>
      <c r="V760" s="113"/>
      <c r="W760" s="113"/>
      <c r="X760" s="113"/>
      <c r="Y760" s="113"/>
      <c r="Z760" s="114"/>
    </row>
    <row r="761">
      <c r="A761" s="316"/>
      <c r="B761" s="61" t="s">
        <v>20</v>
      </c>
      <c r="C761" s="388"/>
      <c r="D761" s="389" t="s">
        <v>2652</v>
      </c>
      <c r="E761" s="389" t="s">
        <v>1072</v>
      </c>
      <c r="F761" s="389" t="s">
        <v>2653</v>
      </c>
      <c r="G761" s="390" t="s">
        <v>44</v>
      </c>
      <c r="H761" s="389" t="s">
        <v>64</v>
      </c>
      <c r="I761" s="390" t="s">
        <v>2654</v>
      </c>
      <c r="J761" s="398" t="s">
        <v>2655</v>
      </c>
      <c r="K761" s="391"/>
      <c r="L761" s="389" t="s">
        <v>2656</v>
      </c>
      <c r="M761" s="388"/>
      <c r="N761" s="66"/>
      <c r="O761" s="66" t="str">
        <f t="shared" si="1"/>
        <v/>
      </c>
      <c r="P761" s="320">
        <v>0.0</v>
      </c>
      <c r="Q761" s="320">
        <v>0.0</v>
      </c>
      <c r="R761" s="113">
        <v>46108.0</v>
      </c>
      <c r="S761" s="113"/>
      <c r="T761" s="113"/>
      <c r="U761" s="113"/>
      <c r="V761" s="113"/>
      <c r="W761" s="113"/>
      <c r="X761" s="113"/>
      <c r="Y761" s="113"/>
      <c r="Z761" s="114"/>
    </row>
    <row r="762">
      <c r="A762" s="316"/>
      <c r="B762" s="61" t="s">
        <v>20</v>
      </c>
      <c r="C762" s="389" t="s">
        <v>109</v>
      </c>
      <c r="D762" s="389" t="s">
        <v>646</v>
      </c>
      <c r="E762" s="389" t="s">
        <v>2218</v>
      </c>
      <c r="F762" s="389" t="s">
        <v>2657</v>
      </c>
      <c r="G762" s="390" t="s">
        <v>1031</v>
      </c>
      <c r="H762" s="389" t="s">
        <v>106</v>
      </c>
      <c r="I762" s="388"/>
      <c r="J762" s="388"/>
      <c r="K762" s="388"/>
      <c r="L762" s="388"/>
      <c r="M762" s="399" t="s">
        <v>2658</v>
      </c>
      <c r="N762" s="66"/>
      <c r="O762" s="66" t="str">
        <f t="shared" si="1"/>
        <v/>
      </c>
      <c r="P762" s="320">
        <v>0.0</v>
      </c>
      <c r="Q762" s="320">
        <v>0.0</v>
      </c>
      <c r="R762" s="113">
        <v>46108.0</v>
      </c>
      <c r="S762" s="113"/>
      <c r="T762" s="113"/>
      <c r="U762" s="113"/>
      <c r="V762" s="113"/>
      <c r="W762" s="113"/>
      <c r="X762" s="113"/>
      <c r="Y762" s="113"/>
      <c r="Z762" s="114"/>
    </row>
    <row r="763">
      <c r="A763" s="316"/>
      <c r="B763" s="61" t="s">
        <v>20</v>
      </c>
      <c r="C763" s="389" t="s">
        <v>109</v>
      </c>
      <c r="D763" s="389" t="s">
        <v>2659</v>
      </c>
      <c r="E763" s="389" t="s">
        <v>1377</v>
      </c>
      <c r="F763" s="389" t="s">
        <v>2660</v>
      </c>
      <c r="G763" s="390" t="s">
        <v>640</v>
      </c>
      <c r="H763" s="389" t="s">
        <v>64</v>
      </c>
      <c r="I763" s="390" t="s">
        <v>98</v>
      </c>
      <c r="J763" s="388"/>
      <c r="K763" s="390" t="s">
        <v>2661</v>
      </c>
      <c r="L763" s="388"/>
      <c r="M763" s="388"/>
      <c r="N763" s="66"/>
      <c r="O763" s="66" t="str">
        <f t="shared" si="1"/>
        <v>DM</v>
      </c>
      <c r="P763" s="394">
        <v>1.0</v>
      </c>
      <c r="Q763" s="320">
        <v>0.0</v>
      </c>
      <c r="R763" s="113">
        <v>46108.0</v>
      </c>
      <c r="S763" s="113"/>
      <c r="T763" s="113"/>
      <c r="U763" s="113"/>
      <c r="V763" s="113"/>
      <c r="W763" s="113"/>
      <c r="X763" s="113"/>
      <c r="Y763" s="113"/>
      <c r="Z763" s="114"/>
    </row>
    <row r="764">
      <c r="A764" s="316"/>
      <c r="B764" s="61" t="s">
        <v>20</v>
      </c>
      <c r="C764" s="389" t="s">
        <v>2662</v>
      </c>
      <c r="D764" s="389" t="s">
        <v>2663</v>
      </c>
      <c r="E764" s="389" t="s">
        <v>109</v>
      </c>
      <c r="F764" s="389" t="s">
        <v>2664</v>
      </c>
      <c r="G764" s="388"/>
      <c r="H764" s="389" t="s">
        <v>64</v>
      </c>
      <c r="I764" s="390" t="s">
        <v>674</v>
      </c>
      <c r="J764" s="388"/>
      <c r="K764" s="388"/>
      <c r="L764" s="389" t="s">
        <v>2665</v>
      </c>
      <c r="M764" s="388"/>
      <c r="N764" s="66"/>
      <c r="O764" s="66" t="str">
        <f t="shared" si="1"/>
        <v>이메일</v>
      </c>
      <c r="P764" s="320">
        <v>0.0</v>
      </c>
      <c r="Q764" s="394">
        <v>1.0</v>
      </c>
      <c r="R764" s="113">
        <v>46108.0</v>
      </c>
      <c r="S764" s="113"/>
      <c r="T764" s="113"/>
      <c r="U764" s="113"/>
      <c r="V764" s="113"/>
      <c r="W764" s="113"/>
      <c r="X764" s="113"/>
      <c r="Y764" s="113"/>
      <c r="Z764" s="114"/>
    </row>
    <row r="765">
      <c r="A765" s="316"/>
      <c r="B765" s="61" t="s">
        <v>20</v>
      </c>
      <c r="C765" s="389" t="s">
        <v>2273</v>
      </c>
      <c r="D765" s="389" t="s">
        <v>574</v>
      </c>
      <c r="E765" s="389" t="s">
        <v>531</v>
      </c>
      <c r="F765" s="389" t="s">
        <v>2666</v>
      </c>
      <c r="G765" s="390" t="s">
        <v>44</v>
      </c>
      <c r="H765" s="389" t="s">
        <v>106</v>
      </c>
      <c r="I765" s="388"/>
      <c r="J765" s="398" t="s">
        <v>2667</v>
      </c>
      <c r="K765" s="392" t="s">
        <v>2668</v>
      </c>
      <c r="L765" s="389" t="s">
        <v>2669</v>
      </c>
      <c r="M765" s="388"/>
      <c r="N765" s="66"/>
      <c r="O765" s="66" t="str">
        <f t="shared" si="1"/>
        <v>DM+이메일</v>
      </c>
      <c r="P765" s="394">
        <v>1.0</v>
      </c>
      <c r="Q765" s="394">
        <v>1.0</v>
      </c>
      <c r="R765" s="113">
        <v>46108.0</v>
      </c>
      <c r="S765" s="113"/>
      <c r="T765" s="113"/>
      <c r="U765" s="113"/>
      <c r="V765" s="113"/>
      <c r="W765" s="113"/>
      <c r="X765" s="113"/>
      <c r="Y765" s="113"/>
      <c r="Z765" s="114"/>
    </row>
    <row r="766">
      <c r="A766" s="316"/>
      <c r="B766" s="61" t="s">
        <v>20</v>
      </c>
      <c r="C766" s="389" t="s">
        <v>2273</v>
      </c>
      <c r="D766" s="389" t="s">
        <v>2670</v>
      </c>
      <c r="E766" s="389" t="s">
        <v>506</v>
      </c>
      <c r="F766" s="389" t="s">
        <v>2671</v>
      </c>
      <c r="G766" s="390" t="s">
        <v>44</v>
      </c>
      <c r="H766" s="389" t="s">
        <v>64</v>
      </c>
      <c r="I766" s="390" t="s">
        <v>648</v>
      </c>
      <c r="J766" s="398" t="s">
        <v>2672</v>
      </c>
      <c r="K766" s="391"/>
      <c r="L766" s="400" t="s">
        <v>2673</v>
      </c>
      <c r="M766" s="388"/>
      <c r="N766" s="66"/>
      <c r="O766" s="66" t="str">
        <f t="shared" si="1"/>
        <v>이메일</v>
      </c>
      <c r="P766" s="320">
        <v>0.0</v>
      </c>
      <c r="Q766" s="394">
        <v>1.0</v>
      </c>
      <c r="R766" s="113">
        <v>46108.0</v>
      </c>
      <c r="S766" s="67" t="s">
        <v>2</v>
      </c>
      <c r="T766" s="113"/>
      <c r="U766" s="113"/>
      <c r="V766" s="113"/>
      <c r="W766" s="113"/>
      <c r="X766" s="113"/>
      <c r="Y766" s="67" t="s">
        <v>2617</v>
      </c>
      <c r="Z766" s="114"/>
    </row>
    <row r="767">
      <c r="A767" s="316"/>
      <c r="B767" s="61" t="s">
        <v>20</v>
      </c>
      <c r="C767" s="389" t="s">
        <v>2273</v>
      </c>
      <c r="D767" s="389" t="s">
        <v>2674</v>
      </c>
      <c r="E767" s="389" t="s">
        <v>494</v>
      </c>
      <c r="F767" s="389" t="s">
        <v>2675</v>
      </c>
      <c r="G767" s="390" t="s">
        <v>44</v>
      </c>
      <c r="H767" s="389" t="s">
        <v>106</v>
      </c>
      <c r="I767" s="388"/>
      <c r="J767" s="398" t="s">
        <v>2676</v>
      </c>
      <c r="K767" s="391"/>
      <c r="L767" s="389" t="s">
        <v>2677</v>
      </c>
      <c r="M767" s="388"/>
      <c r="N767" s="66"/>
      <c r="O767" s="66" t="str">
        <f t="shared" si="1"/>
        <v>이메일</v>
      </c>
      <c r="P767" s="320">
        <v>0.0</v>
      </c>
      <c r="Q767" s="394">
        <v>1.0</v>
      </c>
      <c r="R767" s="113">
        <v>46108.0</v>
      </c>
      <c r="S767" s="113"/>
      <c r="T767" s="113"/>
      <c r="U767" s="113"/>
      <c r="V767" s="113"/>
      <c r="W767" s="113"/>
      <c r="X767" s="113"/>
      <c r="Y767" s="113"/>
      <c r="Z767" s="114"/>
    </row>
    <row r="768">
      <c r="A768" s="316"/>
      <c r="B768" s="61" t="s">
        <v>20</v>
      </c>
      <c r="C768" s="388"/>
      <c r="D768" s="389" t="s">
        <v>2678</v>
      </c>
      <c r="E768" s="389" t="s">
        <v>1180</v>
      </c>
      <c r="F768" s="389" t="s">
        <v>2679</v>
      </c>
      <c r="G768" s="390" t="s">
        <v>1031</v>
      </c>
      <c r="H768" s="389" t="s">
        <v>106</v>
      </c>
      <c r="I768" s="388"/>
      <c r="J768" s="391"/>
      <c r="K768" s="391"/>
      <c r="L768" s="388"/>
      <c r="M768" s="393" t="s">
        <v>2680</v>
      </c>
      <c r="N768" s="66"/>
      <c r="O768" s="66" t="str">
        <f t="shared" si="1"/>
        <v/>
      </c>
      <c r="P768" s="320">
        <v>0.0</v>
      </c>
      <c r="Q768" s="320">
        <v>0.0</v>
      </c>
      <c r="R768" s="113">
        <v>46108.0</v>
      </c>
      <c r="S768" s="113"/>
      <c r="T768" s="113"/>
      <c r="U768" s="113"/>
      <c r="V768" s="113"/>
      <c r="W768" s="113"/>
      <c r="X768" s="113"/>
      <c r="Y768" s="113"/>
      <c r="Z768" s="114"/>
    </row>
    <row r="769">
      <c r="A769" s="316"/>
      <c r="B769" s="61" t="s">
        <v>20</v>
      </c>
      <c r="C769" s="388"/>
      <c r="D769" s="389" t="s">
        <v>2331</v>
      </c>
      <c r="E769" s="389" t="s">
        <v>494</v>
      </c>
      <c r="F769" s="389" t="s">
        <v>2681</v>
      </c>
      <c r="G769" s="390" t="s">
        <v>44</v>
      </c>
      <c r="H769" s="389" t="s">
        <v>64</v>
      </c>
      <c r="I769" s="390" t="s">
        <v>116</v>
      </c>
      <c r="J769" s="398" t="s">
        <v>2682</v>
      </c>
      <c r="K769" s="391"/>
      <c r="L769" s="389" t="s">
        <v>2683</v>
      </c>
      <c r="M769" s="388"/>
      <c r="N769" s="66"/>
      <c r="O769" s="66" t="str">
        <f t="shared" si="1"/>
        <v>이메일</v>
      </c>
      <c r="P769" s="320">
        <v>0.0</v>
      </c>
      <c r="Q769" s="394">
        <v>1.0</v>
      </c>
      <c r="R769" s="113">
        <v>46108.0</v>
      </c>
      <c r="S769" s="113"/>
      <c r="T769" s="113"/>
      <c r="U769" s="113"/>
      <c r="V769" s="113"/>
      <c r="W769" s="113"/>
      <c r="X769" s="113"/>
      <c r="Y769" s="113"/>
      <c r="Z769" s="114"/>
    </row>
    <row r="770">
      <c r="A770" s="316"/>
      <c r="B770" s="61" t="s">
        <v>20</v>
      </c>
      <c r="C770" s="388"/>
      <c r="D770" s="389" t="s">
        <v>2684</v>
      </c>
      <c r="E770" s="389" t="s">
        <v>2218</v>
      </c>
      <c r="F770" s="389" t="s">
        <v>2685</v>
      </c>
      <c r="G770" s="390" t="s">
        <v>2358</v>
      </c>
      <c r="H770" s="389" t="s">
        <v>106</v>
      </c>
      <c r="I770" s="388"/>
      <c r="J770" s="391"/>
      <c r="K770" s="391"/>
      <c r="L770" s="389" t="s">
        <v>2686</v>
      </c>
      <c r="M770" s="399" t="s">
        <v>2687</v>
      </c>
      <c r="N770" s="66"/>
      <c r="O770" s="66" t="str">
        <f t="shared" si="1"/>
        <v/>
      </c>
      <c r="P770" s="320">
        <v>0.0</v>
      </c>
      <c r="Q770" s="320">
        <v>0.0</v>
      </c>
      <c r="R770" s="113">
        <v>46108.0</v>
      </c>
      <c r="S770" s="113"/>
      <c r="T770" s="113"/>
      <c r="U770" s="113"/>
      <c r="V770" s="113"/>
      <c r="W770" s="113"/>
      <c r="X770" s="113"/>
      <c r="Y770" s="113"/>
      <c r="Z770" s="114"/>
    </row>
    <row r="771">
      <c r="A771" s="316"/>
      <c r="B771" s="61" t="s">
        <v>20</v>
      </c>
      <c r="C771" s="388"/>
      <c r="D771" s="389" t="s">
        <v>115</v>
      </c>
      <c r="E771" s="389" t="s">
        <v>1180</v>
      </c>
      <c r="F771" s="389" t="s">
        <v>2688</v>
      </c>
      <c r="G771" s="389" t="s">
        <v>45</v>
      </c>
      <c r="H771" s="389" t="s">
        <v>64</v>
      </c>
      <c r="I771" s="390" t="s">
        <v>256</v>
      </c>
      <c r="J771" s="391"/>
      <c r="K771" s="392" t="s">
        <v>2689</v>
      </c>
      <c r="L771" s="400" t="s">
        <v>2690</v>
      </c>
      <c r="M771" s="388"/>
      <c r="N771" s="66"/>
      <c r="O771" s="66" t="str">
        <f t="shared" si="1"/>
        <v>DM+이메일</v>
      </c>
      <c r="P771" s="394">
        <v>1.0</v>
      </c>
      <c r="Q771" s="394">
        <v>1.0</v>
      </c>
      <c r="R771" s="113">
        <v>46108.0</v>
      </c>
      <c r="S771" s="113"/>
      <c r="T771" s="113"/>
      <c r="U771" s="113"/>
      <c r="V771" s="113"/>
      <c r="W771" s="113"/>
      <c r="X771" s="113"/>
      <c r="Y771" s="113"/>
      <c r="Z771" s="114"/>
    </row>
    <row r="772">
      <c r="A772" s="316"/>
      <c r="B772" s="61" t="s">
        <v>20</v>
      </c>
      <c r="C772" s="389" t="s">
        <v>2691</v>
      </c>
      <c r="D772" s="389" t="s">
        <v>2234</v>
      </c>
      <c r="E772" s="389" t="s">
        <v>332</v>
      </c>
      <c r="F772" s="389" t="s">
        <v>2692</v>
      </c>
      <c r="G772" s="390" t="s">
        <v>44</v>
      </c>
      <c r="H772" s="389" t="s">
        <v>64</v>
      </c>
      <c r="I772" s="390" t="s">
        <v>426</v>
      </c>
      <c r="J772" s="390" t="s">
        <v>44</v>
      </c>
      <c r="K772" s="401" t="s">
        <v>2693</v>
      </c>
      <c r="L772" s="388"/>
      <c r="M772" s="399" t="s">
        <v>2694</v>
      </c>
      <c r="N772" s="66"/>
      <c r="O772" s="66" t="str">
        <f t="shared" si="1"/>
        <v>DM</v>
      </c>
      <c r="P772" s="394">
        <v>1.0</v>
      </c>
      <c r="Q772" s="320">
        <v>0.0</v>
      </c>
      <c r="R772" s="113">
        <v>46108.0</v>
      </c>
      <c r="S772" s="113"/>
      <c r="T772" s="113"/>
      <c r="U772" s="113"/>
      <c r="V772" s="113"/>
      <c r="W772" s="113"/>
      <c r="X772" s="113"/>
      <c r="Y772" s="113"/>
      <c r="Z772" s="114"/>
    </row>
    <row r="773">
      <c r="A773" s="316"/>
      <c r="B773" s="61" t="s">
        <v>20</v>
      </c>
      <c r="C773" s="388"/>
      <c r="D773" s="389" t="s">
        <v>274</v>
      </c>
      <c r="E773" s="389" t="s">
        <v>2328</v>
      </c>
      <c r="F773" s="389" t="s">
        <v>2695</v>
      </c>
      <c r="G773" s="390" t="s">
        <v>115</v>
      </c>
      <c r="H773" s="389" t="s">
        <v>64</v>
      </c>
      <c r="I773" s="390" t="s">
        <v>657</v>
      </c>
      <c r="J773" s="398" t="s">
        <v>2696</v>
      </c>
      <c r="K773" s="391"/>
      <c r="L773" s="389" t="s">
        <v>2697</v>
      </c>
      <c r="M773" s="388"/>
      <c r="N773" s="66"/>
      <c r="O773" s="66" t="str">
        <f t="shared" si="1"/>
        <v>이메일</v>
      </c>
      <c r="P773" s="320">
        <v>0.0</v>
      </c>
      <c r="Q773" s="394">
        <v>1.0</v>
      </c>
      <c r="R773" s="113">
        <v>46108.0</v>
      </c>
      <c r="S773" s="113"/>
      <c r="T773" s="113"/>
      <c r="U773" s="113"/>
      <c r="V773" s="113"/>
      <c r="W773" s="113"/>
      <c r="X773" s="113"/>
      <c r="Y773" s="113"/>
      <c r="Z773" s="114"/>
    </row>
    <row r="774">
      <c r="A774" s="316"/>
      <c r="B774" s="61" t="s">
        <v>20</v>
      </c>
      <c r="C774" s="389" t="s">
        <v>2691</v>
      </c>
      <c r="D774" s="400" t="s">
        <v>842</v>
      </c>
      <c r="E774" s="400" t="s">
        <v>2698</v>
      </c>
      <c r="F774" s="400" t="s">
        <v>2699</v>
      </c>
      <c r="G774" s="402" t="s">
        <v>44</v>
      </c>
      <c r="H774" s="400" t="s">
        <v>64</v>
      </c>
      <c r="I774" s="402" t="s">
        <v>992</v>
      </c>
      <c r="J774" s="402" t="s">
        <v>2700</v>
      </c>
      <c r="K774" s="402" t="s">
        <v>2701</v>
      </c>
      <c r="L774" s="400" t="s">
        <v>2702</v>
      </c>
      <c r="M774" s="388"/>
      <c r="N774" s="66"/>
      <c r="O774" s="66" t="str">
        <f t="shared" si="1"/>
        <v>DM+이메일</v>
      </c>
      <c r="P774" s="394">
        <v>1.0</v>
      </c>
      <c r="Q774" s="394">
        <v>1.0</v>
      </c>
      <c r="R774" s="113">
        <v>46108.0</v>
      </c>
      <c r="S774" s="113"/>
      <c r="T774" s="113"/>
      <c r="U774" s="113"/>
      <c r="V774" s="113"/>
      <c r="W774" s="113"/>
      <c r="X774" s="113"/>
      <c r="Y774" s="113"/>
      <c r="Z774" s="114"/>
    </row>
    <row r="775">
      <c r="A775" s="316"/>
      <c r="B775" s="61" t="s">
        <v>20</v>
      </c>
      <c r="C775" s="389" t="s">
        <v>2691</v>
      </c>
      <c r="D775" s="400" t="s">
        <v>842</v>
      </c>
      <c r="E775" s="389" t="s">
        <v>1072</v>
      </c>
      <c r="F775" s="389" t="s">
        <v>2703</v>
      </c>
      <c r="G775" s="390" t="s">
        <v>44</v>
      </c>
      <c r="H775" s="400" t="s">
        <v>64</v>
      </c>
      <c r="I775" s="390" t="s">
        <v>535</v>
      </c>
      <c r="J775" s="390" t="s">
        <v>2704</v>
      </c>
      <c r="K775" s="388"/>
      <c r="L775" s="389" t="s">
        <v>2705</v>
      </c>
      <c r="M775" s="388"/>
      <c r="N775" s="66"/>
      <c r="O775" s="66" t="str">
        <f t="shared" si="1"/>
        <v>이메일</v>
      </c>
      <c r="P775" s="320">
        <v>0.0</v>
      </c>
      <c r="Q775" s="394">
        <v>1.0</v>
      </c>
      <c r="R775" s="113">
        <v>46108.0</v>
      </c>
      <c r="S775" s="67" t="s">
        <v>2</v>
      </c>
      <c r="T775" s="113"/>
      <c r="U775" s="113"/>
      <c r="V775" s="113"/>
      <c r="W775" s="113"/>
      <c r="X775" s="113"/>
      <c r="Y775" s="67" t="s">
        <v>2617</v>
      </c>
      <c r="Z775" s="114"/>
    </row>
    <row r="776">
      <c r="A776" s="403"/>
      <c r="B776" s="70" t="s">
        <v>20</v>
      </c>
      <c r="C776" s="404"/>
      <c r="D776" s="405" t="s">
        <v>2706</v>
      </c>
      <c r="E776" s="404"/>
      <c r="F776" s="405" t="s">
        <v>2707</v>
      </c>
      <c r="G776" s="406" t="s">
        <v>2708</v>
      </c>
      <c r="H776" s="405" t="s">
        <v>106</v>
      </c>
      <c r="I776" s="404"/>
      <c r="J776" s="407" t="s">
        <v>2709</v>
      </c>
      <c r="K776" s="408" t="s">
        <v>2710</v>
      </c>
      <c r="L776" s="404"/>
      <c r="M776" s="409" t="s">
        <v>2711</v>
      </c>
      <c r="N776" s="75"/>
      <c r="O776" s="75" t="str">
        <f t="shared" si="1"/>
        <v>DM</v>
      </c>
      <c r="P776" s="410">
        <v>1.0</v>
      </c>
      <c r="Q776" s="403">
        <v>0.0</v>
      </c>
      <c r="R776" s="328">
        <v>46108.0</v>
      </c>
      <c r="S776" s="328"/>
      <c r="T776" s="328"/>
      <c r="U776" s="328"/>
      <c r="V776" s="328"/>
      <c r="W776" s="328"/>
      <c r="X776" s="328"/>
      <c r="Y776" s="328"/>
      <c r="Z776" s="328"/>
    </row>
    <row r="777">
      <c r="A777" s="316"/>
      <c r="B777" s="61" t="s">
        <v>20</v>
      </c>
      <c r="C777" s="388"/>
      <c r="D777" s="389" t="s">
        <v>435</v>
      </c>
      <c r="E777" s="389" t="s">
        <v>146</v>
      </c>
      <c r="F777" s="411" t="s">
        <v>824</v>
      </c>
      <c r="G777" s="390" t="s">
        <v>1755</v>
      </c>
      <c r="H777" s="400" t="s">
        <v>64</v>
      </c>
      <c r="I777" s="388"/>
      <c r="J777" s="391"/>
      <c r="K777" s="392" t="s">
        <v>2712</v>
      </c>
      <c r="L777" s="388"/>
      <c r="M777" s="388"/>
      <c r="N777" s="66"/>
      <c r="O777" s="66" t="str">
        <f t="shared" si="1"/>
        <v>DM</v>
      </c>
      <c r="P777" s="394">
        <v>1.0</v>
      </c>
      <c r="Q777" s="320">
        <v>0.0</v>
      </c>
      <c r="R777" s="113">
        <v>46108.0</v>
      </c>
      <c r="S777" s="113"/>
      <c r="T777" s="113"/>
      <c r="U777" s="113"/>
      <c r="V777" s="113"/>
      <c r="W777" s="113"/>
      <c r="X777" s="113"/>
      <c r="Y777" s="113"/>
      <c r="Z777" s="114"/>
    </row>
    <row r="778">
      <c r="A778" s="316"/>
      <c r="B778" s="61" t="s">
        <v>23</v>
      </c>
      <c r="C778" s="388"/>
      <c r="D778" s="389" t="s">
        <v>2713</v>
      </c>
      <c r="E778" s="389" t="s">
        <v>332</v>
      </c>
      <c r="F778" s="389" t="s">
        <v>2714</v>
      </c>
      <c r="G778" s="390" t="s">
        <v>486</v>
      </c>
      <c r="H778" s="389" t="s">
        <v>64</v>
      </c>
      <c r="I778" s="402" t="s">
        <v>1044</v>
      </c>
      <c r="J778" s="388"/>
      <c r="K778" s="390" t="s">
        <v>2715</v>
      </c>
      <c r="L778" s="388"/>
      <c r="M778" s="388"/>
      <c r="N778" s="66"/>
      <c r="O778" s="66" t="str">
        <f t="shared" si="1"/>
        <v>DM</v>
      </c>
      <c r="P778" s="394">
        <v>1.0</v>
      </c>
      <c r="Q778" s="320">
        <v>0.0</v>
      </c>
      <c r="R778" s="113">
        <v>46108.0</v>
      </c>
      <c r="S778" s="67" t="s">
        <v>25</v>
      </c>
      <c r="T778" s="113"/>
      <c r="U778" s="113"/>
      <c r="V778" s="113"/>
      <c r="W778" s="113"/>
      <c r="X778" s="113"/>
      <c r="Y778" s="113"/>
      <c r="Z778" s="114"/>
    </row>
    <row r="779">
      <c r="A779" s="316"/>
      <c r="B779" s="61" t="s">
        <v>20</v>
      </c>
      <c r="C779" s="391"/>
      <c r="D779" s="389" t="s">
        <v>713</v>
      </c>
      <c r="E779" s="389" t="s">
        <v>1063</v>
      </c>
      <c r="F779" s="389" t="s">
        <v>2716</v>
      </c>
      <c r="G779" s="390" t="s">
        <v>44</v>
      </c>
      <c r="H779" s="389" t="s">
        <v>64</v>
      </c>
      <c r="I779" s="390" t="s">
        <v>1150</v>
      </c>
      <c r="J779" s="393" t="s">
        <v>2717</v>
      </c>
      <c r="K779" s="388"/>
      <c r="L779" s="389" t="s">
        <v>2718</v>
      </c>
      <c r="M779" s="388"/>
      <c r="N779" s="66"/>
      <c r="O779" s="66" t="str">
        <f t="shared" si="1"/>
        <v>이메일</v>
      </c>
      <c r="P779" s="320">
        <v>0.0</v>
      </c>
      <c r="Q779" s="394">
        <v>1.0</v>
      </c>
      <c r="R779" s="113">
        <v>46108.0</v>
      </c>
      <c r="S779" s="113"/>
      <c r="T779" s="113"/>
      <c r="U779" s="113"/>
      <c r="V779" s="113"/>
      <c r="W779" s="113"/>
      <c r="X779" s="113"/>
      <c r="Y779" s="113"/>
      <c r="Z779" s="114"/>
    </row>
    <row r="780">
      <c r="A780" s="316"/>
      <c r="B780" s="61" t="s">
        <v>20</v>
      </c>
      <c r="C780" s="388"/>
      <c r="D780" s="389" t="s">
        <v>787</v>
      </c>
      <c r="E780" s="389" t="s">
        <v>69</v>
      </c>
      <c r="F780" s="389" t="s">
        <v>2719</v>
      </c>
      <c r="G780" s="390" t="s">
        <v>44</v>
      </c>
      <c r="H780" s="389" t="s">
        <v>106</v>
      </c>
      <c r="I780" s="388"/>
      <c r="J780" s="412" t="s">
        <v>2720</v>
      </c>
      <c r="K780" s="388"/>
      <c r="L780" s="388"/>
      <c r="M780" s="388"/>
      <c r="N780" s="66"/>
      <c r="O780" s="66" t="str">
        <f t="shared" si="1"/>
        <v/>
      </c>
      <c r="P780" s="320">
        <v>0.0</v>
      </c>
      <c r="Q780" s="320">
        <v>0.0</v>
      </c>
      <c r="R780" s="113">
        <v>46108.0</v>
      </c>
      <c r="S780" s="113"/>
      <c r="T780" s="113"/>
      <c r="U780" s="113"/>
      <c r="V780" s="113"/>
      <c r="W780" s="113"/>
      <c r="X780" s="113"/>
      <c r="Y780" s="113"/>
      <c r="Z780" s="114"/>
    </row>
    <row r="781">
      <c r="A781" s="316"/>
      <c r="B781" s="61" t="s">
        <v>20</v>
      </c>
      <c r="C781" s="388"/>
      <c r="D781" s="389" t="s">
        <v>2311</v>
      </c>
      <c r="E781" s="389" t="s">
        <v>69</v>
      </c>
      <c r="F781" s="389" t="s">
        <v>2721</v>
      </c>
      <c r="G781" s="390" t="s">
        <v>44</v>
      </c>
      <c r="H781" s="389" t="s">
        <v>64</v>
      </c>
      <c r="I781" s="390" t="s">
        <v>125</v>
      </c>
      <c r="J781" s="412" t="s">
        <v>2722</v>
      </c>
      <c r="K781" s="388"/>
      <c r="L781" s="392" t="s">
        <v>2723</v>
      </c>
      <c r="M781" s="388"/>
      <c r="N781" s="66"/>
      <c r="O781" s="66" t="str">
        <f t="shared" si="1"/>
        <v>이메일</v>
      </c>
      <c r="P781" s="320">
        <v>0.0</v>
      </c>
      <c r="Q781" s="394">
        <v>1.0</v>
      </c>
      <c r="R781" s="113">
        <v>46108.0</v>
      </c>
      <c r="S781" s="113"/>
      <c r="T781" s="113"/>
      <c r="U781" s="113"/>
      <c r="V781" s="113"/>
      <c r="W781" s="113"/>
      <c r="X781" s="113"/>
      <c r="Y781" s="113"/>
      <c r="Z781" s="114"/>
    </row>
    <row r="782">
      <c r="A782" s="316"/>
      <c r="B782" s="61" t="s">
        <v>20</v>
      </c>
      <c r="C782" s="388"/>
      <c r="D782" s="389" t="s">
        <v>1604</v>
      </c>
      <c r="E782" s="389" t="s">
        <v>109</v>
      </c>
      <c r="F782" s="389" t="s">
        <v>2724</v>
      </c>
      <c r="G782" s="390" t="s">
        <v>44</v>
      </c>
      <c r="H782" s="389" t="s">
        <v>106</v>
      </c>
      <c r="I782" s="388"/>
      <c r="J782" s="412" t="s">
        <v>2725</v>
      </c>
      <c r="K782" s="388"/>
      <c r="L782" s="389" t="s">
        <v>2726</v>
      </c>
      <c r="M782" s="388"/>
      <c r="N782" s="66"/>
      <c r="O782" s="66" t="str">
        <f t="shared" si="1"/>
        <v>이메일</v>
      </c>
      <c r="P782" s="320">
        <v>0.0</v>
      </c>
      <c r="Q782" s="394">
        <v>1.0</v>
      </c>
      <c r="R782" s="113">
        <v>46108.0</v>
      </c>
      <c r="S782" s="113"/>
      <c r="T782" s="113"/>
      <c r="U782" s="113"/>
      <c r="V782" s="113"/>
      <c r="W782" s="113"/>
      <c r="X782" s="113"/>
      <c r="Y782" s="113"/>
      <c r="Z782" s="114"/>
    </row>
    <row r="783">
      <c r="A783" s="316"/>
      <c r="B783" s="61" t="s">
        <v>20</v>
      </c>
      <c r="C783" s="388"/>
      <c r="D783" s="389" t="s">
        <v>2727</v>
      </c>
      <c r="E783" s="389" t="s">
        <v>109</v>
      </c>
      <c r="F783" s="389" t="s">
        <v>2728</v>
      </c>
      <c r="G783" s="390" t="s">
        <v>44</v>
      </c>
      <c r="H783" s="389" t="s">
        <v>2729</v>
      </c>
      <c r="I783" s="388"/>
      <c r="J783" s="412" t="s">
        <v>2730</v>
      </c>
      <c r="K783" s="388"/>
      <c r="L783" s="389" t="s">
        <v>2731</v>
      </c>
      <c r="M783" s="388"/>
      <c r="N783" s="66"/>
      <c r="O783" s="66" t="str">
        <f t="shared" si="1"/>
        <v>이메일</v>
      </c>
      <c r="P783" s="320">
        <v>0.0</v>
      </c>
      <c r="Q783" s="394">
        <v>1.0</v>
      </c>
      <c r="R783" s="113">
        <v>46108.0</v>
      </c>
      <c r="S783" s="113"/>
      <c r="T783" s="113"/>
      <c r="U783" s="113"/>
      <c r="V783" s="113"/>
      <c r="W783" s="113"/>
      <c r="X783" s="113"/>
      <c r="Y783" s="113"/>
      <c r="Z783" s="114"/>
    </row>
    <row r="784">
      <c r="A784" s="316"/>
      <c r="B784" s="61" t="s">
        <v>20</v>
      </c>
      <c r="C784" s="388"/>
      <c r="D784" s="389" t="s">
        <v>2732</v>
      </c>
      <c r="E784" s="389" t="s">
        <v>531</v>
      </c>
      <c r="F784" s="389" t="s">
        <v>2733</v>
      </c>
      <c r="G784" s="390" t="s">
        <v>44</v>
      </c>
      <c r="H784" s="389" t="s">
        <v>106</v>
      </c>
      <c r="I784" s="388"/>
      <c r="J784" s="412" t="s">
        <v>2734</v>
      </c>
      <c r="K784" s="390" t="s">
        <v>2735</v>
      </c>
      <c r="L784" s="389" t="s">
        <v>2736</v>
      </c>
      <c r="M784" s="393" t="s">
        <v>2737</v>
      </c>
      <c r="N784" s="66"/>
      <c r="O784" s="66" t="str">
        <f t="shared" si="1"/>
        <v>DM+이메일</v>
      </c>
      <c r="P784" s="394">
        <v>1.0</v>
      </c>
      <c r="Q784" s="394">
        <v>1.0</v>
      </c>
      <c r="R784" s="113">
        <v>46108.0</v>
      </c>
      <c r="S784" s="113"/>
      <c r="T784" s="113"/>
      <c r="U784" s="113"/>
      <c r="V784" s="113"/>
      <c r="W784" s="113"/>
      <c r="X784" s="113"/>
      <c r="Y784" s="113"/>
      <c r="Z784" s="114"/>
    </row>
    <row r="785">
      <c r="A785" s="316"/>
      <c r="B785" s="61" t="s">
        <v>20</v>
      </c>
      <c r="C785" s="388"/>
      <c r="D785" s="389" t="s">
        <v>2738</v>
      </c>
      <c r="E785" s="389" t="s">
        <v>332</v>
      </c>
      <c r="F785" s="389" t="s">
        <v>2739</v>
      </c>
      <c r="G785" s="390" t="s">
        <v>1271</v>
      </c>
      <c r="H785" s="389" t="s">
        <v>64</v>
      </c>
      <c r="I785" s="390" t="s">
        <v>657</v>
      </c>
      <c r="J785" s="390" t="s">
        <v>2740</v>
      </c>
      <c r="K785" s="390" t="s">
        <v>2741</v>
      </c>
      <c r="L785" s="388"/>
      <c r="M785" s="399" t="s">
        <v>2742</v>
      </c>
      <c r="N785" s="66"/>
      <c r="O785" s="66" t="str">
        <f t="shared" si="1"/>
        <v>DM+이메일</v>
      </c>
      <c r="P785" s="394">
        <v>1.0</v>
      </c>
      <c r="Q785" s="394">
        <v>1.0</v>
      </c>
      <c r="R785" s="113">
        <v>46108.0</v>
      </c>
      <c r="S785" s="113"/>
      <c r="T785" s="113"/>
      <c r="U785" s="113"/>
      <c r="V785" s="113"/>
      <c r="W785" s="113"/>
      <c r="X785" s="113"/>
      <c r="Y785" s="113"/>
      <c r="Z785" s="114"/>
    </row>
    <row r="786">
      <c r="A786" s="316"/>
      <c r="B786" s="61" t="s">
        <v>20</v>
      </c>
      <c r="C786" s="413" t="s">
        <v>2743</v>
      </c>
      <c r="D786" s="389" t="s">
        <v>294</v>
      </c>
      <c r="E786" s="389" t="s">
        <v>1110</v>
      </c>
      <c r="F786" s="389" t="s">
        <v>2744</v>
      </c>
      <c r="G786" s="390" t="s">
        <v>1271</v>
      </c>
      <c r="H786" s="389" t="s">
        <v>106</v>
      </c>
      <c r="I786" s="390" t="s">
        <v>2745</v>
      </c>
      <c r="J786" s="390" t="s">
        <v>2746</v>
      </c>
      <c r="K786" s="390" t="s">
        <v>2747</v>
      </c>
      <c r="L786" s="389" t="s">
        <v>2748</v>
      </c>
      <c r="M786" s="399" t="s">
        <v>2749</v>
      </c>
      <c r="N786" s="66"/>
      <c r="O786" s="66" t="str">
        <f t="shared" si="1"/>
        <v>DM</v>
      </c>
      <c r="P786" s="394">
        <v>1.0</v>
      </c>
      <c r="Q786" s="320">
        <v>0.0</v>
      </c>
      <c r="R786" s="113">
        <v>46108.0</v>
      </c>
      <c r="S786" s="113"/>
      <c r="T786" s="113"/>
      <c r="U786" s="113"/>
      <c r="V786" s="113"/>
      <c r="W786" s="113"/>
      <c r="X786" s="113"/>
      <c r="Y786" s="113"/>
      <c r="Z786" s="114"/>
    </row>
    <row r="787">
      <c r="A787" s="316"/>
      <c r="B787" s="61" t="s">
        <v>20</v>
      </c>
      <c r="C787" s="389" t="s">
        <v>2750</v>
      </c>
      <c r="D787" s="389" t="s">
        <v>2751</v>
      </c>
      <c r="E787" s="389" t="s">
        <v>494</v>
      </c>
      <c r="F787" s="389" t="s">
        <v>2752</v>
      </c>
      <c r="G787" s="390" t="s">
        <v>44</v>
      </c>
      <c r="H787" s="389" t="s">
        <v>64</v>
      </c>
      <c r="I787" s="390" t="s">
        <v>648</v>
      </c>
      <c r="J787" s="390" t="s">
        <v>2753</v>
      </c>
      <c r="K787" s="390" t="s">
        <v>2754</v>
      </c>
      <c r="L787" s="392" t="s">
        <v>2755</v>
      </c>
      <c r="M787" s="388"/>
      <c r="N787" s="66"/>
      <c r="O787" s="66" t="str">
        <f t="shared" si="1"/>
        <v>DM</v>
      </c>
      <c r="P787" s="394">
        <v>1.0</v>
      </c>
      <c r="Q787" s="320">
        <v>0.0</v>
      </c>
      <c r="R787" s="113">
        <v>46108.0</v>
      </c>
      <c r="S787" s="113"/>
      <c r="T787" s="113"/>
      <c r="U787" s="113"/>
      <c r="V787" s="113"/>
      <c r="W787" s="113"/>
      <c r="X787" s="113"/>
      <c r="Y787" s="113"/>
      <c r="Z787" s="114"/>
    </row>
    <row r="788">
      <c r="A788" s="316"/>
      <c r="B788" s="61" t="s">
        <v>20</v>
      </c>
      <c r="C788" s="389" t="s">
        <v>2756</v>
      </c>
      <c r="D788" s="389" t="s">
        <v>2757</v>
      </c>
      <c r="E788" s="389" t="s">
        <v>1072</v>
      </c>
      <c r="F788" s="389" t="s">
        <v>2758</v>
      </c>
      <c r="G788" s="390" t="s">
        <v>44</v>
      </c>
      <c r="H788" s="389" t="s">
        <v>64</v>
      </c>
      <c r="I788" s="390" t="s">
        <v>272</v>
      </c>
      <c r="J788" s="390" t="s">
        <v>2759</v>
      </c>
      <c r="K788" s="412" t="s">
        <v>2760</v>
      </c>
      <c r="L788" s="388"/>
      <c r="M788" s="388"/>
      <c r="N788" s="66"/>
      <c r="O788" s="66" t="str">
        <f t="shared" si="1"/>
        <v>DM</v>
      </c>
      <c r="P788" s="394">
        <v>1.0</v>
      </c>
      <c r="Q788" s="320">
        <v>0.0</v>
      </c>
      <c r="R788" s="113">
        <v>46108.0</v>
      </c>
      <c r="S788" s="113"/>
      <c r="T788" s="113"/>
      <c r="U788" s="113"/>
      <c r="V788" s="113"/>
      <c r="W788" s="113"/>
      <c r="X788" s="113"/>
      <c r="Y788" s="113"/>
      <c r="Z788" s="114"/>
    </row>
    <row r="789">
      <c r="A789" s="316"/>
      <c r="B789" s="395" t="s">
        <v>20</v>
      </c>
      <c r="C789" s="388"/>
      <c r="D789" s="389" t="s">
        <v>2761</v>
      </c>
      <c r="E789" s="389" t="s">
        <v>1494</v>
      </c>
      <c r="F789" s="389" t="s">
        <v>2762</v>
      </c>
      <c r="G789" s="390" t="s">
        <v>44</v>
      </c>
      <c r="H789" s="389" t="s">
        <v>64</v>
      </c>
      <c r="I789" s="390" t="s">
        <v>553</v>
      </c>
      <c r="J789" s="390" t="s">
        <v>2763</v>
      </c>
      <c r="K789" s="412" t="s">
        <v>2764</v>
      </c>
      <c r="L789" s="388"/>
      <c r="M789" s="399" t="s">
        <v>2765</v>
      </c>
      <c r="N789" s="66"/>
      <c r="O789" s="66" t="str">
        <f t="shared" si="1"/>
        <v>DM</v>
      </c>
      <c r="P789" s="394">
        <v>1.0</v>
      </c>
      <c r="Q789" s="320">
        <v>0.0</v>
      </c>
      <c r="R789" s="113">
        <v>46108.0</v>
      </c>
      <c r="S789" s="113"/>
      <c r="T789" s="113"/>
      <c r="U789" s="113"/>
      <c r="V789" s="113"/>
      <c r="W789" s="113"/>
      <c r="X789" s="113"/>
      <c r="Y789" s="113"/>
      <c r="Z789" s="114"/>
    </row>
    <row r="790">
      <c r="A790" s="403"/>
      <c r="B790" s="414" t="s">
        <v>20</v>
      </c>
      <c r="C790" s="415"/>
      <c r="D790" s="414" t="s">
        <v>2766</v>
      </c>
      <c r="E790" s="414" t="s">
        <v>109</v>
      </c>
      <c r="F790" s="414" t="s">
        <v>2767</v>
      </c>
      <c r="G790" s="416" t="s">
        <v>2444</v>
      </c>
      <c r="H790" s="417"/>
      <c r="I790" s="418"/>
      <c r="J790" s="419"/>
      <c r="K790" s="420"/>
      <c r="L790" s="417"/>
      <c r="M790" s="421"/>
      <c r="N790" s="422"/>
      <c r="O790" s="75"/>
      <c r="P790" s="403"/>
      <c r="Q790" s="403"/>
      <c r="R790" s="403"/>
      <c r="S790" s="403"/>
      <c r="T790" s="403"/>
      <c r="U790" s="403"/>
      <c r="V790" s="403"/>
      <c r="W790" s="403"/>
      <c r="X790" s="403"/>
      <c r="Y790" s="403"/>
      <c r="Z790" s="403"/>
    </row>
    <row r="791">
      <c r="A791" s="316"/>
      <c r="B791" s="423" t="s">
        <v>24</v>
      </c>
      <c r="C791" s="424" t="s">
        <v>2768</v>
      </c>
      <c r="D791" s="423" t="s">
        <v>2769</v>
      </c>
      <c r="E791" s="423" t="s">
        <v>109</v>
      </c>
      <c r="F791" s="423" t="s">
        <v>2770</v>
      </c>
      <c r="G791" s="381" t="s">
        <v>115</v>
      </c>
      <c r="H791" s="425"/>
      <c r="I791" s="426"/>
      <c r="J791" s="427"/>
      <c r="K791" s="428"/>
      <c r="L791" s="425"/>
      <c r="M791" s="424" t="s">
        <v>2771</v>
      </c>
      <c r="N791" s="429"/>
      <c r="O791" s="66"/>
      <c r="P791" s="320"/>
      <c r="Q791" s="320"/>
      <c r="R791" s="320"/>
      <c r="S791" s="320"/>
      <c r="T791" s="320"/>
      <c r="U791" s="320"/>
      <c r="V791" s="320"/>
      <c r="W791" s="320"/>
      <c r="X791" s="320"/>
      <c r="Y791" s="320"/>
      <c r="Z791" s="321"/>
    </row>
    <row r="792">
      <c r="A792" s="316"/>
      <c r="B792" s="423" t="s">
        <v>16</v>
      </c>
      <c r="C792" s="430"/>
      <c r="D792" s="423" t="s">
        <v>949</v>
      </c>
      <c r="E792" s="423" t="s">
        <v>109</v>
      </c>
      <c r="F792" s="423" t="s">
        <v>2772</v>
      </c>
      <c r="G792" s="431" t="s">
        <v>44</v>
      </c>
      <c r="H792" s="425"/>
      <c r="I792" s="426"/>
      <c r="J792" s="427" t="s">
        <v>2773</v>
      </c>
      <c r="K792" s="428"/>
      <c r="L792" s="425"/>
      <c r="M792" s="424" t="s">
        <v>2774</v>
      </c>
      <c r="N792" s="429"/>
      <c r="O792" s="66"/>
      <c r="P792" s="320"/>
      <c r="Q792" s="320"/>
      <c r="R792" s="320"/>
      <c r="S792" s="320"/>
      <c r="T792" s="320"/>
      <c r="U792" s="320"/>
      <c r="V792" s="320"/>
      <c r="W792" s="320"/>
      <c r="X792" s="320"/>
      <c r="Y792" s="320"/>
      <c r="Z792" s="321"/>
    </row>
    <row r="793">
      <c r="A793" s="403"/>
      <c r="B793" s="417"/>
      <c r="C793" s="415"/>
      <c r="D793" s="417"/>
      <c r="E793" s="414"/>
      <c r="F793" s="417"/>
      <c r="G793" s="418"/>
      <c r="H793" s="417"/>
      <c r="I793" s="418"/>
      <c r="J793" s="432"/>
      <c r="K793" s="420"/>
      <c r="L793" s="417"/>
      <c r="M793" s="415"/>
      <c r="N793" s="422"/>
      <c r="O793" s="75" t="str">
        <f t="shared" ref="O793:O807" si="2">IF(AND(P793=1,Q793=0),"DM",IF(AND(P793=0,Q793=1),"이메일",IF(AND(P793=1,Q793=1),"DM+이메일","")))</f>
        <v/>
      </c>
      <c r="P793" s="403">
        <v>0.0</v>
      </c>
      <c r="Q793" s="403">
        <v>0.0</v>
      </c>
      <c r="R793" s="403"/>
      <c r="S793" s="403"/>
      <c r="T793" s="403"/>
      <c r="U793" s="403"/>
      <c r="V793" s="403"/>
      <c r="W793" s="403"/>
      <c r="X793" s="403"/>
      <c r="Y793" s="403"/>
      <c r="Z793" s="403"/>
    </row>
    <row r="794">
      <c r="A794" s="415"/>
      <c r="B794" s="414" t="s">
        <v>20</v>
      </c>
      <c r="C794" s="415"/>
      <c r="D794" s="414" t="s">
        <v>2775</v>
      </c>
      <c r="E794" s="414" t="s">
        <v>2776</v>
      </c>
      <c r="F794" s="433" t="s">
        <v>2777</v>
      </c>
      <c r="G794" s="418"/>
      <c r="H794" s="417"/>
      <c r="I794" s="418"/>
      <c r="J794" s="432"/>
      <c r="K794" s="420"/>
      <c r="L794" s="417"/>
      <c r="M794" s="415"/>
      <c r="N794" s="422"/>
      <c r="O794" s="422" t="str">
        <f t="shared" si="2"/>
        <v/>
      </c>
      <c r="P794" s="415">
        <v>0.0</v>
      </c>
      <c r="Q794" s="415">
        <v>0.0</v>
      </c>
      <c r="R794" s="415"/>
      <c r="S794" s="415"/>
      <c r="T794" s="415"/>
      <c r="U794" s="415"/>
      <c r="V794" s="415"/>
      <c r="W794" s="415"/>
      <c r="X794" s="415"/>
      <c r="Y794" s="415"/>
      <c r="Z794" s="415"/>
    </row>
    <row r="795">
      <c r="A795" s="403"/>
      <c r="B795" s="414" t="s">
        <v>20</v>
      </c>
      <c r="C795" s="415"/>
      <c r="D795" s="414" t="s">
        <v>2775</v>
      </c>
      <c r="E795" s="414" t="s">
        <v>2776</v>
      </c>
      <c r="F795" s="434" t="s">
        <v>2778</v>
      </c>
      <c r="G795" s="418"/>
      <c r="H795" s="417"/>
      <c r="I795" s="418"/>
      <c r="J795" s="432"/>
      <c r="K795" s="420"/>
      <c r="L795" s="417"/>
      <c r="M795" s="415"/>
      <c r="N795" s="422"/>
      <c r="O795" s="75" t="str">
        <f t="shared" si="2"/>
        <v/>
      </c>
      <c r="P795" s="403">
        <v>0.0</v>
      </c>
      <c r="Q795" s="403">
        <v>0.0</v>
      </c>
      <c r="R795" s="403"/>
      <c r="S795" s="403"/>
      <c r="T795" s="403"/>
      <c r="U795" s="403"/>
      <c r="V795" s="403"/>
      <c r="W795" s="403"/>
      <c r="X795" s="403"/>
      <c r="Y795" s="403"/>
      <c r="Z795" s="403"/>
    </row>
    <row r="796">
      <c r="A796" s="403"/>
      <c r="B796" s="414" t="s">
        <v>20</v>
      </c>
      <c r="C796" s="415"/>
      <c r="D796" s="414" t="s">
        <v>2775</v>
      </c>
      <c r="E796" s="414" t="s">
        <v>2776</v>
      </c>
      <c r="F796" s="434" t="s">
        <v>2779</v>
      </c>
      <c r="G796" s="418"/>
      <c r="H796" s="417"/>
      <c r="I796" s="418"/>
      <c r="J796" s="432"/>
      <c r="K796" s="420"/>
      <c r="L796" s="417"/>
      <c r="M796" s="415"/>
      <c r="N796" s="422"/>
      <c r="O796" s="75" t="str">
        <f t="shared" si="2"/>
        <v/>
      </c>
      <c r="P796" s="403">
        <v>0.0</v>
      </c>
      <c r="Q796" s="403">
        <v>0.0</v>
      </c>
      <c r="R796" s="403"/>
      <c r="S796" s="403"/>
      <c r="T796" s="403"/>
      <c r="U796" s="403"/>
      <c r="V796" s="403"/>
      <c r="W796" s="403"/>
      <c r="X796" s="403"/>
      <c r="Y796" s="403"/>
      <c r="Z796" s="403"/>
    </row>
    <row r="797">
      <c r="A797" s="403"/>
      <c r="B797" s="414" t="s">
        <v>20</v>
      </c>
      <c r="C797" s="415"/>
      <c r="D797" s="414" t="s">
        <v>2775</v>
      </c>
      <c r="E797" s="414" t="s">
        <v>2776</v>
      </c>
      <c r="F797" s="434" t="s">
        <v>2780</v>
      </c>
      <c r="G797" s="418"/>
      <c r="H797" s="417"/>
      <c r="I797" s="418"/>
      <c r="J797" s="432"/>
      <c r="K797" s="420"/>
      <c r="L797" s="417"/>
      <c r="M797" s="415"/>
      <c r="N797" s="422"/>
      <c r="O797" s="75" t="str">
        <f t="shared" si="2"/>
        <v/>
      </c>
      <c r="P797" s="403">
        <v>0.0</v>
      </c>
      <c r="Q797" s="403">
        <v>0.0</v>
      </c>
      <c r="R797" s="403"/>
      <c r="S797" s="403"/>
      <c r="T797" s="403"/>
      <c r="U797" s="403"/>
      <c r="V797" s="403"/>
      <c r="W797" s="403"/>
      <c r="X797" s="403"/>
      <c r="Y797" s="403"/>
      <c r="Z797" s="403"/>
    </row>
    <row r="798">
      <c r="A798" s="403"/>
      <c r="B798" s="414" t="s">
        <v>20</v>
      </c>
      <c r="C798" s="415"/>
      <c r="D798" s="414" t="s">
        <v>2775</v>
      </c>
      <c r="E798" s="414" t="s">
        <v>2776</v>
      </c>
      <c r="F798" s="434" t="s">
        <v>2781</v>
      </c>
      <c r="G798" s="418"/>
      <c r="H798" s="417"/>
      <c r="I798" s="418"/>
      <c r="J798" s="432"/>
      <c r="K798" s="420"/>
      <c r="L798" s="417"/>
      <c r="M798" s="415"/>
      <c r="N798" s="422"/>
      <c r="O798" s="75" t="str">
        <f t="shared" si="2"/>
        <v/>
      </c>
      <c r="P798" s="403">
        <v>0.0</v>
      </c>
      <c r="Q798" s="403">
        <v>0.0</v>
      </c>
      <c r="R798" s="403"/>
      <c r="S798" s="403"/>
      <c r="T798" s="403"/>
      <c r="U798" s="403"/>
      <c r="V798" s="403"/>
      <c r="W798" s="403"/>
      <c r="X798" s="403"/>
      <c r="Y798" s="403"/>
      <c r="Z798" s="403"/>
    </row>
    <row r="799">
      <c r="A799" s="403"/>
      <c r="B799" s="414" t="s">
        <v>20</v>
      </c>
      <c r="C799" s="415"/>
      <c r="D799" s="414" t="s">
        <v>2775</v>
      </c>
      <c r="E799" s="414" t="s">
        <v>2776</v>
      </c>
      <c r="F799" s="434" t="s">
        <v>2782</v>
      </c>
      <c r="G799" s="418"/>
      <c r="H799" s="417"/>
      <c r="I799" s="418"/>
      <c r="J799" s="432"/>
      <c r="K799" s="420"/>
      <c r="L799" s="417"/>
      <c r="M799" s="415"/>
      <c r="N799" s="422"/>
      <c r="O799" s="75" t="str">
        <f t="shared" si="2"/>
        <v/>
      </c>
      <c r="P799" s="403">
        <v>0.0</v>
      </c>
      <c r="Q799" s="403">
        <v>0.0</v>
      </c>
      <c r="R799" s="403"/>
      <c r="S799" s="403"/>
      <c r="T799" s="403"/>
      <c r="U799" s="403"/>
      <c r="V799" s="403"/>
      <c r="W799" s="403"/>
      <c r="X799" s="403"/>
      <c r="Y799" s="403"/>
      <c r="Z799" s="403"/>
    </row>
    <row r="800">
      <c r="A800" s="403"/>
      <c r="B800" s="414" t="s">
        <v>20</v>
      </c>
      <c r="C800" s="415"/>
      <c r="D800" s="414" t="s">
        <v>2775</v>
      </c>
      <c r="E800" s="414" t="s">
        <v>2776</v>
      </c>
      <c r="F800" s="434" t="s">
        <v>2783</v>
      </c>
      <c r="G800" s="418"/>
      <c r="H800" s="417"/>
      <c r="I800" s="418"/>
      <c r="J800" s="432"/>
      <c r="K800" s="420"/>
      <c r="L800" s="417"/>
      <c r="M800" s="415"/>
      <c r="N800" s="422"/>
      <c r="O800" s="75" t="str">
        <f t="shared" si="2"/>
        <v/>
      </c>
      <c r="P800" s="403">
        <v>0.0</v>
      </c>
      <c r="Q800" s="403">
        <v>0.0</v>
      </c>
      <c r="R800" s="403"/>
      <c r="S800" s="403"/>
      <c r="T800" s="403"/>
      <c r="U800" s="403"/>
      <c r="V800" s="403"/>
      <c r="W800" s="403"/>
      <c r="X800" s="403"/>
      <c r="Y800" s="403"/>
      <c r="Z800" s="403"/>
    </row>
    <row r="801">
      <c r="A801" s="403"/>
      <c r="B801" s="414" t="s">
        <v>20</v>
      </c>
      <c r="C801" s="415"/>
      <c r="D801" s="414" t="s">
        <v>2775</v>
      </c>
      <c r="E801" s="414" t="s">
        <v>2776</v>
      </c>
      <c r="F801" s="434" t="s">
        <v>2784</v>
      </c>
      <c r="G801" s="418"/>
      <c r="H801" s="417"/>
      <c r="I801" s="418"/>
      <c r="J801" s="432"/>
      <c r="K801" s="420"/>
      <c r="L801" s="417"/>
      <c r="M801" s="415"/>
      <c r="N801" s="422"/>
      <c r="O801" s="75" t="str">
        <f t="shared" si="2"/>
        <v/>
      </c>
      <c r="P801" s="403">
        <v>0.0</v>
      </c>
      <c r="Q801" s="403">
        <v>0.0</v>
      </c>
      <c r="R801" s="403"/>
      <c r="S801" s="403"/>
      <c r="T801" s="403"/>
      <c r="U801" s="403"/>
      <c r="V801" s="403"/>
      <c r="W801" s="403"/>
      <c r="X801" s="403"/>
      <c r="Y801" s="403"/>
      <c r="Z801" s="403"/>
    </row>
    <row r="802">
      <c r="A802" s="415"/>
      <c r="B802" s="417"/>
      <c r="C802" s="415"/>
      <c r="D802" s="414"/>
      <c r="E802" s="414"/>
      <c r="F802" s="414"/>
      <c r="G802" s="435"/>
      <c r="H802" s="414"/>
      <c r="I802" s="436"/>
      <c r="J802" s="435"/>
      <c r="K802" s="437"/>
      <c r="M802" s="415"/>
      <c r="N802" s="422"/>
      <c r="O802" s="422" t="str">
        <f t="shared" si="2"/>
        <v/>
      </c>
      <c r="P802" s="415">
        <v>0.0</v>
      </c>
      <c r="Q802" s="415">
        <v>0.0</v>
      </c>
      <c r="R802" s="415"/>
      <c r="S802" s="415"/>
      <c r="T802" s="415"/>
      <c r="U802" s="415"/>
      <c r="V802" s="415"/>
      <c r="W802" s="415"/>
      <c r="X802" s="415"/>
      <c r="Y802" s="415"/>
      <c r="Z802" s="415"/>
    </row>
    <row r="803">
      <c r="A803" s="438"/>
      <c r="B803" s="439"/>
      <c r="C803" s="439"/>
      <c r="D803" s="440" t="s">
        <v>2785</v>
      </c>
      <c r="E803" s="440" t="s">
        <v>429</v>
      </c>
      <c r="F803" s="440" t="s">
        <v>2786</v>
      </c>
      <c r="G803" s="441" t="s">
        <v>2787</v>
      </c>
      <c r="H803" s="423" t="s">
        <v>64</v>
      </c>
      <c r="I803" s="441" t="s">
        <v>276</v>
      </c>
      <c r="J803" s="442" t="s">
        <v>44</v>
      </c>
      <c r="K803" s="443" t="s">
        <v>2788</v>
      </c>
      <c r="L803" s="440" t="s">
        <v>2789</v>
      </c>
      <c r="M803" s="441" t="s">
        <v>2790</v>
      </c>
      <c r="N803" s="444"/>
      <c r="O803" s="444" t="str">
        <f t="shared" si="2"/>
        <v/>
      </c>
      <c r="P803" s="445">
        <v>0.0</v>
      </c>
      <c r="Q803" s="445">
        <v>0.0</v>
      </c>
      <c r="R803" s="445"/>
      <c r="S803" s="445"/>
      <c r="T803" s="445"/>
      <c r="U803" s="445"/>
      <c r="V803" s="445"/>
      <c r="W803" s="445"/>
      <c r="X803" s="445"/>
      <c r="Y803" s="445"/>
      <c r="Z803" s="446"/>
    </row>
    <row r="804">
      <c r="A804" s="447"/>
      <c r="B804" s="423" t="s">
        <v>20</v>
      </c>
      <c r="C804" s="430"/>
      <c r="D804" s="423" t="s">
        <v>2791</v>
      </c>
      <c r="E804" s="423" t="s">
        <v>506</v>
      </c>
      <c r="F804" s="423" t="s">
        <v>2792</v>
      </c>
      <c r="G804" s="431" t="s">
        <v>44</v>
      </c>
      <c r="H804" s="423" t="s">
        <v>64</v>
      </c>
      <c r="I804" s="431" t="s">
        <v>640</v>
      </c>
      <c r="J804" s="431" t="s">
        <v>44</v>
      </c>
      <c r="K804" s="448" t="s">
        <v>45</v>
      </c>
      <c r="L804" s="423" t="s">
        <v>2793</v>
      </c>
      <c r="M804" s="430"/>
      <c r="N804" s="429"/>
      <c r="O804" s="429" t="str">
        <f t="shared" si="2"/>
        <v/>
      </c>
      <c r="P804" s="430">
        <v>0.0</v>
      </c>
      <c r="Q804" s="430">
        <v>0.0</v>
      </c>
      <c r="R804" s="430"/>
      <c r="S804" s="430"/>
      <c r="T804" s="430"/>
      <c r="U804" s="430"/>
      <c r="V804" s="430"/>
      <c r="W804" s="430"/>
      <c r="X804" s="430"/>
      <c r="Y804" s="430"/>
      <c r="Z804" s="449"/>
    </row>
    <row r="805">
      <c r="A805" s="438"/>
      <c r="B805" s="440" t="s">
        <v>15</v>
      </c>
      <c r="C805" s="445"/>
      <c r="D805" s="440" t="s">
        <v>484</v>
      </c>
      <c r="E805" s="440" t="s">
        <v>353</v>
      </c>
      <c r="F805" s="440" t="s">
        <v>2794</v>
      </c>
      <c r="G805" s="441" t="s">
        <v>44</v>
      </c>
      <c r="H805" s="440" t="s">
        <v>64</v>
      </c>
      <c r="I805" s="441" t="s">
        <v>2795</v>
      </c>
      <c r="J805" s="441" t="s">
        <v>44</v>
      </c>
      <c r="K805" s="443" t="s">
        <v>45</v>
      </c>
      <c r="L805" s="439"/>
      <c r="M805" s="445"/>
      <c r="N805" s="444"/>
      <c r="O805" s="444" t="str">
        <f t="shared" si="2"/>
        <v/>
      </c>
      <c r="P805" s="445">
        <v>0.0</v>
      </c>
      <c r="Q805" s="445">
        <v>0.0</v>
      </c>
      <c r="R805" s="445"/>
      <c r="S805" s="445"/>
      <c r="T805" s="445"/>
      <c r="U805" s="445"/>
      <c r="V805" s="445"/>
      <c r="W805" s="445"/>
      <c r="X805" s="445"/>
      <c r="Y805" s="445"/>
      <c r="Z805" s="446"/>
    </row>
    <row r="806">
      <c r="A806" s="447"/>
      <c r="B806" s="440" t="s">
        <v>15</v>
      </c>
      <c r="C806" s="430"/>
      <c r="D806" s="450" t="s">
        <v>2796</v>
      </c>
      <c r="E806" s="423" t="s">
        <v>1180</v>
      </c>
      <c r="F806" s="423" t="s">
        <v>2797</v>
      </c>
      <c r="G806" s="431" t="s">
        <v>45</v>
      </c>
      <c r="H806" s="423" t="s">
        <v>106</v>
      </c>
      <c r="I806" s="426"/>
      <c r="J806" s="451"/>
      <c r="K806" s="448" t="s">
        <v>45</v>
      </c>
      <c r="L806" s="452" t="s">
        <v>2798</v>
      </c>
      <c r="M806" s="430"/>
      <c r="N806" s="429"/>
      <c r="O806" s="429" t="str">
        <f t="shared" si="2"/>
        <v/>
      </c>
      <c r="P806" s="430">
        <v>0.0</v>
      </c>
      <c r="Q806" s="430">
        <v>0.0</v>
      </c>
      <c r="R806" s="430"/>
      <c r="S806" s="430"/>
      <c r="T806" s="430"/>
      <c r="U806" s="430"/>
      <c r="V806" s="430"/>
      <c r="W806" s="430"/>
      <c r="X806" s="430"/>
      <c r="Y806" s="430"/>
      <c r="Z806" s="449"/>
    </row>
    <row r="807">
      <c r="A807" s="438"/>
      <c r="B807" s="440" t="s">
        <v>15</v>
      </c>
      <c r="C807" s="445"/>
      <c r="D807" s="61" t="s">
        <v>713</v>
      </c>
      <c r="E807" s="440" t="s">
        <v>69</v>
      </c>
      <c r="F807" s="440" t="s">
        <v>2799</v>
      </c>
      <c r="G807" s="453" t="s">
        <v>44</v>
      </c>
      <c r="H807" s="61" t="s">
        <v>106</v>
      </c>
      <c r="I807" s="454"/>
      <c r="J807" s="453" t="s">
        <v>44</v>
      </c>
      <c r="K807" s="455"/>
      <c r="L807" s="61" t="s">
        <v>1383</v>
      </c>
      <c r="M807" s="441" t="s">
        <v>2800</v>
      </c>
      <c r="N807" s="444"/>
      <c r="O807" s="444" t="str">
        <f t="shared" si="2"/>
        <v/>
      </c>
      <c r="P807" s="445">
        <v>0.0</v>
      </c>
      <c r="Q807" s="445">
        <v>0.0</v>
      </c>
      <c r="R807" s="445"/>
      <c r="S807" s="445"/>
      <c r="T807" s="445"/>
      <c r="U807" s="445"/>
      <c r="V807" s="445"/>
      <c r="W807" s="445"/>
      <c r="X807" s="445"/>
      <c r="Y807" s="445"/>
      <c r="Z807" s="446"/>
    </row>
    <row r="808">
      <c r="A808" s="447"/>
      <c r="B808" s="440" t="s">
        <v>15</v>
      </c>
      <c r="C808" s="430"/>
      <c r="D808" s="423" t="s">
        <v>2801</v>
      </c>
      <c r="E808" s="423" t="s">
        <v>1072</v>
      </c>
      <c r="F808" s="423" t="s">
        <v>2802</v>
      </c>
      <c r="G808" s="456" t="s">
        <v>44</v>
      </c>
      <c r="H808" s="440" t="s">
        <v>64</v>
      </c>
      <c r="I808" s="431" t="s">
        <v>2795</v>
      </c>
      <c r="J808" s="457" t="s">
        <v>44</v>
      </c>
      <c r="K808" s="428"/>
      <c r="L808" s="423" t="s">
        <v>2803</v>
      </c>
      <c r="M808" s="423" t="s">
        <v>2804</v>
      </c>
      <c r="N808" s="429"/>
      <c r="O808" s="429"/>
      <c r="P808" s="430"/>
      <c r="Q808" s="430"/>
      <c r="R808" s="430"/>
      <c r="S808" s="430"/>
      <c r="T808" s="430"/>
      <c r="U808" s="430"/>
      <c r="V808" s="430"/>
      <c r="W808" s="430"/>
      <c r="X808" s="430"/>
      <c r="Y808" s="430"/>
      <c r="Z808" s="449"/>
    </row>
    <row r="809">
      <c r="A809" s="447"/>
      <c r="B809" s="440" t="s">
        <v>15</v>
      </c>
      <c r="C809" s="430"/>
      <c r="D809" s="423" t="s">
        <v>424</v>
      </c>
      <c r="E809" s="423" t="s">
        <v>2270</v>
      </c>
      <c r="F809" s="423" t="s">
        <v>2805</v>
      </c>
      <c r="G809" s="431" t="s">
        <v>44</v>
      </c>
      <c r="H809" s="61" t="s">
        <v>106</v>
      </c>
      <c r="I809" s="426"/>
      <c r="J809" s="431" t="s">
        <v>44</v>
      </c>
      <c r="K809" s="448" t="s">
        <v>45</v>
      </c>
      <c r="L809" s="425"/>
      <c r="M809" s="430"/>
      <c r="N809" s="429"/>
      <c r="O809" s="429" t="str">
        <f t="shared" ref="O809:O1763" si="3">IF(AND(P809=1,Q809=0),"DM",IF(AND(P809=0,Q809=1),"이메일",IF(AND(P809=1,Q809=1),"DM+이메일","")))</f>
        <v/>
      </c>
      <c r="P809" s="430">
        <v>0.0</v>
      </c>
      <c r="Q809" s="430">
        <v>0.0</v>
      </c>
      <c r="R809" s="430"/>
      <c r="S809" s="430"/>
      <c r="T809" s="430"/>
      <c r="U809" s="430"/>
      <c r="V809" s="430"/>
      <c r="W809" s="430"/>
      <c r="X809" s="430"/>
      <c r="Y809" s="430"/>
      <c r="Z809" s="449"/>
    </row>
    <row r="810">
      <c r="A810" s="438"/>
      <c r="B810" s="440" t="s">
        <v>15</v>
      </c>
      <c r="C810" s="445"/>
      <c r="D810" s="440" t="s">
        <v>881</v>
      </c>
      <c r="E810" s="440" t="s">
        <v>531</v>
      </c>
      <c r="F810" s="440" t="s">
        <v>2806</v>
      </c>
      <c r="G810" s="441" t="s">
        <v>44</v>
      </c>
      <c r="H810" s="439"/>
      <c r="I810" s="454"/>
      <c r="J810" s="441" t="s">
        <v>44</v>
      </c>
      <c r="K810" s="455"/>
      <c r="L810" s="440" t="s">
        <v>2807</v>
      </c>
      <c r="M810" s="440"/>
      <c r="N810" s="444"/>
      <c r="O810" s="444" t="str">
        <f t="shared" si="3"/>
        <v/>
      </c>
      <c r="P810" s="445">
        <v>0.0</v>
      </c>
      <c r="Q810" s="445">
        <v>0.0</v>
      </c>
      <c r="R810" s="445"/>
      <c r="S810" s="445"/>
      <c r="T810" s="445"/>
      <c r="U810" s="445"/>
      <c r="V810" s="445"/>
      <c r="W810" s="445"/>
      <c r="X810" s="445"/>
      <c r="Y810" s="445"/>
      <c r="Z810" s="446"/>
    </row>
    <row r="811">
      <c r="A811" s="447"/>
      <c r="B811" s="440" t="s">
        <v>15</v>
      </c>
      <c r="C811" s="430"/>
      <c r="D811" s="423" t="s">
        <v>2808</v>
      </c>
      <c r="E811" s="423" t="s">
        <v>2022</v>
      </c>
      <c r="F811" s="423" t="s">
        <v>2809</v>
      </c>
      <c r="G811" s="431" t="s">
        <v>44</v>
      </c>
      <c r="H811" s="423" t="s">
        <v>64</v>
      </c>
      <c r="I811" s="431" t="s">
        <v>2810</v>
      </c>
      <c r="J811" s="457" t="s">
        <v>44</v>
      </c>
      <c r="K811" s="458"/>
      <c r="L811" s="423" t="s">
        <v>2811</v>
      </c>
      <c r="M811" s="430"/>
      <c r="N811" s="429"/>
      <c r="O811" s="429" t="str">
        <f t="shared" si="3"/>
        <v/>
      </c>
      <c r="P811" s="430">
        <v>0.0</v>
      </c>
      <c r="Q811" s="430">
        <v>0.0</v>
      </c>
      <c r="R811" s="430"/>
      <c r="S811" s="430"/>
      <c r="T811" s="430"/>
      <c r="U811" s="430"/>
      <c r="V811" s="430"/>
      <c r="W811" s="430"/>
      <c r="X811" s="430"/>
      <c r="Y811" s="430"/>
      <c r="Z811" s="449"/>
    </row>
    <row r="812">
      <c r="A812" s="438"/>
      <c r="B812" s="440" t="s">
        <v>15</v>
      </c>
      <c r="C812" s="445"/>
      <c r="D812" s="440" t="s">
        <v>294</v>
      </c>
      <c r="E812" s="440" t="s">
        <v>2698</v>
      </c>
      <c r="F812" s="440" t="s">
        <v>2812</v>
      </c>
      <c r="G812" s="441" t="s">
        <v>44</v>
      </c>
      <c r="H812" s="440" t="s">
        <v>64</v>
      </c>
      <c r="I812" s="441" t="s">
        <v>426</v>
      </c>
      <c r="J812" s="441" t="s">
        <v>44</v>
      </c>
      <c r="K812" s="459"/>
      <c r="L812" s="440" t="s">
        <v>2813</v>
      </c>
      <c r="M812" s="445"/>
      <c r="N812" s="444"/>
      <c r="O812" s="444" t="str">
        <f t="shared" si="3"/>
        <v/>
      </c>
      <c r="P812" s="445">
        <v>0.0</v>
      </c>
      <c r="Q812" s="445">
        <v>0.0</v>
      </c>
      <c r="R812" s="445"/>
      <c r="S812" s="445"/>
      <c r="T812" s="445"/>
      <c r="U812" s="445"/>
      <c r="V812" s="445"/>
      <c r="W812" s="445"/>
      <c r="X812" s="445"/>
      <c r="Y812" s="445"/>
      <c r="Z812" s="446"/>
    </row>
    <row r="813">
      <c r="A813" s="447"/>
      <c r="B813" s="440" t="s">
        <v>15</v>
      </c>
      <c r="C813" s="430"/>
      <c r="D813" s="440" t="s">
        <v>294</v>
      </c>
      <c r="E813" s="423" t="s">
        <v>2270</v>
      </c>
      <c r="F813" s="423" t="s">
        <v>2814</v>
      </c>
      <c r="G813" s="431" t="s">
        <v>44</v>
      </c>
      <c r="H813" s="61" t="s">
        <v>106</v>
      </c>
      <c r="I813" s="426"/>
      <c r="J813" s="431" t="s">
        <v>44</v>
      </c>
      <c r="K813" s="428"/>
      <c r="L813" s="423" t="s">
        <v>2815</v>
      </c>
      <c r="M813" s="430"/>
      <c r="N813" s="429"/>
      <c r="O813" s="429" t="str">
        <f t="shared" si="3"/>
        <v/>
      </c>
      <c r="P813" s="430">
        <v>0.0</v>
      </c>
      <c r="Q813" s="430">
        <v>0.0</v>
      </c>
      <c r="R813" s="430"/>
      <c r="S813" s="430"/>
      <c r="T813" s="430"/>
      <c r="U813" s="430"/>
      <c r="V813" s="430"/>
      <c r="W813" s="430"/>
      <c r="X813" s="430"/>
      <c r="Y813" s="430"/>
      <c r="Z813" s="449"/>
    </row>
    <row r="814">
      <c r="A814" s="438"/>
      <c r="B814" s="440" t="s">
        <v>15</v>
      </c>
      <c r="C814" s="445"/>
      <c r="D814" s="440" t="s">
        <v>294</v>
      </c>
      <c r="E814" s="440" t="s">
        <v>2698</v>
      </c>
      <c r="F814" s="440" t="s">
        <v>2816</v>
      </c>
      <c r="G814" s="441" t="s">
        <v>44</v>
      </c>
      <c r="H814" s="440" t="s">
        <v>64</v>
      </c>
      <c r="I814" s="441" t="s">
        <v>426</v>
      </c>
      <c r="J814" s="441" t="s">
        <v>44</v>
      </c>
      <c r="K814" s="455"/>
      <c r="L814" s="198" t="s">
        <v>2817</v>
      </c>
      <c r="M814" s="441" t="s">
        <v>2800</v>
      </c>
      <c r="N814" s="444"/>
      <c r="O814" s="444" t="str">
        <f t="shared" si="3"/>
        <v/>
      </c>
      <c r="P814" s="445">
        <v>0.0</v>
      </c>
      <c r="Q814" s="445">
        <v>0.0</v>
      </c>
      <c r="R814" s="445"/>
      <c r="S814" s="445"/>
      <c r="T814" s="445"/>
      <c r="U814" s="445"/>
      <c r="V814" s="445"/>
      <c r="W814" s="445"/>
      <c r="X814" s="445"/>
      <c r="Y814" s="445"/>
      <c r="Z814" s="446"/>
    </row>
    <row r="815">
      <c r="A815" s="438"/>
      <c r="B815" s="440" t="s">
        <v>15</v>
      </c>
      <c r="C815" s="445"/>
      <c r="D815" s="440" t="s">
        <v>2818</v>
      </c>
      <c r="E815" s="440" t="s">
        <v>1377</v>
      </c>
      <c r="F815" s="440" t="s">
        <v>2819</v>
      </c>
      <c r="G815" s="441" t="s">
        <v>44</v>
      </c>
      <c r="H815" s="440" t="s">
        <v>64</v>
      </c>
      <c r="I815" s="441" t="s">
        <v>98</v>
      </c>
      <c r="J815" s="442" t="s">
        <v>44</v>
      </c>
      <c r="K815" s="455"/>
      <c r="L815" s="440" t="s">
        <v>2820</v>
      </c>
      <c r="M815" s="445"/>
      <c r="N815" s="444"/>
      <c r="O815" s="444" t="str">
        <f t="shared" si="3"/>
        <v/>
      </c>
      <c r="P815" s="445">
        <v>0.0</v>
      </c>
      <c r="Q815" s="445">
        <v>0.0</v>
      </c>
      <c r="R815" s="445"/>
      <c r="S815" s="445"/>
      <c r="T815" s="445"/>
      <c r="U815" s="445"/>
      <c r="V815" s="445"/>
      <c r="W815" s="445"/>
      <c r="X815" s="445"/>
      <c r="Y815" s="445"/>
      <c r="Z815" s="446"/>
    </row>
    <row r="816">
      <c r="A816" s="403"/>
      <c r="B816" s="417"/>
      <c r="C816" s="415"/>
      <c r="D816" s="417"/>
      <c r="E816" s="417"/>
      <c r="F816" s="417"/>
      <c r="G816" s="418"/>
      <c r="H816" s="417"/>
      <c r="I816" s="418"/>
      <c r="J816" s="432"/>
      <c r="K816" s="420"/>
      <c r="L816" s="417"/>
      <c r="M816" s="415"/>
      <c r="N816" s="422"/>
      <c r="O816" s="75" t="str">
        <f t="shared" si="3"/>
        <v/>
      </c>
      <c r="P816" s="403">
        <v>0.0</v>
      </c>
      <c r="Q816" s="403">
        <v>0.0</v>
      </c>
      <c r="R816" s="403"/>
      <c r="S816" s="403"/>
      <c r="T816" s="403"/>
      <c r="U816" s="403"/>
      <c r="V816" s="403"/>
      <c r="W816" s="403"/>
      <c r="X816" s="403"/>
      <c r="Y816" s="403"/>
      <c r="Z816" s="403"/>
    </row>
    <row r="817">
      <c r="A817" s="403"/>
      <c r="B817" s="417"/>
      <c r="C817" s="415"/>
      <c r="D817" s="417"/>
      <c r="E817" s="417"/>
      <c r="F817" s="417"/>
      <c r="G817" s="418"/>
      <c r="H817" s="417"/>
      <c r="I817" s="418"/>
      <c r="J817" s="432"/>
      <c r="K817" s="420"/>
      <c r="L817" s="417"/>
      <c r="M817" s="415"/>
      <c r="N817" s="422"/>
      <c r="O817" s="75" t="str">
        <f t="shared" si="3"/>
        <v/>
      </c>
      <c r="P817" s="403">
        <v>0.0</v>
      </c>
      <c r="Q817" s="403">
        <v>0.0</v>
      </c>
      <c r="R817" s="403"/>
      <c r="S817" s="403"/>
      <c r="T817" s="403"/>
      <c r="U817" s="403"/>
      <c r="V817" s="403"/>
      <c r="W817" s="403"/>
      <c r="X817" s="403"/>
      <c r="Y817" s="403"/>
      <c r="Z817" s="403"/>
    </row>
    <row r="818">
      <c r="A818" s="403"/>
      <c r="B818" s="417"/>
      <c r="C818" s="415"/>
      <c r="D818" s="417"/>
      <c r="E818" s="417"/>
      <c r="F818" s="417"/>
      <c r="G818" s="418"/>
      <c r="H818" s="417"/>
      <c r="I818" s="418"/>
      <c r="J818" s="432"/>
      <c r="K818" s="420"/>
      <c r="L818" s="417"/>
      <c r="M818" s="415"/>
      <c r="N818" s="422"/>
      <c r="O818" s="75" t="str">
        <f t="shared" si="3"/>
        <v/>
      </c>
      <c r="P818" s="403">
        <v>0.0</v>
      </c>
      <c r="Q818" s="403">
        <v>0.0</v>
      </c>
      <c r="R818" s="403"/>
      <c r="S818" s="403"/>
      <c r="T818" s="403"/>
      <c r="U818" s="403"/>
      <c r="V818" s="403"/>
      <c r="W818" s="403"/>
      <c r="X818" s="403"/>
      <c r="Y818" s="403"/>
      <c r="Z818" s="403"/>
    </row>
    <row r="819">
      <c r="A819" s="403"/>
      <c r="B819" s="417"/>
      <c r="C819" s="415"/>
      <c r="D819" s="417"/>
      <c r="E819" s="417"/>
      <c r="F819" s="417"/>
      <c r="G819" s="418"/>
      <c r="H819" s="417"/>
      <c r="I819" s="418"/>
      <c r="J819" s="432"/>
      <c r="K819" s="420"/>
      <c r="L819" s="417"/>
      <c r="M819" s="415"/>
      <c r="N819" s="422"/>
      <c r="O819" s="75" t="str">
        <f t="shared" si="3"/>
        <v/>
      </c>
      <c r="P819" s="403">
        <v>0.0</v>
      </c>
      <c r="Q819" s="403">
        <v>0.0</v>
      </c>
      <c r="R819" s="403"/>
      <c r="S819" s="403"/>
      <c r="T819" s="403"/>
      <c r="U819" s="403"/>
      <c r="V819" s="403"/>
      <c r="W819" s="403"/>
      <c r="X819" s="403"/>
      <c r="Y819" s="403"/>
      <c r="Z819" s="403"/>
    </row>
    <row r="820">
      <c r="A820" s="403"/>
      <c r="B820" s="417"/>
      <c r="C820" s="415"/>
      <c r="D820" s="417"/>
      <c r="E820" s="417"/>
      <c r="F820" s="417"/>
      <c r="G820" s="418"/>
      <c r="H820" s="417"/>
      <c r="I820" s="418"/>
      <c r="J820" s="432"/>
      <c r="K820" s="420"/>
      <c r="L820" s="417"/>
      <c r="M820" s="415"/>
      <c r="N820" s="422"/>
      <c r="O820" s="75" t="str">
        <f t="shared" si="3"/>
        <v/>
      </c>
      <c r="P820" s="403">
        <v>0.0</v>
      </c>
      <c r="Q820" s="403">
        <v>0.0</v>
      </c>
      <c r="R820" s="403"/>
      <c r="S820" s="403"/>
      <c r="T820" s="403"/>
      <c r="U820" s="403"/>
      <c r="V820" s="403"/>
      <c r="W820" s="403"/>
      <c r="X820" s="403"/>
      <c r="Y820" s="403"/>
      <c r="Z820" s="403"/>
    </row>
    <row r="821">
      <c r="A821" s="403"/>
      <c r="B821" s="417"/>
      <c r="C821" s="415"/>
      <c r="D821" s="417"/>
      <c r="E821" s="417"/>
      <c r="F821" s="417"/>
      <c r="G821" s="418"/>
      <c r="H821" s="417"/>
      <c r="I821" s="418"/>
      <c r="J821" s="432"/>
      <c r="K821" s="420"/>
      <c r="L821" s="417"/>
      <c r="M821" s="415"/>
      <c r="N821" s="422"/>
      <c r="O821" s="75" t="str">
        <f t="shared" si="3"/>
        <v/>
      </c>
      <c r="P821" s="403">
        <v>0.0</v>
      </c>
      <c r="Q821" s="403">
        <v>0.0</v>
      </c>
      <c r="R821" s="403"/>
      <c r="S821" s="403"/>
      <c r="T821" s="403"/>
      <c r="U821" s="403"/>
      <c r="V821" s="403"/>
      <c r="W821" s="403"/>
      <c r="X821" s="403"/>
      <c r="Y821" s="403"/>
      <c r="Z821" s="403"/>
    </row>
    <row r="822">
      <c r="A822" s="403"/>
      <c r="B822" s="417"/>
      <c r="C822" s="415"/>
      <c r="D822" s="417"/>
      <c r="E822" s="417"/>
      <c r="F822" s="417"/>
      <c r="G822" s="418"/>
      <c r="H822" s="417"/>
      <c r="I822" s="418"/>
      <c r="J822" s="432"/>
      <c r="K822" s="420"/>
      <c r="L822" s="417"/>
      <c r="M822" s="415"/>
      <c r="N822" s="422"/>
      <c r="O822" s="75" t="str">
        <f t="shared" si="3"/>
        <v/>
      </c>
      <c r="P822" s="403">
        <v>0.0</v>
      </c>
      <c r="Q822" s="403">
        <v>0.0</v>
      </c>
      <c r="R822" s="403"/>
      <c r="S822" s="403"/>
      <c r="T822" s="403"/>
      <c r="U822" s="403"/>
      <c r="V822" s="403"/>
      <c r="W822" s="403"/>
      <c r="X822" s="403"/>
      <c r="Y822" s="403"/>
      <c r="Z822" s="403"/>
    </row>
    <row r="823">
      <c r="A823" s="403"/>
      <c r="B823" s="417"/>
      <c r="C823" s="415"/>
      <c r="D823" s="417"/>
      <c r="E823" s="417"/>
      <c r="F823" s="417"/>
      <c r="G823" s="418"/>
      <c r="H823" s="417"/>
      <c r="I823" s="418"/>
      <c r="J823" s="432"/>
      <c r="K823" s="420"/>
      <c r="L823" s="417"/>
      <c r="M823" s="415"/>
      <c r="N823" s="422"/>
      <c r="O823" s="75" t="str">
        <f t="shared" si="3"/>
        <v/>
      </c>
      <c r="P823" s="403">
        <v>0.0</v>
      </c>
      <c r="Q823" s="403">
        <v>0.0</v>
      </c>
      <c r="R823" s="403"/>
      <c r="S823" s="403"/>
      <c r="T823" s="403"/>
      <c r="U823" s="403"/>
      <c r="V823" s="403"/>
      <c r="W823" s="403"/>
      <c r="X823" s="403"/>
      <c r="Y823" s="403"/>
      <c r="Z823" s="403"/>
    </row>
    <row r="824">
      <c r="A824" s="403"/>
      <c r="B824" s="417"/>
      <c r="C824" s="415"/>
      <c r="D824" s="417"/>
      <c r="E824" s="417"/>
      <c r="F824" s="417"/>
      <c r="G824" s="418"/>
      <c r="H824" s="417"/>
      <c r="I824" s="418"/>
      <c r="J824" s="432"/>
      <c r="K824" s="420"/>
      <c r="L824" s="417"/>
      <c r="M824" s="415"/>
      <c r="N824" s="422"/>
      <c r="O824" s="75" t="str">
        <f t="shared" si="3"/>
        <v/>
      </c>
      <c r="P824" s="403">
        <v>0.0</v>
      </c>
      <c r="Q824" s="403">
        <v>0.0</v>
      </c>
      <c r="R824" s="403"/>
      <c r="S824" s="403"/>
      <c r="T824" s="403"/>
      <c r="U824" s="403"/>
      <c r="V824" s="403"/>
      <c r="W824" s="403"/>
      <c r="X824" s="403"/>
      <c r="Y824" s="403"/>
      <c r="Z824" s="403"/>
    </row>
    <row r="825">
      <c r="A825" s="403"/>
      <c r="B825" s="417"/>
      <c r="C825" s="415"/>
      <c r="D825" s="417"/>
      <c r="E825" s="417"/>
      <c r="F825" s="417"/>
      <c r="G825" s="418"/>
      <c r="H825" s="417"/>
      <c r="I825" s="418"/>
      <c r="J825" s="432"/>
      <c r="K825" s="420"/>
      <c r="L825" s="417"/>
      <c r="M825" s="415"/>
      <c r="N825" s="422"/>
      <c r="O825" s="75" t="str">
        <f t="shared" si="3"/>
        <v/>
      </c>
      <c r="P825" s="403">
        <v>0.0</v>
      </c>
      <c r="Q825" s="403">
        <v>0.0</v>
      </c>
      <c r="R825" s="403"/>
      <c r="S825" s="403"/>
      <c r="T825" s="403"/>
      <c r="U825" s="403"/>
      <c r="V825" s="403"/>
      <c r="W825" s="403"/>
      <c r="X825" s="403"/>
      <c r="Y825" s="403"/>
      <c r="Z825" s="403"/>
    </row>
    <row r="826">
      <c r="A826" s="403"/>
      <c r="B826" s="417"/>
      <c r="C826" s="415"/>
      <c r="D826" s="417"/>
      <c r="E826" s="417"/>
      <c r="F826" s="417"/>
      <c r="G826" s="418"/>
      <c r="H826" s="417"/>
      <c r="I826" s="418"/>
      <c r="J826" s="432"/>
      <c r="K826" s="420"/>
      <c r="L826" s="417"/>
      <c r="M826" s="415"/>
      <c r="N826" s="422"/>
      <c r="O826" s="75" t="str">
        <f t="shared" si="3"/>
        <v/>
      </c>
      <c r="P826" s="403">
        <v>0.0</v>
      </c>
      <c r="Q826" s="403">
        <v>0.0</v>
      </c>
      <c r="R826" s="403"/>
      <c r="S826" s="403"/>
      <c r="T826" s="403"/>
      <c r="U826" s="403"/>
      <c r="V826" s="403"/>
      <c r="W826" s="403"/>
      <c r="X826" s="403"/>
      <c r="Y826" s="403"/>
      <c r="Z826" s="403"/>
    </row>
    <row r="827">
      <c r="A827" s="403"/>
      <c r="B827" s="417"/>
      <c r="C827" s="415"/>
      <c r="D827" s="417"/>
      <c r="E827" s="417"/>
      <c r="F827" s="417"/>
      <c r="G827" s="418"/>
      <c r="H827" s="417"/>
      <c r="I827" s="418"/>
      <c r="J827" s="432"/>
      <c r="K827" s="420"/>
      <c r="L827" s="417"/>
      <c r="M827" s="415"/>
      <c r="N827" s="422"/>
      <c r="O827" s="75" t="str">
        <f t="shared" si="3"/>
        <v/>
      </c>
      <c r="P827" s="403">
        <v>0.0</v>
      </c>
      <c r="Q827" s="403">
        <v>0.0</v>
      </c>
      <c r="R827" s="403"/>
      <c r="S827" s="403"/>
      <c r="T827" s="403"/>
      <c r="U827" s="403"/>
      <c r="V827" s="403"/>
      <c r="W827" s="403"/>
      <c r="X827" s="403"/>
      <c r="Y827" s="403"/>
      <c r="Z827" s="403"/>
    </row>
    <row r="828">
      <c r="A828" s="403"/>
      <c r="B828" s="417"/>
      <c r="C828" s="415"/>
      <c r="D828" s="417"/>
      <c r="E828" s="417"/>
      <c r="F828" s="417"/>
      <c r="G828" s="418"/>
      <c r="H828" s="417"/>
      <c r="I828" s="418"/>
      <c r="J828" s="432"/>
      <c r="K828" s="420"/>
      <c r="L828" s="417"/>
      <c r="M828" s="415"/>
      <c r="N828" s="422"/>
      <c r="O828" s="75" t="str">
        <f t="shared" si="3"/>
        <v/>
      </c>
      <c r="P828" s="403">
        <v>0.0</v>
      </c>
      <c r="Q828" s="403">
        <v>0.0</v>
      </c>
      <c r="R828" s="403"/>
      <c r="S828" s="403"/>
      <c r="T828" s="403"/>
      <c r="U828" s="403"/>
      <c r="V828" s="403"/>
      <c r="W828" s="403"/>
      <c r="X828" s="403"/>
      <c r="Y828" s="403"/>
      <c r="Z828" s="403"/>
    </row>
    <row r="829">
      <c r="A829" s="403"/>
      <c r="B829" s="417"/>
      <c r="C829" s="415"/>
      <c r="D829" s="417"/>
      <c r="E829" s="417"/>
      <c r="F829" s="417"/>
      <c r="G829" s="418"/>
      <c r="H829" s="417"/>
      <c r="I829" s="418"/>
      <c r="J829" s="432"/>
      <c r="K829" s="420"/>
      <c r="L829" s="417"/>
      <c r="M829" s="415"/>
      <c r="N829" s="422"/>
      <c r="O829" s="75" t="str">
        <f t="shared" si="3"/>
        <v/>
      </c>
      <c r="P829" s="403">
        <v>0.0</v>
      </c>
      <c r="Q829" s="403">
        <v>0.0</v>
      </c>
      <c r="R829" s="403"/>
      <c r="S829" s="403"/>
      <c r="T829" s="403"/>
      <c r="U829" s="403"/>
      <c r="V829" s="403"/>
      <c r="W829" s="403"/>
      <c r="X829" s="403"/>
      <c r="Y829" s="403"/>
      <c r="Z829" s="403"/>
    </row>
    <row r="830">
      <c r="A830" s="403"/>
      <c r="B830" s="417"/>
      <c r="C830" s="415"/>
      <c r="D830" s="417"/>
      <c r="E830" s="417"/>
      <c r="F830" s="417"/>
      <c r="G830" s="418"/>
      <c r="H830" s="417"/>
      <c r="I830" s="418"/>
      <c r="J830" s="432"/>
      <c r="K830" s="420"/>
      <c r="L830" s="417"/>
      <c r="M830" s="415"/>
      <c r="N830" s="422"/>
      <c r="O830" s="75" t="str">
        <f t="shared" si="3"/>
        <v/>
      </c>
      <c r="P830" s="403">
        <v>0.0</v>
      </c>
      <c r="Q830" s="403">
        <v>0.0</v>
      </c>
      <c r="R830" s="403"/>
      <c r="S830" s="403"/>
      <c r="T830" s="403"/>
      <c r="U830" s="403"/>
      <c r="V830" s="403"/>
      <c r="W830" s="403"/>
      <c r="X830" s="403"/>
      <c r="Y830" s="403"/>
      <c r="Z830" s="403"/>
    </row>
    <row r="831">
      <c r="A831" s="403"/>
      <c r="B831" s="417"/>
      <c r="C831" s="415"/>
      <c r="D831" s="417"/>
      <c r="E831" s="417"/>
      <c r="F831" s="417"/>
      <c r="G831" s="418"/>
      <c r="H831" s="417"/>
      <c r="I831" s="418"/>
      <c r="J831" s="432"/>
      <c r="K831" s="420"/>
      <c r="L831" s="417"/>
      <c r="M831" s="415"/>
      <c r="N831" s="422"/>
      <c r="O831" s="75" t="str">
        <f t="shared" si="3"/>
        <v/>
      </c>
      <c r="P831" s="403">
        <v>0.0</v>
      </c>
      <c r="Q831" s="403">
        <v>0.0</v>
      </c>
      <c r="R831" s="403"/>
      <c r="S831" s="403"/>
      <c r="T831" s="403"/>
      <c r="U831" s="403"/>
      <c r="V831" s="403"/>
      <c r="W831" s="403"/>
      <c r="X831" s="403"/>
      <c r="Y831" s="403"/>
      <c r="Z831" s="403"/>
    </row>
    <row r="832">
      <c r="A832" s="403"/>
      <c r="B832" s="417"/>
      <c r="C832" s="415"/>
      <c r="D832" s="417"/>
      <c r="E832" s="417"/>
      <c r="F832" s="417"/>
      <c r="G832" s="418"/>
      <c r="H832" s="417"/>
      <c r="I832" s="418"/>
      <c r="J832" s="432"/>
      <c r="K832" s="420"/>
      <c r="L832" s="417"/>
      <c r="M832" s="415"/>
      <c r="N832" s="422"/>
      <c r="O832" s="75" t="str">
        <f t="shared" si="3"/>
        <v/>
      </c>
      <c r="P832" s="403">
        <v>0.0</v>
      </c>
      <c r="Q832" s="403">
        <v>0.0</v>
      </c>
      <c r="R832" s="403"/>
      <c r="S832" s="403"/>
      <c r="T832" s="403"/>
      <c r="U832" s="403"/>
      <c r="V832" s="403"/>
      <c r="W832" s="403"/>
      <c r="X832" s="403"/>
      <c r="Y832" s="403"/>
      <c r="Z832" s="403"/>
    </row>
    <row r="833">
      <c r="A833" s="403"/>
      <c r="B833" s="417"/>
      <c r="C833" s="415"/>
      <c r="D833" s="417"/>
      <c r="E833" s="417"/>
      <c r="F833" s="417"/>
      <c r="G833" s="418"/>
      <c r="H833" s="417"/>
      <c r="I833" s="418"/>
      <c r="J833" s="432"/>
      <c r="K833" s="420"/>
      <c r="L833" s="417"/>
      <c r="M833" s="415"/>
      <c r="N833" s="422"/>
      <c r="O833" s="75" t="str">
        <f t="shared" si="3"/>
        <v/>
      </c>
      <c r="P833" s="403">
        <v>0.0</v>
      </c>
      <c r="Q833" s="403">
        <v>0.0</v>
      </c>
      <c r="R833" s="403"/>
      <c r="S833" s="403"/>
      <c r="T833" s="403"/>
      <c r="U833" s="403"/>
      <c r="V833" s="403"/>
      <c r="W833" s="403"/>
      <c r="X833" s="403"/>
      <c r="Y833" s="403"/>
      <c r="Z833" s="403"/>
    </row>
    <row r="834">
      <c r="A834" s="403"/>
      <c r="B834" s="417"/>
      <c r="C834" s="415"/>
      <c r="D834" s="417"/>
      <c r="E834" s="417"/>
      <c r="F834" s="417"/>
      <c r="G834" s="418"/>
      <c r="H834" s="417"/>
      <c r="I834" s="418"/>
      <c r="J834" s="432"/>
      <c r="K834" s="420"/>
      <c r="L834" s="417"/>
      <c r="M834" s="415"/>
      <c r="N834" s="422"/>
      <c r="O834" s="75" t="str">
        <f t="shared" si="3"/>
        <v/>
      </c>
      <c r="P834" s="403">
        <v>0.0</v>
      </c>
      <c r="Q834" s="403">
        <v>0.0</v>
      </c>
      <c r="R834" s="403"/>
      <c r="S834" s="403"/>
      <c r="T834" s="403"/>
      <c r="U834" s="403"/>
      <c r="V834" s="403"/>
      <c r="W834" s="403"/>
      <c r="X834" s="403"/>
      <c r="Y834" s="403"/>
      <c r="Z834" s="403"/>
    </row>
    <row r="835">
      <c r="A835" s="403"/>
      <c r="B835" s="417"/>
      <c r="C835" s="415"/>
      <c r="D835" s="417"/>
      <c r="E835" s="417"/>
      <c r="F835" s="417"/>
      <c r="G835" s="418"/>
      <c r="H835" s="417"/>
      <c r="I835" s="418"/>
      <c r="J835" s="432"/>
      <c r="K835" s="420"/>
      <c r="L835" s="417"/>
      <c r="M835" s="415"/>
      <c r="N835" s="422"/>
      <c r="O835" s="75" t="str">
        <f t="shared" si="3"/>
        <v/>
      </c>
      <c r="P835" s="403">
        <v>0.0</v>
      </c>
      <c r="Q835" s="403">
        <v>0.0</v>
      </c>
      <c r="R835" s="403"/>
      <c r="S835" s="403"/>
      <c r="T835" s="403"/>
      <c r="U835" s="403"/>
      <c r="V835" s="403"/>
      <c r="W835" s="403"/>
      <c r="X835" s="403"/>
      <c r="Y835" s="403"/>
      <c r="Z835" s="403"/>
    </row>
    <row r="836">
      <c r="A836" s="403"/>
      <c r="B836" s="417"/>
      <c r="C836" s="415"/>
      <c r="D836" s="417"/>
      <c r="E836" s="417"/>
      <c r="F836" s="417"/>
      <c r="G836" s="418"/>
      <c r="H836" s="417"/>
      <c r="I836" s="418"/>
      <c r="J836" s="432"/>
      <c r="K836" s="420"/>
      <c r="L836" s="417"/>
      <c r="M836" s="415"/>
      <c r="N836" s="422"/>
      <c r="O836" s="75" t="str">
        <f t="shared" si="3"/>
        <v/>
      </c>
      <c r="P836" s="403">
        <v>0.0</v>
      </c>
      <c r="Q836" s="403">
        <v>0.0</v>
      </c>
      <c r="R836" s="403"/>
      <c r="S836" s="403"/>
      <c r="T836" s="403"/>
      <c r="U836" s="403"/>
      <c r="V836" s="403"/>
      <c r="W836" s="403"/>
      <c r="X836" s="403"/>
      <c r="Y836" s="403"/>
      <c r="Z836" s="403"/>
    </row>
    <row r="837">
      <c r="A837" s="403"/>
      <c r="B837" s="417"/>
      <c r="C837" s="415"/>
      <c r="D837" s="417"/>
      <c r="E837" s="417"/>
      <c r="F837" s="417"/>
      <c r="G837" s="418"/>
      <c r="H837" s="417"/>
      <c r="I837" s="418"/>
      <c r="J837" s="432"/>
      <c r="K837" s="420"/>
      <c r="L837" s="417"/>
      <c r="M837" s="415"/>
      <c r="N837" s="422"/>
      <c r="O837" s="75" t="str">
        <f t="shared" si="3"/>
        <v/>
      </c>
      <c r="P837" s="403">
        <v>0.0</v>
      </c>
      <c r="Q837" s="403">
        <v>0.0</v>
      </c>
      <c r="R837" s="403"/>
      <c r="S837" s="403"/>
      <c r="T837" s="403"/>
      <c r="U837" s="403"/>
      <c r="V837" s="403"/>
      <c r="W837" s="403"/>
      <c r="X837" s="403"/>
      <c r="Y837" s="403"/>
      <c r="Z837" s="403"/>
    </row>
    <row r="838">
      <c r="A838" s="403"/>
      <c r="B838" s="417"/>
      <c r="C838" s="415"/>
      <c r="D838" s="417"/>
      <c r="E838" s="417"/>
      <c r="F838" s="417"/>
      <c r="G838" s="418"/>
      <c r="H838" s="417"/>
      <c r="I838" s="418"/>
      <c r="J838" s="432"/>
      <c r="K838" s="420"/>
      <c r="L838" s="417"/>
      <c r="M838" s="415"/>
      <c r="N838" s="422"/>
      <c r="O838" s="75" t="str">
        <f t="shared" si="3"/>
        <v/>
      </c>
      <c r="P838" s="403">
        <v>0.0</v>
      </c>
      <c r="Q838" s="403">
        <v>0.0</v>
      </c>
      <c r="R838" s="403"/>
      <c r="S838" s="403"/>
      <c r="T838" s="403"/>
      <c r="U838" s="403"/>
      <c r="V838" s="403"/>
      <c r="W838" s="403"/>
      <c r="X838" s="403"/>
      <c r="Y838" s="403"/>
      <c r="Z838" s="403"/>
    </row>
    <row r="839">
      <c r="A839" s="403"/>
      <c r="B839" s="417"/>
      <c r="C839" s="415"/>
      <c r="D839" s="417"/>
      <c r="E839" s="417"/>
      <c r="F839" s="417"/>
      <c r="G839" s="418"/>
      <c r="H839" s="417"/>
      <c r="I839" s="418"/>
      <c r="J839" s="432"/>
      <c r="K839" s="420"/>
      <c r="L839" s="417"/>
      <c r="M839" s="415"/>
      <c r="N839" s="422"/>
      <c r="O839" s="75" t="str">
        <f t="shared" si="3"/>
        <v/>
      </c>
      <c r="P839" s="403">
        <v>0.0</v>
      </c>
      <c r="Q839" s="403">
        <v>0.0</v>
      </c>
      <c r="R839" s="403"/>
      <c r="S839" s="403"/>
      <c r="T839" s="403"/>
      <c r="U839" s="403"/>
      <c r="V839" s="403"/>
      <c r="W839" s="403"/>
      <c r="X839" s="403"/>
      <c r="Y839" s="403"/>
      <c r="Z839" s="403"/>
    </row>
    <row r="840">
      <c r="A840" s="403"/>
      <c r="B840" s="417"/>
      <c r="C840" s="415"/>
      <c r="D840" s="417"/>
      <c r="E840" s="417"/>
      <c r="F840" s="417"/>
      <c r="G840" s="418"/>
      <c r="H840" s="417"/>
      <c r="I840" s="418"/>
      <c r="J840" s="432"/>
      <c r="K840" s="420"/>
      <c r="L840" s="417"/>
      <c r="M840" s="415"/>
      <c r="N840" s="422"/>
      <c r="O840" s="75" t="str">
        <f t="shared" si="3"/>
        <v/>
      </c>
      <c r="P840" s="403">
        <v>0.0</v>
      </c>
      <c r="Q840" s="403">
        <v>0.0</v>
      </c>
      <c r="R840" s="403"/>
      <c r="S840" s="403"/>
      <c r="T840" s="403"/>
      <c r="U840" s="403"/>
      <c r="V840" s="403"/>
      <c r="W840" s="403"/>
      <c r="X840" s="403"/>
      <c r="Y840" s="403"/>
      <c r="Z840" s="403"/>
    </row>
    <row r="841">
      <c r="A841" s="403"/>
      <c r="B841" s="417"/>
      <c r="C841" s="415"/>
      <c r="D841" s="417"/>
      <c r="E841" s="417"/>
      <c r="F841" s="417"/>
      <c r="G841" s="418"/>
      <c r="H841" s="417"/>
      <c r="I841" s="418"/>
      <c r="J841" s="432"/>
      <c r="K841" s="420"/>
      <c r="L841" s="417"/>
      <c r="M841" s="415"/>
      <c r="N841" s="422"/>
      <c r="O841" s="75" t="str">
        <f t="shared" si="3"/>
        <v/>
      </c>
      <c r="P841" s="403">
        <v>0.0</v>
      </c>
      <c r="Q841" s="403">
        <v>0.0</v>
      </c>
      <c r="R841" s="403"/>
      <c r="S841" s="403"/>
      <c r="T841" s="403"/>
      <c r="U841" s="403"/>
      <c r="V841" s="403"/>
      <c r="W841" s="403"/>
      <c r="X841" s="403"/>
      <c r="Y841" s="403"/>
      <c r="Z841" s="403"/>
    </row>
    <row r="842">
      <c r="A842" s="403"/>
      <c r="B842" s="417"/>
      <c r="C842" s="415"/>
      <c r="D842" s="417"/>
      <c r="E842" s="417"/>
      <c r="F842" s="417"/>
      <c r="G842" s="418"/>
      <c r="H842" s="417"/>
      <c r="I842" s="418"/>
      <c r="J842" s="432"/>
      <c r="K842" s="420"/>
      <c r="L842" s="417"/>
      <c r="M842" s="415"/>
      <c r="N842" s="422"/>
      <c r="O842" s="75" t="str">
        <f t="shared" si="3"/>
        <v/>
      </c>
      <c r="P842" s="403">
        <v>0.0</v>
      </c>
      <c r="Q842" s="403">
        <v>0.0</v>
      </c>
      <c r="R842" s="403"/>
      <c r="S842" s="403"/>
      <c r="T842" s="403"/>
      <c r="U842" s="403"/>
      <c r="V842" s="403"/>
      <c r="W842" s="403"/>
      <c r="X842" s="403"/>
      <c r="Y842" s="403"/>
      <c r="Z842" s="403"/>
    </row>
    <row r="843">
      <c r="A843" s="403"/>
      <c r="B843" s="417"/>
      <c r="C843" s="415"/>
      <c r="D843" s="417"/>
      <c r="E843" s="417"/>
      <c r="F843" s="417"/>
      <c r="G843" s="418"/>
      <c r="H843" s="417"/>
      <c r="I843" s="418"/>
      <c r="J843" s="432"/>
      <c r="K843" s="420"/>
      <c r="L843" s="417"/>
      <c r="M843" s="415"/>
      <c r="N843" s="422"/>
      <c r="O843" s="75" t="str">
        <f t="shared" si="3"/>
        <v/>
      </c>
      <c r="P843" s="403">
        <v>0.0</v>
      </c>
      <c r="Q843" s="403">
        <v>0.0</v>
      </c>
      <c r="R843" s="403"/>
      <c r="S843" s="403"/>
      <c r="T843" s="403"/>
      <c r="U843" s="403"/>
      <c r="V843" s="403"/>
      <c r="W843" s="403"/>
      <c r="X843" s="403"/>
      <c r="Y843" s="403"/>
      <c r="Z843" s="403"/>
    </row>
    <row r="844">
      <c r="A844" s="403"/>
      <c r="B844" s="417"/>
      <c r="C844" s="415"/>
      <c r="D844" s="417"/>
      <c r="E844" s="417"/>
      <c r="F844" s="417"/>
      <c r="G844" s="418"/>
      <c r="H844" s="417"/>
      <c r="I844" s="418"/>
      <c r="J844" s="432"/>
      <c r="K844" s="420"/>
      <c r="L844" s="417"/>
      <c r="M844" s="415"/>
      <c r="N844" s="422"/>
      <c r="O844" s="75" t="str">
        <f t="shared" si="3"/>
        <v/>
      </c>
      <c r="P844" s="403">
        <v>0.0</v>
      </c>
      <c r="Q844" s="403">
        <v>0.0</v>
      </c>
      <c r="R844" s="403"/>
      <c r="S844" s="403"/>
      <c r="T844" s="403"/>
      <c r="U844" s="403"/>
      <c r="V844" s="403"/>
      <c r="W844" s="403"/>
      <c r="X844" s="403"/>
      <c r="Y844" s="403"/>
      <c r="Z844" s="403"/>
    </row>
    <row r="845">
      <c r="A845" s="403"/>
      <c r="B845" s="417"/>
      <c r="C845" s="415"/>
      <c r="D845" s="417"/>
      <c r="E845" s="417"/>
      <c r="F845" s="417"/>
      <c r="G845" s="418"/>
      <c r="H845" s="417"/>
      <c r="I845" s="418"/>
      <c r="J845" s="432"/>
      <c r="K845" s="420"/>
      <c r="L845" s="417"/>
      <c r="M845" s="415"/>
      <c r="N845" s="422"/>
      <c r="O845" s="75" t="str">
        <f t="shared" si="3"/>
        <v/>
      </c>
      <c r="P845" s="403">
        <v>0.0</v>
      </c>
      <c r="Q845" s="403">
        <v>0.0</v>
      </c>
      <c r="R845" s="403"/>
      <c r="S845" s="403"/>
      <c r="T845" s="403"/>
      <c r="U845" s="403"/>
      <c r="V845" s="403"/>
      <c r="W845" s="403"/>
      <c r="X845" s="403"/>
      <c r="Y845" s="403"/>
      <c r="Z845" s="403"/>
    </row>
    <row r="846">
      <c r="A846" s="403"/>
      <c r="B846" s="417"/>
      <c r="C846" s="415"/>
      <c r="D846" s="417"/>
      <c r="E846" s="417"/>
      <c r="F846" s="417"/>
      <c r="G846" s="418"/>
      <c r="H846" s="417"/>
      <c r="I846" s="418"/>
      <c r="J846" s="432"/>
      <c r="K846" s="420"/>
      <c r="L846" s="417"/>
      <c r="M846" s="415"/>
      <c r="N846" s="422"/>
      <c r="O846" s="75" t="str">
        <f t="shared" si="3"/>
        <v/>
      </c>
      <c r="P846" s="403">
        <v>0.0</v>
      </c>
      <c r="Q846" s="403">
        <v>0.0</v>
      </c>
      <c r="R846" s="403"/>
      <c r="S846" s="403"/>
      <c r="T846" s="403"/>
      <c r="U846" s="403"/>
      <c r="V846" s="403"/>
      <c r="W846" s="403"/>
      <c r="X846" s="403"/>
      <c r="Y846" s="403"/>
      <c r="Z846" s="403"/>
    </row>
    <row r="847">
      <c r="A847" s="403"/>
      <c r="B847" s="417"/>
      <c r="C847" s="415"/>
      <c r="D847" s="417"/>
      <c r="E847" s="417"/>
      <c r="F847" s="417"/>
      <c r="G847" s="418"/>
      <c r="H847" s="417"/>
      <c r="I847" s="418"/>
      <c r="J847" s="432"/>
      <c r="K847" s="420"/>
      <c r="L847" s="417"/>
      <c r="M847" s="415"/>
      <c r="N847" s="422"/>
      <c r="O847" s="75" t="str">
        <f t="shared" si="3"/>
        <v/>
      </c>
      <c r="P847" s="403">
        <v>0.0</v>
      </c>
      <c r="Q847" s="403">
        <v>0.0</v>
      </c>
      <c r="R847" s="403"/>
      <c r="S847" s="403"/>
      <c r="T847" s="403"/>
      <c r="U847" s="403"/>
      <c r="V847" s="403"/>
      <c r="W847" s="403"/>
      <c r="X847" s="403"/>
      <c r="Y847" s="403"/>
      <c r="Z847" s="403"/>
    </row>
    <row r="848">
      <c r="A848" s="403"/>
      <c r="B848" s="417"/>
      <c r="C848" s="415"/>
      <c r="D848" s="417"/>
      <c r="E848" s="417"/>
      <c r="F848" s="417"/>
      <c r="G848" s="418"/>
      <c r="H848" s="417"/>
      <c r="I848" s="418"/>
      <c r="J848" s="432"/>
      <c r="K848" s="420"/>
      <c r="L848" s="417"/>
      <c r="M848" s="415"/>
      <c r="N848" s="422"/>
      <c r="O848" s="75" t="str">
        <f t="shared" si="3"/>
        <v/>
      </c>
      <c r="P848" s="403">
        <v>0.0</v>
      </c>
      <c r="Q848" s="403">
        <v>0.0</v>
      </c>
      <c r="R848" s="403"/>
      <c r="S848" s="403"/>
      <c r="T848" s="403"/>
      <c r="U848" s="403"/>
      <c r="V848" s="403"/>
      <c r="W848" s="403"/>
      <c r="X848" s="403"/>
      <c r="Y848" s="403"/>
      <c r="Z848" s="403"/>
    </row>
    <row r="849">
      <c r="A849" s="403"/>
      <c r="B849" s="417"/>
      <c r="C849" s="415"/>
      <c r="D849" s="417"/>
      <c r="E849" s="417"/>
      <c r="F849" s="417"/>
      <c r="G849" s="418"/>
      <c r="H849" s="417"/>
      <c r="I849" s="418"/>
      <c r="J849" s="432"/>
      <c r="K849" s="420"/>
      <c r="L849" s="417"/>
      <c r="M849" s="415"/>
      <c r="N849" s="422"/>
      <c r="O849" s="75" t="str">
        <f t="shared" si="3"/>
        <v/>
      </c>
      <c r="P849" s="403">
        <v>0.0</v>
      </c>
      <c r="Q849" s="403">
        <v>0.0</v>
      </c>
      <c r="R849" s="403"/>
      <c r="S849" s="403"/>
      <c r="T849" s="403"/>
      <c r="U849" s="403"/>
      <c r="V849" s="403"/>
      <c r="W849" s="403"/>
      <c r="X849" s="403"/>
      <c r="Y849" s="403"/>
      <c r="Z849" s="403"/>
    </row>
    <row r="850">
      <c r="A850" s="403"/>
      <c r="B850" s="417"/>
      <c r="C850" s="415"/>
      <c r="D850" s="417"/>
      <c r="E850" s="417"/>
      <c r="F850" s="417"/>
      <c r="G850" s="418"/>
      <c r="H850" s="417"/>
      <c r="I850" s="418"/>
      <c r="J850" s="432"/>
      <c r="K850" s="420"/>
      <c r="L850" s="417"/>
      <c r="M850" s="415"/>
      <c r="N850" s="422"/>
      <c r="O850" s="75" t="str">
        <f t="shared" si="3"/>
        <v/>
      </c>
      <c r="P850" s="403">
        <v>0.0</v>
      </c>
      <c r="Q850" s="403">
        <v>0.0</v>
      </c>
      <c r="R850" s="403"/>
      <c r="S850" s="403"/>
      <c r="T850" s="403"/>
      <c r="U850" s="403"/>
      <c r="V850" s="403"/>
      <c r="W850" s="403"/>
      <c r="X850" s="403"/>
      <c r="Y850" s="403"/>
      <c r="Z850" s="403"/>
    </row>
    <row r="851">
      <c r="A851" s="403"/>
      <c r="B851" s="417"/>
      <c r="C851" s="415"/>
      <c r="D851" s="417"/>
      <c r="E851" s="417"/>
      <c r="F851" s="417"/>
      <c r="G851" s="418"/>
      <c r="H851" s="417"/>
      <c r="I851" s="418"/>
      <c r="J851" s="432"/>
      <c r="K851" s="420"/>
      <c r="L851" s="417"/>
      <c r="M851" s="415"/>
      <c r="N851" s="422"/>
      <c r="O851" s="75" t="str">
        <f t="shared" si="3"/>
        <v/>
      </c>
      <c r="P851" s="403">
        <v>0.0</v>
      </c>
      <c r="Q851" s="403">
        <v>0.0</v>
      </c>
      <c r="R851" s="403"/>
      <c r="S851" s="403"/>
      <c r="T851" s="403"/>
      <c r="U851" s="403"/>
      <c r="V851" s="403"/>
      <c r="W851" s="403"/>
      <c r="X851" s="403"/>
      <c r="Y851" s="403"/>
      <c r="Z851" s="403"/>
    </row>
    <row r="852">
      <c r="A852" s="403"/>
      <c r="B852" s="417"/>
      <c r="C852" s="415"/>
      <c r="D852" s="417"/>
      <c r="E852" s="417"/>
      <c r="F852" s="417"/>
      <c r="G852" s="418"/>
      <c r="H852" s="417"/>
      <c r="I852" s="418"/>
      <c r="J852" s="432"/>
      <c r="K852" s="420"/>
      <c r="L852" s="417"/>
      <c r="M852" s="415"/>
      <c r="N852" s="422"/>
      <c r="O852" s="75" t="str">
        <f t="shared" si="3"/>
        <v/>
      </c>
      <c r="P852" s="403">
        <v>0.0</v>
      </c>
      <c r="Q852" s="403">
        <v>0.0</v>
      </c>
      <c r="R852" s="403"/>
      <c r="S852" s="403"/>
      <c r="T852" s="403"/>
      <c r="U852" s="403"/>
      <c r="V852" s="403"/>
      <c r="W852" s="403"/>
      <c r="X852" s="403"/>
      <c r="Y852" s="403"/>
      <c r="Z852" s="403"/>
    </row>
    <row r="853">
      <c r="A853" s="403"/>
      <c r="B853" s="417"/>
      <c r="C853" s="415"/>
      <c r="D853" s="417"/>
      <c r="E853" s="417"/>
      <c r="F853" s="417"/>
      <c r="G853" s="418"/>
      <c r="H853" s="417"/>
      <c r="I853" s="418"/>
      <c r="J853" s="432"/>
      <c r="K853" s="420"/>
      <c r="L853" s="417"/>
      <c r="M853" s="415"/>
      <c r="N853" s="422"/>
      <c r="O853" s="75" t="str">
        <f t="shared" si="3"/>
        <v/>
      </c>
      <c r="P853" s="403">
        <v>0.0</v>
      </c>
      <c r="Q853" s="403">
        <v>0.0</v>
      </c>
      <c r="R853" s="403"/>
      <c r="S853" s="403"/>
      <c r="T853" s="403"/>
      <c r="U853" s="403"/>
      <c r="V853" s="403"/>
      <c r="W853" s="403"/>
      <c r="X853" s="403"/>
      <c r="Y853" s="403"/>
      <c r="Z853" s="403"/>
    </row>
    <row r="854">
      <c r="A854" s="403"/>
      <c r="B854" s="417"/>
      <c r="C854" s="415"/>
      <c r="D854" s="417"/>
      <c r="E854" s="417"/>
      <c r="F854" s="417"/>
      <c r="G854" s="418"/>
      <c r="H854" s="417"/>
      <c r="I854" s="418"/>
      <c r="J854" s="432"/>
      <c r="K854" s="420"/>
      <c r="L854" s="417"/>
      <c r="M854" s="415"/>
      <c r="N854" s="422"/>
      <c r="O854" s="75" t="str">
        <f t="shared" si="3"/>
        <v/>
      </c>
      <c r="P854" s="403">
        <v>0.0</v>
      </c>
      <c r="Q854" s="403">
        <v>0.0</v>
      </c>
      <c r="R854" s="403"/>
      <c r="S854" s="403"/>
      <c r="T854" s="403"/>
      <c r="U854" s="403"/>
      <c r="V854" s="403"/>
      <c r="W854" s="403"/>
      <c r="X854" s="403"/>
      <c r="Y854" s="403"/>
      <c r="Z854" s="403"/>
    </row>
    <row r="855">
      <c r="A855" s="403"/>
      <c r="B855" s="417"/>
      <c r="C855" s="415"/>
      <c r="D855" s="417"/>
      <c r="E855" s="417"/>
      <c r="F855" s="417"/>
      <c r="G855" s="418"/>
      <c r="H855" s="417"/>
      <c r="I855" s="418"/>
      <c r="J855" s="432"/>
      <c r="K855" s="420"/>
      <c r="L855" s="417"/>
      <c r="M855" s="415"/>
      <c r="N855" s="422"/>
      <c r="O855" s="75" t="str">
        <f t="shared" si="3"/>
        <v/>
      </c>
      <c r="P855" s="403">
        <v>0.0</v>
      </c>
      <c r="Q855" s="403">
        <v>0.0</v>
      </c>
      <c r="R855" s="403"/>
      <c r="S855" s="403"/>
      <c r="T855" s="403"/>
      <c r="U855" s="403"/>
      <c r="V855" s="403"/>
      <c r="W855" s="403"/>
      <c r="X855" s="403"/>
      <c r="Y855" s="403"/>
      <c r="Z855" s="403"/>
    </row>
    <row r="856">
      <c r="A856" s="403"/>
      <c r="B856" s="417"/>
      <c r="C856" s="415"/>
      <c r="D856" s="417"/>
      <c r="E856" s="417"/>
      <c r="F856" s="417"/>
      <c r="G856" s="418"/>
      <c r="H856" s="417"/>
      <c r="I856" s="418"/>
      <c r="J856" s="432"/>
      <c r="K856" s="420"/>
      <c r="L856" s="417"/>
      <c r="M856" s="415"/>
      <c r="N856" s="422"/>
      <c r="O856" s="75" t="str">
        <f t="shared" si="3"/>
        <v/>
      </c>
      <c r="P856" s="403">
        <v>0.0</v>
      </c>
      <c r="Q856" s="403">
        <v>0.0</v>
      </c>
      <c r="R856" s="403"/>
      <c r="S856" s="403"/>
      <c r="T856" s="403"/>
      <c r="U856" s="403"/>
      <c r="V856" s="403"/>
      <c r="W856" s="403"/>
      <c r="X856" s="403"/>
      <c r="Y856" s="403"/>
      <c r="Z856" s="403"/>
    </row>
    <row r="857">
      <c r="A857" s="403"/>
      <c r="B857" s="417"/>
      <c r="C857" s="415"/>
      <c r="D857" s="417"/>
      <c r="E857" s="417"/>
      <c r="F857" s="417"/>
      <c r="G857" s="418"/>
      <c r="H857" s="417"/>
      <c r="I857" s="418"/>
      <c r="J857" s="432"/>
      <c r="K857" s="420"/>
      <c r="L857" s="417"/>
      <c r="M857" s="415"/>
      <c r="N857" s="422"/>
      <c r="O857" s="75" t="str">
        <f t="shared" si="3"/>
        <v/>
      </c>
      <c r="P857" s="403">
        <v>0.0</v>
      </c>
      <c r="Q857" s="403">
        <v>0.0</v>
      </c>
      <c r="R857" s="403"/>
      <c r="S857" s="403"/>
      <c r="T857" s="403"/>
      <c r="U857" s="403"/>
      <c r="V857" s="403"/>
      <c r="W857" s="403"/>
      <c r="X857" s="403"/>
      <c r="Y857" s="403"/>
      <c r="Z857" s="403"/>
    </row>
    <row r="858">
      <c r="A858" s="403"/>
      <c r="B858" s="417"/>
      <c r="C858" s="415"/>
      <c r="D858" s="417"/>
      <c r="E858" s="417"/>
      <c r="F858" s="417"/>
      <c r="G858" s="418"/>
      <c r="H858" s="417"/>
      <c r="I858" s="418"/>
      <c r="J858" s="432"/>
      <c r="K858" s="420"/>
      <c r="L858" s="417"/>
      <c r="M858" s="415"/>
      <c r="N858" s="422"/>
      <c r="O858" s="75" t="str">
        <f t="shared" si="3"/>
        <v/>
      </c>
      <c r="P858" s="403">
        <v>0.0</v>
      </c>
      <c r="Q858" s="403">
        <v>0.0</v>
      </c>
      <c r="R858" s="403"/>
      <c r="S858" s="403"/>
      <c r="T858" s="403"/>
      <c r="U858" s="403"/>
      <c r="V858" s="403"/>
      <c r="W858" s="403"/>
      <c r="X858" s="403"/>
      <c r="Y858" s="403"/>
      <c r="Z858" s="403"/>
    </row>
    <row r="859">
      <c r="A859" s="403"/>
      <c r="B859" s="417"/>
      <c r="C859" s="415"/>
      <c r="D859" s="417"/>
      <c r="E859" s="417"/>
      <c r="F859" s="417"/>
      <c r="G859" s="418"/>
      <c r="H859" s="417"/>
      <c r="I859" s="418"/>
      <c r="J859" s="432"/>
      <c r="K859" s="420"/>
      <c r="L859" s="417"/>
      <c r="M859" s="415"/>
      <c r="N859" s="422"/>
      <c r="O859" s="75" t="str">
        <f t="shared" si="3"/>
        <v/>
      </c>
      <c r="P859" s="403">
        <v>0.0</v>
      </c>
      <c r="Q859" s="403">
        <v>0.0</v>
      </c>
      <c r="R859" s="403"/>
      <c r="S859" s="403"/>
      <c r="T859" s="403"/>
      <c r="U859" s="403"/>
      <c r="V859" s="403"/>
      <c r="W859" s="403"/>
      <c r="X859" s="403"/>
      <c r="Y859" s="403"/>
      <c r="Z859" s="403"/>
    </row>
    <row r="860">
      <c r="A860" s="403"/>
      <c r="B860" s="417"/>
      <c r="C860" s="415"/>
      <c r="D860" s="417"/>
      <c r="E860" s="417"/>
      <c r="F860" s="417"/>
      <c r="G860" s="418"/>
      <c r="H860" s="417"/>
      <c r="I860" s="418"/>
      <c r="J860" s="432"/>
      <c r="K860" s="420"/>
      <c r="L860" s="417"/>
      <c r="M860" s="415"/>
      <c r="N860" s="422"/>
      <c r="O860" s="75" t="str">
        <f t="shared" si="3"/>
        <v/>
      </c>
      <c r="P860" s="403">
        <v>0.0</v>
      </c>
      <c r="Q860" s="403">
        <v>0.0</v>
      </c>
      <c r="R860" s="403"/>
      <c r="S860" s="403"/>
      <c r="T860" s="403"/>
      <c r="U860" s="403"/>
      <c r="V860" s="403"/>
      <c r="W860" s="403"/>
      <c r="X860" s="403"/>
      <c r="Y860" s="403"/>
      <c r="Z860" s="403"/>
    </row>
    <row r="861">
      <c r="A861" s="403"/>
      <c r="B861" s="417"/>
      <c r="C861" s="415"/>
      <c r="D861" s="417"/>
      <c r="E861" s="417"/>
      <c r="F861" s="417"/>
      <c r="G861" s="418"/>
      <c r="H861" s="417"/>
      <c r="I861" s="418"/>
      <c r="J861" s="432"/>
      <c r="K861" s="420"/>
      <c r="L861" s="417"/>
      <c r="M861" s="415"/>
      <c r="N861" s="422"/>
      <c r="O861" s="75" t="str">
        <f t="shared" si="3"/>
        <v/>
      </c>
      <c r="P861" s="403">
        <v>0.0</v>
      </c>
      <c r="Q861" s="403">
        <v>0.0</v>
      </c>
      <c r="R861" s="403"/>
      <c r="S861" s="403"/>
      <c r="T861" s="403"/>
      <c r="U861" s="403"/>
      <c r="V861" s="403"/>
      <c r="W861" s="403"/>
      <c r="X861" s="403"/>
      <c r="Y861" s="403"/>
      <c r="Z861" s="403"/>
    </row>
    <row r="862">
      <c r="A862" s="403"/>
      <c r="B862" s="417"/>
      <c r="C862" s="415"/>
      <c r="D862" s="417"/>
      <c r="E862" s="417"/>
      <c r="F862" s="417"/>
      <c r="G862" s="418"/>
      <c r="H862" s="417"/>
      <c r="I862" s="418"/>
      <c r="J862" s="432"/>
      <c r="K862" s="420"/>
      <c r="L862" s="417"/>
      <c r="M862" s="415"/>
      <c r="N862" s="422"/>
      <c r="O862" s="75" t="str">
        <f t="shared" si="3"/>
        <v/>
      </c>
      <c r="P862" s="403">
        <v>0.0</v>
      </c>
      <c r="Q862" s="403">
        <v>0.0</v>
      </c>
      <c r="R862" s="403"/>
      <c r="S862" s="403"/>
      <c r="T862" s="403"/>
      <c r="U862" s="403"/>
      <c r="V862" s="403"/>
      <c r="W862" s="403"/>
      <c r="X862" s="403"/>
      <c r="Y862" s="403"/>
      <c r="Z862" s="403"/>
    </row>
    <row r="863">
      <c r="A863" s="403"/>
      <c r="B863" s="417"/>
      <c r="C863" s="415"/>
      <c r="D863" s="417"/>
      <c r="E863" s="417"/>
      <c r="F863" s="417"/>
      <c r="G863" s="418"/>
      <c r="H863" s="417"/>
      <c r="I863" s="418"/>
      <c r="J863" s="432"/>
      <c r="K863" s="420"/>
      <c r="L863" s="417"/>
      <c r="M863" s="415"/>
      <c r="N863" s="422"/>
      <c r="O863" s="75" t="str">
        <f t="shared" si="3"/>
        <v/>
      </c>
      <c r="P863" s="403">
        <v>0.0</v>
      </c>
      <c r="Q863" s="403">
        <v>0.0</v>
      </c>
      <c r="R863" s="403"/>
      <c r="S863" s="403"/>
      <c r="T863" s="403"/>
      <c r="U863" s="403"/>
      <c r="V863" s="403"/>
      <c r="W863" s="403"/>
      <c r="X863" s="403"/>
      <c r="Y863" s="403"/>
      <c r="Z863" s="403"/>
    </row>
    <row r="864">
      <c r="A864" s="403"/>
      <c r="B864" s="417"/>
      <c r="C864" s="415"/>
      <c r="D864" s="417"/>
      <c r="E864" s="417"/>
      <c r="F864" s="417"/>
      <c r="G864" s="418"/>
      <c r="H864" s="417"/>
      <c r="I864" s="418"/>
      <c r="J864" s="432"/>
      <c r="K864" s="420"/>
      <c r="L864" s="417"/>
      <c r="M864" s="415"/>
      <c r="N864" s="422"/>
      <c r="O864" s="75" t="str">
        <f t="shared" si="3"/>
        <v/>
      </c>
      <c r="P864" s="403">
        <v>0.0</v>
      </c>
      <c r="Q864" s="403">
        <v>0.0</v>
      </c>
      <c r="R864" s="403"/>
      <c r="S864" s="403"/>
      <c r="T864" s="403"/>
      <c r="U864" s="403"/>
      <c r="V864" s="403"/>
      <c r="W864" s="403"/>
      <c r="X864" s="403"/>
      <c r="Y864" s="403"/>
      <c r="Z864" s="403"/>
    </row>
    <row r="865">
      <c r="A865" s="403"/>
      <c r="B865" s="417"/>
      <c r="C865" s="415"/>
      <c r="D865" s="417"/>
      <c r="E865" s="417"/>
      <c r="F865" s="417"/>
      <c r="G865" s="418"/>
      <c r="H865" s="417"/>
      <c r="I865" s="418"/>
      <c r="J865" s="432"/>
      <c r="K865" s="420"/>
      <c r="L865" s="417"/>
      <c r="M865" s="415"/>
      <c r="N865" s="422"/>
      <c r="O865" s="75" t="str">
        <f t="shared" si="3"/>
        <v/>
      </c>
      <c r="P865" s="403">
        <v>0.0</v>
      </c>
      <c r="Q865" s="403">
        <v>0.0</v>
      </c>
      <c r="R865" s="403"/>
      <c r="S865" s="403"/>
      <c r="T865" s="403"/>
      <c r="U865" s="403"/>
      <c r="V865" s="403"/>
      <c r="W865" s="403"/>
      <c r="X865" s="403"/>
      <c r="Y865" s="403"/>
      <c r="Z865" s="403"/>
    </row>
    <row r="866">
      <c r="A866" s="403"/>
      <c r="B866" s="417"/>
      <c r="C866" s="415"/>
      <c r="D866" s="417"/>
      <c r="E866" s="417"/>
      <c r="F866" s="417"/>
      <c r="G866" s="418"/>
      <c r="H866" s="417"/>
      <c r="I866" s="418"/>
      <c r="J866" s="432"/>
      <c r="K866" s="420"/>
      <c r="L866" s="417"/>
      <c r="M866" s="415"/>
      <c r="N866" s="422"/>
      <c r="O866" s="75" t="str">
        <f t="shared" si="3"/>
        <v/>
      </c>
      <c r="P866" s="403">
        <v>0.0</v>
      </c>
      <c r="Q866" s="403">
        <v>0.0</v>
      </c>
      <c r="R866" s="403"/>
      <c r="S866" s="403"/>
      <c r="T866" s="403"/>
      <c r="U866" s="403"/>
      <c r="V866" s="403"/>
      <c r="W866" s="403"/>
      <c r="X866" s="403"/>
      <c r="Y866" s="403"/>
      <c r="Z866" s="403"/>
    </row>
    <row r="867">
      <c r="A867" s="403"/>
      <c r="B867" s="417"/>
      <c r="C867" s="415"/>
      <c r="D867" s="417"/>
      <c r="E867" s="417"/>
      <c r="F867" s="417"/>
      <c r="G867" s="418"/>
      <c r="H867" s="417"/>
      <c r="I867" s="418"/>
      <c r="J867" s="432"/>
      <c r="K867" s="420"/>
      <c r="L867" s="417"/>
      <c r="M867" s="415"/>
      <c r="N867" s="422"/>
      <c r="O867" s="75" t="str">
        <f t="shared" si="3"/>
        <v/>
      </c>
      <c r="P867" s="403">
        <v>0.0</v>
      </c>
      <c r="Q867" s="403">
        <v>0.0</v>
      </c>
      <c r="R867" s="403"/>
      <c r="S867" s="403"/>
      <c r="T867" s="403"/>
      <c r="U867" s="403"/>
      <c r="V867" s="403"/>
      <c r="W867" s="403"/>
      <c r="X867" s="403"/>
      <c r="Y867" s="403"/>
      <c r="Z867" s="403"/>
    </row>
    <row r="868">
      <c r="A868" s="403"/>
      <c r="B868" s="417"/>
      <c r="C868" s="415"/>
      <c r="D868" s="417"/>
      <c r="E868" s="417"/>
      <c r="F868" s="417"/>
      <c r="G868" s="418"/>
      <c r="H868" s="417"/>
      <c r="I868" s="418"/>
      <c r="J868" s="432"/>
      <c r="K868" s="420"/>
      <c r="L868" s="417"/>
      <c r="M868" s="415"/>
      <c r="N868" s="422"/>
      <c r="O868" s="75" t="str">
        <f t="shared" si="3"/>
        <v/>
      </c>
      <c r="P868" s="403">
        <v>0.0</v>
      </c>
      <c r="Q868" s="403">
        <v>0.0</v>
      </c>
      <c r="R868" s="403"/>
      <c r="S868" s="403"/>
      <c r="T868" s="403"/>
      <c r="U868" s="403"/>
      <c r="V868" s="403"/>
      <c r="W868" s="403"/>
      <c r="X868" s="403"/>
      <c r="Y868" s="403"/>
      <c r="Z868" s="403"/>
    </row>
    <row r="869">
      <c r="A869" s="403"/>
      <c r="B869" s="417"/>
      <c r="C869" s="415"/>
      <c r="D869" s="417"/>
      <c r="E869" s="417"/>
      <c r="F869" s="417"/>
      <c r="G869" s="418"/>
      <c r="H869" s="417"/>
      <c r="I869" s="418"/>
      <c r="J869" s="432"/>
      <c r="K869" s="420"/>
      <c r="L869" s="417"/>
      <c r="M869" s="415"/>
      <c r="N869" s="422"/>
      <c r="O869" s="75" t="str">
        <f t="shared" si="3"/>
        <v/>
      </c>
      <c r="P869" s="403">
        <v>0.0</v>
      </c>
      <c r="Q869" s="403">
        <v>0.0</v>
      </c>
      <c r="R869" s="403"/>
      <c r="S869" s="403"/>
      <c r="T869" s="403"/>
      <c r="U869" s="403"/>
      <c r="V869" s="403"/>
      <c r="W869" s="403"/>
      <c r="X869" s="403"/>
      <c r="Y869" s="403"/>
      <c r="Z869" s="403"/>
    </row>
    <row r="870">
      <c r="A870" s="403"/>
      <c r="B870" s="417"/>
      <c r="C870" s="415"/>
      <c r="D870" s="417"/>
      <c r="E870" s="417"/>
      <c r="F870" s="417"/>
      <c r="G870" s="418"/>
      <c r="H870" s="417"/>
      <c r="I870" s="418"/>
      <c r="J870" s="432"/>
      <c r="K870" s="420"/>
      <c r="L870" s="417"/>
      <c r="M870" s="415"/>
      <c r="N870" s="422"/>
      <c r="O870" s="75" t="str">
        <f t="shared" si="3"/>
        <v/>
      </c>
      <c r="P870" s="403">
        <v>0.0</v>
      </c>
      <c r="Q870" s="403">
        <v>0.0</v>
      </c>
      <c r="R870" s="403"/>
      <c r="S870" s="403"/>
      <c r="T870" s="403"/>
      <c r="U870" s="403"/>
      <c r="V870" s="403"/>
      <c r="W870" s="403"/>
      <c r="X870" s="403"/>
      <c r="Y870" s="403"/>
      <c r="Z870" s="403"/>
    </row>
    <row r="871">
      <c r="A871" s="403"/>
      <c r="B871" s="417"/>
      <c r="C871" s="415"/>
      <c r="D871" s="417"/>
      <c r="E871" s="417"/>
      <c r="F871" s="417"/>
      <c r="G871" s="418"/>
      <c r="H871" s="417"/>
      <c r="I871" s="418"/>
      <c r="J871" s="432"/>
      <c r="K871" s="420"/>
      <c r="L871" s="417"/>
      <c r="M871" s="415"/>
      <c r="N871" s="422"/>
      <c r="O871" s="75" t="str">
        <f t="shared" si="3"/>
        <v/>
      </c>
      <c r="P871" s="403">
        <v>0.0</v>
      </c>
      <c r="Q871" s="403">
        <v>0.0</v>
      </c>
      <c r="R871" s="403"/>
      <c r="S871" s="403"/>
      <c r="T871" s="403"/>
      <c r="U871" s="403"/>
      <c r="V871" s="403"/>
      <c r="W871" s="403"/>
      <c r="X871" s="403"/>
      <c r="Y871" s="403"/>
      <c r="Z871" s="403"/>
    </row>
    <row r="872">
      <c r="A872" s="403"/>
      <c r="B872" s="417"/>
      <c r="C872" s="415"/>
      <c r="D872" s="417"/>
      <c r="E872" s="417"/>
      <c r="F872" s="417"/>
      <c r="G872" s="418"/>
      <c r="H872" s="417"/>
      <c r="I872" s="418"/>
      <c r="J872" s="432"/>
      <c r="K872" s="420"/>
      <c r="L872" s="417"/>
      <c r="M872" s="415"/>
      <c r="N872" s="422"/>
      <c r="O872" s="75" t="str">
        <f t="shared" si="3"/>
        <v/>
      </c>
      <c r="P872" s="403">
        <v>0.0</v>
      </c>
      <c r="Q872" s="403">
        <v>0.0</v>
      </c>
      <c r="R872" s="403"/>
      <c r="S872" s="403"/>
      <c r="T872" s="403"/>
      <c r="U872" s="403"/>
      <c r="V872" s="403"/>
      <c r="W872" s="403"/>
      <c r="X872" s="403"/>
      <c r="Y872" s="403"/>
      <c r="Z872" s="403"/>
    </row>
    <row r="873">
      <c r="A873" s="403"/>
      <c r="B873" s="417"/>
      <c r="C873" s="415"/>
      <c r="D873" s="417"/>
      <c r="E873" s="417"/>
      <c r="F873" s="417"/>
      <c r="G873" s="418"/>
      <c r="H873" s="417"/>
      <c r="I873" s="418"/>
      <c r="J873" s="432"/>
      <c r="K873" s="420"/>
      <c r="L873" s="417"/>
      <c r="M873" s="415"/>
      <c r="N873" s="422"/>
      <c r="O873" s="75" t="str">
        <f t="shared" si="3"/>
        <v/>
      </c>
      <c r="P873" s="403">
        <v>0.0</v>
      </c>
      <c r="Q873" s="403">
        <v>0.0</v>
      </c>
      <c r="R873" s="403"/>
      <c r="S873" s="403"/>
      <c r="T873" s="403"/>
      <c r="U873" s="403"/>
      <c r="V873" s="403"/>
      <c r="W873" s="403"/>
      <c r="X873" s="403"/>
      <c r="Y873" s="403"/>
      <c r="Z873" s="403"/>
    </row>
    <row r="874">
      <c r="A874" s="403"/>
      <c r="B874" s="417"/>
      <c r="C874" s="415"/>
      <c r="D874" s="417"/>
      <c r="E874" s="417"/>
      <c r="F874" s="417"/>
      <c r="G874" s="418"/>
      <c r="H874" s="417"/>
      <c r="I874" s="418"/>
      <c r="J874" s="432"/>
      <c r="K874" s="420"/>
      <c r="L874" s="417"/>
      <c r="M874" s="415"/>
      <c r="N874" s="422"/>
      <c r="O874" s="75" t="str">
        <f t="shared" si="3"/>
        <v/>
      </c>
      <c r="P874" s="403">
        <v>0.0</v>
      </c>
      <c r="Q874" s="403">
        <v>0.0</v>
      </c>
      <c r="R874" s="403"/>
      <c r="S874" s="403"/>
      <c r="T874" s="403"/>
      <c r="U874" s="403"/>
      <c r="V874" s="403"/>
      <c r="W874" s="403"/>
      <c r="X874" s="403"/>
      <c r="Y874" s="403"/>
      <c r="Z874" s="403"/>
    </row>
    <row r="875">
      <c r="A875" s="403"/>
      <c r="B875" s="417"/>
      <c r="C875" s="415"/>
      <c r="D875" s="417"/>
      <c r="E875" s="417"/>
      <c r="F875" s="417"/>
      <c r="G875" s="418"/>
      <c r="H875" s="417"/>
      <c r="I875" s="418"/>
      <c r="J875" s="432"/>
      <c r="K875" s="420"/>
      <c r="L875" s="417"/>
      <c r="M875" s="415"/>
      <c r="N875" s="422"/>
      <c r="O875" s="75" t="str">
        <f t="shared" si="3"/>
        <v/>
      </c>
      <c r="P875" s="403">
        <v>0.0</v>
      </c>
      <c r="Q875" s="403">
        <v>0.0</v>
      </c>
      <c r="R875" s="403"/>
      <c r="S875" s="403"/>
      <c r="T875" s="403"/>
      <c r="U875" s="403"/>
      <c r="V875" s="403"/>
      <c r="W875" s="403"/>
      <c r="X875" s="403"/>
      <c r="Y875" s="403"/>
      <c r="Z875" s="403"/>
    </row>
    <row r="876">
      <c r="A876" s="403"/>
      <c r="B876" s="417"/>
      <c r="C876" s="415"/>
      <c r="D876" s="417"/>
      <c r="E876" s="417"/>
      <c r="F876" s="417"/>
      <c r="G876" s="418"/>
      <c r="H876" s="417"/>
      <c r="I876" s="418"/>
      <c r="J876" s="432"/>
      <c r="K876" s="420"/>
      <c r="L876" s="417"/>
      <c r="M876" s="415"/>
      <c r="N876" s="422"/>
      <c r="O876" s="75" t="str">
        <f t="shared" si="3"/>
        <v/>
      </c>
      <c r="P876" s="403">
        <v>0.0</v>
      </c>
      <c r="Q876" s="403">
        <v>0.0</v>
      </c>
      <c r="R876" s="403"/>
      <c r="S876" s="403"/>
      <c r="T876" s="403"/>
      <c r="U876" s="403"/>
      <c r="V876" s="403"/>
      <c r="W876" s="403"/>
      <c r="X876" s="403"/>
      <c r="Y876" s="403"/>
      <c r="Z876" s="403"/>
    </row>
    <row r="877">
      <c r="A877" s="403"/>
      <c r="B877" s="417"/>
      <c r="C877" s="415"/>
      <c r="D877" s="417"/>
      <c r="E877" s="417"/>
      <c r="F877" s="417"/>
      <c r="G877" s="418"/>
      <c r="H877" s="417"/>
      <c r="I877" s="418"/>
      <c r="J877" s="432"/>
      <c r="K877" s="420"/>
      <c r="L877" s="417"/>
      <c r="M877" s="415"/>
      <c r="N877" s="422"/>
      <c r="O877" s="75" t="str">
        <f t="shared" si="3"/>
        <v/>
      </c>
      <c r="P877" s="403">
        <v>0.0</v>
      </c>
      <c r="Q877" s="403">
        <v>0.0</v>
      </c>
      <c r="R877" s="403"/>
      <c r="S877" s="403"/>
      <c r="T877" s="403"/>
      <c r="U877" s="403"/>
      <c r="V877" s="403"/>
      <c r="W877" s="403"/>
      <c r="X877" s="403"/>
      <c r="Y877" s="403"/>
      <c r="Z877" s="403"/>
    </row>
    <row r="878">
      <c r="A878" s="403"/>
      <c r="B878" s="417"/>
      <c r="C878" s="415"/>
      <c r="D878" s="417"/>
      <c r="E878" s="417"/>
      <c r="F878" s="417"/>
      <c r="G878" s="418"/>
      <c r="H878" s="417"/>
      <c r="I878" s="418"/>
      <c r="J878" s="432"/>
      <c r="K878" s="420"/>
      <c r="L878" s="417"/>
      <c r="M878" s="415"/>
      <c r="N878" s="422"/>
      <c r="O878" s="75" t="str">
        <f t="shared" si="3"/>
        <v/>
      </c>
      <c r="P878" s="403">
        <v>0.0</v>
      </c>
      <c r="Q878" s="403">
        <v>0.0</v>
      </c>
      <c r="R878" s="403"/>
      <c r="S878" s="403"/>
      <c r="T878" s="403"/>
      <c r="U878" s="403"/>
      <c r="V878" s="403"/>
      <c r="W878" s="403"/>
      <c r="X878" s="403"/>
      <c r="Y878" s="403"/>
      <c r="Z878" s="403"/>
    </row>
    <row r="879">
      <c r="A879" s="403"/>
      <c r="B879" s="417"/>
      <c r="C879" s="415"/>
      <c r="D879" s="417"/>
      <c r="E879" s="417"/>
      <c r="F879" s="417"/>
      <c r="G879" s="418"/>
      <c r="H879" s="417"/>
      <c r="I879" s="418"/>
      <c r="J879" s="432"/>
      <c r="K879" s="420"/>
      <c r="L879" s="417"/>
      <c r="M879" s="415"/>
      <c r="N879" s="422"/>
      <c r="O879" s="75" t="str">
        <f t="shared" si="3"/>
        <v/>
      </c>
      <c r="P879" s="403">
        <v>0.0</v>
      </c>
      <c r="Q879" s="403">
        <v>0.0</v>
      </c>
      <c r="R879" s="403"/>
      <c r="S879" s="403"/>
      <c r="T879" s="403"/>
      <c r="U879" s="403"/>
      <c r="V879" s="403"/>
      <c r="W879" s="403"/>
      <c r="X879" s="403"/>
      <c r="Y879" s="403"/>
      <c r="Z879" s="403"/>
    </row>
    <row r="880">
      <c r="A880" s="403"/>
      <c r="B880" s="417"/>
      <c r="C880" s="415"/>
      <c r="D880" s="417"/>
      <c r="E880" s="417"/>
      <c r="F880" s="417"/>
      <c r="G880" s="418"/>
      <c r="H880" s="417"/>
      <c r="I880" s="418"/>
      <c r="J880" s="432"/>
      <c r="K880" s="420"/>
      <c r="L880" s="417"/>
      <c r="M880" s="415"/>
      <c r="N880" s="422"/>
      <c r="O880" s="75" t="str">
        <f t="shared" si="3"/>
        <v/>
      </c>
      <c r="P880" s="403">
        <v>0.0</v>
      </c>
      <c r="Q880" s="403">
        <v>0.0</v>
      </c>
      <c r="R880" s="403"/>
      <c r="S880" s="403"/>
      <c r="T880" s="403"/>
      <c r="U880" s="403"/>
      <c r="V880" s="403"/>
      <c r="W880" s="403"/>
      <c r="X880" s="403"/>
      <c r="Y880" s="403"/>
      <c r="Z880" s="403"/>
    </row>
    <row r="881">
      <c r="A881" s="403"/>
      <c r="B881" s="417"/>
      <c r="C881" s="415"/>
      <c r="D881" s="417"/>
      <c r="E881" s="417"/>
      <c r="F881" s="417"/>
      <c r="G881" s="418"/>
      <c r="H881" s="417"/>
      <c r="I881" s="418"/>
      <c r="J881" s="432"/>
      <c r="K881" s="420"/>
      <c r="L881" s="417"/>
      <c r="M881" s="415"/>
      <c r="N881" s="422"/>
      <c r="O881" s="75" t="str">
        <f t="shared" si="3"/>
        <v/>
      </c>
      <c r="P881" s="403">
        <v>0.0</v>
      </c>
      <c r="Q881" s="403">
        <v>0.0</v>
      </c>
      <c r="R881" s="403"/>
      <c r="S881" s="403"/>
      <c r="T881" s="403"/>
      <c r="U881" s="403"/>
      <c r="V881" s="403"/>
      <c r="W881" s="403"/>
      <c r="X881" s="403"/>
      <c r="Y881" s="403"/>
      <c r="Z881" s="403"/>
    </row>
    <row r="882">
      <c r="A882" s="403"/>
      <c r="B882" s="417"/>
      <c r="C882" s="415"/>
      <c r="D882" s="417"/>
      <c r="E882" s="417"/>
      <c r="F882" s="417"/>
      <c r="G882" s="418"/>
      <c r="H882" s="417"/>
      <c r="I882" s="418"/>
      <c r="J882" s="432"/>
      <c r="K882" s="420"/>
      <c r="L882" s="417"/>
      <c r="M882" s="415"/>
      <c r="N882" s="422"/>
      <c r="O882" s="75" t="str">
        <f t="shared" si="3"/>
        <v/>
      </c>
      <c r="P882" s="403">
        <v>0.0</v>
      </c>
      <c r="Q882" s="403">
        <v>0.0</v>
      </c>
      <c r="R882" s="403"/>
      <c r="S882" s="403"/>
      <c r="T882" s="403"/>
      <c r="U882" s="403"/>
      <c r="V882" s="403"/>
      <c r="W882" s="403"/>
      <c r="X882" s="403"/>
      <c r="Y882" s="403"/>
      <c r="Z882" s="403"/>
    </row>
    <row r="883">
      <c r="A883" s="403"/>
      <c r="B883" s="417"/>
      <c r="C883" s="415"/>
      <c r="D883" s="417"/>
      <c r="E883" s="417"/>
      <c r="F883" s="417"/>
      <c r="G883" s="418"/>
      <c r="H883" s="417"/>
      <c r="I883" s="418"/>
      <c r="J883" s="432"/>
      <c r="K883" s="420"/>
      <c r="L883" s="417"/>
      <c r="M883" s="415"/>
      <c r="N883" s="422"/>
      <c r="O883" s="75" t="str">
        <f t="shared" si="3"/>
        <v/>
      </c>
      <c r="P883" s="403">
        <v>0.0</v>
      </c>
      <c r="Q883" s="403">
        <v>0.0</v>
      </c>
      <c r="R883" s="403"/>
      <c r="S883" s="403"/>
      <c r="T883" s="403"/>
      <c r="U883" s="403"/>
      <c r="V883" s="403"/>
      <c r="W883" s="403"/>
      <c r="X883" s="403"/>
      <c r="Y883" s="403"/>
      <c r="Z883" s="403"/>
    </row>
    <row r="884">
      <c r="A884" s="403"/>
      <c r="B884" s="417"/>
      <c r="C884" s="415"/>
      <c r="D884" s="417"/>
      <c r="E884" s="417"/>
      <c r="F884" s="417"/>
      <c r="G884" s="418"/>
      <c r="H884" s="417"/>
      <c r="I884" s="418"/>
      <c r="J884" s="432"/>
      <c r="K884" s="420"/>
      <c r="L884" s="417"/>
      <c r="M884" s="415"/>
      <c r="N884" s="422"/>
      <c r="O884" s="75" t="str">
        <f t="shared" si="3"/>
        <v/>
      </c>
      <c r="P884" s="403">
        <v>0.0</v>
      </c>
      <c r="Q884" s="403">
        <v>0.0</v>
      </c>
      <c r="R884" s="403"/>
      <c r="S884" s="403"/>
      <c r="T884" s="403"/>
      <c r="U884" s="403"/>
      <c r="V884" s="403"/>
      <c r="W884" s="403"/>
      <c r="X884" s="403"/>
      <c r="Y884" s="403"/>
      <c r="Z884" s="403"/>
    </row>
    <row r="885">
      <c r="A885" s="403"/>
      <c r="B885" s="417"/>
      <c r="C885" s="415"/>
      <c r="D885" s="417"/>
      <c r="E885" s="417"/>
      <c r="F885" s="417"/>
      <c r="G885" s="418"/>
      <c r="H885" s="417"/>
      <c r="I885" s="418"/>
      <c r="J885" s="432"/>
      <c r="K885" s="420"/>
      <c r="L885" s="417"/>
      <c r="M885" s="415"/>
      <c r="N885" s="422"/>
      <c r="O885" s="75" t="str">
        <f t="shared" si="3"/>
        <v/>
      </c>
      <c r="P885" s="403">
        <v>0.0</v>
      </c>
      <c r="Q885" s="403">
        <v>0.0</v>
      </c>
      <c r="R885" s="403"/>
      <c r="S885" s="403"/>
      <c r="T885" s="403"/>
      <c r="U885" s="403"/>
      <c r="V885" s="403"/>
      <c r="W885" s="403"/>
      <c r="X885" s="403"/>
      <c r="Y885" s="403"/>
      <c r="Z885" s="403"/>
    </row>
    <row r="886">
      <c r="A886" s="403"/>
      <c r="B886" s="417"/>
      <c r="C886" s="415"/>
      <c r="D886" s="417"/>
      <c r="E886" s="417"/>
      <c r="F886" s="417"/>
      <c r="G886" s="418"/>
      <c r="H886" s="417"/>
      <c r="I886" s="418"/>
      <c r="J886" s="432"/>
      <c r="K886" s="420"/>
      <c r="L886" s="417"/>
      <c r="M886" s="415"/>
      <c r="N886" s="422"/>
      <c r="O886" s="75" t="str">
        <f t="shared" si="3"/>
        <v/>
      </c>
      <c r="P886" s="403">
        <v>0.0</v>
      </c>
      <c r="Q886" s="403">
        <v>0.0</v>
      </c>
      <c r="R886" s="403"/>
      <c r="S886" s="403"/>
      <c r="T886" s="403"/>
      <c r="U886" s="403"/>
      <c r="V886" s="403"/>
      <c r="W886" s="403"/>
      <c r="X886" s="403"/>
      <c r="Y886" s="403"/>
      <c r="Z886" s="403"/>
    </row>
    <row r="887">
      <c r="A887" s="403"/>
      <c r="B887" s="417"/>
      <c r="C887" s="415"/>
      <c r="D887" s="417"/>
      <c r="E887" s="417"/>
      <c r="F887" s="417"/>
      <c r="G887" s="418"/>
      <c r="H887" s="417"/>
      <c r="I887" s="418"/>
      <c r="J887" s="432"/>
      <c r="K887" s="420"/>
      <c r="L887" s="417"/>
      <c r="M887" s="415"/>
      <c r="N887" s="422"/>
      <c r="O887" s="75" t="str">
        <f t="shared" si="3"/>
        <v/>
      </c>
      <c r="P887" s="403">
        <v>0.0</v>
      </c>
      <c r="Q887" s="403">
        <v>0.0</v>
      </c>
      <c r="R887" s="403"/>
      <c r="S887" s="403"/>
      <c r="T887" s="403"/>
      <c r="U887" s="403"/>
      <c r="V887" s="403"/>
      <c r="W887" s="403"/>
      <c r="X887" s="403"/>
      <c r="Y887" s="403"/>
      <c r="Z887" s="403"/>
    </row>
    <row r="888">
      <c r="A888" s="403"/>
      <c r="B888" s="417"/>
      <c r="C888" s="415"/>
      <c r="D888" s="417"/>
      <c r="E888" s="417"/>
      <c r="F888" s="417"/>
      <c r="G888" s="418"/>
      <c r="H888" s="417"/>
      <c r="I888" s="418"/>
      <c r="J888" s="432"/>
      <c r="K888" s="420"/>
      <c r="L888" s="417"/>
      <c r="M888" s="415"/>
      <c r="N888" s="422"/>
      <c r="O888" s="75" t="str">
        <f t="shared" si="3"/>
        <v/>
      </c>
      <c r="P888" s="403">
        <v>0.0</v>
      </c>
      <c r="Q888" s="403">
        <v>0.0</v>
      </c>
      <c r="R888" s="403"/>
      <c r="S888" s="403"/>
      <c r="T888" s="403"/>
      <c r="U888" s="403"/>
      <c r="V888" s="403"/>
      <c r="W888" s="403"/>
      <c r="X888" s="403"/>
      <c r="Y888" s="403"/>
      <c r="Z888" s="403"/>
    </row>
    <row r="889">
      <c r="A889" s="403"/>
      <c r="B889" s="417"/>
      <c r="C889" s="415"/>
      <c r="D889" s="417"/>
      <c r="E889" s="417"/>
      <c r="F889" s="417"/>
      <c r="G889" s="418"/>
      <c r="H889" s="417"/>
      <c r="I889" s="418"/>
      <c r="J889" s="432"/>
      <c r="K889" s="420"/>
      <c r="L889" s="417"/>
      <c r="M889" s="415"/>
      <c r="N889" s="422"/>
      <c r="O889" s="75" t="str">
        <f t="shared" si="3"/>
        <v/>
      </c>
      <c r="P889" s="403">
        <v>0.0</v>
      </c>
      <c r="Q889" s="403">
        <v>0.0</v>
      </c>
      <c r="R889" s="403"/>
      <c r="S889" s="403"/>
      <c r="T889" s="403"/>
      <c r="U889" s="403"/>
      <c r="V889" s="403"/>
      <c r="W889" s="403"/>
      <c r="X889" s="403"/>
      <c r="Y889" s="403"/>
      <c r="Z889" s="403"/>
    </row>
    <row r="890">
      <c r="A890" s="403"/>
      <c r="B890" s="417"/>
      <c r="C890" s="415"/>
      <c r="D890" s="417"/>
      <c r="E890" s="417"/>
      <c r="F890" s="417"/>
      <c r="G890" s="418"/>
      <c r="H890" s="417"/>
      <c r="I890" s="418"/>
      <c r="J890" s="432"/>
      <c r="K890" s="420"/>
      <c r="L890" s="417"/>
      <c r="M890" s="415"/>
      <c r="N890" s="422"/>
      <c r="O890" s="75" t="str">
        <f t="shared" si="3"/>
        <v/>
      </c>
      <c r="P890" s="403">
        <v>0.0</v>
      </c>
      <c r="Q890" s="403">
        <v>0.0</v>
      </c>
      <c r="R890" s="403"/>
      <c r="S890" s="403"/>
      <c r="T890" s="403"/>
      <c r="U890" s="403"/>
      <c r="V890" s="403"/>
      <c r="W890" s="403"/>
      <c r="X890" s="403"/>
      <c r="Y890" s="403"/>
      <c r="Z890" s="403"/>
    </row>
    <row r="891">
      <c r="A891" s="403"/>
      <c r="B891" s="417"/>
      <c r="C891" s="415"/>
      <c r="D891" s="417"/>
      <c r="E891" s="417"/>
      <c r="F891" s="417"/>
      <c r="G891" s="418"/>
      <c r="H891" s="417"/>
      <c r="I891" s="418"/>
      <c r="J891" s="432"/>
      <c r="K891" s="420"/>
      <c r="L891" s="417"/>
      <c r="M891" s="415"/>
      <c r="N891" s="422"/>
      <c r="O891" s="75" t="str">
        <f t="shared" si="3"/>
        <v/>
      </c>
      <c r="P891" s="403">
        <v>0.0</v>
      </c>
      <c r="Q891" s="403">
        <v>0.0</v>
      </c>
      <c r="R891" s="403"/>
      <c r="S891" s="403"/>
      <c r="T891" s="403"/>
      <c r="U891" s="403"/>
      <c r="V891" s="403"/>
      <c r="W891" s="403"/>
      <c r="X891" s="403"/>
      <c r="Y891" s="403"/>
      <c r="Z891" s="403"/>
    </row>
    <row r="892">
      <c r="A892" s="403"/>
      <c r="B892" s="417"/>
      <c r="C892" s="415"/>
      <c r="D892" s="417"/>
      <c r="E892" s="417"/>
      <c r="F892" s="417"/>
      <c r="G892" s="418"/>
      <c r="H892" s="417"/>
      <c r="I892" s="418"/>
      <c r="J892" s="432"/>
      <c r="K892" s="420"/>
      <c r="L892" s="417"/>
      <c r="M892" s="415"/>
      <c r="N892" s="422"/>
      <c r="O892" s="75" t="str">
        <f t="shared" si="3"/>
        <v/>
      </c>
      <c r="P892" s="403">
        <v>0.0</v>
      </c>
      <c r="Q892" s="403">
        <v>0.0</v>
      </c>
      <c r="R892" s="403"/>
      <c r="S892" s="403"/>
      <c r="T892" s="403"/>
      <c r="U892" s="403"/>
      <c r="V892" s="403"/>
      <c r="W892" s="403"/>
      <c r="X892" s="403"/>
      <c r="Y892" s="403"/>
      <c r="Z892" s="403"/>
    </row>
    <row r="893">
      <c r="A893" s="403"/>
      <c r="B893" s="417"/>
      <c r="C893" s="415"/>
      <c r="D893" s="417"/>
      <c r="E893" s="417"/>
      <c r="F893" s="417"/>
      <c r="G893" s="418"/>
      <c r="H893" s="417"/>
      <c r="I893" s="418"/>
      <c r="J893" s="432"/>
      <c r="K893" s="420"/>
      <c r="L893" s="417"/>
      <c r="M893" s="415"/>
      <c r="N893" s="422"/>
      <c r="O893" s="75" t="str">
        <f t="shared" si="3"/>
        <v/>
      </c>
      <c r="P893" s="403">
        <v>0.0</v>
      </c>
      <c r="Q893" s="403">
        <v>0.0</v>
      </c>
      <c r="R893" s="403"/>
      <c r="S893" s="403"/>
      <c r="T893" s="403"/>
      <c r="U893" s="403"/>
      <c r="V893" s="403"/>
      <c r="W893" s="403"/>
      <c r="X893" s="403"/>
      <c r="Y893" s="403"/>
      <c r="Z893" s="403"/>
    </row>
    <row r="894">
      <c r="A894" s="403"/>
      <c r="B894" s="417"/>
      <c r="C894" s="415"/>
      <c r="D894" s="417"/>
      <c r="E894" s="417"/>
      <c r="F894" s="417"/>
      <c r="G894" s="418"/>
      <c r="H894" s="417"/>
      <c r="I894" s="418"/>
      <c r="J894" s="432"/>
      <c r="K894" s="420"/>
      <c r="L894" s="417"/>
      <c r="M894" s="415"/>
      <c r="N894" s="422"/>
      <c r="O894" s="75" t="str">
        <f t="shared" si="3"/>
        <v/>
      </c>
      <c r="P894" s="403">
        <v>0.0</v>
      </c>
      <c r="Q894" s="403">
        <v>0.0</v>
      </c>
      <c r="R894" s="403"/>
      <c r="S894" s="403"/>
      <c r="T894" s="403"/>
      <c r="U894" s="403"/>
      <c r="V894" s="403"/>
      <c r="W894" s="403"/>
      <c r="X894" s="403"/>
      <c r="Y894" s="403"/>
      <c r="Z894" s="403"/>
    </row>
    <row r="895">
      <c r="A895" s="403"/>
      <c r="B895" s="417"/>
      <c r="C895" s="415"/>
      <c r="D895" s="417"/>
      <c r="E895" s="417"/>
      <c r="F895" s="417"/>
      <c r="G895" s="418"/>
      <c r="H895" s="417"/>
      <c r="I895" s="418"/>
      <c r="J895" s="432"/>
      <c r="K895" s="420"/>
      <c r="L895" s="417"/>
      <c r="M895" s="415"/>
      <c r="N895" s="422"/>
      <c r="O895" s="75" t="str">
        <f t="shared" si="3"/>
        <v/>
      </c>
      <c r="P895" s="403">
        <v>0.0</v>
      </c>
      <c r="Q895" s="403">
        <v>0.0</v>
      </c>
      <c r="R895" s="403"/>
      <c r="S895" s="403"/>
      <c r="T895" s="403"/>
      <c r="U895" s="403"/>
      <c r="V895" s="403"/>
      <c r="W895" s="403"/>
      <c r="X895" s="403"/>
      <c r="Y895" s="403"/>
      <c r="Z895" s="403"/>
    </row>
    <row r="896">
      <c r="A896" s="403"/>
      <c r="B896" s="417"/>
      <c r="C896" s="415"/>
      <c r="D896" s="417"/>
      <c r="E896" s="417"/>
      <c r="F896" s="417"/>
      <c r="G896" s="418"/>
      <c r="H896" s="417"/>
      <c r="I896" s="418"/>
      <c r="J896" s="432"/>
      <c r="K896" s="420"/>
      <c r="L896" s="417"/>
      <c r="M896" s="415"/>
      <c r="N896" s="422"/>
      <c r="O896" s="75" t="str">
        <f t="shared" si="3"/>
        <v/>
      </c>
      <c r="P896" s="403">
        <v>0.0</v>
      </c>
      <c r="Q896" s="403">
        <v>0.0</v>
      </c>
      <c r="R896" s="403"/>
      <c r="S896" s="403"/>
      <c r="T896" s="403"/>
      <c r="U896" s="403"/>
      <c r="V896" s="403"/>
      <c r="W896" s="403"/>
      <c r="X896" s="403"/>
      <c r="Y896" s="403"/>
      <c r="Z896" s="403"/>
    </row>
    <row r="897">
      <c r="A897" s="403"/>
      <c r="B897" s="417"/>
      <c r="C897" s="415"/>
      <c r="D897" s="417"/>
      <c r="E897" s="417"/>
      <c r="F897" s="417"/>
      <c r="G897" s="418"/>
      <c r="H897" s="417"/>
      <c r="I897" s="418"/>
      <c r="J897" s="432"/>
      <c r="K897" s="420"/>
      <c r="L897" s="417"/>
      <c r="M897" s="415"/>
      <c r="N897" s="422"/>
      <c r="O897" s="75" t="str">
        <f t="shared" si="3"/>
        <v/>
      </c>
      <c r="P897" s="403">
        <v>0.0</v>
      </c>
      <c r="Q897" s="403">
        <v>0.0</v>
      </c>
      <c r="R897" s="403"/>
      <c r="S897" s="403"/>
      <c r="T897" s="403"/>
      <c r="U897" s="403"/>
      <c r="V897" s="403"/>
      <c r="W897" s="403"/>
      <c r="X897" s="403"/>
      <c r="Y897" s="403"/>
      <c r="Z897" s="403"/>
    </row>
    <row r="898">
      <c r="A898" s="403"/>
      <c r="B898" s="417"/>
      <c r="C898" s="415"/>
      <c r="D898" s="417"/>
      <c r="E898" s="417"/>
      <c r="F898" s="417"/>
      <c r="G898" s="418"/>
      <c r="H898" s="417"/>
      <c r="I898" s="418"/>
      <c r="J898" s="432"/>
      <c r="K898" s="420"/>
      <c r="L898" s="417"/>
      <c r="M898" s="415"/>
      <c r="N898" s="422"/>
      <c r="O898" s="75" t="str">
        <f t="shared" si="3"/>
        <v/>
      </c>
      <c r="P898" s="403">
        <v>0.0</v>
      </c>
      <c r="Q898" s="403">
        <v>0.0</v>
      </c>
      <c r="R898" s="403"/>
      <c r="S898" s="403"/>
      <c r="T898" s="403"/>
      <c r="U898" s="403"/>
      <c r="V898" s="403"/>
      <c r="W898" s="403"/>
      <c r="X898" s="403"/>
      <c r="Y898" s="403"/>
      <c r="Z898" s="403"/>
    </row>
    <row r="899">
      <c r="A899" s="403"/>
      <c r="B899" s="417"/>
      <c r="C899" s="415"/>
      <c r="D899" s="417"/>
      <c r="E899" s="417"/>
      <c r="F899" s="417"/>
      <c r="G899" s="418"/>
      <c r="H899" s="417"/>
      <c r="I899" s="418"/>
      <c r="J899" s="432"/>
      <c r="K899" s="420"/>
      <c r="L899" s="417"/>
      <c r="M899" s="415"/>
      <c r="N899" s="422"/>
      <c r="O899" s="75" t="str">
        <f t="shared" si="3"/>
        <v/>
      </c>
      <c r="P899" s="403">
        <v>0.0</v>
      </c>
      <c r="Q899" s="403">
        <v>0.0</v>
      </c>
      <c r="R899" s="403"/>
      <c r="S899" s="403"/>
      <c r="T899" s="403"/>
      <c r="U899" s="403"/>
      <c r="V899" s="403"/>
      <c r="W899" s="403"/>
      <c r="X899" s="403"/>
      <c r="Y899" s="403"/>
      <c r="Z899" s="403"/>
    </row>
    <row r="900">
      <c r="A900" s="403"/>
      <c r="B900" s="417"/>
      <c r="C900" s="415"/>
      <c r="D900" s="417"/>
      <c r="E900" s="417"/>
      <c r="F900" s="417"/>
      <c r="G900" s="418"/>
      <c r="H900" s="417"/>
      <c r="I900" s="418"/>
      <c r="J900" s="432"/>
      <c r="K900" s="420"/>
      <c r="L900" s="417"/>
      <c r="M900" s="415"/>
      <c r="N900" s="422"/>
      <c r="O900" s="75" t="str">
        <f t="shared" si="3"/>
        <v/>
      </c>
      <c r="P900" s="403">
        <v>0.0</v>
      </c>
      <c r="Q900" s="403">
        <v>0.0</v>
      </c>
      <c r="R900" s="403"/>
      <c r="S900" s="403"/>
      <c r="T900" s="403"/>
      <c r="U900" s="403"/>
      <c r="V900" s="403"/>
      <c r="W900" s="403"/>
      <c r="X900" s="403"/>
      <c r="Y900" s="403"/>
      <c r="Z900" s="403"/>
    </row>
    <row r="901">
      <c r="A901" s="403"/>
      <c r="B901" s="417"/>
      <c r="C901" s="415"/>
      <c r="D901" s="417"/>
      <c r="E901" s="417"/>
      <c r="F901" s="417"/>
      <c r="G901" s="418"/>
      <c r="H901" s="417"/>
      <c r="I901" s="418"/>
      <c r="J901" s="432"/>
      <c r="K901" s="420"/>
      <c r="L901" s="417"/>
      <c r="M901" s="415"/>
      <c r="N901" s="422"/>
      <c r="O901" s="75" t="str">
        <f t="shared" si="3"/>
        <v/>
      </c>
      <c r="P901" s="403">
        <v>0.0</v>
      </c>
      <c r="Q901" s="403">
        <v>0.0</v>
      </c>
      <c r="R901" s="403"/>
      <c r="S901" s="403"/>
      <c r="T901" s="403"/>
      <c r="U901" s="403"/>
      <c r="V901" s="403"/>
      <c r="W901" s="403"/>
      <c r="X901" s="403"/>
      <c r="Y901" s="403"/>
      <c r="Z901" s="403"/>
    </row>
    <row r="902">
      <c r="A902" s="403"/>
      <c r="B902" s="417"/>
      <c r="C902" s="415"/>
      <c r="D902" s="417"/>
      <c r="E902" s="417"/>
      <c r="F902" s="417"/>
      <c r="G902" s="418"/>
      <c r="H902" s="417"/>
      <c r="I902" s="418"/>
      <c r="J902" s="432"/>
      <c r="K902" s="420"/>
      <c r="L902" s="417"/>
      <c r="M902" s="415"/>
      <c r="N902" s="422"/>
      <c r="O902" s="75" t="str">
        <f t="shared" si="3"/>
        <v/>
      </c>
      <c r="P902" s="403">
        <v>0.0</v>
      </c>
      <c r="Q902" s="403">
        <v>0.0</v>
      </c>
      <c r="R902" s="403"/>
      <c r="S902" s="403"/>
      <c r="T902" s="403"/>
      <c r="U902" s="403"/>
      <c r="V902" s="403"/>
      <c r="W902" s="403"/>
      <c r="X902" s="403"/>
      <c r="Y902" s="403"/>
      <c r="Z902" s="403"/>
    </row>
    <row r="903">
      <c r="A903" s="403"/>
      <c r="B903" s="417"/>
      <c r="C903" s="415"/>
      <c r="D903" s="417"/>
      <c r="E903" s="417"/>
      <c r="F903" s="417"/>
      <c r="G903" s="418"/>
      <c r="H903" s="417"/>
      <c r="I903" s="418"/>
      <c r="J903" s="432"/>
      <c r="K903" s="420"/>
      <c r="L903" s="417"/>
      <c r="M903" s="415"/>
      <c r="N903" s="422"/>
      <c r="O903" s="75" t="str">
        <f t="shared" si="3"/>
        <v/>
      </c>
      <c r="P903" s="403">
        <v>0.0</v>
      </c>
      <c r="Q903" s="403">
        <v>0.0</v>
      </c>
      <c r="R903" s="403"/>
      <c r="S903" s="403"/>
      <c r="T903" s="403"/>
      <c r="U903" s="403"/>
      <c r="V903" s="403"/>
      <c r="W903" s="403"/>
      <c r="X903" s="403"/>
      <c r="Y903" s="403"/>
      <c r="Z903" s="403"/>
    </row>
    <row r="904">
      <c r="A904" s="403"/>
      <c r="B904" s="417"/>
      <c r="C904" s="415"/>
      <c r="D904" s="417"/>
      <c r="E904" s="417"/>
      <c r="F904" s="417"/>
      <c r="G904" s="418"/>
      <c r="H904" s="417"/>
      <c r="I904" s="418"/>
      <c r="J904" s="432"/>
      <c r="K904" s="420"/>
      <c r="L904" s="417"/>
      <c r="M904" s="415"/>
      <c r="N904" s="422"/>
      <c r="O904" s="75" t="str">
        <f t="shared" si="3"/>
        <v/>
      </c>
      <c r="P904" s="403">
        <v>0.0</v>
      </c>
      <c r="Q904" s="403">
        <v>0.0</v>
      </c>
      <c r="R904" s="403"/>
      <c r="S904" s="403"/>
      <c r="T904" s="403"/>
      <c r="U904" s="403"/>
      <c r="V904" s="403"/>
      <c r="W904" s="403"/>
      <c r="X904" s="403"/>
      <c r="Y904" s="403"/>
      <c r="Z904" s="403"/>
    </row>
    <row r="905">
      <c r="A905" s="403"/>
      <c r="B905" s="417"/>
      <c r="C905" s="415"/>
      <c r="D905" s="417"/>
      <c r="E905" s="417"/>
      <c r="F905" s="417"/>
      <c r="G905" s="418"/>
      <c r="H905" s="417"/>
      <c r="I905" s="418"/>
      <c r="J905" s="432"/>
      <c r="K905" s="420"/>
      <c r="L905" s="417"/>
      <c r="M905" s="415"/>
      <c r="N905" s="422"/>
      <c r="O905" s="75" t="str">
        <f t="shared" si="3"/>
        <v/>
      </c>
      <c r="P905" s="403">
        <v>0.0</v>
      </c>
      <c r="Q905" s="403">
        <v>0.0</v>
      </c>
      <c r="R905" s="403"/>
      <c r="S905" s="403"/>
      <c r="T905" s="403"/>
      <c r="U905" s="403"/>
      <c r="V905" s="403"/>
      <c r="W905" s="403"/>
      <c r="X905" s="403"/>
      <c r="Y905" s="403"/>
      <c r="Z905" s="403"/>
    </row>
    <row r="906">
      <c r="A906" s="403"/>
      <c r="B906" s="417"/>
      <c r="C906" s="415"/>
      <c r="D906" s="417"/>
      <c r="E906" s="417"/>
      <c r="F906" s="417"/>
      <c r="G906" s="418"/>
      <c r="H906" s="417"/>
      <c r="I906" s="418"/>
      <c r="J906" s="432"/>
      <c r="K906" s="420"/>
      <c r="L906" s="417"/>
      <c r="M906" s="415"/>
      <c r="N906" s="422"/>
      <c r="O906" s="75" t="str">
        <f t="shared" si="3"/>
        <v/>
      </c>
      <c r="P906" s="403">
        <v>0.0</v>
      </c>
      <c r="Q906" s="403">
        <v>0.0</v>
      </c>
      <c r="R906" s="403"/>
      <c r="S906" s="403"/>
      <c r="T906" s="403"/>
      <c r="U906" s="403"/>
      <c r="V906" s="403"/>
      <c r="W906" s="403"/>
      <c r="X906" s="403"/>
      <c r="Y906" s="403"/>
      <c r="Z906" s="403"/>
    </row>
    <row r="907">
      <c r="A907" s="403"/>
      <c r="B907" s="417"/>
      <c r="C907" s="415"/>
      <c r="D907" s="417"/>
      <c r="E907" s="417"/>
      <c r="F907" s="417"/>
      <c r="G907" s="418"/>
      <c r="H907" s="417"/>
      <c r="I907" s="418"/>
      <c r="J907" s="432"/>
      <c r="K907" s="420"/>
      <c r="L907" s="417"/>
      <c r="M907" s="415"/>
      <c r="N907" s="422"/>
      <c r="O907" s="75" t="str">
        <f t="shared" si="3"/>
        <v/>
      </c>
      <c r="P907" s="403">
        <v>0.0</v>
      </c>
      <c r="Q907" s="403">
        <v>0.0</v>
      </c>
      <c r="R907" s="403"/>
      <c r="S907" s="403"/>
      <c r="T907" s="403"/>
      <c r="U907" s="403"/>
      <c r="V907" s="403"/>
      <c r="W907" s="403"/>
      <c r="X907" s="403"/>
      <c r="Y907" s="403"/>
      <c r="Z907" s="403"/>
    </row>
    <row r="908">
      <c r="A908" s="403"/>
      <c r="B908" s="417"/>
      <c r="C908" s="415"/>
      <c r="D908" s="417"/>
      <c r="E908" s="417"/>
      <c r="F908" s="417"/>
      <c r="G908" s="418"/>
      <c r="H908" s="417"/>
      <c r="I908" s="418"/>
      <c r="J908" s="432"/>
      <c r="K908" s="420"/>
      <c r="L908" s="417"/>
      <c r="M908" s="415"/>
      <c r="N908" s="422"/>
      <c r="O908" s="75" t="str">
        <f t="shared" si="3"/>
        <v/>
      </c>
      <c r="P908" s="403">
        <v>0.0</v>
      </c>
      <c r="Q908" s="403">
        <v>0.0</v>
      </c>
      <c r="R908" s="403"/>
      <c r="S908" s="403"/>
      <c r="T908" s="403"/>
      <c r="U908" s="403"/>
      <c r="V908" s="403"/>
      <c r="W908" s="403"/>
      <c r="X908" s="403"/>
      <c r="Y908" s="403"/>
      <c r="Z908" s="403"/>
    </row>
    <row r="909">
      <c r="A909" s="403"/>
      <c r="B909" s="417"/>
      <c r="C909" s="415"/>
      <c r="D909" s="417"/>
      <c r="E909" s="417"/>
      <c r="F909" s="417"/>
      <c r="G909" s="418"/>
      <c r="H909" s="417"/>
      <c r="I909" s="418"/>
      <c r="J909" s="432"/>
      <c r="K909" s="420"/>
      <c r="L909" s="417"/>
      <c r="M909" s="415"/>
      <c r="N909" s="422"/>
      <c r="O909" s="75" t="str">
        <f t="shared" si="3"/>
        <v/>
      </c>
      <c r="P909" s="403">
        <v>0.0</v>
      </c>
      <c r="Q909" s="403">
        <v>0.0</v>
      </c>
      <c r="R909" s="403"/>
      <c r="S909" s="403"/>
      <c r="T909" s="403"/>
      <c r="U909" s="403"/>
      <c r="V909" s="403"/>
      <c r="W909" s="403"/>
      <c r="X909" s="403"/>
      <c r="Y909" s="403"/>
      <c r="Z909" s="403"/>
    </row>
    <row r="910">
      <c r="A910" s="403"/>
      <c r="B910" s="417"/>
      <c r="C910" s="415"/>
      <c r="D910" s="417"/>
      <c r="E910" s="417"/>
      <c r="F910" s="417"/>
      <c r="G910" s="418"/>
      <c r="H910" s="417"/>
      <c r="I910" s="418"/>
      <c r="J910" s="432"/>
      <c r="K910" s="420"/>
      <c r="L910" s="417"/>
      <c r="M910" s="415"/>
      <c r="N910" s="422"/>
      <c r="O910" s="75" t="str">
        <f t="shared" si="3"/>
        <v/>
      </c>
      <c r="P910" s="403">
        <v>0.0</v>
      </c>
      <c r="Q910" s="403">
        <v>0.0</v>
      </c>
      <c r="R910" s="403"/>
      <c r="S910" s="403"/>
      <c r="T910" s="403"/>
      <c r="U910" s="403"/>
      <c r="V910" s="403"/>
      <c r="W910" s="403"/>
      <c r="X910" s="403"/>
      <c r="Y910" s="403"/>
      <c r="Z910" s="403"/>
    </row>
    <row r="911">
      <c r="A911" s="403"/>
      <c r="B911" s="417"/>
      <c r="C911" s="415"/>
      <c r="D911" s="417"/>
      <c r="E911" s="417"/>
      <c r="F911" s="417"/>
      <c r="G911" s="418"/>
      <c r="H911" s="417"/>
      <c r="I911" s="418"/>
      <c r="J911" s="432"/>
      <c r="K911" s="420"/>
      <c r="L911" s="417"/>
      <c r="M911" s="415"/>
      <c r="N911" s="422"/>
      <c r="O911" s="75" t="str">
        <f t="shared" si="3"/>
        <v/>
      </c>
      <c r="P911" s="403">
        <v>0.0</v>
      </c>
      <c r="Q911" s="403">
        <v>0.0</v>
      </c>
      <c r="R911" s="403"/>
      <c r="S911" s="403"/>
      <c r="T911" s="403"/>
      <c r="U911" s="403"/>
      <c r="V911" s="403"/>
      <c r="W911" s="403"/>
      <c r="X911" s="403"/>
      <c r="Y911" s="403"/>
      <c r="Z911" s="403"/>
    </row>
    <row r="912">
      <c r="A912" s="403"/>
      <c r="B912" s="417"/>
      <c r="C912" s="415"/>
      <c r="D912" s="417"/>
      <c r="E912" s="417"/>
      <c r="F912" s="417"/>
      <c r="G912" s="418"/>
      <c r="H912" s="417"/>
      <c r="I912" s="418"/>
      <c r="J912" s="432"/>
      <c r="K912" s="420"/>
      <c r="L912" s="417"/>
      <c r="M912" s="415"/>
      <c r="N912" s="422"/>
      <c r="O912" s="75" t="str">
        <f t="shared" si="3"/>
        <v/>
      </c>
      <c r="P912" s="403">
        <v>0.0</v>
      </c>
      <c r="Q912" s="403">
        <v>0.0</v>
      </c>
      <c r="R912" s="403"/>
      <c r="S912" s="403"/>
      <c r="T912" s="403"/>
      <c r="U912" s="403"/>
      <c r="V912" s="403"/>
      <c r="W912" s="403"/>
      <c r="X912" s="403"/>
      <c r="Y912" s="403"/>
      <c r="Z912" s="403"/>
    </row>
    <row r="913">
      <c r="A913" s="403"/>
      <c r="B913" s="417"/>
      <c r="C913" s="415"/>
      <c r="D913" s="417"/>
      <c r="E913" s="417"/>
      <c r="F913" s="417"/>
      <c r="G913" s="418"/>
      <c r="H913" s="417"/>
      <c r="I913" s="418"/>
      <c r="J913" s="432"/>
      <c r="K913" s="420"/>
      <c r="L913" s="417"/>
      <c r="M913" s="415"/>
      <c r="N913" s="422"/>
      <c r="O913" s="75" t="str">
        <f t="shared" si="3"/>
        <v/>
      </c>
      <c r="P913" s="403">
        <v>0.0</v>
      </c>
      <c r="Q913" s="403">
        <v>0.0</v>
      </c>
      <c r="R913" s="403"/>
      <c r="S913" s="403"/>
      <c r="T913" s="403"/>
      <c r="U913" s="403"/>
      <c r="V913" s="403"/>
      <c r="W913" s="403"/>
      <c r="X913" s="403"/>
      <c r="Y913" s="403"/>
      <c r="Z913" s="403"/>
    </row>
    <row r="914">
      <c r="A914" s="403"/>
      <c r="B914" s="417"/>
      <c r="C914" s="415"/>
      <c r="D914" s="417"/>
      <c r="E914" s="417"/>
      <c r="F914" s="417"/>
      <c r="G914" s="418"/>
      <c r="H914" s="417"/>
      <c r="I914" s="418"/>
      <c r="J914" s="432"/>
      <c r="K914" s="420"/>
      <c r="L914" s="417"/>
      <c r="M914" s="415"/>
      <c r="N914" s="422"/>
      <c r="O914" s="75" t="str">
        <f t="shared" si="3"/>
        <v/>
      </c>
      <c r="P914" s="403">
        <v>0.0</v>
      </c>
      <c r="Q914" s="403">
        <v>0.0</v>
      </c>
      <c r="R914" s="403"/>
      <c r="S914" s="403"/>
      <c r="T914" s="403"/>
      <c r="U914" s="403"/>
      <c r="V914" s="403"/>
      <c r="W914" s="403"/>
      <c r="X914" s="403"/>
      <c r="Y914" s="403"/>
      <c r="Z914" s="403"/>
    </row>
    <row r="915">
      <c r="A915" s="403"/>
      <c r="B915" s="417"/>
      <c r="C915" s="415"/>
      <c r="D915" s="417"/>
      <c r="E915" s="417"/>
      <c r="F915" s="417"/>
      <c r="G915" s="418"/>
      <c r="H915" s="417"/>
      <c r="I915" s="418"/>
      <c r="J915" s="432"/>
      <c r="K915" s="420"/>
      <c r="L915" s="417"/>
      <c r="M915" s="415"/>
      <c r="N915" s="422"/>
      <c r="O915" s="75" t="str">
        <f t="shared" si="3"/>
        <v/>
      </c>
      <c r="P915" s="403">
        <v>0.0</v>
      </c>
      <c r="Q915" s="403">
        <v>0.0</v>
      </c>
      <c r="R915" s="403"/>
      <c r="S915" s="403"/>
      <c r="T915" s="403"/>
      <c r="U915" s="403"/>
      <c r="V915" s="403"/>
      <c r="W915" s="403"/>
      <c r="X915" s="403"/>
      <c r="Y915" s="403"/>
      <c r="Z915" s="403"/>
    </row>
    <row r="916">
      <c r="A916" s="403"/>
      <c r="B916" s="417"/>
      <c r="C916" s="415"/>
      <c r="D916" s="417"/>
      <c r="E916" s="417"/>
      <c r="F916" s="417"/>
      <c r="G916" s="418"/>
      <c r="H916" s="417"/>
      <c r="I916" s="418"/>
      <c r="J916" s="432"/>
      <c r="K916" s="420"/>
      <c r="L916" s="417"/>
      <c r="M916" s="415"/>
      <c r="N916" s="422"/>
      <c r="O916" s="75" t="str">
        <f t="shared" si="3"/>
        <v/>
      </c>
      <c r="P916" s="403">
        <v>0.0</v>
      </c>
      <c r="Q916" s="403">
        <v>0.0</v>
      </c>
      <c r="R916" s="403"/>
      <c r="S916" s="403"/>
      <c r="T916" s="403"/>
      <c r="U916" s="403"/>
      <c r="V916" s="403"/>
      <c r="W916" s="403"/>
      <c r="X916" s="403"/>
      <c r="Y916" s="403"/>
      <c r="Z916" s="403"/>
    </row>
    <row r="917">
      <c r="A917" s="403"/>
      <c r="B917" s="417"/>
      <c r="C917" s="415"/>
      <c r="D917" s="417"/>
      <c r="E917" s="417"/>
      <c r="F917" s="417"/>
      <c r="G917" s="418"/>
      <c r="H917" s="417"/>
      <c r="I917" s="418"/>
      <c r="J917" s="432"/>
      <c r="K917" s="420"/>
      <c r="L917" s="417"/>
      <c r="M917" s="415"/>
      <c r="N917" s="422"/>
      <c r="O917" s="75" t="str">
        <f t="shared" si="3"/>
        <v/>
      </c>
      <c r="P917" s="403">
        <v>0.0</v>
      </c>
      <c r="Q917" s="403">
        <v>0.0</v>
      </c>
      <c r="R917" s="403"/>
      <c r="S917" s="403"/>
      <c r="T917" s="403"/>
      <c r="U917" s="403"/>
      <c r="V917" s="403"/>
      <c r="W917" s="403"/>
      <c r="X917" s="403"/>
      <c r="Y917" s="403"/>
      <c r="Z917" s="403"/>
    </row>
    <row r="918">
      <c r="A918" s="403"/>
      <c r="B918" s="417"/>
      <c r="C918" s="415"/>
      <c r="D918" s="417"/>
      <c r="E918" s="417"/>
      <c r="F918" s="417"/>
      <c r="G918" s="418"/>
      <c r="H918" s="417"/>
      <c r="I918" s="418"/>
      <c r="J918" s="432"/>
      <c r="K918" s="420"/>
      <c r="L918" s="417"/>
      <c r="M918" s="415"/>
      <c r="N918" s="422"/>
      <c r="O918" s="75" t="str">
        <f t="shared" si="3"/>
        <v/>
      </c>
      <c r="P918" s="403">
        <v>0.0</v>
      </c>
      <c r="Q918" s="403">
        <v>0.0</v>
      </c>
      <c r="R918" s="403"/>
      <c r="S918" s="403"/>
      <c r="T918" s="403"/>
      <c r="U918" s="403"/>
      <c r="V918" s="403"/>
      <c r="W918" s="403"/>
      <c r="X918" s="403"/>
      <c r="Y918" s="403"/>
      <c r="Z918" s="403"/>
    </row>
    <row r="919">
      <c r="A919" s="403"/>
      <c r="B919" s="417"/>
      <c r="C919" s="415"/>
      <c r="D919" s="417"/>
      <c r="E919" s="417"/>
      <c r="F919" s="417"/>
      <c r="G919" s="418"/>
      <c r="H919" s="417"/>
      <c r="I919" s="418"/>
      <c r="J919" s="432"/>
      <c r="K919" s="420"/>
      <c r="L919" s="417"/>
      <c r="M919" s="415"/>
      <c r="N919" s="422"/>
      <c r="O919" s="75" t="str">
        <f t="shared" si="3"/>
        <v/>
      </c>
      <c r="P919" s="403">
        <v>0.0</v>
      </c>
      <c r="Q919" s="403">
        <v>0.0</v>
      </c>
      <c r="R919" s="403"/>
      <c r="S919" s="403"/>
      <c r="T919" s="403"/>
      <c r="U919" s="403"/>
      <c r="V919" s="403"/>
      <c r="W919" s="403"/>
      <c r="X919" s="403"/>
      <c r="Y919" s="403"/>
      <c r="Z919" s="403"/>
    </row>
    <row r="920">
      <c r="A920" s="403"/>
      <c r="B920" s="417"/>
      <c r="C920" s="415"/>
      <c r="D920" s="417"/>
      <c r="E920" s="417"/>
      <c r="F920" s="417"/>
      <c r="G920" s="418"/>
      <c r="H920" s="417"/>
      <c r="I920" s="418"/>
      <c r="J920" s="432"/>
      <c r="K920" s="420"/>
      <c r="L920" s="417"/>
      <c r="M920" s="415"/>
      <c r="N920" s="422"/>
      <c r="O920" s="75" t="str">
        <f t="shared" si="3"/>
        <v/>
      </c>
      <c r="P920" s="403">
        <v>0.0</v>
      </c>
      <c r="Q920" s="403">
        <v>0.0</v>
      </c>
      <c r="R920" s="403"/>
      <c r="S920" s="403"/>
      <c r="T920" s="403"/>
      <c r="U920" s="403"/>
      <c r="V920" s="403"/>
      <c r="W920" s="403"/>
      <c r="X920" s="403"/>
      <c r="Y920" s="403"/>
      <c r="Z920" s="403"/>
    </row>
    <row r="921">
      <c r="A921" s="403"/>
      <c r="B921" s="417"/>
      <c r="C921" s="415"/>
      <c r="D921" s="417"/>
      <c r="E921" s="417"/>
      <c r="F921" s="417"/>
      <c r="G921" s="418"/>
      <c r="H921" s="417"/>
      <c r="I921" s="418"/>
      <c r="J921" s="432"/>
      <c r="K921" s="420"/>
      <c r="L921" s="417"/>
      <c r="M921" s="415"/>
      <c r="N921" s="422"/>
      <c r="O921" s="75" t="str">
        <f t="shared" si="3"/>
        <v/>
      </c>
      <c r="P921" s="403">
        <v>0.0</v>
      </c>
      <c r="Q921" s="403">
        <v>0.0</v>
      </c>
      <c r="R921" s="403"/>
      <c r="S921" s="403"/>
      <c r="T921" s="403"/>
      <c r="U921" s="403"/>
      <c r="V921" s="403"/>
      <c r="W921" s="403"/>
      <c r="X921" s="403"/>
      <c r="Y921" s="403"/>
      <c r="Z921" s="403"/>
    </row>
    <row r="922">
      <c r="A922" s="403"/>
      <c r="B922" s="417"/>
      <c r="C922" s="415"/>
      <c r="D922" s="417"/>
      <c r="E922" s="417"/>
      <c r="F922" s="417"/>
      <c r="G922" s="418"/>
      <c r="H922" s="417"/>
      <c r="I922" s="418"/>
      <c r="J922" s="432"/>
      <c r="K922" s="420"/>
      <c r="L922" s="417"/>
      <c r="M922" s="415"/>
      <c r="N922" s="422"/>
      <c r="O922" s="75" t="str">
        <f t="shared" si="3"/>
        <v/>
      </c>
      <c r="P922" s="403">
        <v>0.0</v>
      </c>
      <c r="Q922" s="403">
        <v>0.0</v>
      </c>
      <c r="R922" s="403"/>
      <c r="S922" s="403"/>
      <c r="T922" s="403"/>
      <c r="U922" s="403"/>
      <c r="V922" s="403"/>
      <c r="W922" s="403"/>
      <c r="X922" s="403"/>
      <c r="Y922" s="403"/>
      <c r="Z922" s="403"/>
    </row>
    <row r="923">
      <c r="A923" s="403"/>
      <c r="B923" s="417"/>
      <c r="C923" s="415"/>
      <c r="D923" s="417"/>
      <c r="E923" s="417"/>
      <c r="F923" s="417"/>
      <c r="G923" s="418"/>
      <c r="H923" s="417"/>
      <c r="I923" s="418"/>
      <c r="J923" s="432"/>
      <c r="K923" s="420"/>
      <c r="L923" s="417"/>
      <c r="M923" s="415"/>
      <c r="N923" s="422"/>
      <c r="O923" s="75" t="str">
        <f t="shared" si="3"/>
        <v/>
      </c>
      <c r="P923" s="403">
        <v>0.0</v>
      </c>
      <c r="Q923" s="403">
        <v>0.0</v>
      </c>
      <c r="R923" s="403"/>
      <c r="S923" s="403"/>
      <c r="T923" s="403"/>
      <c r="U923" s="403"/>
      <c r="V923" s="403"/>
      <c r="W923" s="403"/>
      <c r="X923" s="403"/>
      <c r="Y923" s="403"/>
      <c r="Z923" s="403"/>
    </row>
    <row r="924">
      <c r="A924" s="403"/>
      <c r="B924" s="417"/>
      <c r="C924" s="415"/>
      <c r="D924" s="417"/>
      <c r="E924" s="417"/>
      <c r="F924" s="417"/>
      <c r="G924" s="418"/>
      <c r="H924" s="417"/>
      <c r="I924" s="418"/>
      <c r="J924" s="432"/>
      <c r="K924" s="420"/>
      <c r="L924" s="417"/>
      <c r="M924" s="415"/>
      <c r="N924" s="422"/>
      <c r="O924" s="75" t="str">
        <f t="shared" si="3"/>
        <v/>
      </c>
      <c r="P924" s="403">
        <v>0.0</v>
      </c>
      <c r="Q924" s="403">
        <v>0.0</v>
      </c>
      <c r="R924" s="403"/>
      <c r="S924" s="403"/>
      <c r="T924" s="403"/>
      <c r="U924" s="403"/>
      <c r="V924" s="403"/>
      <c r="W924" s="403"/>
      <c r="X924" s="403"/>
      <c r="Y924" s="403"/>
      <c r="Z924" s="403"/>
    </row>
    <row r="925">
      <c r="A925" s="403"/>
      <c r="B925" s="417"/>
      <c r="C925" s="415"/>
      <c r="D925" s="417"/>
      <c r="E925" s="417"/>
      <c r="F925" s="417"/>
      <c r="G925" s="418"/>
      <c r="H925" s="417"/>
      <c r="I925" s="418"/>
      <c r="J925" s="432"/>
      <c r="K925" s="420"/>
      <c r="L925" s="417"/>
      <c r="M925" s="415"/>
      <c r="N925" s="422"/>
      <c r="O925" s="75" t="str">
        <f t="shared" si="3"/>
        <v/>
      </c>
      <c r="P925" s="403">
        <v>0.0</v>
      </c>
      <c r="Q925" s="403">
        <v>0.0</v>
      </c>
      <c r="R925" s="403"/>
      <c r="S925" s="403"/>
      <c r="T925" s="403"/>
      <c r="U925" s="403"/>
      <c r="V925" s="403"/>
      <c r="W925" s="403"/>
      <c r="X925" s="403"/>
      <c r="Y925" s="403"/>
      <c r="Z925" s="403"/>
    </row>
    <row r="926">
      <c r="A926" s="403"/>
      <c r="B926" s="417"/>
      <c r="C926" s="415"/>
      <c r="D926" s="417"/>
      <c r="E926" s="417"/>
      <c r="F926" s="417"/>
      <c r="G926" s="418"/>
      <c r="H926" s="417"/>
      <c r="I926" s="418"/>
      <c r="J926" s="432"/>
      <c r="K926" s="420"/>
      <c r="L926" s="417"/>
      <c r="M926" s="415"/>
      <c r="N926" s="422"/>
      <c r="O926" s="75" t="str">
        <f t="shared" si="3"/>
        <v/>
      </c>
      <c r="P926" s="403">
        <v>0.0</v>
      </c>
      <c r="Q926" s="403">
        <v>0.0</v>
      </c>
      <c r="R926" s="403"/>
      <c r="S926" s="403"/>
      <c r="T926" s="403"/>
      <c r="U926" s="403"/>
      <c r="V926" s="403"/>
      <c r="W926" s="403"/>
      <c r="X926" s="403"/>
      <c r="Y926" s="403"/>
      <c r="Z926" s="403"/>
    </row>
    <row r="927">
      <c r="A927" s="403"/>
      <c r="B927" s="417"/>
      <c r="C927" s="415"/>
      <c r="D927" s="417"/>
      <c r="E927" s="417"/>
      <c r="F927" s="417"/>
      <c r="G927" s="418"/>
      <c r="H927" s="417"/>
      <c r="I927" s="418"/>
      <c r="J927" s="432"/>
      <c r="K927" s="420"/>
      <c r="L927" s="417"/>
      <c r="M927" s="415"/>
      <c r="N927" s="422"/>
      <c r="O927" s="75" t="str">
        <f t="shared" si="3"/>
        <v/>
      </c>
      <c r="P927" s="403">
        <v>0.0</v>
      </c>
      <c r="Q927" s="403">
        <v>0.0</v>
      </c>
      <c r="R927" s="403"/>
      <c r="S927" s="403"/>
      <c r="T927" s="403"/>
      <c r="U927" s="403"/>
      <c r="V927" s="403"/>
      <c r="W927" s="403"/>
      <c r="X927" s="403"/>
      <c r="Y927" s="403"/>
      <c r="Z927" s="403"/>
    </row>
    <row r="928">
      <c r="A928" s="403"/>
      <c r="B928" s="417"/>
      <c r="C928" s="415"/>
      <c r="D928" s="417"/>
      <c r="E928" s="417"/>
      <c r="F928" s="417"/>
      <c r="G928" s="418"/>
      <c r="H928" s="417"/>
      <c r="I928" s="418"/>
      <c r="J928" s="432"/>
      <c r="K928" s="420"/>
      <c r="L928" s="417"/>
      <c r="M928" s="415"/>
      <c r="N928" s="422"/>
      <c r="O928" s="75" t="str">
        <f t="shared" si="3"/>
        <v/>
      </c>
      <c r="P928" s="403">
        <v>0.0</v>
      </c>
      <c r="Q928" s="403">
        <v>0.0</v>
      </c>
      <c r="R928" s="403"/>
      <c r="S928" s="403"/>
      <c r="T928" s="403"/>
      <c r="U928" s="403"/>
      <c r="V928" s="403"/>
      <c r="W928" s="403"/>
      <c r="X928" s="403"/>
      <c r="Y928" s="403"/>
      <c r="Z928" s="403"/>
    </row>
    <row r="929">
      <c r="A929" s="403"/>
      <c r="B929" s="417"/>
      <c r="C929" s="415"/>
      <c r="D929" s="417"/>
      <c r="E929" s="417"/>
      <c r="F929" s="417"/>
      <c r="G929" s="418"/>
      <c r="H929" s="417"/>
      <c r="I929" s="418"/>
      <c r="J929" s="432"/>
      <c r="K929" s="420"/>
      <c r="L929" s="417"/>
      <c r="M929" s="415"/>
      <c r="N929" s="422"/>
      <c r="O929" s="75" t="str">
        <f t="shared" si="3"/>
        <v/>
      </c>
      <c r="P929" s="403">
        <v>0.0</v>
      </c>
      <c r="Q929" s="403">
        <v>0.0</v>
      </c>
      <c r="R929" s="403"/>
      <c r="S929" s="403"/>
      <c r="T929" s="403"/>
      <c r="U929" s="403"/>
      <c r="V929" s="403"/>
      <c r="W929" s="403"/>
      <c r="X929" s="403"/>
      <c r="Y929" s="403"/>
      <c r="Z929" s="403"/>
    </row>
    <row r="930">
      <c r="A930" s="403"/>
      <c r="B930" s="417"/>
      <c r="C930" s="415"/>
      <c r="D930" s="417"/>
      <c r="E930" s="417"/>
      <c r="F930" s="417"/>
      <c r="G930" s="418"/>
      <c r="H930" s="417"/>
      <c r="I930" s="418"/>
      <c r="J930" s="432"/>
      <c r="K930" s="420"/>
      <c r="L930" s="417"/>
      <c r="M930" s="415"/>
      <c r="N930" s="422"/>
      <c r="O930" s="75" t="str">
        <f t="shared" si="3"/>
        <v/>
      </c>
      <c r="P930" s="403">
        <v>0.0</v>
      </c>
      <c r="Q930" s="403">
        <v>0.0</v>
      </c>
      <c r="R930" s="403"/>
      <c r="S930" s="403"/>
      <c r="T930" s="403"/>
      <c r="U930" s="403"/>
      <c r="V930" s="403"/>
      <c r="W930" s="403"/>
      <c r="X930" s="403"/>
      <c r="Y930" s="403"/>
      <c r="Z930" s="403"/>
    </row>
    <row r="931">
      <c r="A931" s="403"/>
      <c r="B931" s="417"/>
      <c r="C931" s="415"/>
      <c r="D931" s="417"/>
      <c r="E931" s="417"/>
      <c r="F931" s="417"/>
      <c r="G931" s="418"/>
      <c r="H931" s="417"/>
      <c r="I931" s="418"/>
      <c r="J931" s="432"/>
      <c r="K931" s="420"/>
      <c r="L931" s="417"/>
      <c r="M931" s="415"/>
      <c r="N931" s="422"/>
      <c r="O931" s="75" t="str">
        <f t="shared" si="3"/>
        <v/>
      </c>
      <c r="P931" s="403">
        <v>0.0</v>
      </c>
      <c r="Q931" s="403">
        <v>0.0</v>
      </c>
      <c r="R931" s="403"/>
      <c r="S931" s="403"/>
      <c r="T931" s="403"/>
      <c r="U931" s="403"/>
      <c r="V931" s="403"/>
      <c r="W931" s="403"/>
      <c r="X931" s="403"/>
      <c r="Y931" s="403"/>
      <c r="Z931" s="403"/>
    </row>
    <row r="932">
      <c r="A932" s="403"/>
      <c r="B932" s="417"/>
      <c r="C932" s="415"/>
      <c r="D932" s="417"/>
      <c r="E932" s="417"/>
      <c r="F932" s="417"/>
      <c r="G932" s="418"/>
      <c r="H932" s="417"/>
      <c r="I932" s="418"/>
      <c r="J932" s="432"/>
      <c r="K932" s="420"/>
      <c r="L932" s="417"/>
      <c r="M932" s="415"/>
      <c r="N932" s="422"/>
      <c r="O932" s="75" t="str">
        <f t="shared" si="3"/>
        <v/>
      </c>
      <c r="P932" s="403">
        <v>0.0</v>
      </c>
      <c r="Q932" s="403">
        <v>0.0</v>
      </c>
      <c r="R932" s="403"/>
      <c r="S932" s="403"/>
      <c r="T932" s="403"/>
      <c r="U932" s="403"/>
      <c r="V932" s="403"/>
      <c r="W932" s="403"/>
      <c r="X932" s="403"/>
      <c r="Y932" s="403"/>
      <c r="Z932" s="403"/>
    </row>
    <row r="933">
      <c r="A933" s="403"/>
      <c r="B933" s="417"/>
      <c r="C933" s="415"/>
      <c r="D933" s="417"/>
      <c r="E933" s="417"/>
      <c r="F933" s="417"/>
      <c r="G933" s="418"/>
      <c r="H933" s="417"/>
      <c r="I933" s="418"/>
      <c r="J933" s="432"/>
      <c r="K933" s="420"/>
      <c r="L933" s="417"/>
      <c r="M933" s="415"/>
      <c r="N933" s="422"/>
      <c r="O933" s="75" t="str">
        <f t="shared" si="3"/>
        <v/>
      </c>
      <c r="P933" s="403">
        <v>0.0</v>
      </c>
      <c r="Q933" s="403">
        <v>0.0</v>
      </c>
      <c r="R933" s="403"/>
      <c r="S933" s="403"/>
      <c r="T933" s="403"/>
      <c r="U933" s="403"/>
      <c r="V933" s="403"/>
      <c r="W933" s="403"/>
      <c r="X933" s="403"/>
      <c r="Y933" s="403"/>
      <c r="Z933" s="403"/>
    </row>
    <row r="934">
      <c r="A934" s="403"/>
      <c r="B934" s="417"/>
      <c r="C934" s="415"/>
      <c r="D934" s="417"/>
      <c r="E934" s="417"/>
      <c r="F934" s="417"/>
      <c r="G934" s="418"/>
      <c r="H934" s="417"/>
      <c r="I934" s="418"/>
      <c r="J934" s="432"/>
      <c r="K934" s="420"/>
      <c r="L934" s="417"/>
      <c r="M934" s="415"/>
      <c r="N934" s="422"/>
      <c r="O934" s="75" t="str">
        <f t="shared" si="3"/>
        <v/>
      </c>
      <c r="P934" s="403">
        <v>0.0</v>
      </c>
      <c r="Q934" s="403">
        <v>0.0</v>
      </c>
      <c r="R934" s="403"/>
      <c r="S934" s="403"/>
      <c r="T934" s="403"/>
      <c r="U934" s="403"/>
      <c r="V934" s="403"/>
      <c r="W934" s="403"/>
      <c r="X934" s="403"/>
      <c r="Y934" s="403"/>
      <c r="Z934" s="403"/>
    </row>
    <row r="935">
      <c r="A935" s="403"/>
      <c r="B935" s="417"/>
      <c r="C935" s="415"/>
      <c r="D935" s="417"/>
      <c r="E935" s="417"/>
      <c r="F935" s="417"/>
      <c r="G935" s="418"/>
      <c r="H935" s="417"/>
      <c r="I935" s="418"/>
      <c r="J935" s="432"/>
      <c r="K935" s="420"/>
      <c r="L935" s="417"/>
      <c r="M935" s="415"/>
      <c r="N935" s="422"/>
      <c r="O935" s="75" t="str">
        <f t="shared" si="3"/>
        <v/>
      </c>
      <c r="P935" s="403">
        <v>0.0</v>
      </c>
      <c r="Q935" s="403">
        <v>0.0</v>
      </c>
      <c r="R935" s="403"/>
      <c r="S935" s="403"/>
      <c r="T935" s="403"/>
      <c r="U935" s="403"/>
      <c r="V935" s="403"/>
      <c r="W935" s="403"/>
      <c r="X935" s="403"/>
      <c r="Y935" s="403"/>
      <c r="Z935" s="403"/>
    </row>
    <row r="936">
      <c r="A936" s="403"/>
      <c r="B936" s="417"/>
      <c r="C936" s="415"/>
      <c r="D936" s="417"/>
      <c r="E936" s="417"/>
      <c r="F936" s="417"/>
      <c r="G936" s="418"/>
      <c r="H936" s="417"/>
      <c r="I936" s="418"/>
      <c r="J936" s="432"/>
      <c r="K936" s="420"/>
      <c r="L936" s="417"/>
      <c r="M936" s="415"/>
      <c r="N936" s="422"/>
      <c r="O936" s="75" t="str">
        <f t="shared" si="3"/>
        <v/>
      </c>
      <c r="P936" s="403">
        <v>0.0</v>
      </c>
      <c r="Q936" s="403">
        <v>0.0</v>
      </c>
      <c r="R936" s="403"/>
      <c r="S936" s="403"/>
      <c r="T936" s="403"/>
      <c r="U936" s="403"/>
      <c r="V936" s="403"/>
      <c r="W936" s="403"/>
      <c r="X936" s="403"/>
      <c r="Y936" s="403"/>
      <c r="Z936" s="403"/>
    </row>
    <row r="937">
      <c r="A937" s="403"/>
      <c r="B937" s="417"/>
      <c r="C937" s="415"/>
      <c r="D937" s="417"/>
      <c r="E937" s="417"/>
      <c r="F937" s="417"/>
      <c r="G937" s="418"/>
      <c r="H937" s="417"/>
      <c r="I937" s="418"/>
      <c r="J937" s="432"/>
      <c r="K937" s="420"/>
      <c r="L937" s="417"/>
      <c r="M937" s="415"/>
      <c r="N937" s="422"/>
      <c r="O937" s="75" t="str">
        <f t="shared" si="3"/>
        <v/>
      </c>
      <c r="P937" s="403">
        <v>0.0</v>
      </c>
      <c r="Q937" s="403">
        <v>0.0</v>
      </c>
      <c r="R937" s="403"/>
      <c r="S937" s="403"/>
      <c r="T937" s="403"/>
      <c r="U937" s="403"/>
      <c r="V937" s="403"/>
      <c r="W937" s="403"/>
      <c r="X937" s="403"/>
      <c r="Y937" s="403"/>
      <c r="Z937" s="403"/>
    </row>
    <row r="938">
      <c r="A938" s="403"/>
      <c r="B938" s="417"/>
      <c r="C938" s="415"/>
      <c r="D938" s="417"/>
      <c r="E938" s="417"/>
      <c r="F938" s="417"/>
      <c r="G938" s="418"/>
      <c r="H938" s="417"/>
      <c r="I938" s="418"/>
      <c r="J938" s="432"/>
      <c r="K938" s="420"/>
      <c r="L938" s="417"/>
      <c r="M938" s="415"/>
      <c r="N938" s="422"/>
      <c r="O938" s="75" t="str">
        <f t="shared" si="3"/>
        <v/>
      </c>
      <c r="P938" s="403">
        <v>0.0</v>
      </c>
      <c r="Q938" s="403">
        <v>0.0</v>
      </c>
      <c r="R938" s="403"/>
      <c r="S938" s="403"/>
      <c r="T938" s="403"/>
      <c r="U938" s="403"/>
      <c r="V938" s="403"/>
      <c r="W938" s="403"/>
      <c r="X938" s="403"/>
      <c r="Y938" s="403"/>
      <c r="Z938" s="403"/>
    </row>
    <row r="939">
      <c r="A939" s="403"/>
      <c r="B939" s="417"/>
      <c r="C939" s="415"/>
      <c r="D939" s="417"/>
      <c r="E939" s="417"/>
      <c r="F939" s="417"/>
      <c r="G939" s="418"/>
      <c r="H939" s="417"/>
      <c r="I939" s="418"/>
      <c r="J939" s="432"/>
      <c r="K939" s="420"/>
      <c r="L939" s="417"/>
      <c r="M939" s="415"/>
      <c r="N939" s="422"/>
      <c r="O939" s="75" t="str">
        <f t="shared" si="3"/>
        <v/>
      </c>
      <c r="P939" s="403">
        <v>0.0</v>
      </c>
      <c r="Q939" s="403">
        <v>0.0</v>
      </c>
      <c r="R939" s="403"/>
      <c r="S939" s="403"/>
      <c r="T939" s="403"/>
      <c r="U939" s="403"/>
      <c r="V939" s="403"/>
      <c r="W939" s="403"/>
      <c r="X939" s="403"/>
      <c r="Y939" s="403"/>
      <c r="Z939" s="403"/>
    </row>
    <row r="940">
      <c r="A940" s="403"/>
      <c r="B940" s="417"/>
      <c r="C940" s="415"/>
      <c r="D940" s="417"/>
      <c r="E940" s="417"/>
      <c r="F940" s="417"/>
      <c r="G940" s="418"/>
      <c r="H940" s="417"/>
      <c r="I940" s="418"/>
      <c r="J940" s="432"/>
      <c r="K940" s="420"/>
      <c r="L940" s="417"/>
      <c r="M940" s="415"/>
      <c r="N940" s="422"/>
      <c r="O940" s="75" t="str">
        <f t="shared" si="3"/>
        <v/>
      </c>
      <c r="P940" s="403">
        <v>0.0</v>
      </c>
      <c r="Q940" s="403">
        <v>0.0</v>
      </c>
      <c r="R940" s="403"/>
      <c r="S940" s="403"/>
      <c r="T940" s="403"/>
      <c r="U940" s="403"/>
      <c r="V940" s="403"/>
      <c r="W940" s="403"/>
      <c r="X940" s="403"/>
      <c r="Y940" s="403"/>
      <c r="Z940" s="403"/>
    </row>
    <row r="941">
      <c r="A941" s="403"/>
      <c r="B941" s="417"/>
      <c r="C941" s="415"/>
      <c r="D941" s="417"/>
      <c r="E941" s="417"/>
      <c r="F941" s="417"/>
      <c r="G941" s="418"/>
      <c r="H941" s="417"/>
      <c r="I941" s="418"/>
      <c r="J941" s="432"/>
      <c r="K941" s="420"/>
      <c r="L941" s="417"/>
      <c r="M941" s="415"/>
      <c r="N941" s="422"/>
      <c r="O941" s="75" t="str">
        <f t="shared" si="3"/>
        <v/>
      </c>
      <c r="P941" s="403">
        <v>0.0</v>
      </c>
      <c r="Q941" s="403">
        <v>0.0</v>
      </c>
      <c r="R941" s="403"/>
      <c r="S941" s="403"/>
      <c r="T941" s="403"/>
      <c r="U941" s="403"/>
      <c r="V941" s="403"/>
      <c r="W941" s="403"/>
      <c r="X941" s="403"/>
      <c r="Y941" s="403"/>
      <c r="Z941" s="403"/>
    </row>
    <row r="942">
      <c r="A942" s="403"/>
      <c r="B942" s="417"/>
      <c r="C942" s="415"/>
      <c r="D942" s="417"/>
      <c r="E942" s="417"/>
      <c r="F942" s="417"/>
      <c r="G942" s="418"/>
      <c r="H942" s="417"/>
      <c r="I942" s="418"/>
      <c r="J942" s="432"/>
      <c r="K942" s="420"/>
      <c r="L942" s="417"/>
      <c r="M942" s="415"/>
      <c r="N942" s="422"/>
      <c r="O942" s="75" t="str">
        <f t="shared" si="3"/>
        <v/>
      </c>
      <c r="P942" s="403">
        <v>0.0</v>
      </c>
      <c r="Q942" s="403">
        <v>0.0</v>
      </c>
      <c r="R942" s="403"/>
      <c r="S942" s="403"/>
      <c r="T942" s="403"/>
      <c r="U942" s="403"/>
      <c r="V942" s="403"/>
      <c r="W942" s="403"/>
      <c r="X942" s="403"/>
      <c r="Y942" s="403"/>
      <c r="Z942" s="403"/>
    </row>
    <row r="943">
      <c r="A943" s="403"/>
      <c r="B943" s="417"/>
      <c r="C943" s="415"/>
      <c r="D943" s="417"/>
      <c r="E943" s="417"/>
      <c r="F943" s="417"/>
      <c r="G943" s="418"/>
      <c r="H943" s="417"/>
      <c r="I943" s="418"/>
      <c r="J943" s="432"/>
      <c r="K943" s="420"/>
      <c r="L943" s="417"/>
      <c r="M943" s="415"/>
      <c r="N943" s="422"/>
      <c r="O943" s="75" t="str">
        <f t="shared" si="3"/>
        <v/>
      </c>
      <c r="P943" s="403">
        <v>0.0</v>
      </c>
      <c r="Q943" s="403">
        <v>0.0</v>
      </c>
      <c r="R943" s="403"/>
      <c r="S943" s="403"/>
      <c r="T943" s="403"/>
      <c r="U943" s="403"/>
      <c r="V943" s="403"/>
      <c r="W943" s="403"/>
      <c r="X943" s="403"/>
      <c r="Y943" s="403"/>
      <c r="Z943" s="403"/>
    </row>
    <row r="944">
      <c r="A944" s="403"/>
      <c r="B944" s="417"/>
      <c r="C944" s="415"/>
      <c r="D944" s="417"/>
      <c r="E944" s="417"/>
      <c r="F944" s="417"/>
      <c r="G944" s="418"/>
      <c r="H944" s="417"/>
      <c r="I944" s="418"/>
      <c r="J944" s="432"/>
      <c r="K944" s="420"/>
      <c r="L944" s="417"/>
      <c r="M944" s="415"/>
      <c r="N944" s="422"/>
      <c r="O944" s="75" t="str">
        <f t="shared" si="3"/>
        <v/>
      </c>
      <c r="P944" s="403">
        <v>0.0</v>
      </c>
      <c r="Q944" s="403">
        <v>0.0</v>
      </c>
      <c r="R944" s="403"/>
      <c r="S944" s="403"/>
      <c r="T944" s="403"/>
      <c r="U944" s="403"/>
      <c r="V944" s="403"/>
      <c r="W944" s="403"/>
      <c r="X944" s="403"/>
      <c r="Y944" s="403"/>
      <c r="Z944" s="403"/>
    </row>
    <row r="945">
      <c r="A945" s="403"/>
      <c r="B945" s="417"/>
      <c r="C945" s="415"/>
      <c r="D945" s="417"/>
      <c r="E945" s="417"/>
      <c r="F945" s="417"/>
      <c r="G945" s="418"/>
      <c r="H945" s="417"/>
      <c r="I945" s="418"/>
      <c r="J945" s="432"/>
      <c r="K945" s="420"/>
      <c r="L945" s="417"/>
      <c r="M945" s="415"/>
      <c r="N945" s="422"/>
      <c r="O945" s="75" t="str">
        <f t="shared" si="3"/>
        <v/>
      </c>
      <c r="P945" s="403">
        <v>0.0</v>
      </c>
      <c r="Q945" s="403">
        <v>0.0</v>
      </c>
      <c r="R945" s="403"/>
      <c r="S945" s="403"/>
      <c r="T945" s="403"/>
      <c r="U945" s="403"/>
      <c r="V945" s="403"/>
      <c r="W945" s="403"/>
      <c r="X945" s="403"/>
      <c r="Y945" s="403"/>
      <c r="Z945" s="403"/>
    </row>
    <row r="946">
      <c r="A946" s="403"/>
      <c r="B946" s="417"/>
      <c r="C946" s="415"/>
      <c r="D946" s="417"/>
      <c r="E946" s="417"/>
      <c r="F946" s="417"/>
      <c r="G946" s="418"/>
      <c r="H946" s="417"/>
      <c r="I946" s="418"/>
      <c r="J946" s="432"/>
      <c r="K946" s="420"/>
      <c r="L946" s="417"/>
      <c r="M946" s="415"/>
      <c r="N946" s="422"/>
      <c r="O946" s="75" t="str">
        <f t="shared" si="3"/>
        <v/>
      </c>
      <c r="P946" s="403">
        <v>0.0</v>
      </c>
      <c r="Q946" s="403">
        <v>0.0</v>
      </c>
      <c r="R946" s="403"/>
      <c r="S946" s="403"/>
      <c r="T946" s="403"/>
      <c r="U946" s="403"/>
      <c r="V946" s="403"/>
      <c r="W946" s="403"/>
      <c r="X946" s="403"/>
      <c r="Y946" s="403"/>
      <c r="Z946" s="403"/>
    </row>
    <row r="947">
      <c r="A947" s="403"/>
      <c r="B947" s="417"/>
      <c r="C947" s="415"/>
      <c r="D947" s="417"/>
      <c r="E947" s="417"/>
      <c r="F947" s="417"/>
      <c r="G947" s="418"/>
      <c r="H947" s="417"/>
      <c r="I947" s="418"/>
      <c r="J947" s="432"/>
      <c r="K947" s="420"/>
      <c r="L947" s="417"/>
      <c r="M947" s="415"/>
      <c r="N947" s="422"/>
      <c r="O947" s="75" t="str">
        <f t="shared" si="3"/>
        <v/>
      </c>
      <c r="P947" s="403">
        <v>0.0</v>
      </c>
      <c r="Q947" s="403">
        <v>0.0</v>
      </c>
      <c r="R947" s="403"/>
      <c r="S947" s="403"/>
      <c r="T947" s="403"/>
      <c r="U947" s="403"/>
      <c r="V947" s="403"/>
      <c r="W947" s="403"/>
      <c r="X947" s="403"/>
      <c r="Y947" s="403"/>
      <c r="Z947" s="403"/>
    </row>
    <row r="948">
      <c r="A948" s="403"/>
      <c r="B948" s="417"/>
      <c r="C948" s="415"/>
      <c r="D948" s="417"/>
      <c r="E948" s="417"/>
      <c r="F948" s="417"/>
      <c r="G948" s="418"/>
      <c r="H948" s="417"/>
      <c r="I948" s="418"/>
      <c r="J948" s="432"/>
      <c r="K948" s="420"/>
      <c r="L948" s="417"/>
      <c r="M948" s="415"/>
      <c r="N948" s="422"/>
      <c r="O948" s="75" t="str">
        <f t="shared" si="3"/>
        <v/>
      </c>
      <c r="P948" s="403">
        <v>0.0</v>
      </c>
      <c r="Q948" s="403">
        <v>0.0</v>
      </c>
      <c r="R948" s="403"/>
      <c r="S948" s="403"/>
      <c r="T948" s="403"/>
      <c r="U948" s="403"/>
      <c r="V948" s="403"/>
      <c r="W948" s="403"/>
      <c r="X948" s="403"/>
      <c r="Y948" s="403"/>
      <c r="Z948" s="403"/>
    </row>
    <row r="949">
      <c r="A949" s="403"/>
      <c r="B949" s="417"/>
      <c r="C949" s="415"/>
      <c r="D949" s="417"/>
      <c r="E949" s="417"/>
      <c r="F949" s="417"/>
      <c r="G949" s="418"/>
      <c r="H949" s="417"/>
      <c r="I949" s="418"/>
      <c r="J949" s="432"/>
      <c r="K949" s="420"/>
      <c r="L949" s="417"/>
      <c r="M949" s="415"/>
      <c r="N949" s="422"/>
      <c r="O949" s="75" t="str">
        <f t="shared" si="3"/>
        <v/>
      </c>
      <c r="P949" s="403">
        <v>0.0</v>
      </c>
      <c r="Q949" s="403">
        <v>0.0</v>
      </c>
      <c r="R949" s="403"/>
      <c r="S949" s="403"/>
      <c r="T949" s="403"/>
      <c r="U949" s="403"/>
      <c r="V949" s="403"/>
      <c r="W949" s="403"/>
      <c r="X949" s="403"/>
      <c r="Y949" s="403"/>
      <c r="Z949" s="403"/>
    </row>
    <row r="950">
      <c r="A950" s="403"/>
      <c r="B950" s="417"/>
      <c r="C950" s="415"/>
      <c r="D950" s="417"/>
      <c r="E950" s="417"/>
      <c r="F950" s="417"/>
      <c r="G950" s="418"/>
      <c r="H950" s="417"/>
      <c r="I950" s="418"/>
      <c r="J950" s="432"/>
      <c r="K950" s="420"/>
      <c r="L950" s="417"/>
      <c r="M950" s="415"/>
      <c r="N950" s="422"/>
      <c r="O950" s="75" t="str">
        <f t="shared" si="3"/>
        <v/>
      </c>
      <c r="P950" s="403">
        <v>0.0</v>
      </c>
      <c r="Q950" s="403">
        <v>0.0</v>
      </c>
      <c r="R950" s="403"/>
      <c r="S950" s="403"/>
      <c r="T950" s="403"/>
      <c r="U950" s="403"/>
      <c r="V950" s="403"/>
      <c r="W950" s="403"/>
      <c r="X950" s="403"/>
      <c r="Y950" s="403"/>
      <c r="Z950" s="403"/>
    </row>
    <row r="951">
      <c r="A951" s="403"/>
      <c r="B951" s="417"/>
      <c r="C951" s="415"/>
      <c r="D951" s="417"/>
      <c r="E951" s="417"/>
      <c r="F951" s="417"/>
      <c r="G951" s="418"/>
      <c r="H951" s="417"/>
      <c r="I951" s="418"/>
      <c r="J951" s="432"/>
      <c r="K951" s="420"/>
      <c r="L951" s="417"/>
      <c r="M951" s="415"/>
      <c r="N951" s="422"/>
      <c r="O951" s="75" t="str">
        <f t="shared" si="3"/>
        <v/>
      </c>
      <c r="P951" s="403">
        <v>0.0</v>
      </c>
      <c r="Q951" s="403">
        <v>0.0</v>
      </c>
      <c r="R951" s="403"/>
      <c r="S951" s="403"/>
      <c r="T951" s="403"/>
      <c r="U951" s="403"/>
      <c r="V951" s="403"/>
      <c r="W951" s="403"/>
      <c r="X951" s="403"/>
      <c r="Y951" s="403"/>
      <c r="Z951" s="403"/>
    </row>
    <row r="952">
      <c r="A952" s="403"/>
      <c r="B952" s="417"/>
      <c r="C952" s="415"/>
      <c r="D952" s="417"/>
      <c r="E952" s="417"/>
      <c r="F952" s="417"/>
      <c r="G952" s="418"/>
      <c r="H952" s="417"/>
      <c r="I952" s="418"/>
      <c r="J952" s="432"/>
      <c r="K952" s="420"/>
      <c r="L952" s="417"/>
      <c r="M952" s="415"/>
      <c r="N952" s="422"/>
      <c r="O952" s="75" t="str">
        <f t="shared" si="3"/>
        <v/>
      </c>
      <c r="P952" s="403">
        <v>0.0</v>
      </c>
      <c r="Q952" s="403">
        <v>0.0</v>
      </c>
      <c r="R952" s="403"/>
      <c r="S952" s="403"/>
      <c r="T952" s="403"/>
      <c r="U952" s="403"/>
      <c r="V952" s="403"/>
      <c r="W952" s="403"/>
      <c r="X952" s="403"/>
      <c r="Y952" s="403"/>
      <c r="Z952" s="403"/>
    </row>
    <row r="953">
      <c r="A953" s="403"/>
      <c r="B953" s="417"/>
      <c r="C953" s="415"/>
      <c r="D953" s="417"/>
      <c r="E953" s="417"/>
      <c r="F953" s="417"/>
      <c r="G953" s="418"/>
      <c r="H953" s="417"/>
      <c r="I953" s="418"/>
      <c r="J953" s="432"/>
      <c r="K953" s="420"/>
      <c r="L953" s="417"/>
      <c r="M953" s="415"/>
      <c r="N953" s="422"/>
      <c r="O953" s="75" t="str">
        <f t="shared" si="3"/>
        <v/>
      </c>
      <c r="P953" s="403">
        <v>0.0</v>
      </c>
      <c r="Q953" s="403">
        <v>0.0</v>
      </c>
      <c r="R953" s="403"/>
      <c r="S953" s="403"/>
      <c r="T953" s="403"/>
      <c r="U953" s="403"/>
      <c r="V953" s="403"/>
      <c r="W953" s="403"/>
      <c r="X953" s="403"/>
      <c r="Y953" s="403"/>
      <c r="Z953" s="403"/>
    </row>
    <row r="954">
      <c r="A954" s="403"/>
      <c r="B954" s="417"/>
      <c r="C954" s="415"/>
      <c r="D954" s="417"/>
      <c r="E954" s="417"/>
      <c r="F954" s="417"/>
      <c r="G954" s="418"/>
      <c r="H954" s="417"/>
      <c r="I954" s="418"/>
      <c r="J954" s="432"/>
      <c r="K954" s="420"/>
      <c r="L954" s="417"/>
      <c r="M954" s="415"/>
      <c r="N954" s="422"/>
      <c r="O954" s="75" t="str">
        <f t="shared" si="3"/>
        <v/>
      </c>
      <c r="P954" s="403">
        <v>0.0</v>
      </c>
      <c r="Q954" s="403">
        <v>0.0</v>
      </c>
      <c r="R954" s="403"/>
      <c r="S954" s="403"/>
      <c r="T954" s="403"/>
      <c r="U954" s="403"/>
      <c r="V954" s="403"/>
      <c r="W954" s="403"/>
      <c r="X954" s="403"/>
      <c r="Y954" s="403"/>
      <c r="Z954" s="403"/>
    </row>
    <row r="955">
      <c r="A955" s="403"/>
      <c r="B955" s="417"/>
      <c r="C955" s="415"/>
      <c r="D955" s="417"/>
      <c r="E955" s="417"/>
      <c r="F955" s="417"/>
      <c r="G955" s="418"/>
      <c r="H955" s="417"/>
      <c r="I955" s="418"/>
      <c r="J955" s="432"/>
      <c r="K955" s="420"/>
      <c r="L955" s="417"/>
      <c r="M955" s="415"/>
      <c r="N955" s="422"/>
      <c r="O955" s="75" t="str">
        <f t="shared" si="3"/>
        <v/>
      </c>
      <c r="P955" s="403">
        <v>0.0</v>
      </c>
      <c r="Q955" s="403">
        <v>0.0</v>
      </c>
      <c r="R955" s="403"/>
      <c r="S955" s="403"/>
      <c r="T955" s="403"/>
      <c r="U955" s="403"/>
      <c r="V955" s="403"/>
      <c r="W955" s="403"/>
      <c r="X955" s="403"/>
      <c r="Y955" s="403"/>
      <c r="Z955" s="403"/>
    </row>
    <row r="956">
      <c r="A956" s="403"/>
      <c r="B956" s="417"/>
      <c r="C956" s="415"/>
      <c r="D956" s="417"/>
      <c r="E956" s="417"/>
      <c r="F956" s="417"/>
      <c r="G956" s="418"/>
      <c r="H956" s="417"/>
      <c r="I956" s="418"/>
      <c r="J956" s="432"/>
      <c r="K956" s="420"/>
      <c r="L956" s="417"/>
      <c r="M956" s="415"/>
      <c r="N956" s="422"/>
      <c r="O956" s="75" t="str">
        <f t="shared" si="3"/>
        <v/>
      </c>
      <c r="P956" s="403">
        <v>0.0</v>
      </c>
      <c r="Q956" s="403">
        <v>0.0</v>
      </c>
      <c r="R956" s="403"/>
      <c r="S956" s="403"/>
      <c r="T956" s="403"/>
      <c r="U956" s="403"/>
      <c r="V956" s="403"/>
      <c r="W956" s="403"/>
      <c r="X956" s="403"/>
      <c r="Y956" s="403"/>
      <c r="Z956" s="403"/>
    </row>
    <row r="957">
      <c r="A957" s="403"/>
      <c r="B957" s="417"/>
      <c r="C957" s="415"/>
      <c r="D957" s="417"/>
      <c r="E957" s="417"/>
      <c r="F957" s="417"/>
      <c r="G957" s="418"/>
      <c r="H957" s="417"/>
      <c r="I957" s="418"/>
      <c r="J957" s="432"/>
      <c r="K957" s="420"/>
      <c r="L957" s="417"/>
      <c r="M957" s="415"/>
      <c r="N957" s="422"/>
      <c r="O957" s="75" t="str">
        <f t="shared" si="3"/>
        <v/>
      </c>
      <c r="P957" s="403">
        <v>0.0</v>
      </c>
      <c r="Q957" s="403">
        <v>0.0</v>
      </c>
      <c r="R957" s="403"/>
      <c r="S957" s="403"/>
      <c r="T957" s="403"/>
      <c r="U957" s="403"/>
      <c r="V957" s="403"/>
      <c r="W957" s="403"/>
      <c r="X957" s="403"/>
      <c r="Y957" s="403"/>
      <c r="Z957" s="403"/>
    </row>
    <row r="958">
      <c r="A958" s="403"/>
      <c r="B958" s="417"/>
      <c r="C958" s="415"/>
      <c r="D958" s="417"/>
      <c r="E958" s="417"/>
      <c r="F958" s="417"/>
      <c r="G958" s="418"/>
      <c r="H958" s="417"/>
      <c r="I958" s="418"/>
      <c r="J958" s="432"/>
      <c r="K958" s="420"/>
      <c r="L958" s="417"/>
      <c r="M958" s="415"/>
      <c r="N958" s="422"/>
      <c r="O958" s="75" t="str">
        <f t="shared" si="3"/>
        <v/>
      </c>
      <c r="P958" s="403">
        <v>0.0</v>
      </c>
      <c r="Q958" s="403">
        <v>0.0</v>
      </c>
      <c r="R958" s="403"/>
      <c r="S958" s="403"/>
      <c r="T958" s="403"/>
      <c r="U958" s="403"/>
      <c r="V958" s="403"/>
      <c r="W958" s="403"/>
      <c r="X958" s="403"/>
      <c r="Y958" s="403"/>
      <c r="Z958" s="403"/>
    </row>
    <row r="959">
      <c r="A959" s="403"/>
      <c r="B959" s="417"/>
      <c r="C959" s="415"/>
      <c r="D959" s="417"/>
      <c r="E959" s="417"/>
      <c r="F959" s="417"/>
      <c r="G959" s="418"/>
      <c r="H959" s="417"/>
      <c r="I959" s="418"/>
      <c r="J959" s="432"/>
      <c r="K959" s="420"/>
      <c r="L959" s="417"/>
      <c r="M959" s="415"/>
      <c r="N959" s="422"/>
      <c r="O959" s="75" t="str">
        <f t="shared" si="3"/>
        <v/>
      </c>
      <c r="P959" s="403">
        <v>0.0</v>
      </c>
      <c r="Q959" s="403">
        <v>0.0</v>
      </c>
      <c r="R959" s="403"/>
      <c r="S959" s="403"/>
      <c r="T959" s="403"/>
      <c r="U959" s="403"/>
      <c r="V959" s="403"/>
      <c r="W959" s="403"/>
      <c r="X959" s="403"/>
      <c r="Y959" s="403"/>
      <c r="Z959" s="403"/>
    </row>
    <row r="960">
      <c r="A960" s="403"/>
      <c r="B960" s="417"/>
      <c r="C960" s="415"/>
      <c r="D960" s="417"/>
      <c r="E960" s="417"/>
      <c r="F960" s="417"/>
      <c r="G960" s="418"/>
      <c r="H960" s="417"/>
      <c r="I960" s="418"/>
      <c r="J960" s="432"/>
      <c r="K960" s="420"/>
      <c r="L960" s="417"/>
      <c r="M960" s="415"/>
      <c r="N960" s="422"/>
      <c r="O960" s="75" t="str">
        <f t="shared" si="3"/>
        <v/>
      </c>
      <c r="P960" s="403">
        <v>0.0</v>
      </c>
      <c r="Q960" s="403">
        <v>0.0</v>
      </c>
      <c r="R960" s="403"/>
      <c r="S960" s="403"/>
      <c r="T960" s="403"/>
      <c r="U960" s="403"/>
      <c r="V960" s="403"/>
      <c r="W960" s="403"/>
      <c r="X960" s="403"/>
      <c r="Y960" s="403"/>
      <c r="Z960" s="403"/>
    </row>
    <row r="961">
      <c r="A961" s="403"/>
      <c r="B961" s="417"/>
      <c r="C961" s="415"/>
      <c r="D961" s="417"/>
      <c r="E961" s="417"/>
      <c r="F961" s="417"/>
      <c r="G961" s="418"/>
      <c r="H961" s="417"/>
      <c r="I961" s="418"/>
      <c r="J961" s="432"/>
      <c r="K961" s="420"/>
      <c r="L961" s="417"/>
      <c r="M961" s="415"/>
      <c r="N961" s="422"/>
      <c r="O961" s="75" t="str">
        <f t="shared" si="3"/>
        <v/>
      </c>
      <c r="P961" s="403">
        <v>0.0</v>
      </c>
      <c r="Q961" s="403">
        <v>0.0</v>
      </c>
      <c r="R961" s="403"/>
      <c r="S961" s="403"/>
      <c r="T961" s="403"/>
      <c r="U961" s="403"/>
      <c r="V961" s="403"/>
      <c r="W961" s="403"/>
      <c r="X961" s="403"/>
      <c r="Y961" s="403"/>
      <c r="Z961" s="403"/>
    </row>
    <row r="962">
      <c r="A962" s="403"/>
      <c r="B962" s="417"/>
      <c r="C962" s="415"/>
      <c r="D962" s="417"/>
      <c r="E962" s="417"/>
      <c r="F962" s="417"/>
      <c r="G962" s="418"/>
      <c r="H962" s="417"/>
      <c r="I962" s="418"/>
      <c r="J962" s="432"/>
      <c r="K962" s="420"/>
      <c r="L962" s="417"/>
      <c r="M962" s="415"/>
      <c r="N962" s="422"/>
      <c r="O962" s="75" t="str">
        <f t="shared" si="3"/>
        <v/>
      </c>
      <c r="P962" s="403">
        <v>0.0</v>
      </c>
      <c r="Q962" s="403">
        <v>0.0</v>
      </c>
      <c r="R962" s="403"/>
      <c r="S962" s="403"/>
      <c r="T962" s="403"/>
      <c r="U962" s="403"/>
      <c r="V962" s="403"/>
      <c r="W962" s="403"/>
      <c r="X962" s="403"/>
      <c r="Y962" s="403"/>
      <c r="Z962" s="403"/>
    </row>
    <row r="963">
      <c r="A963" s="403"/>
      <c r="B963" s="417"/>
      <c r="C963" s="415"/>
      <c r="D963" s="417"/>
      <c r="E963" s="417"/>
      <c r="F963" s="417"/>
      <c r="G963" s="418"/>
      <c r="H963" s="417"/>
      <c r="I963" s="418"/>
      <c r="J963" s="432"/>
      <c r="K963" s="420"/>
      <c r="L963" s="417"/>
      <c r="M963" s="415"/>
      <c r="N963" s="422"/>
      <c r="O963" s="75" t="str">
        <f t="shared" si="3"/>
        <v/>
      </c>
      <c r="P963" s="403">
        <v>0.0</v>
      </c>
      <c r="Q963" s="403">
        <v>0.0</v>
      </c>
      <c r="R963" s="403"/>
      <c r="S963" s="403"/>
      <c r="T963" s="403"/>
      <c r="U963" s="403"/>
      <c r="V963" s="403"/>
      <c r="W963" s="403"/>
      <c r="X963" s="403"/>
      <c r="Y963" s="403"/>
      <c r="Z963" s="403"/>
    </row>
    <row r="964">
      <c r="A964" s="403"/>
      <c r="B964" s="417"/>
      <c r="C964" s="415"/>
      <c r="D964" s="417"/>
      <c r="E964" s="417"/>
      <c r="F964" s="417"/>
      <c r="G964" s="418"/>
      <c r="H964" s="417"/>
      <c r="I964" s="418"/>
      <c r="J964" s="432"/>
      <c r="K964" s="420"/>
      <c r="L964" s="417"/>
      <c r="M964" s="415"/>
      <c r="N964" s="422"/>
      <c r="O964" s="75" t="str">
        <f t="shared" si="3"/>
        <v/>
      </c>
      <c r="P964" s="403">
        <v>0.0</v>
      </c>
      <c r="Q964" s="403">
        <v>0.0</v>
      </c>
      <c r="R964" s="403"/>
      <c r="S964" s="403"/>
      <c r="T964" s="403"/>
      <c r="U964" s="403"/>
      <c r="V964" s="403"/>
      <c r="W964" s="403"/>
      <c r="X964" s="403"/>
      <c r="Y964" s="403"/>
      <c r="Z964" s="403"/>
    </row>
    <row r="965">
      <c r="A965" s="403"/>
      <c r="B965" s="417"/>
      <c r="C965" s="415"/>
      <c r="D965" s="417"/>
      <c r="E965" s="417"/>
      <c r="F965" s="417"/>
      <c r="G965" s="418"/>
      <c r="H965" s="417"/>
      <c r="I965" s="418"/>
      <c r="J965" s="432"/>
      <c r="K965" s="420"/>
      <c r="L965" s="417"/>
      <c r="M965" s="415"/>
      <c r="N965" s="422"/>
      <c r="O965" s="75" t="str">
        <f t="shared" si="3"/>
        <v/>
      </c>
      <c r="P965" s="403">
        <v>0.0</v>
      </c>
      <c r="Q965" s="403">
        <v>0.0</v>
      </c>
      <c r="R965" s="403"/>
      <c r="S965" s="403"/>
      <c r="T965" s="403"/>
      <c r="U965" s="403"/>
      <c r="V965" s="403"/>
      <c r="W965" s="403"/>
      <c r="X965" s="403"/>
      <c r="Y965" s="403"/>
      <c r="Z965" s="403"/>
    </row>
    <row r="966">
      <c r="A966" s="403"/>
      <c r="B966" s="417"/>
      <c r="C966" s="415"/>
      <c r="D966" s="417"/>
      <c r="E966" s="417"/>
      <c r="F966" s="417"/>
      <c r="G966" s="418"/>
      <c r="H966" s="417"/>
      <c r="I966" s="418"/>
      <c r="J966" s="432"/>
      <c r="K966" s="420"/>
      <c r="L966" s="417"/>
      <c r="M966" s="415"/>
      <c r="N966" s="422"/>
      <c r="O966" s="75" t="str">
        <f t="shared" si="3"/>
        <v/>
      </c>
      <c r="P966" s="403">
        <v>0.0</v>
      </c>
      <c r="Q966" s="403">
        <v>0.0</v>
      </c>
      <c r="R966" s="403"/>
      <c r="S966" s="403"/>
      <c r="T966" s="403"/>
      <c r="U966" s="403"/>
      <c r="V966" s="403"/>
      <c r="W966" s="403"/>
      <c r="X966" s="403"/>
      <c r="Y966" s="403"/>
      <c r="Z966" s="403"/>
    </row>
    <row r="967">
      <c r="A967" s="403"/>
      <c r="B967" s="417"/>
      <c r="C967" s="415"/>
      <c r="D967" s="417"/>
      <c r="E967" s="417"/>
      <c r="F967" s="417"/>
      <c r="G967" s="418"/>
      <c r="H967" s="417"/>
      <c r="I967" s="418"/>
      <c r="J967" s="432"/>
      <c r="K967" s="420"/>
      <c r="L967" s="417"/>
      <c r="M967" s="415"/>
      <c r="N967" s="422"/>
      <c r="O967" s="75" t="str">
        <f t="shared" si="3"/>
        <v/>
      </c>
      <c r="P967" s="403">
        <v>0.0</v>
      </c>
      <c r="Q967" s="403">
        <v>0.0</v>
      </c>
      <c r="R967" s="403"/>
      <c r="S967" s="403"/>
      <c r="T967" s="403"/>
      <c r="U967" s="403"/>
      <c r="V967" s="403"/>
      <c r="W967" s="403"/>
      <c r="X967" s="403"/>
      <c r="Y967" s="403"/>
      <c r="Z967" s="403"/>
    </row>
    <row r="968">
      <c r="A968" s="403"/>
      <c r="B968" s="417"/>
      <c r="C968" s="415"/>
      <c r="D968" s="417"/>
      <c r="E968" s="417"/>
      <c r="F968" s="417"/>
      <c r="G968" s="418"/>
      <c r="H968" s="417"/>
      <c r="I968" s="418"/>
      <c r="J968" s="432"/>
      <c r="K968" s="420"/>
      <c r="L968" s="417"/>
      <c r="M968" s="415"/>
      <c r="N968" s="422"/>
      <c r="O968" s="75" t="str">
        <f t="shared" si="3"/>
        <v/>
      </c>
      <c r="P968" s="403">
        <v>0.0</v>
      </c>
      <c r="Q968" s="403">
        <v>0.0</v>
      </c>
      <c r="R968" s="403"/>
      <c r="S968" s="403"/>
      <c r="T968" s="403"/>
      <c r="U968" s="403"/>
      <c r="V968" s="403"/>
      <c r="W968" s="403"/>
      <c r="X968" s="403"/>
      <c r="Y968" s="403"/>
      <c r="Z968" s="403"/>
    </row>
    <row r="969">
      <c r="A969" s="403"/>
      <c r="B969" s="417"/>
      <c r="C969" s="415"/>
      <c r="D969" s="417"/>
      <c r="E969" s="417"/>
      <c r="F969" s="417"/>
      <c r="G969" s="418"/>
      <c r="H969" s="417"/>
      <c r="I969" s="418"/>
      <c r="J969" s="432"/>
      <c r="K969" s="420"/>
      <c r="L969" s="417"/>
      <c r="M969" s="415"/>
      <c r="N969" s="422"/>
      <c r="O969" s="75" t="str">
        <f t="shared" si="3"/>
        <v/>
      </c>
      <c r="P969" s="403">
        <v>0.0</v>
      </c>
      <c r="Q969" s="403">
        <v>0.0</v>
      </c>
      <c r="R969" s="403"/>
      <c r="S969" s="403"/>
      <c r="T969" s="403"/>
      <c r="U969" s="403"/>
      <c r="V969" s="403"/>
      <c r="W969" s="403"/>
      <c r="X969" s="403"/>
      <c r="Y969" s="403"/>
      <c r="Z969" s="403"/>
    </row>
    <row r="970">
      <c r="A970" s="403"/>
      <c r="B970" s="417"/>
      <c r="C970" s="415"/>
      <c r="D970" s="417"/>
      <c r="E970" s="417"/>
      <c r="F970" s="417"/>
      <c r="G970" s="418"/>
      <c r="H970" s="417"/>
      <c r="I970" s="418"/>
      <c r="J970" s="432"/>
      <c r="K970" s="420"/>
      <c r="L970" s="417"/>
      <c r="M970" s="415"/>
      <c r="N970" s="422"/>
      <c r="O970" s="75" t="str">
        <f t="shared" si="3"/>
        <v/>
      </c>
      <c r="P970" s="403">
        <v>0.0</v>
      </c>
      <c r="Q970" s="403">
        <v>0.0</v>
      </c>
      <c r="R970" s="403"/>
      <c r="S970" s="403"/>
      <c r="T970" s="403"/>
      <c r="U970" s="403"/>
      <c r="V970" s="403"/>
      <c r="W970" s="403"/>
      <c r="X970" s="403"/>
      <c r="Y970" s="403"/>
      <c r="Z970" s="403"/>
    </row>
    <row r="971">
      <c r="A971" s="403"/>
      <c r="B971" s="417"/>
      <c r="C971" s="415"/>
      <c r="D971" s="417"/>
      <c r="E971" s="417"/>
      <c r="F971" s="417"/>
      <c r="G971" s="418"/>
      <c r="H971" s="417"/>
      <c r="I971" s="418"/>
      <c r="J971" s="432"/>
      <c r="K971" s="420"/>
      <c r="L971" s="417"/>
      <c r="M971" s="415"/>
      <c r="N971" s="422"/>
      <c r="O971" s="75" t="str">
        <f t="shared" si="3"/>
        <v/>
      </c>
      <c r="P971" s="403">
        <v>0.0</v>
      </c>
      <c r="Q971" s="403">
        <v>0.0</v>
      </c>
      <c r="R971" s="403"/>
      <c r="S971" s="403"/>
      <c r="T971" s="403"/>
      <c r="U971" s="403"/>
      <c r="V971" s="403"/>
      <c r="W971" s="403"/>
      <c r="X971" s="403"/>
      <c r="Y971" s="403"/>
      <c r="Z971" s="403"/>
    </row>
    <row r="972">
      <c r="A972" s="403"/>
      <c r="B972" s="417"/>
      <c r="C972" s="415"/>
      <c r="D972" s="417"/>
      <c r="E972" s="417"/>
      <c r="F972" s="417"/>
      <c r="G972" s="418"/>
      <c r="H972" s="417"/>
      <c r="I972" s="418"/>
      <c r="J972" s="432"/>
      <c r="K972" s="420"/>
      <c r="L972" s="417"/>
      <c r="M972" s="415"/>
      <c r="N972" s="422"/>
      <c r="O972" s="75" t="str">
        <f t="shared" si="3"/>
        <v/>
      </c>
      <c r="P972" s="403">
        <v>0.0</v>
      </c>
      <c r="Q972" s="403">
        <v>0.0</v>
      </c>
      <c r="R972" s="403"/>
      <c r="S972" s="403"/>
      <c r="T972" s="403"/>
      <c r="U972" s="403"/>
      <c r="V972" s="403"/>
      <c r="W972" s="403"/>
      <c r="X972" s="403"/>
      <c r="Y972" s="403"/>
      <c r="Z972" s="403"/>
    </row>
    <row r="973">
      <c r="A973" s="403"/>
      <c r="B973" s="417"/>
      <c r="C973" s="415"/>
      <c r="D973" s="417"/>
      <c r="E973" s="417"/>
      <c r="F973" s="417"/>
      <c r="G973" s="418"/>
      <c r="H973" s="417"/>
      <c r="I973" s="418"/>
      <c r="J973" s="432"/>
      <c r="K973" s="420"/>
      <c r="L973" s="417"/>
      <c r="M973" s="415"/>
      <c r="N973" s="422"/>
      <c r="O973" s="75" t="str">
        <f t="shared" si="3"/>
        <v/>
      </c>
      <c r="P973" s="403">
        <v>0.0</v>
      </c>
      <c r="Q973" s="403">
        <v>0.0</v>
      </c>
      <c r="R973" s="403"/>
      <c r="S973" s="403"/>
      <c r="T973" s="403"/>
      <c r="U973" s="403"/>
      <c r="V973" s="403"/>
      <c r="W973" s="403"/>
      <c r="X973" s="403"/>
      <c r="Y973" s="403"/>
      <c r="Z973" s="403"/>
    </row>
    <row r="974">
      <c r="A974" s="403"/>
      <c r="B974" s="417"/>
      <c r="C974" s="415"/>
      <c r="D974" s="417"/>
      <c r="E974" s="417"/>
      <c r="F974" s="417"/>
      <c r="G974" s="418"/>
      <c r="H974" s="417"/>
      <c r="I974" s="418"/>
      <c r="J974" s="432"/>
      <c r="K974" s="420"/>
      <c r="L974" s="417"/>
      <c r="M974" s="415"/>
      <c r="N974" s="422"/>
      <c r="O974" s="75" t="str">
        <f t="shared" si="3"/>
        <v/>
      </c>
      <c r="P974" s="403">
        <v>0.0</v>
      </c>
      <c r="Q974" s="403">
        <v>0.0</v>
      </c>
      <c r="R974" s="403"/>
      <c r="S974" s="403"/>
      <c r="T974" s="403"/>
      <c r="U974" s="403"/>
      <c r="V974" s="403"/>
      <c r="W974" s="403"/>
      <c r="X974" s="403"/>
      <c r="Y974" s="403"/>
      <c r="Z974" s="403"/>
    </row>
    <row r="975">
      <c r="A975" s="403"/>
      <c r="B975" s="417"/>
      <c r="C975" s="415"/>
      <c r="D975" s="417"/>
      <c r="E975" s="417"/>
      <c r="F975" s="417"/>
      <c r="G975" s="418"/>
      <c r="H975" s="417"/>
      <c r="I975" s="418"/>
      <c r="J975" s="432"/>
      <c r="K975" s="420"/>
      <c r="L975" s="417"/>
      <c r="M975" s="415"/>
      <c r="N975" s="422"/>
      <c r="O975" s="75" t="str">
        <f t="shared" si="3"/>
        <v/>
      </c>
      <c r="P975" s="403">
        <v>0.0</v>
      </c>
      <c r="Q975" s="403">
        <v>0.0</v>
      </c>
      <c r="R975" s="403"/>
      <c r="S975" s="403"/>
      <c r="T975" s="403"/>
      <c r="U975" s="403"/>
      <c r="V975" s="403"/>
      <c r="W975" s="403"/>
      <c r="X975" s="403"/>
      <c r="Y975" s="403"/>
      <c r="Z975" s="403"/>
    </row>
    <row r="976">
      <c r="A976" s="403"/>
      <c r="B976" s="417"/>
      <c r="C976" s="415"/>
      <c r="D976" s="417"/>
      <c r="E976" s="417"/>
      <c r="F976" s="417"/>
      <c r="G976" s="418"/>
      <c r="H976" s="417"/>
      <c r="I976" s="418"/>
      <c r="J976" s="432"/>
      <c r="K976" s="420"/>
      <c r="L976" s="417"/>
      <c r="M976" s="415"/>
      <c r="N976" s="422"/>
      <c r="O976" s="75" t="str">
        <f t="shared" si="3"/>
        <v/>
      </c>
      <c r="P976" s="403">
        <v>0.0</v>
      </c>
      <c r="Q976" s="403">
        <v>0.0</v>
      </c>
      <c r="R976" s="403"/>
      <c r="S976" s="403"/>
      <c r="T976" s="403"/>
      <c r="U976" s="403"/>
      <c r="V976" s="403"/>
      <c r="W976" s="403"/>
      <c r="X976" s="403"/>
      <c r="Y976" s="403"/>
      <c r="Z976" s="403"/>
    </row>
    <row r="977">
      <c r="A977" s="403"/>
      <c r="B977" s="417"/>
      <c r="C977" s="415"/>
      <c r="D977" s="417"/>
      <c r="E977" s="417"/>
      <c r="F977" s="417"/>
      <c r="G977" s="418"/>
      <c r="H977" s="417"/>
      <c r="I977" s="418"/>
      <c r="J977" s="432"/>
      <c r="K977" s="420"/>
      <c r="L977" s="417"/>
      <c r="M977" s="415"/>
      <c r="N977" s="422"/>
      <c r="O977" s="75" t="str">
        <f t="shared" si="3"/>
        <v/>
      </c>
      <c r="P977" s="403">
        <v>0.0</v>
      </c>
      <c r="Q977" s="403">
        <v>0.0</v>
      </c>
      <c r="R977" s="403"/>
      <c r="S977" s="403"/>
      <c r="T977" s="403"/>
      <c r="U977" s="403"/>
      <c r="V977" s="403"/>
      <c r="W977" s="403"/>
      <c r="X977" s="403"/>
      <c r="Y977" s="403"/>
      <c r="Z977" s="403"/>
    </row>
    <row r="978">
      <c r="A978" s="403"/>
      <c r="B978" s="417"/>
      <c r="C978" s="415"/>
      <c r="D978" s="417"/>
      <c r="E978" s="417"/>
      <c r="F978" s="417"/>
      <c r="G978" s="418"/>
      <c r="H978" s="417"/>
      <c r="I978" s="418"/>
      <c r="J978" s="432"/>
      <c r="K978" s="420"/>
      <c r="L978" s="417"/>
      <c r="M978" s="415"/>
      <c r="N978" s="422"/>
      <c r="O978" s="75" t="str">
        <f t="shared" si="3"/>
        <v/>
      </c>
      <c r="P978" s="403">
        <v>0.0</v>
      </c>
      <c r="Q978" s="403">
        <v>0.0</v>
      </c>
      <c r="R978" s="403"/>
      <c r="S978" s="403"/>
      <c r="T978" s="403"/>
      <c r="U978" s="403"/>
      <c r="V978" s="403"/>
      <c r="W978" s="403"/>
      <c r="X978" s="403"/>
      <c r="Y978" s="403"/>
      <c r="Z978" s="403"/>
    </row>
    <row r="979">
      <c r="A979" s="403"/>
      <c r="B979" s="417"/>
      <c r="C979" s="415"/>
      <c r="D979" s="417"/>
      <c r="E979" s="417"/>
      <c r="F979" s="417"/>
      <c r="G979" s="418"/>
      <c r="H979" s="417"/>
      <c r="I979" s="418"/>
      <c r="J979" s="432"/>
      <c r="K979" s="420"/>
      <c r="L979" s="417"/>
      <c r="M979" s="415"/>
      <c r="N979" s="422"/>
      <c r="O979" s="75" t="str">
        <f t="shared" si="3"/>
        <v/>
      </c>
      <c r="P979" s="403">
        <v>0.0</v>
      </c>
      <c r="Q979" s="403">
        <v>0.0</v>
      </c>
      <c r="R979" s="403"/>
      <c r="S979" s="403"/>
      <c r="T979" s="403"/>
      <c r="U979" s="403"/>
      <c r="V979" s="403"/>
      <c r="W979" s="403"/>
      <c r="X979" s="403"/>
      <c r="Y979" s="403"/>
      <c r="Z979" s="403"/>
    </row>
    <row r="980">
      <c r="A980" s="403"/>
      <c r="B980" s="417"/>
      <c r="C980" s="415"/>
      <c r="D980" s="417"/>
      <c r="E980" s="417"/>
      <c r="F980" s="417"/>
      <c r="G980" s="418"/>
      <c r="H980" s="417"/>
      <c r="I980" s="418"/>
      <c r="J980" s="432"/>
      <c r="K980" s="420"/>
      <c r="L980" s="417"/>
      <c r="M980" s="415"/>
      <c r="N980" s="422"/>
      <c r="O980" s="75" t="str">
        <f t="shared" si="3"/>
        <v/>
      </c>
      <c r="P980" s="403">
        <v>0.0</v>
      </c>
      <c r="Q980" s="403">
        <v>0.0</v>
      </c>
      <c r="R980" s="403"/>
      <c r="S980" s="403"/>
      <c r="T980" s="403"/>
      <c r="U980" s="403"/>
      <c r="V980" s="403"/>
      <c r="W980" s="403"/>
      <c r="X980" s="403"/>
      <c r="Y980" s="403"/>
      <c r="Z980" s="403"/>
    </row>
    <row r="981">
      <c r="A981" s="403"/>
      <c r="B981" s="417"/>
      <c r="C981" s="415"/>
      <c r="D981" s="417"/>
      <c r="E981" s="417"/>
      <c r="F981" s="417"/>
      <c r="G981" s="418"/>
      <c r="H981" s="417"/>
      <c r="I981" s="418"/>
      <c r="J981" s="432"/>
      <c r="K981" s="420"/>
      <c r="L981" s="417"/>
      <c r="M981" s="415"/>
      <c r="N981" s="422"/>
      <c r="O981" s="75" t="str">
        <f t="shared" si="3"/>
        <v/>
      </c>
      <c r="P981" s="403">
        <v>0.0</v>
      </c>
      <c r="Q981" s="403">
        <v>0.0</v>
      </c>
      <c r="R981" s="403"/>
      <c r="S981" s="403"/>
      <c r="T981" s="403"/>
      <c r="U981" s="403"/>
      <c r="V981" s="403"/>
      <c r="W981" s="403"/>
      <c r="X981" s="403"/>
      <c r="Y981" s="403"/>
      <c r="Z981" s="403"/>
    </row>
    <row r="982">
      <c r="A982" s="403"/>
      <c r="B982" s="417"/>
      <c r="C982" s="415"/>
      <c r="D982" s="417"/>
      <c r="E982" s="417"/>
      <c r="F982" s="417"/>
      <c r="G982" s="418"/>
      <c r="H982" s="417"/>
      <c r="I982" s="418"/>
      <c r="J982" s="432"/>
      <c r="K982" s="420"/>
      <c r="L982" s="417"/>
      <c r="M982" s="415"/>
      <c r="N982" s="422"/>
      <c r="O982" s="75" t="str">
        <f t="shared" si="3"/>
        <v/>
      </c>
      <c r="P982" s="403">
        <v>0.0</v>
      </c>
      <c r="Q982" s="403">
        <v>0.0</v>
      </c>
      <c r="R982" s="403"/>
      <c r="S982" s="403"/>
      <c r="T982" s="403"/>
      <c r="U982" s="403"/>
      <c r="V982" s="403"/>
      <c r="W982" s="403"/>
      <c r="X982" s="403"/>
      <c r="Y982" s="403"/>
      <c r="Z982" s="403"/>
    </row>
    <row r="983">
      <c r="A983" s="403"/>
      <c r="B983" s="417"/>
      <c r="C983" s="415"/>
      <c r="D983" s="417"/>
      <c r="E983" s="417"/>
      <c r="F983" s="417"/>
      <c r="G983" s="418"/>
      <c r="H983" s="417"/>
      <c r="I983" s="418"/>
      <c r="J983" s="432"/>
      <c r="K983" s="420"/>
      <c r="L983" s="417"/>
      <c r="M983" s="415"/>
      <c r="N983" s="422"/>
      <c r="O983" s="75" t="str">
        <f t="shared" si="3"/>
        <v/>
      </c>
      <c r="P983" s="403">
        <v>0.0</v>
      </c>
      <c r="Q983" s="403">
        <v>0.0</v>
      </c>
      <c r="R983" s="403"/>
      <c r="S983" s="403"/>
      <c r="T983" s="403"/>
      <c r="U983" s="403"/>
      <c r="V983" s="403"/>
      <c r="W983" s="403"/>
      <c r="X983" s="403"/>
      <c r="Y983" s="403"/>
      <c r="Z983" s="403"/>
    </row>
    <row r="984">
      <c r="A984" s="403"/>
      <c r="B984" s="417"/>
      <c r="C984" s="415"/>
      <c r="D984" s="417"/>
      <c r="E984" s="417"/>
      <c r="F984" s="417"/>
      <c r="G984" s="418"/>
      <c r="H984" s="417"/>
      <c r="I984" s="418"/>
      <c r="J984" s="432"/>
      <c r="K984" s="420"/>
      <c r="L984" s="417"/>
      <c r="M984" s="415"/>
      <c r="N984" s="422"/>
      <c r="O984" s="75" t="str">
        <f t="shared" si="3"/>
        <v/>
      </c>
      <c r="P984" s="403">
        <v>0.0</v>
      </c>
      <c r="Q984" s="403">
        <v>0.0</v>
      </c>
      <c r="R984" s="403"/>
      <c r="S984" s="403"/>
      <c r="T984" s="403"/>
      <c r="U984" s="403"/>
      <c r="V984" s="403"/>
      <c r="W984" s="403"/>
      <c r="X984" s="403"/>
      <c r="Y984" s="403"/>
      <c r="Z984" s="403"/>
    </row>
    <row r="985">
      <c r="A985" s="403"/>
      <c r="B985" s="417"/>
      <c r="C985" s="415"/>
      <c r="D985" s="417"/>
      <c r="E985" s="417"/>
      <c r="F985" s="417"/>
      <c r="G985" s="418"/>
      <c r="H985" s="417"/>
      <c r="I985" s="418"/>
      <c r="J985" s="432"/>
      <c r="K985" s="420"/>
      <c r="L985" s="417"/>
      <c r="M985" s="415"/>
      <c r="N985" s="422"/>
      <c r="O985" s="75" t="str">
        <f t="shared" si="3"/>
        <v/>
      </c>
      <c r="P985" s="403">
        <v>0.0</v>
      </c>
      <c r="Q985" s="403">
        <v>0.0</v>
      </c>
      <c r="R985" s="403"/>
      <c r="S985" s="403"/>
      <c r="T985" s="403"/>
      <c r="U985" s="403"/>
      <c r="V985" s="403"/>
      <c r="W985" s="403"/>
      <c r="X985" s="403"/>
      <c r="Y985" s="403"/>
      <c r="Z985" s="403"/>
    </row>
    <row r="986">
      <c r="A986" s="403"/>
      <c r="B986" s="417"/>
      <c r="C986" s="415"/>
      <c r="D986" s="417"/>
      <c r="E986" s="417"/>
      <c r="F986" s="417"/>
      <c r="G986" s="418"/>
      <c r="H986" s="417"/>
      <c r="I986" s="418"/>
      <c r="J986" s="432"/>
      <c r="K986" s="420"/>
      <c r="L986" s="417"/>
      <c r="M986" s="415"/>
      <c r="N986" s="422"/>
      <c r="O986" s="75" t="str">
        <f t="shared" si="3"/>
        <v/>
      </c>
      <c r="P986" s="403">
        <v>0.0</v>
      </c>
      <c r="Q986" s="403">
        <v>0.0</v>
      </c>
      <c r="R986" s="403"/>
      <c r="S986" s="403"/>
      <c r="T986" s="403"/>
      <c r="U986" s="403"/>
      <c r="V986" s="403"/>
      <c r="W986" s="403"/>
      <c r="X986" s="403"/>
      <c r="Y986" s="403"/>
      <c r="Z986" s="403"/>
    </row>
    <row r="987">
      <c r="A987" s="403"/>
      <c r="B987" s="417"/>
      <c r="C987" s="415"/>
      <c r="D987" s="417"/>
      <c r="E987" s="417"/>
      <c r="F987" s="417"/>
      <c r="G987" s="418"/>
      <c r="H987" s="417"/>
      <c r="I987" s="418"/>
      <c r="J987" s="432"/>
      <c r="K987" s="420"/>
      <c r="L987" s="417"/>
      <c r="M987" s="415"/>
      <c r="N987" s="422"/>
      <c r="O987" s="75" t="str">
        <f t="shared" si="3"/>
        <v/>
      </c>
      <c r="P987" s="403">
        <v>0.0</v>
      </c>
      <c r="Q987" s="403">
        <v>0.0</v>
      </c>
      <c r="R987" s="403"/>
      <c r="S987" s="403"/>
      <c r="T987" s="403"/>
      <c r="U987" s="403"/>
      <c r="V987" s="403"/>
      <c r="W987" s="403"/>
      <c r="X987" s="403"/>
      <c r="Y987" s="403"/>
      <c r="Z987" s="403"/>
    </row>
    <row r="988">
      <c r="A988" s="403"/>
      <c r="B988" s="417"/>
      <c r="C988" s="415"/>
      <c r="D988" s="417"/>
      <c r="E988" s="417"/>
      <c r="F988" s="417"/>
      <c r="G988" s="418"/>
      <c r="H988" s="417"/>
      <c r="I988" s="418"/>
      <c r="J988" s="432"/>
      <c r="K988" s="420"/>
      <c r="L988" s="417"/>
      <c r="M988" s="415"/>
      <c r="N988" s="422"/>
      <c r="O988" s="75" t="str">
        <f t="shared" si="3"/>
        <v/>
      </c>
      <c r="P988" s="403">
        <v>0.0</v>
      </c>
      <c r="Q988" s="403">
        <v>0.0</v>
      </c>
      <c r="R988" s="403"/>
      <c r="S988" s="403"/>
      <c r="T988" s="403"/>
      <c r="U988" s="403"/>
      <c r="V988" s="403"/>
      <c r="W988" s="403"/>
      <c r="X988" s="403"/>
      <c r="Y988" s="403"/>
      <c r="Z988" s="403"/>
    </row>
    <row r="989">
      <c r="A989" s="403"/>
      <c r="B989" s="417"/>
      <c r="C989" s="415"/>
      <c r="D989" s="417"/>
      <c r="E989" s="417"/>
      <c r="F989" s="417"/>
      <c r="G989" s="418"/>
      <c r="H989" s="417"/>
      <c r="I989" s="418"/>
      <c r="J989" s="432"/>
      <c r="K989" s="420"/>
      <c r="L989" s="417"/>
      <c r="M989" s="415"/>
      <c r="N989" s="422"/>
      <c r="O989" s="75" t="str">
        <f t="shared" si="3"/>
        <v/>
      </c>
      <c r="P989" s="403">
        <v>0.0</v>
      </c>
      <c r="Q989" s="403">
        <v>0.0</v>
      </c>
      <c r="R989" s="403"/>
      <c r="S989" s="403"/>
      <c r="T989" s="403"/>
      <c r="U989" s="403"/>
      <c r="V989" s="403"/>
      <c r="W989" s="403"/>
      <c r="X989" s="403"/>
      <c r="Y989" s="403"/>
      <c r="Z989" s="403"/>
    </row>
    <row r="990">
      <c r="A990" s="403"/>
      <c r="B990" s="417"/>
      <c r="C990" s="415"/>
      <c r="D990" s="417"/>
      <c r="E990" s="417"/>
      <c r="F990" s="417"/>
      <c r="G990" s="418"/>
      <c r="H990" s="417"/>
      <c r="I990" s="418"/>
      <c r="J990" s="432"/>
      <c r="K990" s="420"/>
      <c r="L990" s="417"/>
      <c r="M990" s="415"/>
      <c r="N990" s="422"/>
      <c r="O990" s="75" t="str">
        <f t="shared" si="3"/>
        <v/>
      </c>
      <c r="P990" s="403">
        <v>0.0</v>
      </c>
      <c r="Q990" s="403">
        <v>0.0</v>
      </c>
      <c r="R990" s="403"/>
      <c r="S990" s="403"/>
      <c r="T990" s="403"/>
      <c r="U990" s="403"/>
      <c r="V990" s="403"/>
      <c r="W990" s="403"/>
      <c r="X990" s="403"/>
      <c r="Y990" s="403"/>
      <c r="Z990" s="403"/>
    </row>
    <row r="991">
      <c r="A991" s="403"/>
      <c r="B991" s="417"/>
      <c r="C991" s="415"/>
      <c r="D991" s="417"/>
      <c r="E991" s="417"/>
      <c r="F991" s="417"/>
      <c r="G991" s="418"/>
      <c r="H991" s="417"/>
      <c r="I991" s="418"/>
      <c r="J991" s="432"/>
      <c r="K991" s="420"/>
      <c r="L991" s="417"/>
      <c r="M991" s="415"/>
      <c r="N991" s="422"/>
      <c r="O991" s="75" t="str">
        <f t="shared" si="3"/>
        <v/>
      </c>
      <c r="P991" s="403">
        <v>0.0</v>
      </c>
      <c r="Q991" s="403">
        <v>0.0</v>
      </c>
      <c r="R991" s="403"/>
      <c r="S991" s="403"/>
      <c r="T991" s="403"/>
      <c r="U991" s="403"/>
      <c r="V991" s="403"/>
      <c r="W991" s="403"/>
      <c r="X991" s="403"/>
      <c r="Y991" s="403"/>
      <c r="Z991" s="403"/>
    </row>
    <row r="992">
      <c r="A992" s="403"/>
      <c r="B992" s="417"/>
      <c r="C992" s="415"/>
      <c r="D992" s="417"/>
      <c r="E992" s="417"/>
      <c r="F992" s="417"/>
      <c r="G992" s="418"/>
      <c r="H992" s="417"/>
      <c r="I992" s="418"/>
      <c r="J992" s="432"/>
      <c r="K992" s="420"/>
      <c r="L992" s="417"/>
      <c r="M992" s="415"/>
      <c r="N992" s="422"/>
      <c r="O992" s="75" t="str">
        <f t="shared" si="3"/>
        <v/>
      </c>
      <c r="P992" s="403">
        <v>0.0</v>
      </c>
      <c r="Q992" s="403">
        <v>0.0</v>
      </c>
      <c r="R992" s="403"/>
      <c r="S992" s="403"/>
      <c r="T992" s="403"/>
      <c r="U992" s="403"/>
      <c r="V992" s="403"/>
      <c r="W992" s="403"/>
      <c r="X992" s="403"/>
      <c r="Y992" s="403"/>
      <c r="Z992" s="403"/>
    </row>
    <row r="993">
      <c r="A993" s="403"/>
      <c r="B993" s="417"/>
      <c r="C993" s="415"/>
      <c r="D993" s="417"/>
      <c r="E993" s="417"/>
      <c r="F993" s="417"/>
      <c r="G993" s="418"/>
      <c r="H993" s="417"/>
      <c r="I993" s="418"/>
      <c r="J993" s="432"/>
      <c r="K993" s="420"/>
      <c r="L993" s="417"/>
      <c r="M993" s="415"/>
      <c r="N993" s="422"/>
      <c r="O993" s="75" t="str">
        <f t="shared" si="3"/>
        <v/>
      </c>
      <c r="P993" s="403">
        <v>0.0</v>
      </c>
      <c r="Q993" s="403">
        <v>0.0</v>
      </c>
      <c r="R993" s="403"/>
      <c r="S993" s="403"/>
      <c r="T993" s="403"/>
      <c r="U993" s="403"/>
      <c r="V993" s="403"/>
      <c r="W993" s="403"/>
      <c r="X993" s="403"/>
      <c r="Y993" s="403"/>
      <c r="Z993" s="403"/>
    </row>
    <row r="994">
      <c r="A994" s="403"/>
      <c r="B994" s="417"/>
      <c r="C994" s="415"/>
      <c r="D994" s="417"/>
      <c r="E994" s="417"/>
      <c r="F994" s="417"/>
      <c r="G994" s="418"/>
      <c r="H994" s="417"/>
      <c r="I994" s="418"/>
      <c r="J994" s="432"/>
      <c r="K994" s="420"/>
      <c r="L994" s="417"/>
      <c r="M994" s="415"/>
      <c r="N994" s="422"/>
      <c r="O994" s="75" t="str">
        <f t="shared" si="3"/>
        <v/>
      </c>
      <c r="P994" s="403">
        <v>0.0</v>
      </c>
      <c r="Q994" s="403">
        <v>0.0</v>
      </c>
      <c r="R994" s="403"/>
      <c r="S994" s="403"/>
      <c r="T994" s="403"/>
      <c r="U994" s="403"/>
      <c r="V994" s="403"/>
      <c r="W994" s="403"/>
      <c r="X994" s="403"/>
      <c r="Y994" s="403"/>
      <c r="Z994" s="403"/>
    </row>
    <row r="995">
      <c r="A995" s="403"/>
      <c r="B995" s="417"/>
      <c r="C995" s="415"/>
      <c r="D995" s="417"/>
      <c r="E995" s="417"/>
      <c r="F995" s="417"/>
      <c r="G995" s="418"/>
      <c r="H995" s="417"/>
      <c r="I995" s="418"/>
      <c r="J995" s="432"/>
      <c r="K995" s="420"/>
      <c r="L995" s="417"/>
      <c r="M995" s="415"/>
      <c r="N995" s="422"/>
      <c r="O995" s="75" t="str">
        <f t="shared" si="3"/>
        <v/>
      </c>
      <c r="P995" s="403">
        <v>0.0</v>
      </c>
      <c r="Q995" s="403">
        <v>0.0</v>
      </c>
      <c r="R995" s="403"/>
      <c r="S995" s="403"/>
      <c r="T995" s="403"/>
      <c r="U995" s="403"/>
      <c r="V995" s="403"/>
      <c r="W995" s="403"/>
      <c r="X995" s="403"/>
      <c r="Y995" s="403"/>
      <c r="Z995" s="403"/>
    </row>
    <row r="996">
      <c r="A996" s="403"/>
      <c r="B996" s="417"/>
      <c r="C996" s="415"/>
      <c r="D996" s="417"/>
      <c r="E996" s="417"/>
      <c r="F996" s="417"/>
      <c r="G996" s="418"/>
      <c r="H996" s="417"/>
      <c r="I996" s="418"/>
      <c r="J996" s="432"/>
      <c r="K996" s="420"/>
      <c r="L996" s="417"/>
      <c r="M996" s="415"/>
      <c r="N996" s="422"/>
      <c r="O996" s="75" t="str">
        <f t="shared" si="3"/>
        <v/>
      </c>
      <c r="P996" s="403">
        <v>0.0</v>
      </c>
      <c r="Q996" s="403">
        <v>0.0</v>
      </c>
      <c r="R996" s="403"/>
      <c r="S996" s="403"/>
      <c r="T996" s="403"/>
      <c r="U996" s="403"/>
      <c r="V996" s="403"/>
      <c r="W996" s="403"/>
      <c r="X996" s="403"/>
      <c r="Y996" s="403"/>
      <c r="Z996" s="403"/>
    </row>
    <row r="997">
      <c r="A997" s="403"/>
      <c r="B997" s="417"/>
      <c r="C997" s="415"/>
      <c r="D997" s="417"/>
      <c r="E997" s="417"/>
      <c r="F997" s="417"/>
      <c r="G997" s="418"/>
      <c r="H997" s="417"/>
      <c r="I997" s="418"/>
      <c r="J997" s="432"/>
      <c r="K997" s="420"/>
      <c r="L997" s="417"/>
      <c r="M997" s="415"/>
      <c r="N997" s="422"/>
      <c r="O997" s="75" t="str">
        <f t="shared" si="3"/>
        <v/>
      </c>
      <c r="P997" s="403">
        <v>0.0</v>
      </c>
      <c r="Q997" s="403">
        <v>0.0</v>
      </c>
      <c r="R997" s="403"/>
      <c r="S997" s="403"/>
      <c r="T997" s="403"/>
      <c r="U997" s="403"/>
      <c r="V997" s="403"/>
      <c r="W997" s="403"/>
      <c r="X997" s="403"/>
      <c r="Y997" s="403"/>
      <c r="Z997" s="403"/>
    </row>
    <row r="998">
      <c r="A998" s="403"/>
      <c r="B998" s="417"/>
      <c r="C998" s="415"/>
      <c r="D998" s="417"/>
      <c r="E998" s="417"/>
      <c r="F998" s="417"/>
      <c r="G998" s="418"/>
      <c r="H998" s="417"/>
      <c r="I998" s="418"/>
      <c r="J998" s="432"/>
      <c r="K998" s="420"/>
      <c r="L998" s="417"/>
      <c r="M998" s="415"/>
      <c r="N998" s="422"/>
      <c r="O998" s="75" t="str">
        <f t="shared" si="3"/>
        <v/>
      </c>
      <c r="P998" s="403">
        <v>0.0</v>
      </c>
      <c r="Q998" s="403">
        <v>0.0</v>
      </c>
      <c r="R998" s="403"/>
      <c r="S998" s="403"/>
      <c r="T998" s="403"/>
      <c r="U998" s="403"/>
      <c r="V998" s="403"/>
      <c r="W998" s="403"/>
      <c r="X998" s="403"/>
      <c r="Y998" s="403"/>
      <c r="Z998" s="403"/>
    </row>
    <row r="999">
      <c r="A999" s="403"/>
      <c r="B999" s="417"/>
      <c r="C999" s="415"/>
      <c r="D999" s="417"/>
      <c r="E999" s="417"/>
      <c r="F999" s="417"/>
      <c r="G999" s="418"/>
      <c r="H999" s="417"/>
      <c r="I999" s="418"/>
      <c r="J999" s="432"/>
      <c r="K999" s="420"/>
      <c r="L999" s="417"/>
      <c r="M999" s="415"/>
      <c r="N999" s="422"/>
      <c r="O999" s="75" t="str">
        <f t="shared" si="3"/>
        <v/>
      </c>
      <c r="P999" s="403">
        <v>0.0</v>
      </c>
      <c r="Q999" s="403">
        <v>0.0</v>
      </c>
      <c r="R999" s="403"/>
      <c r="S999" s="403"/>
      <c r="T999" s="403"/>
      <c r="U999" s="403"/>
      <c r="V999" s="403"/>
      <c r="W999" s="403"/>
      <c r="X999" s="403"/>
      <c r="Y999" s="403"/>
      <c r="Z999" s="403"/>
    </row>
    <row r="1000">
      <c r="A1000" s="403"/>
      <c r="B1000" s="417"/>
      <c r="C1000" s="415"/>
      <c r="D1000" s="417"/>
      <c r="E1000" s="417"/>
      <c r="F1000" s="417"/>
      <c r="G1000" s="418"/>
      <c r="H1000" s="417"/>
      <c r="I1000" s="418"/>
      <c r="J1000" s="432"/>
      <c r="K1000" s="420"/>
      <c r="L1000" s="417"/>
      <c r="M1000" s="415"/>
      <c r="N1000" s="422"/>
      <c r="O1000" s="75" t="str">
        <f t="shared" si="3"/>
        <v/>
      </c>
      <c r="P1000" s="403">
        <v>0.0</v>
      </c>
      <c r="Q1000" s="403">
        <v>0.0</v>
      </c>
      <c r="R1000" s="403"/>
      <c r="S1000" s="403"/>
      <c r="T1000" s="403"/>
      <c r="U1000" s="403"/>
      <c r="V1000" s="403"/>
      <c r="W1000" s="403"/>
      <c r="X1000" s="403"/>
      <c r="Y1000" s="403"/>
      <c r="Z1000" s="403"/>
    </row>
    <row r="1001">
      <c r="A1001" s="403"/>
      <c r="B1001" s="417"/>
      <c r="C1001" s="415"/>
      <c r="D1001" s="417"/>
      <c r="E1001" s="417"/>
      <c r="F1001" s="417"/>
      <c r="G1001" s="418"/>
      <c r="H1001" s="417"/>
      <c r="I1001" s="418"/>
      <c r="J1001" s="432"/>
      <c r="K1001" s="420"/>
      <c r="L1001" s="417"/>
      <c r="M1001" s="415"/>
      <c r="N1001" s="422"/>
      <c r="O1001" s="75" t="str">
        <f t="shared" si="3"/>
        <v/>
      </c>
      <c r="P1001" s="403">
        <v>0.0</v>
      </c>
      <c r="Q1001" s="403">
        <v>0.0</v>
      </c>
      <c r="R1001" s="403"/>
      <c r="S1001" s="403"/>
      <c r="T1001" s="403"/>
      <c r="U1001" s="403"/>
      <c r="V1001" s="403"/>
      <c r="W1001" s="403"/>
      <c r="X1001" s="403"/>
      <c r="Y1001" s="403"/>
      <c r="Z1001" s="403"/>
    </row>
    <row r="1002">
      <c r="A1002" s="403"/>
      <c r="B1002" s="417"/>
      <c r="C1002" s="415"/>
      <c r="D1002" s="417"/>
      <c r="E1002" s="417"/>
      <c r="F1002" s="417"/>
      <c r="G1002" s="418"/>
      <c r="H1002" s="417"/>
      <c r="I1002" s="418"/>
      <c r="J1002" s="432"/>
      <c r="K1002" s="420"/>
      <c r="L1002" s="417"/>
      <c r="M1002" s="415"/>
      <c r="N1002" s="422"/>
      <c r="O1002" s="75" t="str">
        <f t="shared" si="3"/>
        <v/>
      </c>
      <c r="P1002" s="403">
        <v>0.0</v>
      </c>
      <c r="Q1002" s="403">
        <v>0.0</v>
      </c>
      <c r="R1002" s="403"/>
      <c r="S1002" s="403"/>
      <c r="T1002" s="403"/>
      <c r="U1002" s="403"/>
      <c r="V1002" s="403"/>
      <c r="W1002" s="403"/>
      <c r="X1002" s="403"/>
      <c r="Y1002" s="403"/>
      <c r="Z1002" s="403"/>
    </row>
    <row r="1003">
      <c r="A1003" s="403"/>
      <c r="B1003" s="417"/>
      <c r="C1003" s="415"/>
      <c r="D1003" s="417"/>
      <c r="E1003" s="417"/>
      <c r="F1003" s="417"/>
      <c r="G1003" s="418"/>
      <c r="H1003" s="417"/>
      <c r="I1003" s="418"/>
      <c r="J1003" s="432"/>
      <c r="K1003" s="420"/>
      <c r="L1003" s="417"/>
      <c r="M1003" s="415"/>
      <c r="N1003" s="422"/>
      <c r="O1003" s="75" t="str">
        <f t="shared" si="3"/>
        <v/>
      </c>
      <c r="P1003" s="403">
        <v>0.0</v>
      </c>
      <c r="Q1003" s="403">
        <v>0.0</v>
      </c>
      <c r="R1003" s="403"/>
      <c r="S1003" s="403"/>
      <c r="T1003" s="403"/>
      <c r="U1003" s="403"/>
      <c r="V1003" s="403"/>
      <c r="W1003" s="403"/>
      <c r="X1003" s="403"/>
      <c r="Y1003" s="403"/>
      <c r="Z1003" s="403"/>
    </row>
    <row r="1004">
      <c r="A1004" s="403"/>
      <c r="B1004" s="417"/>
      <c r="C1004" s="415"/>
      <c r="D1004" s="417"/>
      <c r="E1004" s="417"/>
      <c r="F1004" s="417"/>
      <c r="G1004" s="418"/>
      <c r="H1004" s="417"/>
      <c r="I1004" s="418"/>
      <c r="J1004" s="432"/>
      <c r="K1004" s="420"/>
      <c r="L1004" s="417"/>
      <c r="M1004" s="415"/>
      <c r="N1004" s="422"/>
      <c r="O1004" s="75" t="str">
        <f t="shared" si="3"/>
        <v/>
      </c>
      <c r="P1004" s="403">
        <v>0.0</v>
      </c>
      <c r="Q1004" s="403">
        <v>0.0</v>
      </c>
      <c r="R1004" s="403"/>
      <c r="S1004" s="403"/>
      <c r="T1004" s="403"/>
      <c r="U1004" s="403"/>
      <c r="V1004" s="403"/>
      <c r="W1004" s="403"/>
      <c r="X1004" s="403"/>
      <c r="Y1004" s="403"/>
      <c r="Z1004" s="403"/>
    </row>
    <row r="1005">
      <c r="A1005" s="403"/>
      <c r="B1005" s="417"/>
      <c r="C1005" s="415"/>
      <c r="D1005" s="417"/>
      <c r="E1005" s="417"/>
      <c r="F1005" s="417"/>
      <c r="G1005" s="418"/>
      <c r="H1005" s="417"/>
      <c r="I1005" s="418"/>
      <c r="J1005" s="432"/>
      <c r="K1005" s="420"/>
      <c r="L1005" s="417"/>
      <c r="M1005" s="415"/>
      <c r="N1005" s="422"/>
      <c r="O1005" s="75" t="str">
        <f t="shared" si="3"/>
        <v/>
      </c>
      <c r="P1005" s="403">
        <v>0.0</v>
      </c>
      <c r="Q1005" s="403">
        <v>0.0</v>
      </c>
      <c r="R1005" s="403"/>
      <c r="S1005" s="403"/>
      <c r="T1005" s="403"/>
      <c r="U1005" s="403"/>
      <c r="V1005" s="403"/>
      <c r="W1005" s="403"/>
      <c r="X1005" s="403"/>
      <c r="Y1005" s="403"/>
      <c r="Z1005" s="403"/>
    </row>
    <row r="1006">
      <c r="A1006" s="403"/>
      <c r="B1006" s="417"/>
      <c r="C1006" s="415"/>
      <c r="D1006" s="417"/>
      <c r="E1006" s="417"/>
      <c r="F1006" s="417"/>
      <c r="G1006" s="418"/>
      <c r="H1006" s="417"/>
      <c r="I1006" s="418"/>
      <c r="J1006" s="432"/>
      <c r="K1006" s="420"/>
      <c r="L1006" s="417"/>
      <c r="M1006" s="415"/>
      <c r="N1006" s="422"/>
      <c r="O1006" s="75" t="str">
        <f t="shared" si="3"/>
        <v/>
      </c>
      <c r="P1006" s="403">
        <v>0.0</v>
      </c>
      <c r="Q1006" s="403">
        <v>0.0</v>
      </c>
      <c r="R1006" s="403"/>
      <c r="S1006" s="403"/>
      <c r="T1006" s="403"/>
      <c r="U1006" s="403"/>
      <c r="V1006" s="403"/>
      <c r="W1006" s="403"/>
      <c r="X1006" s="403"/>
      <c r="Y1006" s="403"/>
      <c r="Z1006" s="403"/>
    </row>
    <row r="1007">
      <c r="A1007" s="403"/>
      <c r="B1007" s="417"/>
      <c r="C1007" s="415"/>
      <c r="D1007" s="417"/>
      <c r="E1007" s="417"/>
      <c r="F1007" s="417"/>
      <c r="G1007" s="418"/>
      <c r="H1007" s="417"/>
      <c r="I1007" s="418"/>
      <c r="J1007" s="432"/>
      <c r="K1007" s="420"/>
      <c r="L1007" s="417"/>
      <c r="M1007" s="415"/>
      <c r="N1007" s="422"/>
      <c r="O1007" s="75" t="str">
        <f t="shared" si="3"/>
        <v/>
      </c>
      <c r="P1007" s="403">
        <v>0.0</v>
      </c>
      <c r="Q1007" s="403">
        <v>0.0</v>
      </c>
      <c r="R1007" s="403"/>
      <c r="S1007" s="403"/>
      <c r="T1007" s="403"/>
      <c r="U1007" s="403"/>
      <c r="V1007" s="403"/>
      <c r="W1007" s="403"/>
      <c r="X1007" s="403"/>
      <c r="Y1007" s="403"/>
      <c r="Z1007" s="403"/>
    </row>
    <row r="1008">
      <c r="A1008" s="403"/>
      <c r="B1008" s="417"/>
      <c r="C1008" s="415"/>
      <c r="D1008" s="417"/>
      <c r="E1008" s="417"/>
      <c r="F1008" s="417"/>
      <c r="G1008" s="418"/>
      <c r="H1008" s="417"/>
      <c r="I1008" s="418"/>
      <c r="J1008" s="432"/>
      <c r="K1008" s="420"/>
      <c r="L1008" s="417"/>
      <c r="M1008" s="415"/>
      <c r="N1008" s="422"/>
      <c r="O1008" s="75" t="str">
        <f t="shared" si="3"/>
        <v/>
      </c>
      <c r="P1008" s="403">
        <v>0.0</v>
      </c>
      <c r="Q1008" s="403">
        <v>0.0</v>
      </c>
      <c r="R1008" s="403"/>
      <c r="S1008" s="403"/>
      <c r="T1008" s="403"/>
      <c r="U1008" s="403"/>
      <c r="V1008" s="403"/>
      <c r="W1008" s="403"/>
      <c r="X1008" s="403"/>
      <c r="Y1008" s="403"/>
      <c r="Z1008" s="403"/>
    </row>
    <row r="1009">
      <c r="A1009" s="403"/>
      <c r="B1009" s="417"/>
      <c r="C1009" s="415"/>
      <c r="D1009" s="417"/>
      <c r="E1009" s="417"/>
      <c r="F1009" s="417"/>
      <c r="G1009" s="418"/>
      <c r="H1009" s="417"/>
      <c r="I1009" s="418"/>
      <c r="J1009" s="432"/>
      <c r="K1009" s="420"/>
      <c r="L1009" s="417"/>
      <c r="M1009" s="415"/>
      <c r="N1009" s="422"/>
      <c r="O1009" s="75" t="str">
        <f t="shared" si="3"/>
        <v/>
      </c>
      <c r="P1009" s="403">
        <v>0.0</v>
      </c>
      <c r="Q1009" s="403">
        <v>0.0</v>
      </c>
      <c r="R1009" s="403"/>
      <c r="S1009" s="403"/>
      <c r="T1009" s="403"/>
      <c r="U1009" s="403"/>
      <c r="V1009" s="403"/>
      <c r="W1009" s="403"/>
      <c r="X1009" s="403"/>
      <c r="Y1009" s="403"/>
      <c r="Z1009" s="403"/>
    </row>
    <row r="1010">
      <c r="A1010" s="403"/>
      <c r="B1010" s="417"/>
      <c r="C1010" s="415"/>
      <c r="D1010" s="417"/>
      <c r="E1010" s="417"/>
      <c r="F1010" s="417"/>
      <c r="G1010" s="418"/>
      <c r="H1010" s="417"/>
      <c r="I1010" s="418"/>
      <c r="J1010" s="432"/>
      <c r="K1010" s="420"/>
      <c r="L1010" s="417"/>
      <c r="M1010" s="415"/>
      <c r="N1010" s="422"/>
      <c r="O1010" s="75" t="str">
        <f t="shared" si="3"/>
        <v/>
      </c>
      <c r="P1010" s="403">
        <v>0.0</v>
      </c>
      <c r="Q1010" s="403">
        <v>0.0</v>
      </c>
      <c r="R1010" s="403"/>
      <c r="S1010" s="403"/>
      <c r="T1010" s="403"/>
      <c r="U1010" s="403"/>
      <c r="V1010" s="403"/>
      <c r="W1010" s="403"/>
      <c r="X1010" s="403"/>
      <c r="Y1010" s="403"/>
      <c r="Z1010" s="403"/>
    </row>
    <row r="1011">
      <c r="A1011" s="403"/>
      <c r="B1011" s="417"/>
      <c r="C1011" s="415"/>
      <c r="D1011" s="417"/>
      <c r="E1011" s="417"/>
      <c r="F1011" s="417"/>
      <c r="G1011" s="418"/>
      <c r="H1011" s="417"/>
      <c r="I1011" s="418"/>
      <c r="J1011" s="432"/>
      <c r="K1011" s="420"/>
      <c r="L1011" s="417"/>
      <c r="M1011" s="415"/>
      <c r="N1011" s="422"/>
      <c r="O1011" s="75" t="str">
        <f t="shared" si="3"/>
        <v/>
      </c>
      <c r="P1011" s="403">
        <v>0.0</v>
      </c>
      <c r="Q1011" s="403">
        <v>0.0</v>
      </c>
      <c r="R1011" s="403"/>
      <c r="S1011" s="403"/>
      <c r="T1011" s="403"/>
      <c r="U1011" s="403"/>
      <c r="V1011" s="403"/>
      <c r="W1011" s="403"/>
      <c r="X1011" s="403"/>
      <c r="Y1011" s="403"/>
      <c r="Z1011" s="403"/>
    </row>
    <row r="1012">
      <c r="A1012" s="403"/>
      <c r="B1012" s="417"/>
      <c r="C1012" s="415"/>
      <c r="D1012" s="417"/>
      <c r="E1012" s="417"/>
      <c r="F1012" s="417"/>
      <c r="G1012" s="418"/>
      <c r="H1012" s="417"/>
      <c r="I1012" s="418"/>
      <c r="J1012" s="432"/>
      <c r="K1012" s="420"/>
      <c r="L1012" s="417"/>
      <c r="M1012" s="415"/>
      <c r="N1012" s="422"/>
      <c r="O1012" s="75" t="str">
        <f t="shared" si="3"/>
        <v/>
      </c>
      <c r="P1012" s="403">
        <v>0.0</v>
      </c>
      <c r="Q1012" s="403">
        <v>0.0</v>
      </c>
      <c r="R1012" s="403"/>
      <c r="S1012" s="403"/>
      <c r="T1012" s="403"/>
      <c r="U1012" s="403"/>
      <c r="V1012" s="403"/>
      <c r="W1012" s="403"/>
      <c r="X1012" s="403"/>
      <c r="Y1012" s="403"/>
      <c r="Z1012" s="403"/>
    </row>
    <row r="1013">
      <c r="A1013" s="403"/>
      <c r="B1013" s="417"/>
      <c r="C1013" s="415"/>
      <c r="D1013" s="417"/>
      <c r="E1013" s="417"/>
      <c r="F1013" s="417"/>
      <c r="G1013" s="418"/>
      <c r="H1013" s="417"/>
      <c r="I1013" s="418"/>
      <c r="J1013" s="432"/>
      <c r="K1013" s="420"/>
      <c r="L1013" s="417"/>
      <c r="M1013" s="415"/>
      <c r="N1013" s="422"/>
      <c r="O1013" s="75" t="str">
        <f t="shared" si="3"/>
        <v/>
      </c>
      <c r="P1013" s="403">
        <v>0.0</v>
      </c>
      <c r="Q1013" s="403">
        <v>0.0</v>
      </c>
      <c r="R1013" s="403"/>
      <c r="S1013" s="403"/>
      <c r="T1013" s="403"/>
      <c r="U1013" s="403"/>
      <c r="V1013" s="403"/>
      <c r="W1013" s="403"/>
      <c r="X1013" s="403"/>
      <c r="Y1013" s="403"/>
      <c r="Z1013" s="403"/>
    </row>
    <row r="1014">
      <c r="A1014" s="403"/>
      <c r="B1014" s="417"/>
      <c r="C1014" s="415"/>
      <c r="D1014" s="417"/>
      <c r="E1014" s="417"/>
      <c r="F1014" s="417"/>
      <c r="G1014" s="418"/>
      <c r="H1014" s="417"/>
      <c r="I1014" s="418"/>
      <c r="J1014" s="432"/>
      <c r="K1014" s="420"/>
      <c r="L1014" s="417"/>
      <c r="M1014" s="415"/>
      <c r="N1014" s="422"/>
      <c r="O1014" s="75" t="str">
        <f t="shared" si="3"/>
        <v/>
      </c>
      <c r="P1014" s="403">
        <v>0.0</v>
      </c>
      <c r="Q1014" s="403">
        <v>0.0</v>
      </c>
      <c r="R1014" s="403"/>
      <c r="S1014" s="403"/>
      <c r="T1014" s="403"/>
      <c r="U1014" s="403"/>
      <c r="V1014" s="403"/>
      <c r="W1014" s="403"/>
      <c r="X1014" s="403"/>
      <c r="Y1014" s="403"/>
      <c r="Z1014" s="403"/>
    </row>
    <row r="1015">
      <c r="A1015" s="403"/>
      <c r="B1015" s="417"/>
      <c r="C1015" s="415"/>
      <c r="D1015" s="417"/>
      <c r="E1015" s="417"/>
      <c r="F1015" s="417"/>
      <c r="G1015" s="418"/>
      <c r="H1015" s="417"/>
      <c r="I1015" s="418"/>
      <c r="J1015" s="432"/>
      <c r="K1015" s="420"/>
      <c r="L1015" s="417"/>
      <c r="M1015" s="415"/>
      <c r="N1015" s="422"/>
      <c r="O1015" s="75" t="str">
        <f t="shared" si="3"/>
        <v/>
      </c>
      <c r="P1015" s="403">
        <v>0.0</v>
      </c>
      <c r="Q1015" s="403">
        <v>0.0</v>
      </c>
      <c r="R1015" s="403"/>
      <c r="S1015" s="403"/>
      <c r="T1015" s="403"/>
      <c r="U1015" s="403"/>
      <c r="V1015" s="403"/>
      <c r="W1015" s="403"/>
      <c r="X1015" s="403"/>
      <c r="Y1015" s="403"/>
      <c r="Z1015" s="403"/>
    </row>
    <row r="1016">
      <c r="A1016" s="403"/>
      <c r="B1016" s="417"/>
      <c r="C1016" s="415"/>
      <c r="D1016" s="417"/>
      <c r="E1016" s="417"/>
      <c r="F1016" s="417"/>
      <c r="G1016" s="418"/>
      <c r="H1016" s="417"/>
      <c r="I1016" s="418"/>
      <c r="J1016" s="432"/>
      <c r="K1016" s="420"/>
      <c r="L1016" s="417"/>
      <c r="M1016" s="415"/>
      <c r="N1016" s="422"/>
      <c r="O1016" s="75" t="str">
        <f t="shared" si="3"/>
        <v/>
      </c>
      <c r="P1016" s="403">
        <v>0.0</v>
      </c>
      <c r="Q1016" s="403">
        <v>0.0</v>
      </c>
      <c r="R1016" s="403"/>
      <c r="S1016" s="403"/>
      <c r="T1016" s="403"/>
      <c r="U1016" s="403"/>
      <c r="V1016" s="403"/>
      <c r="W1016" s="403"/>
      <c r="X1016" s="403"/>
      <c r="Y1016" s="403"/>
      <c r="Z1016" s="403"/>
    </row>
    <row r="1017">
      <c r="A1017" s="403"/>
      <c r="B1017" s="417"/>
      <c r="C1017" s="415"/>
      <c r="D1017" s="417"/>
      <c r="E1017" s="417"/>
      <c r="F1017" s="417"/>
      <c r="G1017" s="418"/>
      <c r="H1017" s="417"/>
      <c r="I1017" s="418"/>
      <c r="J1017" s="432"/>
      <c r="K1017" s="420"/>
      <c r="L1017" s="417"/>
      <c r="M1017" s="415"/>
      <c r="N1017" s="422"/>
      <c r="O1017" s="75" t="str">
        <f t="shared" si="3"/>
        <v/>
      </c>
      <c r="P1017" s="403">
        <v>0.0</v>
      </c>
      <c r="Q1017" s="403">
        <v>0.0</v>
      </c>
      <c r="R1017" s="403"/>
      <c r="S1017" s="403"/>
      <c r="T1017" s="403"/>
      <c r="U1017" s="403"/>
      <c r="V1017" s="403"/>
      <c r="W1017" s="403"/>
      <c r="X1017" s="403"/>
      <c r="Y1017" s="403"/>
      <c r="Z1017" s="403"/>
    </row>
    <row r="1018">
      <c r="A1018" s="403"/>
      <c r="B1018" s="417"/>
      <c r="C1018" s="415"/>
      <c r="D1018" s="417"/>
      <c r="E1018" s="417"/>
      <c r="F1018" s="417"/>
      <c r="G1018" s="418"/>
      <c r="H1018" s="417"/>
      <c r="I1018" s="418"/>
      <c r="J1018" s="432"/>
      <c r="K1018" s="420"/>
      <c r="L1018" s="417"/>
      <c r="M1018" s="415"/>
      <c r="N1018" s="422"/>
      <c r="O1018" s="75" t="str">
        <f t="shared" si="3"/>
        <v/>
      </c>
      <c r="P1018" s="403">
        <v>0.0</v>
      </c>
      <c r="Q1018" s="403">
        <v>0.0</v>
      </c>
      <c r="R1018" s="403"/>
      <c r="S1018" s="403"/>
      <c r="T1018" s="403"/>
      <c r="U1018" s="403"/>
      <c r="V1018" s="403"/>
      <c r="W1018" s="403"/>
      <c r="X1018" s="403"/>
      <c r="Y1018" s="403"/>
      <c r="Z1018" s="403"/>
    </row>
    <row r="1019">
      <c r="A1019" s="403"/>
      <c r="B1019" s="417"/>
      <c r="C1019" s="415"/>
      <c r="D1019" s="417"/>
      <c r="E1019" s="417"/>
      <c r="F1019" s="417"/>
      <c r="G1019" s="418"/>
      <c r="H1019" s="417"/>
      <c r="I1019" s="418"/>
      <c r="J1019" s="432"/>
      <c r="K1019" s="420"/>
      <c r="L1019" s="417"/>
      <c r="M1019" s="415"/>
      <c r="N1019" s="422"/>
      <c r="O1019" s="75" t="str">
        <f t="shared" si="3"/>
        <v/>
      </c>
      <c r="P1019" s="403">
        <v>0.0</v>
      </c>
      <c r="Q1019" s="403">
        <v>0.0</v>
      </c>
      <c r="R1019" s="403"/>
      <c r="S1019" s="403"/>
      <c r="T1019" s="403"/>
      <c r="U1019" s="403"/>
      <c r="V1019" s="403"/>
      <c r="W1019" s="403"/>
      <c r="X1019" s="403"/>
      <c r="Y1019" s="403"/>
      <c r="Z1019" s="403"/>
    </row>
    <row r="1020">
      <c r="A1020" s="403"/>
      <c r="B1020" s="417"/>
      <c r="C1020" s="415"/>
      <c r="D1020" s="417"/>
      <c r="E1020" s="417"/>
      <c r="F1020" s="417"/>
      <c r="G1020" s="418"/>
      <c r="H1020" s="417"/>
      <c r="I1020" s="418"/>
      <c r="J1020" s="432"/>
      <c r="K1020" s="420"/>
      <c r="L1020" s="417"/>
      <c r="M1020" s="415"/>
      <c r="N1020" s="422"/>
      <c r="O1020" s="75" t="str">
        <f t="shared" si="3"/>
        <v/>
      </c>
      <c r="P1020" s="403">
        <v>0.0</v>
      </c>
      <c r="Q1020" s="403">
        <v>0.0</v>
      </c>
      <c r="R1020" s="403"/>
      <c r="S1020" s="403"/>
      <c r="T1020" s="403"/>
      <c r="U1020" s="403"/>
      <c r="V1020" s="403"/>
      <c r="W1020" s="403"/>
      <c r="X1020" s="403"/>
      <c r="Y1020" s="403"/>
      <c r="Z1020" s="403"/>
    </row>
    <row r="1021">
      <c r="A1021" s="403"/>
      <c r="B1021" s="417"/>
      <c r="C1021" s="415"/>
      <c r="D1021" s="417"/>
      <c r="E1021" s="417"/>
      <c r="F1021" s="417"/>
      <c r="G1021" s="418"/>
      <c r="H1021" s="417"/>
      <c r="I1021" s="418"/>
      <c r="J1021" s="432"/>
      <c r="K1021" s="420"/>
      <c r="L1021" s="417"/>
      <c r="M1021" s="415"/>
      <c r="N1021" s="422"/>
      <c r="O1021" s="75" t="str">
        <f t="shared" si="3"/>
        <v/>
      </c>
      <c r="P1021" s="403">
        <v>0.0</v>
      </c>
      <c r="Q1021" s="403">
        <v>0.0</v>
      </c>
      <c r="R1021" s="403"/>
      <c r="S1021" s="403"/>
      <c r="T1021" s="403"/>
      <c r="U1021" s="403"/>
      <c r="V1021" s="403"/>
      <c r="W1021" s="403"/>
      <c r="X1021" s="403"/>
      <c r="Y1021" s="403"/>
      <c r="Z1021" s="403"/>
    </row>
    <row r="1022">
      <c r="A1022" s="403"/>
      <c r="B1022" s="417"/>
      <c r="C1022" s="415"/>
      <c r="D1022" s="417"/>
      <c r="E1022" s="417"/>
      <c r="F1022" s="417"/>
      <c r="G1022" s="418"/>
      <c r="H1022" s="417"/>
      <c r="I1022" s="418"/>
      <c r="J1022" s="432"/>
      <c r="K1022" s="420"/>
      <c r="L1022" s="417"/>
      <c r="M1022" s="415"/>
      <c r="N1022" s="422"/>
      <c r="O1022" s="75" t="str">
        <f t="shared" si="3"/>
        <v/>
      </c>
      <c r="P1022" s="403">
        <v>0.0</v>
      </c>
      <c r="Q1022" s="403">
        <v>0.0</v>
      </c>
      <c r="R1022" s="403"/>
      <c r="S1022" s="403"/>
      <c r="T1022" s="403"/>
      <c r="U1022" s="403"/>
      <c r="V1022" s="403"/>
      <c r="W1022" s="403"/>
      <c r="X1022" s="403"/>
      <c r="Y1022" s="403"/>
      <c r="Z1022" s="403"/>
    </row>
    <row r="1023">
      <c r="A1023" s="403"/>
      <c r="B1023" s="417"/>
      <c r="C1023" s="415"/>
      <c r="D1023" s="417"/>
      <c r="E1023" s="417"/>
      <c r="F1023" s="417"/>
      <c r="G1023" s="418"/>
      <c r="H1023" s="417"/>
      <c r="I1023" s="418"/>
      <c r="J1023" s="432"/>
      <c r="K1023" s="420"/>
      <c r="L1023" s="417"/>
      <c r="M1023" s="415"/>
      <c r="N1023" s="422"/>
      <c r="O1023" s="75" t="str">
        <f t="shared" si="3"/>
        <v/>
      </c>
      <c r="P1023" s="403">
        <v>0.0</v>
      </c>
      <c r="Q1023" s="403">
        <v>0.0</v>
      </c>
      <c r="R1023" s="403"/>
      <c r="S1023" s="403"/>
      <c r="T1023" s="403"/>
      <c r="U1023" s="403"/>
      <c r="V1023" s="403"/>
      <c r="W1023" s="403"/>
      <c r="X1023" s="403"/>
      <c r="Y1023" s="403"/>
      <c r="Z1023" s="403"/>
    </row>
    <row r="1024">
      <c r="A1024" s="403"/>
      <c r="B1024" s="417"/>
      <c r="C1024" s="415"/>
      <c r="D1024" s="417"/>
      <c r="E1024" s="417"/>
      <c r="F1024" s="417"/>
      <c r="G1024" s="418"/>
      <c r="H1024" s="417"/>
      <c r="I1024" s="418"/>
      <c r="J1024" s="432"/>
      <c r="K1024" s="420"/>
      <c r="L1024" s="417"/>
      <c r="M1024" s="415"/>
      <c r="N1024" s="422"/>
      <c r="O1024" s="75" t="str">
        <f t="shared" si="3"/>
        <v/>
      </c>
      <c r="P1024" s="403">
        <v>0.0</v>
      </c>
      <c r="Q1024" s="403">
        <v>0.0</v>
      </c>
      <c r="R1024" s="403"/>
      <c r="S1024" s="403"/>
      <c r="T1024" s="403"/>
      <c r="U1024" s="403"/>
      <c r="V1024" s="403"/>
      <c r="W1024" s="403"/>
      <c r="X1024" s="403"/>
      <c r="Y1024" s="403"/>
      <c r="Z1024" s="403"/>
    </row>
    <row r="1025">
      <c r="A1025" s="403"/>
      <c r="B1025" s="417"/>
      <c r="C1025" s="415"/>
      <c r="D1025" s="417"/>
      <c r="E1025" s="417"/>
      <c r="F1025" s="417"/>
      <c r="G1025" s="418"/>
      <c r="H1025" s="417"/>
      <c r="I1025" s="418"/>
      <c r="J1025" s="432"/>
      <c r="K1025" s="420"/>
      <c r="L1025" s="417"/>
      <c r="M1025" s="415"/>
      <c r="N1025" s="422"/>
      <c r="O1025" s="75" t="str">
        <f t="shared" si="3"/>
        <v/>
      </c>
      <c r="P1025" s="403">
        <v>0.0</v>
      </c>
      <c r="Q1025" s="403">
        <v>0.0</v>
      </c>
      <c r="R1025" s="403"/>
      <c r="S1025" s="403"/>
      <c r="T1025" s="403"/>
      <c r="U1025" s="403"/>
      <c r="V1025" s="403"/>
      <c r="W1025" s="403"/>
      <c r="X1025" s="403"/>
      <c r="Y1025" s="403"/>
      <c r="Z1025" s="403"/>
    </row>
    <row r="1026">
      <c r="A1026" s="403"/>
      <c r="B1026" s="417"/>
      <c r="C1026" s="415"/>
      <c r="D1026" s="417"/>
      <c r="E1026" s="417"/>
      <c r="F1026" s="417"/>
      <c r="G1026" s="418"/>
      <c r="H1026" s="417"/>
      <c r="I1026" s="418"/>
      <c r="J1026" s="432"/>
      <c r="K1026" s="420"/>
      <c r="L1026" s="417"/>
      <c r="M1026" s="415"/>
      <c r="N1026" s="422"/>
      <c r="O1026" s="75" t="str">
        <f t="shared" si="3"/>
        <v/>
      </c>
      <c r="P1026" s="403">
        <v>0.0</v>
      </c>
      <c r="Q1026" s="403">
        <v>0.0</v>
      </c>
      <c r="R1026" s="403"/>
      <c r="S1026" s="403"/>
      <c r="T1026" s="403"/>
      <c r="U1026" s="403"/>
      <c r="V1026" s="403"/>
      <c r="W1026" s="403"/>
      <c r="X1026" s="403"/>
      <c r="Y1026" s="403"/>
      <c r="Z1026" s="403"/>
    </row>
    <row r="1027">
      <c r="A1027" s="403"/>
      <c r="B1027" s="417"/>
      <c r="C1027" s="415"/>
      <c r="D1027" s="417"/>
      <c r="E1027" s="417"/>
      <c r="F1027" s="417"/>
      <c r="G1027" s="418"/>
      <c r="H1027" s="417"/>
      <c r="I1027" s="418"/>
      <c r="J1027" s="432"/>
      <c r="K1027" s="420"/>
      <c r="L1027" s="417"/>
      <c r="M1027" s="415"/>
      <c r="N1027" s="422"/>
      <c r="O1027" s="75" t="str">
        <f t="shared" si="3"/>
        <v/>
      </c>
      <c r="P1027" s="403">
        <v>0.0</v>
      </c>
      <c r="Q1027" s="403">
        <v>0.0</v>
      </c>
      <c r="R1027" s="403"/>
      <c r="S1027" s="403"/>
      <c r="T1027" s="403"/>
      <c r="U1027" s="403"/>
      <c r="V1027" s="403"/>
      <c r="W1027" s="403"/>
      <c r="X1027" s="403"/>
      <c r="Y1027" s="403"/>
      <c r="Z1027" s="403"/>
    </row>
    <row r="1028">
      <c r="A1028" s="403"/>
      <c r="B1028" s="417"/>
      <c r="C1028" s="415"/>
      <c r="D1028" s="417"/>
      <c r="E1028" s="417"/>
      <c r="F1028" s="417"/>
      <c r="G1028" s="418"/>
      <c r="H1028" s="417"/>
      <c r="I1028" s="418"/>
      <c r="J1028" s="432"/>
      <c r="K1028" s="420"/>
      <c r="L1028" s="417"/>
      <c r="M1028" s="415"/>
      <c r="N1028" s="422"/>
      <c r="O1028" s="75" t="str">
        <f t="shared" si="3"/>
        <v/>
      </c>
      <c r="P1028" s="403">
        <v>0.0</v>
      </c>
      <c r="Q1028" s="403">
        <v>0.0</v>
      </c>
      <c r="R1028" s="403"/>
      <c r="S1028" s="403"/>
      <c r="T1028" s="403"/>
      <c r="U1028" s="403"/>
      <c r="V1028" s="403"/>
      <c r="W1028" s="403"/>
      <c r="X1028" s="403"/>
      <c r="Y1028" s="403"/>
      <c r="Z1028" s="403"/>
    </row>
    <row r="1029">
      <c r="A1029" s="403"/>
      <c r="B1029" s="417"/>
      <c r="C1029" s="415"/>
      <c r="D1029" s="417"/>
      <c r="E1029" s="417"/>
      <c r="F1029" s="417"/>
      <c r="G1029" s="418"/>
      <c r="H1029" s="417"/>
      <c r="I1029" s="418"/>
      <c r="J1029" s="432"/>
      <c r="K1029" s="420"/>
      <c r="L1029" s="417"/>
      <c r="M1029" s="415"/>
      <c r="N1029" s="422"/>
      <c r="O1029" s="75" t="str">
        <f t="shared" si="3"/>
        <v/>
      </c>
      <c r="P1029" s="403">
        <v>0.0</v>
      </c>
      <c r="Q1029" s="403">
        <v>0.0</v>
      </c>
      <c r="R1029" s="403"/>
      <c r="S1029" s="403"/>
      <c r="T1029" s="403"/>
      <c r="U1029" s="403"/>
      <c r="V1029" s="403"/>
      <c r="W1029" s="403"/>
      <c r="X1029" s="403"/>
      <c r="Y1029" s="403"/>
      <c r="Z1029" s="403"/>
    </row>
    <row r="1030">
      <c r="A1030" s="403"/>
      <c r="B1030" s="417"/>
      <c r="C1030" s="415"/>
      <c r="D1030" s="417"/>
      <c r="E1030" s="417"/>
      <c r="F1030" s="417"/>
      <c r="G1030" s="418"/>
      <c r="H1030" s="417"/>
      <c r="I1030" s="418"/>
      <c r="J1030" s="432"/>
      <c r="K1030" s="420"/>
      <c r="L1030" s="417"/>
      <c r="M1030" s="415"/>
      <c r="N1030" s="422"/>
      <c r="O1030" s="75" t="str">
        <f t="shared" si="3"/>
        <v/>
      </c>
      <c r="P1030" s="403">
        <v>0.0</v>
      </c>
      <c r="Q1030" s="403">
        <v>0.0</v>
      </c>
      <c r="R1030" s="403"/>
      <c r="S1030" s="403"/>
      <c r="T1030" s="403"/>
      <c r="U1030" s="403"/>
      <c r="V1030" s="403"/>
      <c r="W1030" s="403"/>
      <c r="X1030" s="403"/>
      <c r="Y1030" s="403"/>
      <c r="Z1030" s="403"/>
    </row>
    <row r="1031">
      <c r="A1031" s="403"/>
      <c r="B1031" s="417"/>
      <c r="C1031" s="415"/>
      <c r="D1031" s="417"/>
      <c r="E1031" s="417"/>
      <c r="F1031" s="417"/>
      <c r="G1031" s="418"/>
      <c r="H1031" s="417"/>
      <c r="I1031" s="418"/>
      <c r="J1031" s="432"/>
      <c r="K1031" s="420"/>
      <c r="L1031" s="417"/>
      <c r="M1031" s="415"/>
      <c r="N1031" s="422"/>
      <c r="O1031" s="75" t="str">
        <f t="shared" si="3"/>
        <v/>
      </c>
      <c r="P1031" s="403">
        <v>0.0</v>
      </c>
      <c r="Q1031" s="403">
        <v>0.0</v>
      </c>
      <c r="R1031" s="403"/>
      <c r="S1031" s="403"/>
      <c r="T1031" s="403"/>
      <c r="U1031" s="403"/>
      <c r="V1031" s="403"/>
      <c r="W1031" s="403"/>
      <c r="X1031" s="403"/>
      <c r="Y1031" s="403"/>
      <c r="Z1031" s="403"/>
    </row>
    <row r="1032">
      <c r="A1032" s="403"/>
      <c r="B1032" s="417"/>
      <c r="C1032" s="415"/>
      <c r="D1032" s="417"/>
      <c r="E1032" s="417"/>
      <c r="F1032" s="417"/>
      <c r="G1032" s="418"/>
      <c r="H1032" s="417"/>
      <c r="I1032" s="418"/>
      <c r="J1032" s="432"/>
      <c r="K1032" s="420"/>
      <c r="L1032" s="417"/>
      <c r="M1032" s="415"/>
      <c r="N1032" s="422"/>
      <c r="O1032" s="75" t="str">
        <f t="shared" si="3"/>
        <v/>
      </c>
      <c r="P1032" s="403">
        <v>0.0</v>
      </c>
      <c r="Q1032" s="403">
        <v>0.0</v>
      </c>
      <c r="R1032" s="403"/>
      <c r="S1032" s="403"/>
      <c r="T1032" s="403"/>
      <c r="U1032" s="403"/>
      <c r="V1032" s="403"/>
      <c r="W1032" s="403"/>
      <c r="X1032" s="403"/>
      <c r="Y1032" s="403"/>
      <c r="Z1032" s="403"/>
    </row>
    <row r="1033">
      <c r="A1033" s="403"/>
      <c r="B1033" s="417"/>
      <c r="C1033" s="415"/>
      <c r="D1033" s="417"/>
      <c r="E1033" s="417"/>
      <c r="F1033" s="417"/>
      <c r="G1033" s="418"/>
      <c r="H1033" s="417"/>
      <c r="I1033" s="418"/>
      <c r="J1033" s="432"/>
      <c r="K1033" s="420"/>
      <c r="L1033" s="417"/>
      <c r="M1033" s="415"/>
      <c r="N1033" s="422"/>
      <c r="O1033" s="75" t="str">
        <f t="shared" si="3"/>
        <v/>
      </c>
      <c r="P1033" s="403">
        <v>0.0</v>
      </c>
      <c r="Q1033" s="403">
        <v>0.0</v>
      </c>
      <c r="R1033" s="403"/>
      <c r="S1033" s="403"/>
      <c r="T1033" s="403"/>
      <c r="U1033" s="403"/>
      <c r="V1033" s="403"/>
      <c r="W1033" s="403"/>
      <c r="X1033" s="403"/>
      <c r="Y1033" s="403"/>
      <c r="Z1033" s="403"/>
    </row>
    <row r="1034">
      <c r="A1034" s="403"/>
      <c r="B1034" s="417"/>
      <c r="C1034" s="415"/>
      <c r="D1034" s="417"/>
      <c r="E1034" s="417"/>
      <c r="F1034" s="417"/>
      <c r="G1034" s="418"/>
      <c r="H1034" s="417"/>
      <c r="I1034" s="418"/>
      <c r="J1034" s="432"/>
      <c r="K1034" s="420"/>
      <c r="L1034" s="417"/>
      <c r="M1034" s="415"/>
      <c r="N1034" s="422"/>
      <c r="O1034" s="75" t="str">
        <f t="shared" si="3"/>
        <v/>
      </c>
      <c r="P1034" s="403">
        <v>0.0</v>
      </c>
      <c r="Q1034" s="403">
        <v>0.0</v>
      </c>
      <c r="R1034" s="403"/>
      <c r="S1034" s="403"/>
      <c r="T1034" s="403"/>
      <c r="U1034" s="403"/>
      <c r="V1034" s="403"/>
      <c r="W1034" s="403"/>
      <c r="X1034" s="403"/>
      <c r="Y1034" s="403"/>
      <c r="Z1034" s="403"/>
    </row>
    <row r="1035">
      <c r="A1035" s="403"/>
      <c r="B1035" s="417"/>
      <c r="C1035" s="415"/>
      <c r="D1035" s="417"/>
      <c r="E1035" s="417"/>
      <c r="F1035" s="417"/>
      <c r="G1035" s="418"/>
      <c r="H1035" s="417"/>
      <c r="I1035" s="418"/>
      <c r="J1035" s="432"/>
      <c r="K1035" s="420"/>
      <c r="L1035" s="417"/>
      <c r="M1035" s="415"/>
      <c r="N1035" s="422"/>
      <c r="O1035" s="75" t="str">
        <f t="shared" si="3"/>
        <v/>
      </c>
      <c r="P1035" s="403">
        <v>0.0</v>
      </c>
      <c r="Q1035" s="403">
        <v>0.0</v>
      </c>
      <c r="R1035" s="403"/>
      <c r="S1035" s="403"/>
      <c r="T1035" s="403"/>
      <c r="U1035" s="403"/>
      <c r="V1035" s="403"/>
      <c r="W1035" s="403"/>
      <c r="X1035" s="403"/>
      <c r="Y1035" s="403"/>
      <c r="Z1035" s="403"/>
    </row>
    <row r="1036">
      <c r="A1036" s="403"/>
      <c r="B1036" s="417"/>
      <c r="C1036" s="415"/>
      <c r="D1036" s="417"/>
      <c r="E1036" s="417"/>
      <c r="F1036" s="417"/>
      <c r="G1036" s="418"/>
      <c r="H1036" s="417"/>
      <c r="I1036" s="418"/>
      <c r="J1036" s="432"/>
      <c r="K1036" s="420"/>
      <c r="L1036" s="417"/>
      <c r="M1036" s="415"/>
      <c r="N1036" s="422"/>
      <c r="O1036" s="75" t="str">
        <f t="shared" si="3"/>
        <v/>
      </c>
      <c r="P1036" s="403">
        <v>0.0</v>
      </c>
      <c r="Q1036" s="403">
        <v>0.0</v>
      </c>
      <c r="R1036" s="403"/>
      <c r="S1036" s="403"/>
      <c r="T1036" s="403"/>
      <c r="U1036" s="403"/>
      <c r="V1036" s="403"/>
      <c r="W1036" s="403"/>
      <c r="X1036" s="403"/>
      <c r="Y1036" s="403"/>
      <c r="Z1036" s="403"/>
    </row>
    <row r="1037">
      <c r="A1037" s="403"/>
      <c r="B1037" s="417"/>
      <c r="C1037" s="415"/>
      <c r="D1037" s="417"/>
      <c r="E1037" s="417"/>
      <c r="F1037" s="417"/>
      <c r="G1037" s="418"/>
      <c r="H1037" s="417"/>
      <c r="I1037" s="418"/>
      <c r="J1037" s="432"/>
      <c r="K1037" s="420"/>
      <c r="L1037" s="417"/>
      <c r="M1037" s="415"/>
      <c r="N1037" s="422"/>
      <c r="O1037" s="75" t="str">
        <f t="shared" si="3"/>
        <v/>
      </c>
      <c r="P1037" s="403">
        <v>0.0</v>
      </c>
      <c r="Q1037" s="403">
        <v>0.0</v>
      </c>
      <c r="R1037" s="403"/>
      <c r="S1037" s="403"/>
      <c r="T1037" s="403"/>
      <c r="U1037" s="403"/>
      <c r="V1037" s="403"/>
      <c r="W1037" s="403"/>
      <c r="X1037" s="403"/>
      <c r="Y1037" s="403"/>
      <c r="Z1037" s="403"/>
    </row>
    <row r="1038">
      <c r="A1038" s="403"/>
      <c r="B1038" s="417"/>
      <c r="C1038" s="415"/>
      <c r="D1038" s="417"/>
      <c r="E1038" s="417"/>
      <c r="F1038" s="417"/>
      <c r="G1038" s="418"/>
      <c r="H1038" s="417"/>
      <c r="I1038" s="418"/>
      <c r="J1038" s="432"/>
      <c r="K1038" s="420"/>
      <c r="L1038" s="417"/>
      <c r="M1038" s="415"/>
      <c r="N1038" s="422"/>
      <c r="O1038" s="75" t="str">
        <f t="shared" si="3"/>
        <v/>
      </c>
      <c r="P1038" s="403">
        <v>0.0</v>
      </c>
      <c r="Q1038" s="403">
        <v>0.0</v>
      </c>
      <c r="R1038" s="403"/>
      <c r="S1038" s="403"/>
      <c r="T1038" s="403"/>
      <c r="U1038" s="403"/>
      <c r="V1038" s="403"/>
      <c r="W1038" s="403"/>
      <c r="X1038" s="403"/>
      <c r="Y1038" s="403"/>
      <c r="Z1038" s="403"/>
    </row>
    <row r="1039">
      <c r="A1039" s="403"/>
      <c r="B1039" s="417"/>
      <c r="C1039" s="415"/>
      <c r="D1039" s="417"/>
      <c r="E1039" s="417"/>
      <c r="F1039" s="417"/>
      <c r="G1039" s="418"/>
      <c r="H1039" s="417"/>
      <c r="I1039" s="418"/>
      <c r="J1039" s="432"/>
      <c r="K1039" s="420"/>
      <c r="L1039" s="417"/>
      <c r="M1039" s="415"/>
      <c r="N1039" s="422"/>
      <c r="O1039" s="75" t="str">
        <f t="shared" si="3"/>
        <v/>
      </c>
      <c r="P1039" s="403">
        <v>0.0</v>
      </c>
      <c r="Q1039" s="403">
        <v>0.0</v>
      </c>
      <c r="R1039" s="403"/>
      <c r="S1039" s="403"/>
      <c r="T1039" s="403"/>
      <c r="U1039" s="403"/>
      <c r="V1039" s="403"/>
      <c r="W1039" s="403"/>
      <c r="X1039" s="403"/>
      <c r="Y1039" s="403"/>
      <c r="Z1039" s="403"/>
    </row>
    <row r="1040">
      <c r="A1040" s="403"/>
      <c r="B1040" s="417"/>
      <c r="C1040" s="415"/>
      <c r="D1040" s="417"/>
      <c r="E1040" s="417"/>
      <c r="F1040" s="417"/>
      <c r="G1040" s="418"/>
      <c r="H1040" s="417"/>
      <c r="I1040" s="418"/>
      <c r="J1040" s="432"/>
      <c r="K1040" s="420"/>
      <c r="L1040" s="417"/>
      <c r="M1040" s="415"/>
      <c r="N1040" s="422"/>
      <c r="O1040" s="75" t="str">
        <f t="shared" si="3"/>
        <v/>
      </c>
      <c r="P1040" s="403">
        <v>0.0</v>
      </c>
      <c r="Q1040" s="403">
        <v>0.0</v>
      </c>
      <c r="R1040" s="403"/>
      <c r="S1040" s="403"/>
      <c r="T1040" s="403"/>
      <c r="U1040" s="403"/>
      <c r="V1040" s="403"/>
      <c r="W1040" s="403"/>
      <c r="X1040" s="403"/>
      <c r="Y1040" s="403"/>
      <c r="Z1040" s="403"/>
    </row>
    <row r="1041">
      <c r="A1041" s="403"/>
      <c r="B1041" s="417"/>
      <c r="C1041" s="415"/>
      <c r="D1041" s="417"/>
      <c r="E1041" s="417"/>
      <c r="F1041" s="417"/>
      <c r="G1041" s="418"/>
      <c r="H1041" s="417"/>
      <c r="I1041" s="418"/>
      <c r="J1041" s="432"/>
      <c r="K1041" s="420"/>
      <c r="L1041" s="417"/>
      <c r="M1041" s="415"/>
      <c r="N1041" s="422"/>
      <c r="O1041" s="75" t="str">
        <f t="shared" si="3"/>
        <v/>
      </c>
      <c r="P1041" s="403">
        <v>0.0</v>
      </c>
      <c r="Q1041" s="403">
        <v>0.0</v>
      </c>
      <c r="R1041" s="403"/>
      <c r="S1041" s="403"/>
      <c r="T1041" s="403"/>
      <c r="U1041" s="403"/>
      <c r="V1041" s="403"/>
      <c r="W1041" s="403"/>
      <c r="X1041" s="403"/>
      <c r="Y1041" s="403"/>
      <c r="Z1041" s="403"/>
    </row>
    <row r="1042">
      <c r="A1042" s="403"/>
      <c r="B1042" s="417"/>
      <c r="C1042" s="415"/>
      <c r="D1042" s="417"/>
      <c r="E1042" s="417"/>
      <c r="F1042" s="417"/>
      <c r="G1042" s="418"/>
      <c r="H1042" s="417"/>
      <c r="I1042" s="418"/>
      <c r="J1042" s="432"/>
      <c r="K1042" s="420"/>
      <c r="L1042" s="417"/>
      <c r="M1042" s="415"/>
      <c r="N1042" s="422"/>
      <c r="O1042" s="75" t="str">
        <f t="shared" si="3"/>
        <v/>
      </c>
      <c r="P1042" s="403">
        <v>0.0</v>
      </c>
      <c r="Q1042" s="403">
        <v>0.0</v>
      </c>
      <c r="R1042" s="403"/>
      <c r="S1042" s="403"/>
      <c r="T1042" s="403"/>
      <c r="U1042" s="403"/>
      <c r="V1042" s="403"/>
      <c r="W1042" s="403"/>
      <c r="X1042" s="403"/>
      <c r="Y1042" s="403"/>
      <c r="Z1042" s="403"/>
    </row>
    <row r="1043">
      <c r="A1043" s="403"/>
      <c r="B1043" s="417"/>
      <c r="C1043" s="415"/>
      <c r="D1043" s="417"/>
      <c r="E1043" s="417"/>
      <c r="F1043" s="417"/>
      <c r="G1043" s="418"/>
      <c r="H1043" s="417"/>
      <c r="I1043" s="418"/>
      <c r="J1043" s="432"/>
      <c r="K1043" s="420"/>
      <c r="L1043" s="417"/>
      <c r="M1043" s="415"/>
      <c r="N1043" s="422"/>
      <c r="O1043" s="75" t="str">
        <f t="shared" si="3"/>
        <v/>
      </c>
      <c r="P1043" s="403">
        <v>0.0</v>
      </c>
      <c r="Q1043" s="403">
        <v>0.0</v>
      </c>
      <c r="R1043" s="403"/>
      <c r="S1043" s="403"/>
      <c r="T1043" s="403"/>
      <c r="U1043" s="403"/>
      <c r="V1043" s="403"/>
      <c r="W1043" s="403"/>
      <c r="X1043" s="403"/>
      <c r="Y1043" s="403"/>
      <c r="Z1043" s="403"/>
    </row>
    <row r="1044">
      <c r="A1044" s="403"/>
      <c r="B1044" s="417"/>
      <c r="C1044" s="415"/>
      <c r="D1044" s="417"/>
      <c r="E1044" s="417"/>
      <c r="F1044" s="417"/>
      <c r="G1044" s="418"/>
      <c r="H1044" s="417"/>
      <c r="I1044" s="418"/>
      <c r="J1044" s="432"/>
      <c r="K1044" s="420"/>
      <c r="L1044" s="417"/>
      <c r="M1044" s="415"/>
      <c r="N1044" s="422"/>
      <c r="O1044" s="75" t="str">
        <f t="shared" si="3"/>
        <v/>
      </c>
      <c r="P1044" s="403">
        <v>0.0</v>
      </c>
      <c r="Q1044" s="403">
        <v>0.0</v>
      </c>
      <c r="R1044" s="403"/>
      <c r="S1044" s="403"/>
      <c r="T1044" s="403"/>
      <c r="U1044" s="403"/>
      <c r="V1044" s="403"/>
      <c r="W1044" s="403"/>
      <c r="X1044" s="403"/>
      <c r="Y1044" s="403"/>
      <c r="Z1044" s="403"/>
    </row>
    <row r="1045">
      <c r="A1045" s="403"/>
      <c r="B1045" s="417"/>
      <c r="C1045" s="415"/>
      <c r="D1045" s="417"/>
      <c r="E1045" s="417"/>
      <c r="F1045" s="417"/>
      <c r="G1045" s="418"/>
      <c r="H1045" s="417"/>
      <c r="I1045" s="418"/>
      <c r="J1045" s="432"/>
      <c r="K1045" s="420"/>
      <c r="L1045" s="417"/>
      <c r="M1045" s="415"/>
      <c r="N1045" s="422"/>
      <c r="O1045" s="75" t="str">
        <f t="shared" si="3"/>
        <v/>
      </c>
      <c r="P1045" s="403">
        <v>0.0</v>
      </c>
      <c r="Q1045" s="403">
        <v>0.0</v>
      </c>
      <c r="R1045" s="403"/>
      <c r="S1045" s="403"/>
      <c r="T1045" s="403"/>
      <c r="U1045" s="403"/>
      <c r="V1045" s="403"/>
      <c r="W1045" s="403"/>
      <c r="X1045" s="403"/>
      <c r="Y1045" s="403"/>
      <c r="Z1045" s="403"/>
    </row>
    <row r="1046">
      <c r="A1046" s="403"/>
      <c r="B1046" s="417"/>
      <c r="C1046" s="415"/>
      <c r="D1046" s="417"/>
      <c r="E1046" s="417"/>
      <c r="F1046" s="417"/>
      <c r="G1046" s="418"/>
      <c r="H1046" s="417"/>
      <c r="I1046" s="418"/>
      <c r="J1046" s="432"/>
      <c r="K1046" s="420"/>
      <c r="L1046" s="417"/>
      <c r="M1046" s="415"/>
      <c r="N1046" s="422"/>
      <c r="O1046" s="75" t="str">
        <f t="shared" si="3"/>
        <v/>
      </c>
      <c r="P1046" s="403">
        <v>0.0</v>
      </c>
      <c r="Q1046" s="403">
        <v>0.0</v>
      </c>
      <c r="R1046" s="403"/>
      <c r="S1046" s="403"/>
      <c r="T1046" s="403"/>
      <c r="U1046" s="403"/>
      <c r="V1046" s="403"/>
      <c r="W1046" s="403"/>
      <c r="X1046" s="403"/>
      <c r="Y1046" s="403"/>
      <c r="Z1046" s="403"/>
    </row>
    <row r="1047">
      <c r="A1047" s="403"/>
      <c r="B1047" s="417"/>
      <c r="C1047" s="415"/>
      <c r="D1047" s="417"/>
      <c r="E1047" s="417"/>
      <c r="F1047" s="417"/>
      <c r="G1047" s="418"/>
      <c r="H1047" s="417"/>
      <c r="I1047" s="418"/>
      <c r="J1047" s="432"/>
      <c r="K1047" s="420"/>
      <c r="L1047" s="417"/>
      <c r="M1047" s="415"/>
      <c r="N1047" s="422"/>
      <c r="O1047" s="75" t="str">
        <f t="shared" si="3"/>
        <v/>
      </c>
      <c r="P1047" s="403">
        <v>0.0</v>
      </c>
      <c r="Q1047" s="403">
        <v>0.0</v>
      </c>
      <c r="R1047" s="403"/>
      <c r="S1047" s="403"/>
      <c r="T1047" s="403"/>
      <c r="U1047" s="403"/>
      <c r="V1047" s="403"/>
      <c r="W1047" s="403"/>
      <c r="X1047" s="403"/>
      <c r="Y1047" s="403"/>
      <c r="Z1047" s="403"/>
    </row>
    <row r="1048">
      <c r="A1048" s="403"/>
      <c r="B1048" s="417"/>
      <c r="C1048" s="415"/>
      <c r="D1048" s="417"/>
      <c r="E1048" s="417"/>
      <c r="F1048" s="417"/>
      <c r="G1048" s="418"/>
      <c r="H1048" s="417"/>
      <c r="I1048" s="418"/>
      <c r="J1048" s="432"/>
      <c r="K1048" s="420"/>
      <c r="L1048" s="417"/>
      <c r="M1048" s="415"/>
      <c r="N1048" s="422"/>
      <c r="O1048" s="75" t="str">
        <f t="shared" si="3"/>
        <v/>
      </c>
      <c r="P1048" s="403">
        <v>0.0</v>
      </c>
      <c r="Q1048" s="403">
        <v>0.0</v>
      </c>
      <c r="R1048" s="403"/>
      <c r="S1048" s="403"/>
      <c r="T1048" s="403"/>
      <c r="U1048" s="403"/>
      <c r="V1048" s="403"/>
      <c r="W1048" s="403"/>
      <c r="X1048" s="403"/>
      <c r="Y1048" s="403"/>
      <c r="Z1048" s="403"/>
    </row>
    <row r="1049">
      <c r="A1049" s="403"/>
      <c r="B1049" s="417"/>
      <c r="C1049" s="415"/>
      <c r="D1049" s="417"/>
      <c r="E1049" s="417"/>
      <c r="F1049" s="417"/>
      <c r="G1049" s="418"/>
      <c r="H1049" s="417"/>
      <c r="I1049" s="418"/>
      <c r="J1049" s="432"/>
      <c r="K1049" s="420"/>
      <c r="L1049" s="417"/>
      <c r="M1049" s="415"/>
      <c r="N1049" s="422"/>
      <c r="O1049" s="75" t="str">
        <f t="shared" si="3"/>
        <v/>
      </c>
      <c r="P1049" s="403">
        <v>0.0</v>
      </c>
      <c r="Q1049" s="403">
        <v>0.0</v>
      </c>
      <c r="R1049" s="403"/>
      <c r="S1049" s="403"/>
      <c r="T1049" s="403"/>
      <c r="U1049" s="403"/>
      <c r="V1049" s="403"/>
      <c r="W1049" s="403"/>
      <c r="X1049" s="403"/>
      <c r="Y1049" s="403"/>
      <c r="Z1049" s="403"/>
    </row>
    <row r="1050">
      <c r="A1050" s="403"/>
      <c r="B1050" s="417"/>
      <c r="C1050" s="415"/>
      <c r="D1050" s="417"/>
      <c r="E1050" s="417"/>
      <c r="F1050" s="417"/>
      <c r="G1050" s="418"/>
      <c r="H1050" s="417"/>
      <c r="I1050" s="418"/>
      <c r="J1050" s="432"/>
      <c r="K1050" s="420"/>
      <c r="L1050" s="417"/>
      <c r="M1050" s="415"/>
      <c r="N1050" s="422"/>
      <c r="O1050" s="75" t="str">
        <f t="shared" si="3"/>
        <v/>
      </c>
      <c r="P1050" s="403">
        <v>0.0</v>
      </c>
      <c r="Q1050" s="403">
        <v>0.0</v>
      </c>
      <c r="R1050" s="403"/>
      <c r="S1050" s="403"/>
      <c r="T1050" s="403"/>
      <c r="U1050" s="403"/>
      <c r="V1050" s="403"/>
      <c r="W1050" s="403"/>
      <c r="X1050" s="403"/>
      <c r="Y1050" s="403"/>
      <c r="Z1050" s="403"/>
    </row>
    <row r="1051">
      <c r="A1051" s="403"/>
      <c r="B1051" s="417"/>
      <c r="C1051" s="415"/>
      <c r="D1051" s="417"/>
      <c r="E1051" s="417"/>
      <c r="F1051" s="417"/>
      <c r="G1051" s="418"/>
      <c r="H1051" s="417"/>
      <c r="I1051" s="418"/>
      <c r="J1051" s="432"/>
      <c r="K1051" s="420"/>
      <c r="L1051" s="417"/>
      <c r="M1051" s="415"/>
      <c r="N1051" s="422"/>
      <c r="O1051" s="75" t="str">
        <f t="shared" si="3"/>
        <v/>
      </c>
      <c r="P1051" s="403">
        <v>0.0</v>
      </c>
      <c r="Q1051" s="403">
        <v>0.0</v>
      </c>
      <c r="R1051" s="403"/>
      <c r="S1051" s="403"/>
      <c r="T1051" s="403"/>
      <c r="U1051" s="403"/>
      <c r="V1051" s="403"/>
      <c r="W1051" s="403"/>
      <c r="X1051" s="403"/>
      <c r="Y1051" s="403"/>
      <c r="Z1051" s="403"/>
    </row>
    <row r="1052">
      <c r="A1052" s="403"/>
      <c r="B1052" s="417"/>
      <c r="C1052" s="415"/>
      <c r="D1052" s="417"/>
      <c r="E1052" s="417"/>
      <c r="F1052" s="417"/>
      <c r="G1052" s="418"/>
      <c r="H1052" s="417"/>
      <c r="I1052" s="418"/>
      <c r="J1052" s="432"/>
      <c r="K1052" s="420"/>
      <c r="L1052" s="417"/>
      <c r="M1052" s="415"/>
      <c r="N1052" s="422"/>
      <c r="O1052" s="75" t="str">
        <f t="shared" si="3"/>
        <v/>
      </c>
      <c r="P1052" s="403">
        <v>0.0</v>
      </c>
      <c r="Q1052" s="403">
        <v>0.0</v>
      </c>
      <c r="R1052" s="403"/>
      <c r="S1052" s="403"/>
      <c r="T1052" s="403"/>
      <c r="U1052" s="403"/>
      <c r="V1052" s="403"/>
      <c r="W1052" s="403"/>
      <c r="X1052" s="403"/>
      <c r="Y1052" s="403"/>
      <c r="Z1052" s="403"/>
    </row>
    <row r="1053">
      <c r="A1053" s="403"/>
      <c r="B1053" s="417"/>
      <c r="C1053" s="415"/>
      <c r="D1053" s="417"/>
      <c r="E1053" s="417"/>
      <c r="F1053" s="417"/>
      <c r="G1053" s="418"/>
      <c r="H1053" s="417"/>
      <c r="I1053" s="418"/>
      <c r="J1053" s="432"/>
      <c r="K1053" s="420"/>
      <c r="L1053" s="417"/>
      <c r="M1053" s="415"/>
      <c r="N1053" s="422"/>
      <c r="O1053" s="75" t="str">
        <f t="shared" si="3"/>
        <v/>
      </c>
      <c r="P1053" s="403">
        <v>0.0</v>
      </c>
      <c r="Q1053" s="403">
        <v>0.0</v>
      </c>
      <c r="R1053" s="403"/>
      <c r="S1053" s="403"/>
      <c r="T1053" s="403"/>
      <c r="U1053" s="403"/>
      <c r="V1053" s="403"/>
      <c r="W1053" s="403"/>
      <c r="X1053" s="403"/>
      <c r="Y1053" s="403"/>
      <c r="Z1053" s="403"/>
    </row>
    <row r="1054">
      <c r="A1054" s="403"/>
      <c r="B1054" s="417"/>
      <c r="C1054" s="415"/>
      <c r="D1054" s="417"/>
      <c r="E1054" s="417"/>
      <c r="F1054" s="417"/>
      <c r="G1054" s="418"/>
      <c r="H1054" s="417"/>
      <c r="I1054" s="418"/>
      <c r="J1054" s="432"/>
      <c r="K1054" s="420"/>
      <c r="L1054" s="417"/>
      <c r="M1054" s="415"/>
      <c r="N1054" s="422"/>
      <c r="O1054" s="75" t="str">
        <f t="shared" si="3"/>
        <v/>
      </c>
      <c r="P1054" s="403">
        <v>0.0</v>
      </c>
      <c r="Q1054" s="403">
        <v>0.0</v>
      </c>
      <c r="R1054" s="403"/>
      <c r="S1054" s="403"/>
      <c r="T1054" s="403"/>
      <c r="U1054" s="403"/>
      <c r="V1054" s="403"/>
      <c r="W1054" s="403"/>
      <c r="X1054" s="403"/>
      <c r="Y1054" s="403"/>
      <c r="Z1054" s="403"/>
    </row>
    <row r="1055">
      <c r="A1055" s="403"/>
      <c r="B1055" s="417"/>
      <c r="C1055" s="415"/>
      <c r="D1055" s="417"/>
      <c r="E1055" s="417"/>
      <c r="F1055" s="417"/>
      <c r="G1055" s="418"/>
      <c r="H1055" s="417"/>
      <c r="I1055" s="418"/>
      <c r="J1055" s="432"/>
      <c r="K1055" s="420"/>
      <c r="L1055" s="417"/>
      <c r="M1055" s="415"/>
      <c r="N1055" s="422"/>
      <c r="O1055" s="75" t="str">
        <f t="shared" si="3"/>
        <v/>
      </c>
      <c r="P1055" s="403">
        <v>0.0</v>
      </c>
      <c r="Q1055" s="403">
        <v>0.0</v>
      </c>
      <c r="R1055" s="403"/>
      <c r="S1055" s="403"/>
      <c r="T1055" s="403"/>
      <c r="U1055" s="403"/>
      <c r="V1055" s="403"/>
      <c r="W1055" s="403"/>
      <c r="X1055" s="403"/>
      <c r="Y1055" s="403"/>
      <c r="Z1055" s="403"/>
    </row>
    <row r="1056">
      <c r="A1056" s="403"/>
      <c r="B1056" s="417"/>
      <c r="C1056" s="415"/>
      <c r="D1056" s="417"/>
      <c r="E1056" s="417"/>
      <c r="F1056" s="417"/>
      <c r="G1056" s="418"/>
      <c r="H1056" s="417"/>
      <c r="I1056" s="418"/>
      <c r="J1056" s="432"/>
      <c r="K1056" s="420"/>
      <c r="L1056" s="417"/>
      <c r="M1056" s="415"/>
      <c r="N1056" s="422"/>
      <c r="O1056" s="75" t="str">
        <f t="shared" si="3"/>
        <v/>
      </c>
      <c r="P1056" s="403">
        <v>0.0</v>
      </c>
      <c r="Q1056" s="403">
        <v>0.0</v>
      </c>
      <c r="R1056" s="403"/>
      <c r="S1056" s="403"/>
      <c r="T1056" s="403"/>
      <c r="U1056" s="403"/>
      <c r="V1056" s="403"/>
      <c r="W1056" s="403"/>
      <c r="X1056" s="403"/>
      <c r="Y1056" s="403"/>
      <c r="Z1056" s="403"/>
    </row>
    <row r="1057">
      <c r="A1057" s="403"/>
      <c r="B1057" s="417"/>
      <c r="C1057" s="415"/>
      <c r="D1057" s="417"/>
      <c r="E1057" s="417"/>
      <c r="F1057" s="417"/>
      <c r="G1057" s="418"/>
      <c r="H1057" s="417"/>
      <c r="I1057" s="418"/>
      <c r="J1057" s="432"/>
      <c r="K1057" s="420"/>
      <c r="L1057" s="417"/>
      <c r="M1057" s="415"/>
      <c r="N1057" s="422"/>
      <c r="O1057" s="75" t="str">
        <f t="shared" si="3"/>
        <v/>
      </c>
      <c r="P1057" s="403">
        <v>0.0</v>
      </c>
      <c r="Q1057" s="403">
        <v>0.0</v>
      </c>
      <c r="R1057" s="403"/>
      <c r="S1057" s="403"/>
      <c r="T1057" s="403"/>
      <c r="U1057" s="403"/>
      <c r="V1057" s="403"/>
      <c r="W1057" s="403"/>
      <c r="X1057" s="403"/>
      <c r="Y1057" s="403"/>
      <c r="Z1057" s="403"/>
    </row>
    <row r="1058">
      <c r="A1058" s="403"/>
      <c r="B1058" s="417"/>
      <c r="C1058" s="415"/>
      <c r="D1058" s="417"/>
      <c r="E1058" s="417"/>
      <c r="F1058" s="417"/>
      <c r="G1058" s="418"/>
      <c r="H1058" s="417"/>
      <c r="I1058" s="418"/>
      <c r="J1058" s="432"/>
      <c r="K1058" s="420"/>
      <c r="L1058" s="417"/>
      <c r="M1058" s="415"/>
      <c r="N1058" s="422"/>
      <c r="O1058" s="75" t="str">
        <f t="shared" si="3"/>
        <v/>
      </c>
      <c r="P1058" s="403">
        <v>0.0</v>
      </c>
      <c r="Q1058" s="403">
        <v>0.0</v>
      </c>
      <c r="R1058" s="403"/>
      <c r="S1058" s="403"/>
      <c r="T1058" s="403"/>
      <c r="U1058" s="403"/>
      <c r="V1058" s="403"/>
      <c r="W1058" s="403"/>
      <c r="X1058" s="403"/>
      <c r="Y1058" s="403"/>
      <c r="Z1058" s="403"/>
    </row>
    <row r="1059">
      <c r="A1059" s="403"/>
      <c r="B1059" s="417"/>
      <c r="C1059" s="415"/>
      <c r="D1059" s="417"/>
      <c r="E1059" s="417"/>
      <c r="F1059" s="417"/>
      <c r="G1059" s="418"/>
      <c r="H1059" s="417"/>
      <c r="I1059" s="418"/>
      <c r="J1059" s="432"/>
      <c r="K1059" s="420"/>
      <c r="L1059" s="417"/>
      <c r="M1059" s="415"/>
      <c r="N1059" s="422"/>
      <c r="O1059" s="75" t="str">
        <f t="shared" si="3"/>
        <v/>
      </c>
      <c r="P1059" s="403">
        <v>0.0</v>
      </c>
      <c r="Q1059" s="403">
        <v>0.0</v>
      </c>
      <c r="R1059" s="403"/>
      <c r="S1059" s="403"/>
      <c r="T1059" s="403"/>
      <c r="U1059" s="403"/>
      <c r="V1059" s="403"/>
      <c r="W1059" s="403"/>
      <c r="X1059" s="403"/>
      <c r="Y1059" s="403"/>
      <c r="Z1059" s="403"/>
    </row>
    <row r="1060">
      <c r="A1060" s="403"/>
      <c r="B1060" s="417"/>
      <c r="C1060" s="415"/>
      <c r="D1060" s="417"/>
      <c r="E1060" s="417"/>
      <c r="F1060" s="417"/>
      <c r="G1060" s="418"/>
      <c r="H1060" s="417"/>
      <c r="I1060" s="418"/>
      <c r="J1060" s="432"/>
      <c r="K1060" s="420"/>
      <c r="L1060" s="417"/>
      <c r="M1060" s="415"/>
      <c r="N1060" s="422"/>
      <c r="O1060" s="75" t="str">
        <f t="shared" si="3"/>
        <v/>
      </c>
      <c r="P1060" s="403">
        <v>0.0</v>
      </c>
      <c r="Q1060" s="403">
        <v>0.0</v>
      </c>
      <c r="R1060" s="403"/>
      <c r="S1060" s="403"/>
      <c r="T1060" s="403"/>
      <c r="U1060" s="403"/>
      <c r="V1060" s="403"/>
      <c r="W1060" s="403"/>
      <c r="X1060" s="403"/>
      <c r="Y1060" s="403"/>
      <c r="Z1060" s="403"/>
    </row>
    <row r="1061">
      <c r="A1061" s="403"/>
      <c r="B1061" s="417"/>
      <c r="C1061" s="415"/>
      <c r="D1061" s="417"/>
      <c r="E1061" s="417"/>
      <c r="F1061" s="417"/>
      <c r="G1061" s="418"/>
      <c r="H1061" s="417"/>
      <c r="I1061" s="418"/>
      <c r="J1061" s="432"/>
      <c r="K1061" s="420"/>
      <c r="L1061" s="417"/>
      <c r="M1061" s="415"/>
      <c r="N1061" s="422"/>
      <c r="O1061" s="75" t="str">
        <f t="shared" si="3"/>
        <v/>
      </c>
      <c r="P1061" s="403">
        <v>0.0</v>
      </c>
      <c r="Q1061" s="403">
        <v>0.0</v>
      </c>
      <c r="R1061" s="403"/>
      <c r="S1061" s="403"/>
      <c r="T1061" s="403"/>
      <c r="U1061" s="403"/>
      <c r="V1061" s="403"/>
      <c r="W1061" s="403"/>
      <c r="X1061" s="403"/>
      <c r="Y1061" s="403"/>
      <c r="Z1061" s="403"/>
    </row>
    <row r="1062">
      <c r="A1062" s="403"/>
      <c r="B1062" s="417"/>
      <c r="C1062" s="415"/>
      <c r="D1062" s="417"/>
      <c r="E1062" s="417"/>
      <c r="F1062" s="417"/>
      <c r="G1062" s="418"/>
      <c r="H1062" s="417"/>
      <c r="I1062" s="418"/>
      <c r="J1062" s="432"/>
      <c r="K1062" s="420"/>
      <c r="L1062" s="417"/>
      <c r="M1062" s="415"/>
      <c r="N1062" s="422"/>
      <c r="O1062" s="75" t="str">
        <f t="shared" si="3"/>
        <v/>
      </c>
      <c r="P1062" s="403">
        <v>0.0</v>
      </c>
      <c r="Q1062" s="403">
        <v>0.0</v>
      </c>
      <c r="R1062" s="403"/>
      <c r="S1062" s="403"/>
      <c r="T1062" s="403"/>
      <c r="U1062" s="403"/>
      <c r="V1062" s="403"/>
      <c r="W1062" s="403"/>
      <c r="X1062" s="403"/>
      <c r="Y1062" s="403"/>
      <c r="Z1062" s="403"/>
    </row>
    <row r="1063">
      <c r="A1063" s="403"/>
      <c r="B1063" s="417"/>
      <c r="C1063" s="415"/>
      <c r="D1063" s="417"/>
      <c r="E1063" s="417"/>
      <c r="F1063" s="417"/>
      <c r="G1063" s="418"/>
      <c r="H1063" s="417"/>
      <c r="I1063" s="418"/>
      <c r="J1063" s="432"/>
      <c r="K1063" s="420"/>
      <c r="L1063" s="417"/>
      <c r="M1063" s="415"/>
      <c r="N1063" s="422"/>
      <c r="O1063" s="75" t="str">
        <f t="shared" si="3"/>
        <v/>
      </c>
      <c r="P1063" s="403">
        <v>0.0</v>
      </c>
      <c r="Q1063" s="403">
        <v>0.0</v>
      </c>
      <c r="R1063" s="403"/>
      <c r="S1063" s="403"/>
      <c r="T1063" s="403"/>
      <c r="U1063" s="403"/>
      <c r="V1063" s="403"/>
      <c r="W1063" s="403"/>
      <c r="X1063" s="403"/>
      <c r="Y1063" s="403"/>
      <c r="Z1063" s="403"/>
    </row>
    <row r="1064">
      <c r="A1064" s="403"/>
      <c r="B1064" s="417"/>
      <c r="C1064" s="415"/>
      <c r="D1064" s="417"/>
      <c r="E1064" s="417"/>
      <c r="F1064" s="417"/>
      <c r="G1064" s="418"/>
      <c r="H1064" s="417"/>
      <c r="I1064" s="418"/>
      <c r="J1064" s="432"/>
      <c r="K1064" s="420"/>
      <c r="L1064" s="417"/>
      <c r="M1064" s="415"/>
      <c r="N1064" s="422"/>
      <c r="O1064" s="75" t="str">
        <f t="shared" si="3"/>
        <v/>
      </c>
      <c r="P1064" s="403">
        <v>0.0</v>
      </c>
      <c r="Q1064" s="403">
        <v>0.0</v>
      </c>
      <c r="R1064" s="403"/>
      <c r="S1064" s="403"/>
      <c r="T1064" s="403"/>
      <c r="U1064" s="403"/>
      <c r="V1064" s="403"/>
      <c r="W1064" s="403"/>
      <c r="X1064" s="403"/>
      <c r="Y1064" s="403"/>
      <c r="Z1064" s="403"/>
    </row>
    <row r="1065">
      <c r="A1065" s="403"/>
      <c r="B1065" s="417"/>
      <c r="C1065" s="415"/>
      <c r="D1065" s="417"/>
      <c r="E1065" s="417"/>
      <c r="F1065" s="417"/>
      <c r="G1065" s="418"/>
      <c r="H1065" s="417"/>
      <c r="I1065" s="418"/>
      <c r="J1065" s="432"/>
      <c r="K1065" s="420"/>
      <c r="L1065" s="417"/>
      <c r="M1065" s="415"/>
      <c r="N1065" s="422"/>
      <c r="O1065" s="75" t="str">
        <f t="shared" si="3"/>
        <v/>
      </c>
      <c r="P1065" s="403">
        <v>0.0</v>
      </c>
      <c r="Q1065" s="403">
        <v>0.0</v>
      </c>
      <c r="R1065" s="403"/>
      <c r="S1065" s="403"/>
      <c r="T1065" s="403"/>
      <c r="U1065" s="403"/>
      <c r="V1065" s="403"/>
      <c r="W1065" s="403"/>
      <c r="X1065" s="403"/>
      <c r="Y1065" s="403"/>
      <c r="Z1065" s="403"/>
    </row>
    <row r="1066">
      <c r="A1066" s="403"/>
      <c r="B1066" s="417"/>
      <c r="C1066" s="415"/>
      <c r="D1066" s="417"/>
      <c r="E1066" s="417"/>
      <c r="F1066" s="417"/>
      <c r="G1066" s="418"/>
      <c r="H1066" s="417"/>
      <c r="I1066" s="418"/>
      <c r="J1066" s="432"/>
      <c r="K1066" s="420"/>
      <c r="L1066" s="417"/>
      <c r="M1066" s="415"/>
      <c r="N1066" s="422"/>
      <c r="O1066" s="75" t="str">
        <f t="shared" si="3"/>
        <v/>
      </c>
      <c r="P1066" s="403">
        <v>0.0</v>
      </c>
      <c r="Q1066" s="403">
        <v>0.0</v>
      </c>
      <c r="R1066" s="403"/>
      <c r="S1066" s="403"/>
      <c r="T1066" s="403"/>
      <c r="U1066" s="403"/>
      <c r="V1066" s="403"/>
      <c r="W1066" s="403"/>
      <c r="X1066" s="403"/>
      <c r="Y1066" s="403"/>
      <c r="Z1066" s="403"/>
    </row>
    <row r="1067">
      <c r="A1067" s="403"/>
      <c r="B1067" s="417"/>
      <c r="C1067" s="415"/>
      <c r="D1067" s="417"/>
      <c r="E1067" s="417"/>
      <c r="F1067" s="417"/>
      <c r="G1067" s="418"/>
      <c r="H1067" s="417"/>
      <c r="I1067" s="418"/>
      <c r="J1067" s="432"/>
      <c r="K1067" s="420"/>
      <c r="L1067" s="417"/>
      <c r="M1067" s="415"/>
      <c r="N1067" s="422"/>
      <c r="O1067" s="75" t="str">
        <f t="shared" si="3"/>
        <v/>
      </c>
      <c r="P1067" s="403">
        <v>0.0</v>
      </c>
      <c r="Q1067" s="403">
        <v>0.0</v>
      </c>
      <c r="R1067" s="403"/>
      <c r="S1067" s="403"/>
      <c r="T1067" s="403"/>
      <c r="U1067" s="403"/>
      <c r="V1067" s="403"/>
      <c r="W1067" s="403"/>
      <c r="X1067" s="403"/>
      <c r="Y1067" s="403"/>
      <c r="Z1067" s="403"/>
    </row>
    <row r="1068">
      <c r="A1068" s="403"/>
      <c r="B1068" s="417"/>
      <c r="C1068" s="415"/>
      <c r="D1068" s="417"/>
      <c r="E1068" s="417"/>
      <c r="F1068" s="417"/>
      <c r="G1068" s="418"/>
      <c r="H1068" s="417"/>
      <c r="I1068" s="418"/>
      <c r="J1068" s="432"/>
      <c r="K1068" s="420"/>
      <c r="L1068" s="417"/>
      <c r="M1068" s="415"/>
      <c r="N1068" s="422"/>
      <c r="O1068" s="75" t="str">
        <f t="shared" si="3"/>
        <v/>
      </c>
      <c r="P1068" s="403">
        <v>0.0</v>
      </c>
      <c r="Q1068" s="403">
        <v>0.0</v>
      </c>
      <c r="R1068" s="403"/>
      <c r="S1068" s="403"/>
      <c r="T1068" s="403"/>
      <c r="U1068" s="403"/>
      <c r="V1068" s="403"/>
      <c r="W1068" s="403"/>
      <c r="X1068" s="403"/>
      <c r="Y1068" s="403"/>
      <c r="Z1068" s="403"/>
    </row>
    <row r="1069">
      <c r="A1069" s="403"/>
      <c r="B1069" s="417"/>
      <c r="C1069" s="415"/>
      <c r="D1069" s="417"/>
      <c r="E1069" s="417"/>
      <c r="F1069" s="417"/>
      <c r="G1069" s="418"/>
      <c r="H1069" s="417"/>
      <c r="I1069" s="418"/>
      <c r="J1069" s="432"/>
      <c r="K1069" s="420"/>
      <c r="L1069" s="417"/>
      <c r="M1069" s="415"/>
      <c r="N1069" s="422"/>
      <c r="O1069" s="75" t="str">
        <f t="shared" si="3"/>
        <v/>
      </c>
      <c r="P1069" s="403">
        <v>0.0</v>
      </c>
      <c r="Q1069" s="403">
        <v>0.0</v>
      </c>
      <c r="R1069" s="403"/>
      <c r="S1069" s="403"/>
      <c r="T1069" s="403"/>
      <c r="U1069" s="403"/>
      <c r="V1069" s="403"/>
      <c r="W1069" s="403"/>
      <c r="X1069" s="403"/>
      <c r="Y1069" s="403"/>
      <c r="Z1069" s="403"/>
    </row>
    <row r="1070">
      <c r="A1070" s="403"/>
      <c r="B1070" s="417"/>
      <c r="C1070" s="415"/>
      <c r="D1070" s="417"/>
      <c r="E1070" s="417"/>
      <c r="F1070" s="417"/>
      <c r="G1070" s="418"/>
      <c r="H1070" s="417"/>
      <c r="I1070" s="418"/>
      <c r="J1070" s="432"/>
      <c r="K1070" s="420"/>
      <c r="L1070" s="417"/>
      <c r="M1070" s="415"/>
      <c r="N1070" s="422"/>
      <c r="O1070" s="75" t="str">
        <f t="shared" si="3"/>
        <v/>
      </c>
      <c r="P1070" s="403">
        <v>0.0</v>
      </c>
      <c r="Q1070" s="403">
        <v>0.0</v>
      </c>
      <c r="R1070" s="403"/>
      <c r="S1070" s="403"/>
      <c r="T1070" s="403"/>
      <c r="U1070" s="403"/>
      <c r="V1070" s="403"/>
      <c r="W1070" s="403"/>
      <c r="X1070" s="403"/>
      <c r="Y1070" s="403"/>
      <c r="Z1070" s="403"/>
    </row>
    <row r="1071">
      <c r="A1071" s="403"/>
      <c r="B1071" s="417"/>
      <c r="C1071" s="415"/>
      <c r="D1071" s="417"/>
      <c r="E1071" s="417"/>
      <c r="F1071" s="417"/>
      <c r="G1071" s="418"/>
      <c r="H1071" s="417"/>
      <c r="I1071" s="418"/>
      <c r="J1071" s="432"/>
      <c r="K1071" s="420"/>
      <c r="L1071" s="417"/>
      <c r="M1071" s="415"/>
      <c r="N1071" s="422"/>
      <c r="O1071" s="75" t="str">
        <f t="shared" si="3"/>
        <v/>
      </c>
      <c r="P1071" s="403">
        <v>0.0</v>
      </c>
      <c r="Q1071" s="403">
        <v>0.0</v>
      </c>
      <c r="R1071" s="403"/>
      <c r="S1071" s="403"/>
      <c r="T1071" s="403"/>
      <c r="U1071" s="403"/>
      <c r="V1071" s="403"/>
      <c r="W1071" s="403"/>
      <c r="X1071" s="403"/>
      <c r="Y1071" s="403"/>
      <c r="Z1071" s="403"/>
    </row>
    <row r="1072">
      <c r="A1072" s="403"/>
      <c r="B1072" s="417"/>
      <c r="C1072" s="415"/>
      <c r="D1072" s="417"/>
      <c r="E1072" s="417"/>
      <c r="F1072" s="417"/>
      <c r="G1072" s="418"/>
      <c r="H1072" s="417"/>
      <c r="I1072" s="418"/>
      <c r="J1072" s="432"/>
      <c r="K1072" s="420"/>
      <c r="L1072" s="417"/>
      <c r="M1072" s="415"/>
      <c r="N1072" s="422"/>
      <c r="O1072" s="75" t="str">
        <f t="shared" si="3"/>
        <v/>
      </c>
      <c r="P1072" s="403">
        <v>0.0</v>
      </c>
      <c r="Q1072" s="403">
        <v>0.0</v>
      </c>
      <c r="R1072" s="403"/>
      <c r="S1072" s="403"/>
      <c r="T1072" s="403"/>
      <c r="U1072" s="403"/>
      <c r="V1072" s="403"/>
      <c r="W1072" s="403"/>
      <c r="X1072" s="403"/>
      <c r="Y1072" s="403"/>
      <c r="Z1072" s="403"/>
    </row>
    <row r="1073">
      <c r="A1073" s="403"/>
      <c r="B1073" s="417"/>
      <c r="C1073" s="415"/>
      <c r="D1073" s="417"/>
      <c r="E1073" s="417"/>
      <c r="F1073" s="417"/>
      <c r="G1073" s="418"/>
      <c r="H1073" s="417"/>
      <c r="I1073" s="418"/>
      <c r="J1073" s="432"/>
      <c r="K1073" s="420"/>
      <c r="L1073" s="417"/>
      <c r="M1073" s="415"/>
      <c r="N1073" s="422"/>
      <c r="O1073" s="75" t="str">
        <f t="shared" si="3"/>
        <v/>
      </c>
      <c r="P1073" s="403">
        <v>0.0</v>
      </c>
      <c r="Q1073" s="403">
        <v>0.0</v>
      </c>
      <c r="R1073" s="403"/>
      <c r="S1073" s="403"/>
      <c r="T1073" s="403"/>
      <c r="U1073" s="403"/>
      <c r="V1073" s="403"/>
      <c r="W1073" s="403"/>
      <c r="X1073" s="403"/>
      <c r="Y1073" s="403"/>
      <c r="Z1073" s="403"/>
    </row>
    <row r="1074">
      <c r="A1074" s="403"/>
      <c r="B1074" s="417"/>
      <c r="C1074" s="415"/>
      <c r="D1074" s="417"/>
      <c r="E1074" s="417"/>
      <c r="F1074" s="417"/>
      <c r="G1074" s="418"/>
      <c r="H1074" s="417"/>
      <c r="I1074" s="418"/>
      <c r="J1074" s="432"/>
      <c r="K1074" s="420"/>
      <c r="L1074" s="417"/>
      <c r="M1074" s="415"/>
      <c r="N1074" s="422"/>
      <c r="O1074" s="75" t="str">
        <f t="shared" si="3"/>
        <v/>
      </c>
      <c r="P1074" s="403">
        <v>0.0</v>
      </c>
      <c r="Q1074" s="403">
        <v>0.0</v>
      </c>
      <c r="R1074" s="403"/>
      <c r="S1074" s="403"/>
      <c r="T1074" s="403"/>
      <c r="U1074" s="403"/>
      <c r="V1074" s="403"/>
      <c r="W1074" s="403"/>
      <c r="X1074" s="403"/>
      <c r="Y1074" s="403"/>
      <c r="Z1074" s="403"/>
    </row>
    <row r="1075">
      <c r="A1075" s="403"/>
      <c r="B1075" s="417"/>
      <c r="C1075" s="415"/>
      <c r="D1075" s="417"/>
      <c r="E1075" s="417"/>
      <c r="F1075" s="417"/>
      <c r="G1075" s="418"/>
      <c r="H1075" s="417"/>
      <c r="I1075" s="418"/>
      <c r="J1075" s="432"/>
      <c r="K1075" s="420"/>
      <c r="L1075" s="417"/>
      <c r="M1075" s="415"/>
      <c r="N1075" s="422"/>
      <c r="O1075" s="75" t="str">
        <f t="shared" si="3"/>
        <v/>
      </c>
      <c r="P1075" s="403">
        <v>0.0</v>
      </c>
      <c r="Q1075" s="403">
        <v>0.0</v>
      </c>
      <c r="R1075" s="403"/>
      <c r="S1075" s="403"/>
      <c r="T1075" s="403"/>
      <c r="U1075" s="403"/>
      <c r="V1075" s="403"/>
      <c r="W1075" s="403"/>
      <c r="X1075" s="403"/>
      <c r="Y1075" s="403"/>
      <c r="Z1075" s="403"/>
    </row>
    <row r="1076">
      <c r="A1076" s="403"/>
      <c r="B1076" s="417"/>
      <c r="C1076" s="415"/>
      <c r="D1076" s="417"/>
      <c r="E1076" s="417"/>
      <c r="F1076" s="417"/>
      <c r="G1076" s="418"/>
      <c r="H1076" s="417"/>
      <c r="I1076" s="418"/>
      <c r="J1076" s="432"/>
      <c r="K1076" s="420"/>
      <c r="L1076" s="417"/>
      <c r="M1076" s="415"/>
      <c r="N1076" s="422"/>
      <c r="O1076" s="75" t="str">
        <f t="shared" si="3"/>
        <v/>
      </c>
      <c r="P1076" s="403">
        <v>0.0</v>
      </c>
      <c r="Q1076" s="403">
        <v>0.0</v>
      </c>
      <c r="R1076" s="403"/>
      <c r="S1076" s="403"/>
      <c r="T1076" s="403"/>
      <c r="U1076" s="403"/>
      <c r="V1076" s="403"/>
      <c r="W1076" s="403"/>
      <c r="X1076" s="403"/>
      <c r="Y1076" s="403"/>
      <c r="Z1076" s="403"/>
    </row>
    <row r="1077">
      <c r="A1077" s="403"/>
      <c r="B1077" s="417"/>
      <c r="C1077" s="415"/>
      <c r="D1077" s="417"/>
      <c r="E1077" s="417"/>
      <c r="F1077" s="417"/>
      <c r="G1077" s="418"/>
      <c r="H1077" s="417"/>
      <c r="I1077" s="418"/>
      <c r="J1077" s="432"/>
      <c r="K1077" s="420"/>
      <c r="L1077" s="417"/>
      <c r="M1077" s="415"/>
      <c r="N1077" s="422"/>
      <c r="O1077" s="75" t="str">
        <f t="shared" si="3"/>
        <v/>
      </c>
      <c r="P1077" s="403">
        <v>0.0</v>
      </c>
      <c r="Q1077" s="403">
        <v>0.0</v>
      </c>
      <c r="R1077" s="403"/>
      <c r="S1077" s="403"/>
      <c r="T1077" s="403"/>
      <c r="U1077" s="403"/>
      <c r="V1077" s="403"/>
      <c r="W1077" s="403"/>
      <c r="X1077" s="403"/>
      <c r="Y1077" s="403"/>
      <c r="Z1077" s="403"/>
    </row>
    <row r="1078">
      <c r="A1078" s="403"/>
      <c r="B1078" s="417"/>
      <c r="C1078" s="415"/>
      <c r="D1078" s="417"/>
      <c r="E1078" s="417"/>
      <c r="F1078" s="417"/>
      <c r="G1078" s="418"/>
      <c r="H1078" s="417"/>
      <c r="I1078" s="418"/>
      <c r="J1078" s="432"/>
      <c r="K1078" s="420"/>
      <c r="L1078" s="417"/>
      <c r="M1078" s="415"/>
      <c r="N1078" s="422"/>
      <c r="O1078" s="75" t="str">
        <f t="shared" si="3"/>
        <v/>
      </c>
      <c r="P1078" s="403">
        <v>0.0</v>
      </c>
      <c r="Q1078" s="403">
        <v>0.0</v>
      </c>
      <c r="R1078" s="403"/>
      <c r="S1078" s="403"/>
      <c r="T1078" s="403"/>
      <c r="U1078" s="403"/>
      <c r="V1078" s="403"/>
      <c r="W1078" s="403"/>
      <c r="X1078" s="403"/>
      <c r="Y1078" s="403"/>
      <c r="Z1078" s="403"/>
    </row>
    <row r="1079">
      <c r="A1079" s="403"/>
      <c r="B1079" s="417"/>
      <c r="C1079" s="415"/>
      <c r="D1079" s="417"/>
      <c r="E1079" s="417"/>
      <c r="F1079" s="417"/>
      <c r="G1079" s="418"/>
      <c r="H1079" s="417"/>
      <c r="I1079" s="418"/>
      <c r="J1079" s="432"/>
      <c r="K1079" s="420"/>
      <c r="L1079" s="417"/>
      <c r="M1079" s="415"/>
      <c r="N1079" s="422"/>
      <c r="O1079" s="75" t="str">
        <f t="shared" si="3"/>
        <v/>
      </c>
      <c r="P1079" s="403">
        <v>0.0</v>
      </c>
      <c r="Q1079" s="403">
        <v>0.0</v>
      </c>
      <c r="R1079" s="403"/>
      <c r="S1079" s="403"/>
      <c r="T1079" s="403"/>
      <c r="U1079" s="403"/>
      <c r="V1079" s="403"/>
      <c r="W1079" s="403"/>
      <c r="X1079" s="403"/>
      <c r="Y1079" s="403"/>
      <c r="Z1079" s="403"/>
    </row>
    <row r="1080">
      <c r="A1080" s="403"/>
      <c r="B1080" s="417"/>
      <c r="C1080" s="415"/>
      <c r="D1080" s="417"/>
      <c r="E1080" s="417"/>
      <c r="F1080" s="417"/>
      <c r="G1080" s="418"/>
      <c r="H1080" s="417"/>
      <c r="I1080" s="418"/>
      <c r="J1080" s="432"/>
      <c r="K1080" s="420"/>
      <c r="L1080" s="417"/>
      <c r="M1080" s="415"/>
      <c r="N1080" s="422"/>
      <c r="O1080" s="75" t="str">
        <f t="shared" si="3"/>
        <v/>
      </c>
      <c r="P1080" s="403">
        <v>0.0</v>
      </c>
      <c r="Q1080" s="403">
        <v>0.0</v>
      </c>
      <c r="R1080" s="403"/>
      <c r="S1080" s="403"/>
      <c r="T1080" s="403"/>
      <c r="U1080" s="403"/>
      <c r="V1080" s="403"/>
      <c r="W1080" s="403"/>
      <c r="X1080" s="403"/>
      <c r="Y1080" s="403"/>
      <c r="Z1080" s="403"/>
    </row>
    <row r="1081">
      <c r="A1081" s="403"/>
      <c r="B1081" s="417"/>
      <c r="C1081" s="415"/>
      <c r="D1081" s="417"/>
      <c r="E1081" s="417"/>
      <c r="F1081" s="417"/>
      <c r="G1081" s="418"/>
      <c r="H1081" s="417"/>
      <c r="I1081" s="418"/>
      <c r="J1081" s="432"/>
      <c r="K1081" s="420"/>
      <c r="L1081" s="417"/>
      <c r="M1081" s="415"/>
      <c r="N1081" s="422"/>
      <c r="O1081" s="75" t="str">
        <f t="shared" si="3"/>
        <v/>
      </c>
      <c r="P1081" s="403">
        <v>0.0</v>
      </c>
      <c r="Q1081" s="403">
        <v>0.0</v>
      </c>
      <c r="R1081" s="403"/>
      <c r="S1081" s="403"/>
      <c r="T1081" s="403"/>
      <c r="U1081" s="403"/>
      <c r="V1081" s="403"/>
      <c r="W1081" s="403"/>
      <c r="X1081" s="403"/>
      <c r="Y1081" s="403"/>
      <c r="Z1081" s="403"/>
    </row>
    <row r="1082">
      <c r="A1082" s="403"/>
      <c r="B1082" s="417"/>
      <c r="C1082" s="415"/>
      <c r="D1082" s="417"/>
      <c r="E1082" s="417"/>
      <c r="F1082" s="417"/>
      <c r="G1082" s="418"/>
      <c r="H1082" s="417"/>
      <c r="I1082" s="418"/>
      <c r="J1082" s="432"/>
      <c r="K1082" s="420"/>
      <c r="L1082" s="417"/>
      <c r="M1082" s="415"/>
      <c r="N1082" s="422"/>
      <c r="O1082" s="75" t="str">
        <f t="shared" si="3"/>
        <v/>
      </c>
      <c r="P1082" s="403">
        <v>0.0</v>
      </c>
      <c r="Q1082" s="403">
        <v>0.0</v>
      </c>
      <c r="R1082" s="403"/>
      <c r="S1082" s="403"/>
      <c r="T1082" s="403"/>
      <c r="U1082" s="403"/>
      <c r="V1082" s="403"/>
      <c r="W1082" s="403"/>
      <c r="X1082" s="403"/>
      <c r="Y1082" s="403"/>
      <c r="Z1082" s="403"/>
    </row>
    <row r="1083">
      <c r="A1083" s="403"/>
      <c r="B1083" s="417"/>
      <c r="C1083" s="415"/>
      <c r="D1083" s="417"/>
      <c r="E1083" s="417"/>
      <c r="F1083" s="417"/>
      <c r="G1083" s="418"/>
      <c r="H1083" s="417"/>
      <c r="I1083" s="418"/>
      <c r="J1083" s="432"/>
      <c r="K1083" s="420"/>
      <c r="L1083" s="417"/>
      <c r="M1083" s="415"/>
      <c r="N1083" s="422"/>
      <c r="O1083" s="75" t="str">
        <f t="shared" si="3"/>
        <v/>
      </c>
      <c r="P1083" s="403">
        <v>0.0</v>
      </c>
      <c r="Q1083" s="403">
        <v>0.0</v>
      </c>
      <c r="R1083" s="403"/>
      <c r="S1083" s="403"/>
      <c r="T1083" s="403"/>
      <c r="U1083" s="403"/>
      <c r="V1083" s="403"/>
      <c r="W1083" s="403"/>
      <c r="X1083" s="403"/>
      <c r="Y1083" s="403"/>
      <c r="Z1083" s="403"/>
    </row>
    <row r="1084">
      <c r="A1084" s="403"/>
      <c r="B1084" s="417"/>
      <c r="C1084" s="415"/>
      <c r="D1084" s="417"/>
      <c r="E1084" s="417"/>
      <c r="F1084" s="417"/>
      <c r="G1084" s="418"/>
      <c r="H1084" s="417"/>
      <c r="I1084" s="418"/>
      <c r="J1084" s="432"/>
      <c r="K1084" s="420"/>
      <c r="L1084" s="417"/>
      <c r="M1084" s="415"/>
      <c r="N1084" s="422"/>
      <c r="O1084" s="75" t="str">
        <f t="shared" si="3"/>
        <v/>
      </c>
      <c r="P1084" s="403">
        <v>0.0</v>
      </c>
      <c r="Q1084" s="403">
        <v>0.0</v>
      </c>
      <c r="R1084" s="403"/>
      <c r="S1084" s="403"/>
      <c r="T1084" s="403"/>
      <c r="U1084" s="403"/>
      <c r="V1084" s="403"/>
      <c r="W1084" s="403"/>
      <c r="X1084" s="403"/>
      <c r="Y1084" s="403"/>
      <c r="Z1084" s="403"/>
    </row>
    <row r="1085">
      <c r="A1085" s="403"/>
      <c r="B1085" s="417"/>
      <c r="C1085" s="415"/>
      <c r="D1085" s="417"/>
      <c r="E1085" s="417"/>
      <c r="F1085" s="417"/>
      <c r="G1085" s="418"/>
      <c r="H1085" s="417"/>
      <c r="I1085" s="418"/>
      <c r="J1085" s="432"/>
      <c r="K1085" s="420"/>
      <c r="L1085" s="417"/>
      <c r="M1085" s="415"/>
      <c r="N1085" s="422"/>
      <c r="O1085" s="75" t="str">
        <f t="shared" si="3"/>
        <v/>
      </c>
      <c r="P1085" s="403">
        <v>0.0</v>
      </c>
      <c r="Q1085" s="403">
        <v>0.0</v>
      </c>
      <c r="R1085" s="403"/>
      <c r="S1085" s="403"/>
      <c r="T1085" s="403"/>
      <c r="U1085" s="403"/>
      <c r="V1085" s="403"/>
      <c r="W1085" s="403"/>
      <c r="X1085" s="403"/>
      <c r="Y1085" s="403"/>
      <c r="Z1085" s="403"/>
    </row>
    <row r="1086">
      <c r="A1086" s="403"/>
      <c r="B1086" s="417"/>
      <c r="C1086" s="415"/>
      <c r="D1086" s="417"/>
      <c r="E1086" s="417"/>
      <c r="F1086" s="417"/>
      <c r="G1086" s="418"/>
      <c r="H1086" s="417"/>
      <c r="I1086" s="418"/>
      <c r="J1086" s="432"/>
      <c r="K1086" s="420"/>
      <c r="L1086" s="417"/>
      <c r="M1086" s="415"/>
      <c r="N1086" s="422"/>
      <c r="O1086" s="75" t="str">
        <f t="shared" si="3"/>
        <v/>
      </c>
      <c r="P1086" s="403">
        <v>0.0</v>
      </c>
      <c r="Q1086" s="403">
        <v>0.0</v>
      </c>
      <c r="R1086" s="403"/>
      <c r="S1086" s="403"/>
      <c r="T1086" s="403"/>
      <c r="U1086" s="403"/>
      <c r="V1086" s="403"/>
      <c r="W1086" s="403"/>
      <c r="X1086" s="403"/>
      <c r="Y1086" s="403"/>
      <c r="Z1086" s="403"/>
    </row>
    <row r="1087">
      <c r="A1087" s="403"/>
      <c r="B1087" s="417"/>
      <c r="C1087" s="415"/>
      <c r="D1087" s="417"/>
      <c r="E1087" s="417"/>
      <c r="F1087" s="417"/>
      <c r="G1087" s="418"/>
      <c r="H1087" s="417"/>
      <c r="I1087" s="418"/>
      <c r="J1087" s="432"/>
      <c r="K1087" s="420"/>
      <c r="L1087" s="417"/>
      <c r="M1087" s="415"/>
      <c r="N1087" s="422"/>
      <c r="O1087" s="75" t="str">
        <f t="shared" si="3"/>
        <v/>
      </c>
      <c r="P1087" s="403">
        <v>0.0</v>
      </c>
      <c r="Q1087" s="403">
        <v>0.0</v>
      </c>
      <c r="R1087" s="403"/>
      <c r="S1087" s="403"/>
      <c r="T1087" s="403"/>
      <c r="U1087" s="403"/>
      <c r="V1087" s="403"/>
      <c r="W1087" s="403"/>
      <c r="X1087" s="403"/>
      <c r="Y1087" s="403"/>
      <c r="Z1087" s="403"/>
    </row>
    <row r="1088">
      <c r="A1088" s="403"/>
      <c r="B1088" s="417"/>
      <c r="C1088" s="415"/>
      <c r="D1088" s="417"/>
      <c r="E1088" s="417"/>
      <c r="F1088" s="417"/>
      <c r="G1088" s="418"/>
      <c r="H1088" s="417"/>
      <c r="I1088" s="418"/>
      <c r="J1088" s="432"/>
      <c r="K1088" s="420"/>
      <c r="L1088" s="417"/>
      <c r="M1088" s="415"/>
      <c r="N1088" s="422"/>
      <c r="O1088" s="75" t="str">
        <f t="shared" si="3"/>
        <v/>
      </c>
      <c r="P1088" s="403">
        <v>0.0</v>
      </c>
      <c r="Q1088" s="403">
        <v>0.0</v>
      </c>
      <c r="R1088" s="403"/>
      <c r="S1088" s="403"/>
      <c r="T1088" s="403"/>
      <c r="U1088" s="403"/>
      <c r="V1088" s="403"/>
      <c r="W1088" s="403"/>
      <c r="X1088" s="403"/>
      <c r="Y1088" s="403"/>
      <c r="Z1088" s="403"/>
    </row>
    <row r="1089">
      <c r="A1089" s="403"/>
      <c r="B1089" s="417"/>
      <c r="C1089" s="415"/>
      <c r="D1089" s="417"/>
      <c r="E1089" s="417"/>
      <c r="F1089" s="417"/>
      <c r="G1089" s="418"/>
      <c r="H1089" s="417"/>
      <c r="I1089" s="418"/>
      <c r="J1089" s="432"/>
      <c r="K1089" s="420"/>
      <c r="L1089" s="417"/>
      <c r="M1089" s="415"/>
      <c r="N1089" s="422"/>
      <c r="O1089" s="75" t="str">
        <f t="shared" si="3"/>
        <v/>
      </c>
      <c r="P1089" s="403">
        <v>0.0</v>
      </c>
      <c r="Q1089" s="403">
        <v>0.0</v>
      </c>
      <c r="R1089" s="403"/>
      <c r="S1089" s="403"/>
      <c r="T1089" s="403"/>
      <c r="U1089" s="403"/>
      <c r="V1089" s="403"/>
      <c r="W1089" s="403"/>
      <c r="X1089" s="403"/>
      <c r="Y1089" s="403"/>
      <c r="Z1089" s="403"/>
    </row>
    <row r="1090">
      <c r="A1090" s="403"/>
      <c r="B1090" s="417"/>
      <c r="C1090" s="415"/>
      <c r="D1090" s="417"/>
      <c r="E1090" s="417"/>
      <c r="F1090" s="417"/>
      <c r="G1090" s="418"/>
      <c r="H1090" s="417"/>
      <c r="I1090" s="418"/>
      <c r="J1090" s="432"/>
      <c r="K1090" s="420"/>
      <c r="L1090" s="417"/>
      <c r="M1090" s="415"/>
      <c r="N1090" s="422"/>
      <c r="O1090" s="75" t="str">
        <f t="shared" si="3"/>
        <v/>
      </c>
      <c r="P1090" s="403">
        <v>0.0</v>
      </c>
      <c r="Q1090" s="403">
        <v>0.0</v>
      </c>
      <c r="R1090" s="403"/>
      <c r="S1090" s="403"/>
      <c r="T1090" s="403"/>
      <c r="U1090" s="403"/>
      <c r="V1090" s="403"/>
      <c r="W1090" s="403"/>
      <c r="X1090" s="403"/>
      <c r="Y1090" s="403"/>
      <c r="Z1090" s="403"/>
    </row>
    <row r="1091">
      <c r="A1091" s="403"/>
      <c r="B1091" s="417"/>
      <c r="C1091" s="415"/>
      <c r="D1091" s="417"/>
      <c r="E1091" s="417"/>
      <c r="F1091" s="417"/>
      <c r="G1091" s="418"/>
      <c r="H1091" s="417"/>
      <c r="I1091" s="418"/>
      <c r="J1091" s="432"/>
      <c r="K1091" s="420"/>
      <c r="L1091" s="417"/>
      <c r="M1091" s="415"/>
      <c r="N1091" s="422"/>
      <c r="O1091" s="75" t="str">
        <f t="shared" si="3"/>
        <v/>
      </c>
      <c r="P1091" s="403">
        <v>0.0</v>
      </c>
      <c r="Q1091" s="403">
        <v>0.0</v>
      </c>
      <c r="R1091" s="403"/>
      <c r="S1091" s="403"/>
      <c r="T1091" s="403"/>
      <c r="U1091" s="403"/>
      <c r="V1091" s="403"/>
      <c r="W1091" s="403"/>
      <c r="X1091" s="403"/>
      <c r="Y1091" s="403"/>
      <c r="Z1091" s="403"/>
    </row>
    <row r="1092">
      <c r="A1092" s="403"/>
      <c r="B1092" s="417"/>
      <c r="C1092" s="415"/>
      <c r="D1092" s="417"/>
      <c r="E1092" s="417"/>
      <c r="F1092" s="417"/>
      <c r="G1092" s="418"/>
      <c r="H1092" s="417"/>
      <c r="I1092" s="418"/>
      <c r="J1092" s="432"/>
      <c r="K1092" s="420"/>
      <c r="L1092" s="417"/>
      <c r="M1092" s="415"/>
      <c r="N1092" s="422"/>
      <c r="O1092" s="75" t="str">
        <f t="shared" si="3"/>
        <v/>
      </c>
      <c r="P1092" s="403">
        <v>0.0</v>
      </c>
      <c r="Q1092" s="403">
        <v>0.0</v>
      </c>
      <c r="R1092" s="403"/>
      <c r="S1092" s="403"/>
      <c r="T1092" s="403"/>
      <c r="U1092" s="403"/>
      <c r="V1092" s="403"/>
      <c r="W1092" s="403"/>
      <c r="X1092" s="403"/>
      <c r="Y1092" s="403"/>
      <c r="Z1092" s="403"/>
    </row>
    <row r="1093">
      <c r="A1093" s="403"/>
      <c r="B1093" s="417"/>
      <c r="C1093" s="415"/>
      <c r="D1093" s="417"/>
      <c r="E1093" s="417"/>
      <c r="F1093" s="417"/>
      <c r="G1093" s="418"/>
      <c r="H1093" s="417"/>
      <c r="I1093" s="418"/>
      <c r="J1093" s="432"/>
      <c r="K1093" s="420"/>
      <c r="L1093" s="417"/>
      <c r="M1093" s="415"/>
      <c r="N1093" s="422"/>
      <c r="O1093" s="75" t="str">
        <f t="shared" si="3"/>
        <v/>
      </c>
      <c r="P1093" s="403">
        <v>0.0</v>
      </c>
      <c r="Q1093" s="403">
        <v>0.0</v>
      </c>
      <c r="R1093" s="403"/>
      <c r="S1093" s="403"/>
      <c r="T1093" s="403"/>
      <c r="U1093" s="403"/>
      <c r="V1093" s="403"/>
      <c r="W1093" s="403"/>
      <c r="X1093" s="403"/>
      <c r="Y1093" s="403"/>
      <c r="Z1093" s="403"/>
    </row>
    <row r="1094">
      <c r="A1094" s="403"/>
      <c r="B1094" s="417"/>
      <c r="C1094" s="415"/>
      <c r="D1094" s="417"/>
      <c r="E1094" s="417"/>
      <c r="F1094" s="417"/>
      <c r="G1094" s="418"/>
      <c r="H1094" s="417"/>
      <c r="I1094" s="418"/>
      <c r="J1094" s="432"/>
      <c r="K1094" s="420"/>
      <c r="L1094" s="417"/>
      <c r="M1094" s="415"/>
      <c r="N1094" s="422"/>
      <c r="O1094" s="75" t="str">
        <f t="shared" si="3"/>
        <v/>
      </c>
      <c r="P1094" s="403">
        <v>0.0</v>
      </c>
      <c r="Q1094" s="403">
        <v>0.0</v>
      </c>
      <c r="R1094" s="403"/>
      <c r="S1094" s="403"/>
      <c r="T1094" s="403"/>
      <c r="U1094" s="403"/>
      <c r="V1094" s="403"/>
      <c r="W1094" s="403"/>
      <c r="X1094" s="403"/>
      <c r="Y1094" s="403"/>
      <c r="Z1094" s="403"/>
    </row>
    <row r="1095">
      <c r="A1095" s="403"/>
      <c r="B1095" s="417"/>
      <c r="C1095" s="415"/>
      <c r="D1095" s="417"/>
      <c r="E1095" s="417"/>
      <c r="F1095" s="417"/>
      <c r="G1095" s="418"/>
      <c r="H1095" s="417"/>
      <c r="I1095" s="418"/>
      <c r="J1095" s="432"/>
      <c r="K1095" s="420"/>
      <c r="L1095" s="417"/>
      <c r="M1095" s="415"/>
      <c r="N1095" s="422"/>
      <c r="O1095" s="75" t="str">
        <f t="shared" si="3"/>
        <v/>
      </c>
      <c r="P1095" s="403">
        <v>0.0</v>
      </c>
      <c r="Q1095" s="403">
        <v>0.0</v>
      </c>
      <c r="R1095" s="403"/>
      <c r="S1095" s="403"/>
      <c r="T1095" s="403"/>
      <c r="U1095" s="403"/>
      <c r="V1095" s="403"/>
      <c r="W1095" s="403"/>
      <c r="X1095" s="403"/>
      <c r="Y1095" s="403"/>
      <c r="Z1095" s="403"/>
    </row>
    <row r="1096">
      <c r="A1096" s="403"/>
      <c r="B1096" s="417"/>
      <c r="C1096" s="415"/>
      <c r="D1096" s="417"/>
      <c r="E1096" s="417"/>
      <c r="F1096" s="417"/>
      <c r="G1096" s="418"/>
      <c r="H1096" s="417"/>
      <c r="I1096" s="418"/>
      <c r="J1096" s="432"/>
      <c r="K1096" s="420"/>
      <c r="L1096" s="417"/>
      <c r="M1096" s="415"/>
      <c r="N1096" s="422"/>
      <c r="O1096" s="75" t="str">
        <f t="shared" si="3"/>
        <v/>
      </c>
      <c r="P1096" s="403">
        <v>0.0</v>
      </c>
      <c r="Q1096" s="403">
        <v>0.0</v>
      </c>
      <c r="R1096" s="403"/>
      <c r="S1096" s="403"/>
      <c r="T1096" s="403"/>
      <c r="U1096" s="403"/>
      <c r="V1096" s="403"/>
      <c r="W1096" s="403"/>
      <c r="X1096" s="403"/>
      <c r="Y1096" s="403"/>
      <c r="Z1096" s="403"/>
    </row>
    <row r="1097">
      <c r="A1097" s="403"/>
      <c r="B1097" s="417"/>
      <c r="C1097" s="415"/>
      <c r="D1097" s="417"/>
      <c r="E1097" s="417"/>
      <c r="F1097" s="417"/>
      <c r="G1097" s="418"/>
      <c r="H1097" s="417"/>
      <c r="I1097" s="418"/>
      <c r="J1097" s="432"/>
      <c r="K1097" s="420"/>
      <c r="L1097" s="417"/>
      <c r="M1097" s="415"/>
      <c r="N1097" s="422"/>
      <c r="O1097" s="75" t="str">
        <f t="shared" si="3"/>
        <v/>
      </c>
      <c r="P1097" s="403">
        <v>0.0</v>
      </c>
      <c r="Q1097" s="403">
        <v>0.0</v>
      </c>
      <c r="R1097" s="403"/>
      <c r="S1097" s="403"/>
      <c r="T1097" s="403"/>
      <c r="U1097" s="403"/>
      <c r="V1097" s="403"/>
      <c r="W1097" s="403"/>
      <c r="X1097" s="403"/>
      <c r="Y1097" s="403"/>
      <c r="Z1097" s="403"/>
    </row>
    <row r="1098">
      <c r="A1098" s="403"/>
      <c r="B1098" s="417"/>
      <c r="C1098" s="415"/>
      <c r="D1098" s="417"/>
      <c r="E1098" s="417"/>
      <c r="F1098" s="417"/>
      <c r="G1098" s="418"/>
      <c r="H1098" s="417"/>
      <c r="I1098" s="418"/>
      <c r="J1098" s="432"/>
      <c r="K1098" s="420"/>
      <c r="L1098" s="417"/>
      <c r="M1098" s="415"/>
      <c r="N1098" s="422"/>
      <c r="O1098" s="75" t="str">
        <f t="shared" si="3"/>
        <v/>
      </c>
      <c r="P1098" s="403">
        <v>0.0</v>
      </c>
      <c r="Q1098" s="403">
        <v>0.0</v>
      </c>
      <c r="R1098" s="403"/>
      <c r="S1098" s="403"/>
      <c r="T1098" s="403"/>
      <c r="U1098" s="403"/>
      <c r="V1098" s="403"/>
      <c r="W1098" s="403"/>
      <c r="X1098" s="403"/>
      <c r="Y1098" s="403"/>
      <c r="Z1098" s="403"/>
    </row>
    <row r="1099">
      <c r="A1099" s="403"/>
      <c r="B1099" s="417"/>
      <c r="C1099" s="415"/>
      <c r="D1099" s="417"/>
      <c r="E1099" s="417"/>
      <c r="F1099" s="417"/>
      <c r="G1099" s="418"/>
      <c r="H1099" s="417"/>
      <c r="I1099" s="418"/>
      <c r="J1099" s="432"/>
      <c r="K1099" s="420"/>
      <c r="L1099" s="417"/>
      <c r="M1099" s="415"/>
      <c r="N1099" s="422"/>
      <c r="O1099" s="75" t="str">
        <f t="shared" si="3"/>
        <v/>
      </c>
      <c r="P1099" s="403">
        <v>0.0</v>
      </c>
      <c r="Q1099" s="403">
        <v>0.0</v>
      </c>
      <c r="R1099" s="403"/>
      <c r="S1099" s="403"/>
      <c r="T1099" s="403"/>
      <c r="U1099" s="403"/>
      <c r="V1099" s="403"/>
      <c r="W1099" s="403"/>
      <c r="X1099" s="403"/>
      <c r="Y1099" s="403"/>
      <c r="Z1099" s="403"/>
    </row>
    <row r="1100">
      <c r="A1100" s="403"/>
      <c r="B1100" s="417"/>
      <c r="C1100" s="415"/>
      <c r="D1100" s="417"/>
      <c r="E1100" s="417"/>
      <c r="F1100" s="417"/>
      <c r="G1100" s="418"/>
      <c r="H1100" s="417"/>
      <c r="I1100" s="418"/>
      <c r="J1100" s="432"/>
      <c r="K1100" s="420"/>
      <c r="L1100" s="417"/>
      <c r="M1100" s="415"/>
      <c r="N1100" s="422"/>
      <c r="O1100" s="75" t="str">
        <f t="shared" si="3"/>
        <v/>
      </c>
      <c r="P1100" s="403">
        <v>0.0</v>
      </c>
      <c r="Q1100" s="403">
        <v>0.0</v>
      </c>
      <c r="R1100" s="403"/>
      <c r="S1100" s="403"/>
      <c r="T1100" s="403"/>
      <c r="U1100" s="403"/>
      <c r="V1100" s="403"/>
      <c r="W1100" s="403"/>
      <c r="X1100" s="403"/>
      <c r="Y1100" s="403"/>
      <c r="Z1100" s="403"/>
    </row>
    <row r="1101">
      <c r="A1101" s="403"/>
      <c r="B1101" s="417"/>
      <c r="C1101" s="415"/>
      <c r="D1101" s="417"/>
      <c r="E1101" s="417"/>
      <c r="F1101" s="417"/>
      <c r="G1101" s="418"/>
      <c r="H1101" s="417"/>
      <c r="I1101" s="418"/>
      <c r="J1101" s="432"/>
      <c r="K1101" s="420"/>
      <c r="L1101" s="417"/>
      <c r="M1101" s="415"/>
      <c r="N1101" s="422"/>
      <c r="O1101" s="75" t="str">
        <f t="shared" si="3"/>
        <v/>
      </c>
      <c r="P1101" s="403">
        <v>0.0</v>
      </c>
      <c r="Q1101" s="403">
        <v>0.0</v>
      </c>
      <c r="R1101" s="403"/>
      <c r="S1101" s="403"/>
      <c r="T1101" s="403"/>
      <c r="U1101" s="403"/>
      <c r="V1101" s="403"/>
      <c r="W1101" s="403"/>
      <c r="X1101" s="403"/>
      <c r="Y1101" s="403"/>
      <c r="Z1101" s="403"/>
    </row>
    <row r="1102">
      <c r="A1102" s="403"/>
      <c r="B1102" s="417"/>
      <c r="C1102" s="415"/>
      <c r="D1102" s="417"/>
      <c r="E1102" s="417"/>
      <c r="F1102" s="417"/>
      <c r="G1102" s="418"/>
      <c r="H1102" s="417"/>
      <c r="I1102" s="418"/>
      <c r="J1102" s="432"/>
      <c r="K1102" s="420"/>
      <c r="L1102" s="417"/>
      <c r="M1102" s="415"/>
      <c r="N1102" s="422"/>
      <c r="O1102" s="75" t="str">
        <f t="shared" si="3"/>
        <v/>
      </c>
      <c r="P1102" s="403">
        <v>0.0</v>
      </c>
      <c r="Q1102" s="403">
        <v>0.0</v>
      </c>
      <c r="R1102" s="403"/>
      <c r="S1102" s="403"/>
      <c r="T1102" s="403"/>
      <c r="U1102" s="403"/>
      <c r="V1102" s="403"/>
      <c r="W1102" s="403"/>
      <c r="X1102" s="403"/>
      <c r="Y1102" s="403"/>
      <c r="Z1102" s="403"/>
    </row>
    <row r="1103">
      <c r="A1103" s="403"/>
      <c r="B1103" s="417"/>
      <c r="C1103" s="415"/>
      <c r="D1103" s="417"/>
      <c r="E1103" s="417"/>
      <c r="F1103" s="417"/>
      <c r="G1103" s="418"/>
      <c r="H1103" s="417"/>
      <c r="I1103" s="418"/>
      <c r="J1103" s="432"/>
      <c r="K1103" s="420"/>
      <c r="L1103" s="417"/>
      <c r="M1103" s="415"/>
      <c r="N1103" s="422"/>
      <c r="O1103" s="75" t="str">
        <f t="shared" si="3"/>
        <v/>
      </c>
      <c r="P1103" s="403">
        <v>0.0</v>
      </c>
      <c r="Q1103" s="403">
        <v>0.0</v>
      </c>
      <c r="R1103" s="403"/>
      <c r="S1103" s="403"/>
      <c r="T1103" s="403"/>
      <c r="U1103" s="403"/>
      <c r="V1103" s="403"/>
      <c r="W1103" s="403"/>
      <c r="X1103" s="403"/>
      <c r="Y1103" s="403"/>
      <c r="Z1103" s="403"/>
    </row>
    <row r="1104">
      <c r="A1104" s="403"/>
      <c r="B1104" s="417"/>
      <c r="C1104" s="415"/>
      <c r="D1104" s="417"/>
      <c r="E1104" s="417"/>
      <c r="F1104" s="417"/>
      <c r="G1104" s="418"/>
      <c r="H1104" s="417"/>
      <c r="I1104" s="418"/>
      <c r="J1104" s="432"/>
      <c r="K1104" s="420"/>
      <c r="L1104" s="417"/>
      <c r="M1104" s="415"/>
      <c r="N1104" s="422"/>
      <c r="O1104" s="75" t="str">
        <f t="shared" si="3"/>
        <v/>
      </c>
      <c r="P1104" s="403">
        <v>0.0</v>
      </c>
      <c r="Q1104" s="403">
        <v>0.0</v>
      </c>
      <c r="R1104" s="403"/>
      <c r="S1104" s="403"/>
      <c r="T1104" s="403"/>
      <c r="U1104" s="403"/>
      <c r="V1104" s="403"/>
      <c r="W1104" s="403"/>
      <c r="X1104" s="403"/>
      <c r="Y1104" s="403"/>
      <c r="Z1104" s="403"/>
    </row>
    <row r="1105">
      <c r="A1105" s="403"/>
      <c r="B1105" s="417"/>
      <c r="C1105" s="415"/>
      <c r="D1105" s="417"/>
      <c r="E1105" s="417"/>
      <c r="F1105" s="417"/>
      <c r="G1105" s="418"/>
      <c r="H1105" s="417"/>
      <c r="I1105" s="418"/>
      <c r="J1105" s="432"/>
      <c r="K1105" s="420"/>
      <c r="L1105" s="417"/>
      <c r="M1105" s="415"/>
      <c r="N1105" s="422"/>
      <c r="O1105" s="75" t="str">
        <f t="shared" si="3"/>
        <v/>
      </c>
      <c r="P1105" s="403">
        <v>0.0</v>
      </c>
      <c r="Q1105" s="403">
        <v>0.0</v>
      </c>
      <c r="R1105" s="403"/>
      <c r="S1105" s="403"/>
      <c r="T1105" s="403"/>
      <c r="U1105" s="403"/>
      <c r="V1105" s="403"/>
      <c r="W1105" s="403"/>
      <c r="X1105" s="403"/>
      <c r="Y1105" s="403"/>
      <c r="Z1105" s="403"/>
    </row>
    <row r="1106">
      <c r="A1106" s="403"/>
      <c r="B1106" s="417"/>
      <c r="C1106" s="415"/>
      <c r="D1106" s="417"/>
      <c r="E1106" s="417"/>
      <c r="F1106" s="417"/>
      <c r="G1106" s="418"/>
      <c r="H1106" s="417"/>
      <c r="I1106" s="418"/>
      <c r="J1106" s="432"/>
      <c r="K1106" s="420"/>
      <c r="L1106" s="417"/>
      <c r="M1106" s="415"/>
      <c r="N1106" s="422"/>
      <c r="O1106" s="75" t="str">
        <f t="shared" si="3"/>
        <v/>
      </c>
      <c r="P1106" s="403">
        <v>0.0</v>
      </c>
      <c r="Q1106" s="403">
        <v>0.0</v>
      </c>
      <c r="R1106" s="403"/>
      <c r="S1106" s="403"/>
      <c r="T1106" s="403"/>
      <c r="U1106" s="403"/>
      <c r="V1106" s="403"/>
      <c r="W1106" s="403"/>
      <c r="X1106" s="403"/>
      <c r="Y1106" s="403"/>
      <c r="Z1106" s="403"/>
    </row>
    <row r="1107">
      <c r="A1107" s="403"/>
      <c r="B1107" s="417"/>
      <c r="C1107" s="415"/>
      <c r="D1107" s="417"/>
      <c r="E1107" s="417"/>
      <c r="F1107" s="417"/>
      <c r="G1107" s="418"/>
      <c r="H1107" s="417"/>
      <c r="I1107" s="418"/>
      <c r="J1107" s="432"/>
      <c r="K1107" s="420"/>
      <c r="L1107" s="417"/>
      <c r="M1107" s="415"/>
      <c r="N1107" s="422"/>
      <c r="O1107" s="75" t="str">
        <f t="shared" si="3"/>
        <v/>
      </c>
      <c r="P1107" s="403">
        <v>0.0</v>
      </c>
      <c r="Q1107" s="403">
        <v>0.0</v>
      </c>
      <c r="R1107" s="403"/>
      <c r="S1107" s="403"/>
      <c r="T1107" s="403"/>
      <c r="U1107" s="403"/>
      <c r="V1107" s="403"/>
      <c r="W1107" s="403"/>
      <c r="X1107" s="403"/>
      <c r="Y1107" s="403"/>
      <c r="Z1107" s="403"/>
    </row>
    <row r="1108">
      <c r="A1108" s="403"/>
      <c r="B1108" s="417"/>
      <c r="C1108" s="415"/>
      <c r="D1108" s="417"/>
      <c r="E1108" s="417"/>
      <c r="F1108" s="417"/>
      <c r="G1108" s="418"/>
      <c r="H1108" s="417"/>
      <c r="I1108" s="418"/>
      <c r="J1108" s="432"/>
      <c r="K1108" s="420"/>
      <c r="L1108" s="417"/>
      <c r="M1108" s="415"/>
      <c r="N1108" s="422"/>
      <c r="O1108" s="75" t="str">
        <f t="shared" si="3"/>
        <v/>
      </c>
      <c r="P1108" s="403">
        <v>0.0</v>
      </c>
      <c r="Q1108" s="403">
        <v>0.0</v>
      </c>
      <c r="R1108" s="403"/>
      <c r="S1108" s="403"/>
      <c r="T1108" s="403"/>
      <c r="U1108" s="403"/>
      <c r="V1108" s="403"/>
      <c r="W1108" s="403"/>
      <c r="X1108" s="403"/>
      <c r="Y1108" s="403"/>
      <c r="Z1108" s="403"/>
    </row>
    <row r="1109">
      <c r="A1109" s="403"/>
      <c r="B1109" s="417"/>
      <c r="C1109" s="415"/>
      <c r="D1109" s="417"/>
      <c r="E1109" s="417"/>
      <c r="F1109" s="417"/>
      <c r="G1109" s="418"/>
      <c r="H1109" s="417"/>
      <c r="I1109" s="418"/>
      <c r="J1109" s="432"/>
      <c r="K1109" s="420"/>
      <c r="L1109" s="417"/>
      <c r="M1109" s="415"/>
      <c r="N1109" s="422"/>
      <c r="O1109" s="75" t="str">
        <f t="shared" si="3"/>
        <v/>
      </c>
      <c r="P1109" s="403">
        <v>0.0</v>
      </c>
      <c r="Q1109" s="403">
        <v>0.0</v>
      </c>
      <c r="R1109" s="403"/>
      <c r="S1109" s="403"/>
      <c r="T1109" s="403"/>
      <c r="U1109" s="403"/>
      <c r="V1109" s="403"/>
      <c r="W1109" s="403"/>
      <c r="X1109" s="403"/>
      <c r="Y1109" s="403"/>
      <c r="Z1109" s="403"/>
    </row>
    <row r="1110">
      <c r="A1110" s="403"/>
      <c r="B1110" s="417"/>
      <c r="C1110" s="415"/>
      <c r="D1110" s="417"/>
      <c r="E1110" s="417"/>
      <c r="F1110" s="417"/>
      <c r="G1110" s="418"/>
      <c r="H1110" s="417"/>
      <c r="I1110" s="418"/>
      <c r="J1110" s="432"/>
      <c r="K1110" s="420"/>
      <c r="L1110" s="417"/>
      <c r="M1110" s="415"/>
      <c r="N1110" s="422"/>
      <c r="O1110" s="75" t="str">
        <f t="shared" si="3"/>
        <v/>
      </c>
      <c r="P1110" s="403">
        <v>0.0</v>
      </c>
      <c r="Q1110" s="403">
        <v>0.0</v>
      </c>
      <c r="R1110" s="403"/>
      <c r="S1110" s="403"/>
      <c r="T1110" s="403"/>
      <c r="U1110" s="403"/>
      <c r="V1110" s="403"/>
      <c r="W1110" s="403"/>
      <c r="X1110" s="403"/>
      <c r="Y1110" s="403"/>
      <c r="Z1110" s="403"/>
    </row>
    <row r="1111">
      <c r="A1111" s="403"/>
      <c r="B1111" s="417"/>
      <c r="C1111" s="415"/>
      <c r="D1111" s="417"/>
      <c r="E1111" s="417"/>
      <c r="F1111" s="417"/>
      <c r="G1111" s="418"/>
      <c r="H1111" s="417"/>
      <c r="I1111" s="418"/>
      <c r="J1111" s="432"/>
      <c r="K1111" s="420"/>
      <c r="L1111" s="417"/>
      <c r="M1111" s="415"/>
      <c r="N1111" s="422"/>
      <c r="O1111" s="75" t="str">
        <f t="shared" si="3"/>
        <v/>
      </c>
      <c r="P1111" s="403">
        <v>0.0</v>
      </c>
      <c r="Q1111" s="403">
        <v>0.0</v>
      </c>
      <c r="R1111" s="403"/>
      <c r="S1111" s="403"/>
      <c r="T1111" s="403"/>
      <c r="U1111" s="403"/>
      <c r="V1111" s="403"/>
      <c r="W1111" s="403"/>
      <c r="X1111" s="403"/>
      <c r="Y1111" s="403"/>
      <c r="Z1111" s="403"/>
    </row>
    <row r="1112">
      <c r="A1112" s="403"/>
      <c r="B1112" s="417"/>
      <c r="C1112" s="415"/>
      <c r="D1112" s="417"/>
      <c r="E1112" s="417"/>
      <c r="F1112" s="417"/>
      <c r="G1112" s="418"/>
      <c r="H1112" s="417"/>
      <c r="I1112" s="418"/>
      <c r="J1112" s="432"/>
      <c r="K1112" s="420"/>
      <c r="L1112" s="417"/>
      <c r="M1112" s="415"/>
      <c r="N1112" s="422"/>
      <c r="O1112" s="75" t="str">
        <f t="shared" si="3"/>
        <v/>
      </c>
      <c r="P1112" s="403">
        <v>0.0</v>
      </c>
      <c r="Q1112" s="403">
        <v>0.0</v>
      </c>
      <c r="R1112" s="403"/>
      <c r="S1112" s="403"/>
      <c r="T1112" s="403"/>
      <c r="U1112" s="403"/>
      <c r="V1112" s="403"/>
      <c r="W1112" s="403"/>
      <c r="X1112" s="403"/>
      <c r="Y1112" s="403"/>
      <c r="Z1112" s="403"/>
    </row>
    <row r="1113">
      <c r="A1113" s="403"/>
      <c r="B1113" s="417"/>
      <c r="C1113" s="415"/>
      <c r="D1113" s="417"/>
      <c r="E1113" s="417"/>
      <c r="F1113" s="417"/>
      <c r="G1113" s="418"/>
      <c r="H1113" s="417"/>
      <c r="I1113" s="418"/>
      <c r="J1113" s="432"/>
      <c r="K1113" s="420"/>
      <c r="L1113" s="417"/>
      <c r="M1113" s="415"/>
      <c r="N1113" s="422"/>
      <c r="O1113" s="75" t="str">
        <f t="shared" si="3"/>
        <v/>
      </c>
      <c r="P1113" s="403">
        <v>0.0</v>
      </c>
      <c r="Q1113" s="403">
        <v>0.0</v>
      </c>
      <c r="R1113" s="403"/>
      <c r="S1113" s="403"/>
      <c r="T1113" s="403"/>
      <c r="U1113" s="403"/>
      <c r="V1113" s="403"/>
      <c r="W1113" s="403"/>
      <c r="X1113" s="403"/>
      <c r="Y1113" s="403"/>
      <c r="Z1113" s="403"/>
    </row>
    <row r="1114">
      <c r="A1114" s="403"/>
      <c r="B1114" s="417"/>
      <c r="C1114" s="415"/>
      <c r="D1114" s="417"/>
      <c r="E1114" s="417"/>
      <c r="F1114" s="417"/>
      <c r="G1114" s="418"/>
      <c r="H1114" s="417"/>
      <c r="I1114" s="418"/>
      <c r="J1114" s="432"/>
      <c r="K1114" s="420"/>
      <c r="L1114" s="417"/>
      <c r="M1114" s="415"/>
      <c r="N1114" s="422"/>
      <c r="O1114" s="75" t="str">
        <f t="shared" si="3"/>
        <v/>
      </c>
      <c r="P1114" s="403">
        <v>0.0</v>
      </c>
      <c r="Q1114" s="403">
        <v>0.0</v>
      </c>
      <c r="R1114" s="403"/>
      <c r="S1114" s="403"/>
      <c r="T1114" s="403"/>
      <c r="U1114" s="403"/>
      <c r="V1114" s="403"/>
      <c r="W1114" s="403"/>
      <c r="X1114" s="403"/>
      <c r="Y1114" s="403"/>
      <c r="Z1114" s="403"/>
    </row>
    <row r="1115">
      <c r="A1115" s="403"/>
      <c r="B1115" s="417"/>
      <c r="C1115" s="415"/>
      <c r="D1115" s="417"/>
      <c r="E1115" s="417"/>
      <c r="F1115" s="417"/>
      <c r="G1115" s="418"/>
      <c r="H1115" s="417"/>
      <c r="I1115" s="418"/>
      <c r="J1115" s="432"/>
      <c r="K1115" s="420"/>
      <c r="L1115" s="417"/>
      <c r="M1115" s="415"/>
      <c r="N1115" s="422"/>
      <c r="O1115" s="75" t="str">
        <f t="shared" si="3"/>
        <v/>
      </c>
      <c r="P1115" s="403">
        <v>0.0</v>
      </c>
      <c r="Q1115" s="403">
        <v>0.0</v>
      </c>
      <c r="R1115" s="403"/>
      <c r="S1115" s="403"/>
      <c r="T1115" s="403"/>
      <c r="U1115" s="403"/>
      <c r="V1115" s="403"/>
      <c r="W1115" s="403"/>
      <c r="X1115" s="403"/>
      <c r="Y1115" s="403"/>
      <c r="Z1115" s="403"/>
    </row>
    <row r="1116">
      <c r="A1116" s="403"/>
      <c r="B1116" s="417"/>
      <c r="C1116" s="415"/>
      <c r="D1116" s="417"/>
      <c r="E1116" s="417"/>
      <c r="F1116" s="417"/>
      <c r="G1116" s="418"/>
      <c r="H1116" s="417"/>
      <c r="I1116" s="418"/>
      <c r="J1116" s="432"/>
      <c r="K1116" s="420"/>
      <c r="L1116" s="417"/>
      <c r="M1116" s="415"/>
      <c r="N1116" s="422"/>
      <c r="O1116" s="75" t="str">
        <f t="shared" si="3"/>
        <v/>
      </c>
      <c r="P1116" s="403">
        <v>0.0</v>
      </c>
      <c r="Q1116" s="403">
        <v>0.0</v>
      </c>
      <c r="R1116" s="403"/>
      <c r="S1116" s="403"/>
      <c r="T1116" s="403"/>
      <c r="U1116" s="403"/>
      <c r="V1116" s="403"/>
      <c r="W1116" s="403"/>
      <c r="X1116" s="403"/>
      <c r="Y1116" s="403"/>
      <c r="Z1116" s="403"/>
    </row>
    <row r="1117">
      <c r="A1117" s="403"/>
      <c r="B1117" s="417"/>
      <c r="C1117" s="415"/>
      <c r="D1117" s="417"/>
      <c r="E1117" s="417"/>
      <c r="F1117" s="417"/>
      <c r="G1117" s="418"/>
      <c r="H1117" s="417"/>
      <c r="I1117" s="418"/>
      <c r="J1117" s="432"/>
      <c r="K1117" s="420"/>
      <c r="L1117" s="417"/>
      <c r="M1117" s="415"/>
      <c r="N1117" s="422"/>
      <c r="O1117" s="75" t="str">
        <f t="shared" si="3"/>
        <v/>
      </c>
      <c r="P1117" s="403">
        <v>0.0</v>
      </c>
      <c r="Q1117" s="403">
        <v>0.0</v>
      </c>
      <c r="R1117" s="403"/>
      <c r="S1117" s="403"/>
      <c r="T1117" s="403"/>
      <c r="U1117" s="403"/>
      <c r="V1117" s="403"/>
      <c r="W1117" s="403"/>
      <c r="X1117" s="403"/>
      <c r="Y1117" s="403"/>
      <c r="Z1117" s="403"/>
    </row>
    <row r="1118">
      <c r="A1118" s="403"/>
      <c r="B1118" s="417"/>
      <c r="C1118" s="415"/>
      <c r="D1118" s="417"/>
      <c r="E1118" s="417"/>
      <c r="F1118" s="417"/>
      <c r="G1118" s="418"/>
      <c r="H1118" s="417"/>
      <c r="I1118" s="418"/>
      <c r="J1118" s="432"/>
      <c r="K1118" s="420"/>
      <c r="L1118" s="417"/>
      <c r="M1118" s="415"/>
      <c r="N1118" s="422"/>
      <c r="O1118" s="75" t="str">
        <f t="shared" si="3"/>
        <v/>
      </c>
      <c r="P1118" s="403">
        <v>0.0</v>
      </c>
      <c r="Q1118" s="403">
        <v>0.0</v>
      </c>
      <c r="R1118" s="403"/>
      <c r="S1118" s="403"/>
      <c r="T1118" s="403"/>
      <c r="U1118" s="403"/>
      <c r="V1118" s="403"/>
      <c r="W1118" s="403"/>
      <c r="X1118" s="403"/>
      <c r="Y1118" s="403"/>
      <c r="Z1118" s="403"/>
    </row>
    <row r="1119">
      <c r="A1119" s="403"/>
      <c r="B1119" s="417"/>
      <c r="C1119" s="415"/>
      <c r="D1119" s="417"/>
      <c r="E1119" s="417"/>
      <c r="F1119" s="417"/>
      <c r="G1119" s="418"/>
      <c r="H1119" s="417"/>
      <c r="I1119" s="418"/>
      <c r="J1119" s="432"/>
      <c r="K1119" s="420"/>
      <c r="L1119" s="417"/>
      <c r="M1119" s="415"/>
      <c r="N1119" s="422"/>
      <c r="O1119" s="75" t="str">
        <f t="shared" si="3"/>
        <v/>
      </c>
      <c r="P1119" s="403">
        <v>0.0</v>
      </c>
      <c r="Q1119" s="403">
        <v>0.0</v>
      </c>
      <c r="R1119" s="403"/>
      <c r="S1119" s="403"/>
      <c r="T1119" s="403"/>
      <c r="U1119" s="403"/>
      <c r="V1119" s="403"/>
      <c r="W1119" s="403"/>
      <c r="X1119" s="403"/>
      <c r="Y1119" s="403"/>
      <c r="Z1119" s="403"/>
    </row>
    <row r="1120">
      <c r="A1120" s="403"/>
      <c r="B1120" s="417"/>
      <c r="C1120" s="415"/>
      <c r="D1120" s="417"/>
      <c r="E1120" s="417"/>
      <c r="F1120" s="417"/>
      <c r="G1120" s="418"/>
      <c r="H1120" s="417"/>
      <c r="I1120" s="418"/>
      <c r="J1120" s="432"/>
      <c r="K1120" s="420"/>
      <c r="L1120" s="417"/>
      <c r="M1120" s="415"/>
      <c r="N1120" s="422"/>
      <c r="O1120" s="75" t="str">
        <f t="shared" si="3"/>
        <v/>
      </c>
      <c r="P1120" s="403">
        <v>0.0</v>
      </c>
      <c r="Q1120" s="403">
        <v>0.0</v>
      </c>
      <c r="R1120" s="403"/>
      <c r="S1120" s="403"/>
      <c r="T1120" s="403"/>
      <c r="U1120" s="403"/>
      <c r="V1120" s="403"/>
      <c r="W1120" s="403"/>
      <c r="X1120" s="403"/>
      <c r="Y1120" s="403"/>
      <c r="Z1120" s="403"/>
    </row>
    <row r="1121">
      <c r="A1121" s="403"/>
      <c r="B1121" s="417"/>
      <c r="C1121" s="415"/>
      <c r="D1121" s="417"/>
      <c r="E1121" s="417"/>
      <c r="F1121" s="417"/>
      <c r="G1121" s="418"/>
      <c r="H1121" s="417"/>
      <c r="I1121" s="418"/>
      <c r="J1121" s="432"/>
      <c r="K1121" s="420"/>
      <c r="L1121" s="417"/>
      <c r="M1121" s="415"/>
      <c r="N1121" s="422"/>
      <c r="O1121" s="75" t="str">
        <f t="shared" si="3"/>
        <v/>
      </c>
      <c r="P1121" s="403">
        <v>0.0</v>
      </c>
      <c r="Q1121" s="403">
        <v>0.0</v>
      </c>
      <c r="R1121" s="403"/>
      <c r="S1121" s="403"/>
      <c r="T1121" s="403"/>
      <c r="U1121" s="403"/>
      <c r="V1121" s="403"/>
      <c r="W1121" s="403"/>
      <c r="X1121" s="403"/>
      <c r="Y1121" s="403"/>
      <c r="Z1121" s="403"/>
    </row>
    <row r="1122">
      <c r="A1122" s="403"/>
      <c r="B1122" s="417"/>
      <c r="C1122" s="415"/>
      <c r="D1122" s="417"/>
      <c r="E1122" s="417"/>
      <c r="F1122" s="417"/>
      <c r="G1122" s="418"/>
      <c r="H1122" s="417"/>
      <c r="I1122" s="418"/>
      <c r="J1122" s="432"/>
      <c r="K1122" s="420"/>
      <c r="L1122" s="417"/>
      <c r="M1122" s="415"/>
      <c r="N1122" s="422"/>
      <c r="O1122" s="75" t="str">
        <f t="shared" si="3"/>
        <v/>
      </c>
      <c r="P1122" s="403">
        <v>0.0</v>
      </c>
      <c r="Q1122" s="403">
        <v>0.0</v>
      </c>
      <c r="R1122" s="403"/>
      <c r="S1122" s="403"/>
      <c r="T1122" s="403"/>
      <c r="U1122" s="403"/>
      <c r="V1122" s="403"/>
      <c r="W1122" s="403"/>
      <c r="X1122" s="403"/>
      <c r="Y1122" s="403"/>
      <c r="Z1122" s="403"/>
    </row>
    <row r="1123">
      <c r="A1123" s="403"/>
      <c r="B1123" s="417"/>
      <c r="C1123" s="415"/>
      <c r="D1123" s="417"/>
      <c r="E1123" s="417"/>
      <c r="F1123" s="417"/>
      <c r="G1123" s="418"/>
      <c r="H1123" s="417"/>
      <c r="I1123" s="418"/>
      <c r="J1123" s="432"/>
      <c r="K1123" s="420"/>
      <c r="L1123" s="417"/>
      <c r="M1123" s="415"/>
      <c r="N1123" s="422"/>
      <c r="O1123" s="75" t="str">
        <f t="shared" si="3"/>
        <v/>
      </c>
      <c r="P1123" s="403">
        <v>0.0</v>
      </c>
      <c r="Q1123" s="403">
        <v>0.0</v>
      </c>
      <c r="R1123" s="403"/>
      <c r="S1123" s="403"/>
      <c r="T1123" s="403"/>
      <c r="U1123" s="403"/>
      <c r="V1123" s="403"/>
      <c r="W1123" s="403"/>
      <c r="X1123" s="403"/>
      <c r="Y1123" s="403"/>
      <c r="Z1123" s="403"/>
    </row>
    <row r="1124">
      <c r="A1124" s="403"/>
      <c r="B1124" s="417"/>
      <c r="C1124" s="415"/>
      <c r="D1124" s="417"/>
      <c r="E1124" s="417"/>
      <c r="F1124" s="417"/>
      <c r="G1124" s="418"/>
      <c r="H1124" s="417"/>
      <c r="I1124" s="418"/>
      <c r="J1124" s="432"/>
      <c r="K1124" s="420"/>
      <c r="L1124" s="417"/>
      <c r="M1124" s="415"/>
      <c r="N1124" s="422"/>
      <c r="O1124" s="75" t="str">
        <f t="shared" si="3"/>
        <v/>
      </c>
      <c r="P1124" s="403">
        <v>0.0</v>
      </c>
      <c r="Q1124" s="403">
        <v>0.0</v>
      </c>
      <c r="R1124" s="403"/>
      <c r="S1124" s="403"/>
      <c r="T1124" s="403"/>
      <c r="U1124" s="403"/>
      <c r="V1124" s="403"/>
      <c r="W1124" s="403"/>
      <c r="X1124" s="403"/>
      <c r="Y1124" s="403"/>
      <c r="Z1124" s="403"/>
    </row>
    <row r="1125">
      <c r="A1125" s="403"/>
      <c r="B1125" s="417"/>
      <c r="C1125" s="415"/>
      <c r="D1125" s="417"/>
      <c r="E1125" s="417"/>
      <c r="F1125" s="417"/>
      <c r="G1125" s="418"/>
      <c r="H1125" s="417"/>
      <c r="I1125" s="418"/>
      <c r="J1125" s="432"/>
      <c r="K1125" s="420"/>
      <c r="L1125" s="417"/>
      <c r="M1125" s="415"/>
      <c r="N1125" s="422"/>
      <c r="O1125" s="75" t="str">
        <f t="shared" si="3"/>
        <v/>
      </c>
      <c r="P1125" s="403">
        <v>0.0</v>
      </c>
      <c r="Q1125" s="403">
        <v>0.0</v>
      </c>
      <c r="R1125" s="403"/>
      <c r="S1125" s="403"/>
      <c r="T1125" s="403"/>
      <c r="U1125" s="403"/>
      <c r="V1125" s="403"/>
      <c r="W1125" s="403"/>
      <c r="X1125" s="403"/>
      <c r="Y1125" s="403"/>
      <c r="Z1125" s="403"/>
    </row>
    <row r="1126">
      <c r="A1126" s="403"/>
      <c r="B1126" s="417"/>
      <c r="C1126" s="415"/>
      <c r="D1126" s="417"/>
      <c r="E1126" s="417"/>
      <c r="F1126" s="417"/>
      <c r="G1126" s="418"/>
      <c r="H1126" s="417"/>
      <c r="I1126" s="418"/>
      <c r="J1126" s="432"/>
      <c r="K1126" s="420"/>
      <c r="L1126" s="417"/>
      <c r="M1126" s="415"/>
      <c r="N1126" s="422"/>
      <c r="O1126" s="75" t="str">
        <f t="shared" si="3"/>
        <v/>
      </c>
      <c r="P1126" s="403">
        <v>0.0</v>
      </c>
      <c r="Q1126" s="403">
        <v>0.0</v>
      </c>
      <c r="R1126" s="403"/>
      <c r="S1126" s="403"/>
      <c r="T1126" s="403"/>
      <c r="U1126" s="403"/>
      <c r="V1126" s="403"/>
      <c r="W1126" s="403"/>
      <c r="X1126" s="403"/>
      <c r="Y1126" s="403"/>
      <c r="Z1126" s="403"/>
    </row>
    <row r="1127">
      <c r="A1127" s="403"/>
      <c r="B1127" s="417"/>
      <c r="C1127" s="415"/>
      <c r="D1127" s="417"/>
      <c r="E1127" s="417"/>
      <c r="F1127" s="417"/>
      <c r="G1127" s="418"/>
      <c r="H1127" s="417"/>
      <c r="I1127" s="418"/>
      <c r="J1127" s="432"/>
      <c r="K1127" s="420"/>
      <c r="L1127" s="417"/>
      <c r="M1127" s="415"/>
      <c r="N1127" s="422"/>
      <c r="O1127" s="75" t="str">
        <f t="shared" si="3"/>
        <v/>
      </c>
      <c r="P1127" s="403">
        <v>0.0</v>
      </c>
      <c r="Q1127" s="403">
        <v>0.0</v>
      </c>
      <c r="R1127" s="403"/>
      <c r="S1127" s="403"/>
      <c r="T1127" s="403"/>
      <c r="U1127" s="403"/>
      <c r="V1127" s="403"/>
      <c r="W1127" s="403"/>
      <c r="X1127" s="403"/>
      <c r="Y1127" s="403"/>
      <c r="Z1127" s="403"/>
    </row>
    <row r="1128">
      <c r="A1128" s="403"/>
      <c r="B1128" s="417"/>
      <c r="C1128" s="415"/>
      <c r="D1128" s="417"/>
      <c r="E1128" s="417"/>
      <c r="F1128" s="417"/>
      <c r="G1128" s="418"/>
      <c r="H1128" s="417"/>
      <c r="I1128" s="418"/>
      <c r="J1128" s="432"/>
      <c r="K1128" s="420"/>
      <c r="L1128" s="417"/>
      <c r="M1128" s="415"/>
      <c r="N1128" s="422"/>
      <c r="O1128" s="75" t="str">
        <f t="shared" si="3"/>
        <v/>
      </c>
      <c r="P1128" s="403">
        <v>0.0</v>
      </c>
      <c r="Q1128" s="403">
        <v>0.0</v>
      </c>
      <c r="R1128" s="403"/>
      <c r="S1128" s="403"/>
      <c r="T1128" s="403"/>
      <c r="U1128" s="403"/>
      <c r="V1128" s="403"/>
      <c r="W1128" s="403"/>
      <c r="X1128" s="403"/>
      <c r="Y1128" s="403"/>
      <c r="Z1128" s="403"/>
    </row>
    <row r="1129">
      <c r="A1129" s="403"/>
      <c r="B1129" s="417"/>
      <c r="C1129" s="415"/>
      <c r="D1129" s="417"/>
      <c r="E1129" s="417"/>
      <c r="F1129" s="417"/>
      <c r="G1129" s="418"/>
      <c r="H1129" s="417"/>
      <c r="I1129" s="418"/>
      <c r="J1129" s="432"/>
      <c r="K1129" s="420"/>
      <c r="L1129" s="417"/>
      <c r="M1129" s="415"/>
      <c r="N1129" s="422"/>
      <c r="O1129" s="75" t="str">
        <f t="shared" si="3"/>
        <v/>
      </c>
      <c r="P1129" s="403">
        <v>0.0</v>
      </c>
      <c r="Q1129" s="403">
        <v>0.0</v>
      </c>
      <c r="R1129" s="403"/>
      <c r="S1129" s="403"/>
      <c r="T1129" s="403"/>
      <c r="U1129" s="403"/>
      <c r="V1129" s="403"/>
      <c r="W1129" s="403"/>
      <c r="X1129" s="403"/>
      <c r="Y1129" s="403"/>
      <c r="Z1129" s="403"/>
    </row>
    <row r="1130">
      <c r="A1130" s="403"/>
      <c r="B1130" s="417"/>
      <c r="C1130" s="415"/>
      <c r="D1130" s="417"/>
      <c r="E1130" s="417"/>
      <c r="F1130" s="417"/>
      <c r="G1130" s="418"/>
      <c r="H1130" s="417"/>
      <c r="I1130" s="418"/>
      <c r="J1130" s="432"/>
      <c r="K1130" s="420"/>
      <c r="L1130" s="417"/>
      <c r="M1130" s="415"/>
      <c r="N1130" s="422"/>
      <c r="O1130" s="75" t="str">
        <f t="shared" si="3"/>
        <v/>
      </c>
      <c r="P1130" s="403">
        <v>0.0</v>
      </c>
      <c r="Q1130" s="403">
        <v>0.0</v>
      </c>
      <c r="R1130" s="403"/>
      <c r="S1130" s="403"/>
      <c r="T1130" s="403"/>
      <c r="U1130" s="403"/>
      <c r="V1130" s="403"/>
      <c r="W1130" s="403"/>
      <c r="X1130" s="403"/>
      <c r="Y1130" s="403"/>
      <c r="Z1130" s="403"/>
    </row>
    <row r="1131">
      <c r="A1131" s="403"/>
      <c r="B1131" s="417"/>
      <c r="C1131" s="415"/>
      <c r="D1131" s="417"/>
      <c r="E1131" s="417"/>
      <c r="F1131" s="417"/>
      <c r="G1131" s="418"/>
      <c r="H1131" s="417"/>
      <c r="I1131" s="418"/>
      <c r="J1131" s="432"/>
      <c r="K1131" s="420"/>
      <c r="L1131" s="417"/>
      <c r="M1131" s="415"/>
      <c r="N1131" s="422"/>
      <c r="O1131" s="75" t="str">
        <f t="shared" si="3"/>
        <v/>
      </c>
      <c r="P1131" s="403">
        <v>0.0</v>
      </c>
      <c r="Q1131" s="403">
        <v>0.0</v>
      </c>
      <c r="R1131" s="403"/>
      <c r="S1131" s="403"/>
      <c r="T1131" s="403"/>
      <c r="U1131" s="403"/>
      <c r="V1131" s="403"/>
      <c r="W1131" s="403"/>
      <c r="X1131" s="403"/>
      <c r="Y1131" s="403"/>
      <c r="Z1131" s="403"/>
    </row>
    <row r="1132">
      <c r="A1132" s="403"/>
      <c r="B1132" s="417"/>
      <c r="C1132" s="415"/>
      <c r="D1132" s="417"/>
      <c r="E1132" s="417"/>
      <c r="F1132" s="417"/>
      <c r="G1132" s="418"/>
      <c r="H1132" s="417"/>
      <c r="I1132" s="418"/>
      <c r="J1132" s="432"/>
      <c r="K1132" s="420"/>
      <c r="L1132" s="417"/>
      <c r="M1132" s="415"/>
      <c r="N1132" s="422"/>
      <c r="O1132" s="75" t="str">
        <f t="shared" si="3"/>
        <v/>
      </c>
      <c r="P1132" s="403">
        <v>0.0</v>
      </c>
      <c r="Q1132" s="403">
        <v>0.0</v>
      </c>
      <c r="R1132" s="403"/>
      <c r="S1132" s="403"/>
      <c r="T1132" s="403"/>
      <c r="U1132" s="403"/>
      <c r="V1132" s="403"/>
      <c r="W1132" s="403"/>
      <c r="X1132" s="403"/>
      <c r="Y1132" s="403"/>
      <c r="Z1132" s="403"/>
    </row>
    <row r="1133">
      <c r="A1133" s="403"/>
      <c r="B1133" s="417"/>
      <c r="C1133" s="415"/>
      <c r="D1133" s="417"/>
      <c r="E1133" s="417"/>
      <c r="F1133" s="417"/>
      <c r="G1133" s="418"/>
      <c r="H1133" s="417"/>
      <c r="I1133" s="418"/>
      <c r="J1133" s="432"/>
      <c r="K1133" s="420"/>
      <c r="L1133" s="417"/>
      <c r="M1133" s="415"/>
      <c r="N1133" s="422"/>
      <c r="O1133" s="75" t="str">
        <f t="shared" si="3"/>
        <v/>
      </c>
      <c r="P1133" s="403">
        <v>0.0</v>
      </c>
      <c r="Q1133" s="403">
        <v>0.0</v>
      </c>
      <c r="R1133" s="403"/>
      <c r="S1133" s="403"/>
      <c r="T1133" s="403"/>
      <c r="U1133" s="403"/>
      <c r="V1133" s="403"/>
      <c r="W1133" s="403"/>
      <c r="X1133" s="403"/>
      <c r="Y1133" s="403"/>
      <c r="Z1133" s="403"/>
    </row>
    <row r="1134">
      <c r="A1134" s="403"/>
      <c r="B1134" s="417"/>
      <c r="C1134" s="415"/>
      <c r="D1134" s="417"/>
      <c r="E1134" s="417"/>
      <c r="F1134" s="417"/>
      <c r="G1134" s="418"/>
      <c r="H1134" s="417"/>
      <c r="I1134" s="418"/>
      <c r="J1134" s="432"/>
      <c r="K1134" s="420"/>
      <c r="L1134" s="417"/>
      <c r="M1134" s="415"/>
      <c r="N1134" s="422"/>
      <c r="O1134" s="75" t="str">
        <f t="shared" si="3"/>
        <v/>
      </c>
      <c r="P1134" s="403">
        <v>0.0</v>
      </c>
      <c r="Q1134" s="403">
        <v>0.0</v>
      </c>
      <c r="R1134" s="403"/>
      <c r="S1134" s="403"/>
      <c r="T1134" s="403"/>
      <c r="U1134" s="403"/>
      <c r="V1134" s="403"/>
      <c r="W1134" s="403"/>
      <c r="X1134" s="403"/>
      <c r="Y1134" s="403"/>
      <c r="Z1134" s="403"/>
    </row>
    <row r="1135">
      <c r="A1135" s="403"/>
      <c r="B1135" s="417"/>
      <c r="C1135" s="415"/>
      <c r="D1135" s="417"/>
      <c r="E1135" s="417"/>
      <c r="F1135" s="417"/>
      <c r="G1135" s="418"/>
      <c r="H1135" s="417"/>
      <c r="I1135" s="418"/>
      <c r="J1135" s="432"/>
      <c r="K1135" s="420"/>
      <c r="L1135" s="417"/>
      <c r="M1135" s="415"/>
      <c r="N1135" s="422"/>
      <c r="O1135" s="75" t="str">
        <f t="shared" si="3"/>
        <v/>
      </c>
      <c r="P1135" s="403">
        <v>0.0</v>
      </c>
      <c r="Q1135" s="403">
        <v>0.0</v>
      </c>
      <c r="R1135" s="403"/>
      <c r="S1135" s="403"/>
      <c r="T1135" s="403"/>
      <c r="U1135" s="403"/>
      <c r="V1135" s="403"/>
      <c r="W1135" s="403"/>
      <c r="X1135" s="403"/>
      <c r="Y1135" s="403"/>
      <c r="Z1135" s="403"/>
    </row>
    <row r="1136">
      <c r="A1136" s="403"/>
      <c r="B1136" s="417"/>
      <c r="C1136" s="415"/>
      <c r="D1136" s="417"/>
      <c r="E1136" s="417"/>
      <c r="F1136" s="417"/>
      <c r="G1136" s="418"/>
      <c r="H1136" s="417"/>
      <c r="I1136" s="418"/>
      <c r="J1136" s="432"/>
      <c r="K1136" s="420"/>
      <c r="L1136" s="417"/>
      <c r="M1136" s="415"/>
      <c r="N1136" s="422"/>
      <c r="O1136" s="75" t="str">
        <f t="shared" si="3"/>
        <v/>
      </c>
      <c r="P1136" s="403">
        <v>0.0</v>
      </c>
      <c r="Q1136" s="403">
        <v>0.0</v>
      </c>
      <c r="R1136" s="403"/>
      <c r="S1136" s="403"/>
      <c r="T1136" s="403"/>
      <c r="U1136" s="403"/>
      <c r="V1136" s="403"/>
      <c r="W1136" s="403"/>
      <c r="X1136" s="403"/>
      <c r="Y1136" s="403"/>
      <c r="Z1136" s="403"/>
    </row>
    <row r="1137">
      <c r="A1137" s="403"/>
      <c r="B1137" s="417"/>
      <c r="C1137" s="415"/>
      <c r="D1137" s="417"/>
      <c r="E1137" s="417"/>
      <c r="F1137" s="417"/>
      <c r="G1137" s="418"/>
      <c r="H1137" s="417"/>
      <c r="I1137" s="418"/>
      <c r="J1137" s="432"/>
      <c r="K1137" s="420"/>
      <c r="L1137" s="417"/>
      <c r="M1137" s="415"/>
      <c r="N1137" s="422"/>
      <c r="O1137" s="75" t="str">
        <f t="shared" si="3"/>
        <v/>
      </c>
      <c r="P1137" s="403">
        <v>0.0</v>
      </c>
      <c r="Q1137" s="403">
        <v>0.0</v>
      </c>
      <c r="R1137" s="403"/>
      <c r="S1137" s="403"/>
      <c r="T1137" s="403"/>
      <c r="U1137" s="403"/>
      <c r="V1137" s="403"/>
      <c r="W1137" s="403"/>
      <c r="X1137" s="403"/>
      <c r="Y1137" s="403"/>
      <c r="Z1137" s="403"/>
    </row>
    <row r="1138">
      <c r="A1138" s="403"/>
      <c r="B1138" s="417"/>
      <c r="C1138" s="415"/>
      <c r="D1138" s="417"/>
      <c r="E1138" s="417"/>
      <c r="F1138" s="417"/>
      <c r="G1138" s="418"/>
      <c r="H1138" s="417"/>
      <c r="I1138" s="418"/>
      <c r="J1138" s="432"/>
      <c r="K1138" s="420"/>
      <c r="L1138" s="417"/>
      <c r="M1138" s="415"/>
      <c r="N1138" s="422"/>
      <c r="O1138" s="75" t="str">
        <f t="shared" si="3"/>
        <v/>
      </c>
      <c r="P1138" s="403">
        <v>0.0</v>
      </c>
      <c r="Q1138" s="403">
        <v>0.0</v>
      </c>
      <c r="R1138" s="403"/>
      <c r="S1138" s="403"/>
      <c r="T1138" s="403"/>
      <c r="U1138" s="403"/>
      <c r="V1138" s="403"/>
      <c r="W1138" s="403"/>
      <c r="X1138" s="403"/>
      <c r="Y1138" s="403"/>
      <c r="Z1138" s="403"/>
    </row>
    <row r="1139">
      <c r="A1139" s="403"/>
      <c r="B1139" s="417"/>
      <c r="C1139" s="415"/>
      <c r="D1139" s="417"/>
      <c r="E1139" s="417"/>
      <c r="F1139" s="417"/>
      <c r="G1139" s="418"/>
      <c r="H1139" s="417"/>
      <c r="I1139" s="418"/>
      <c r="J1139" s="432"/>
      <c r="K1139" s="420"/>
      <c r="L1139" s="417"/>
      <c r="M1139" s="415"/>
      <c r="N1139" s="422"/>
      <c r="O1139" s="75" t="str">
        <f t="shared" si="3"/>
        <v/>
      </c>
      <c r="P1139" s="403">
        <v>0.0</v>
      </c>
      <c r="Q1139" s="403">
        <v>0.0</v>
      </c>
      <c r="R1139" s="403"/>
      <c r="S1139" s="403"/>
      <c r="T1139" s="403"/>
      <c r="U1139" s="403"/>
      <c r="V1139" s="403"/>
      <c r="W1139" s="403"/>
      <c r="X1139" s="403"/>
      <c r="Y1139" s="403"/>
      <c r="Z1139" s="403"/>
    </row>
    <row r="1140">
      <c r="A1140" s="403"/>
      <c r="B1140" s="417"/>
      <c r="C1140" s="415"/>
      <c r="D1140" s="417"/>
      <c r="E1140" s="417"/>
      <c r="F1140" s="417"/>
      <c r="G1140" s="418"/>
      <c r="H1140" s="417"/>
      <c r="I1140" s="418"/>
      <c r="J1140" s="432"/>
      <c r="K1140" s="420"/>
      <c r="L1140" s="417"/>
      <c r="M1140" s="415"/>
      <c r="N1140" s="422"/>
      <c r="O1140" s="75" t="str">
        <f t="shared" si="3"/>
        <v/>
      </c>
      <c r="P1140" s="403">
        <v>0.0</v>
      </c>
      <c r="Q1140" s="403">
        <v>0.0</v>
      </c>
      <c r="R1140" s="403"/>
      <c r="S1140" s="403"/>
      <c r="T1140" s="403"/>
      <c r="U1140" s="403"/>
      <c r="V1140" s="403"/>
      <c r="W1140" s="403"/>
      <c r="X1140" s="403"/>
      <c r="Y1140" s="403"/>
      <c r="Z1140" s="403"/>
    </row>
    <row r="1141">
      <c r="A1141" s="403"/>
      <c r="B1141" s="417"/>
      <c r="C1141" s="415"/>
      <c r="D1141" s="417"/>
      <c r="E1141" s="417"/>
      <c r="F1141" s="417"/>
      <c r="G1141" s="418"/>
      <c r="H1141" s="417"/>
      <c r="I1141" s="418"/>
      <c r="J1141" s="432"/>
      <c r="K1141" s="420"/>
      <c r="L1141" s="417"/>
      <c r="M1141" s="415"/>
      <c r="N1141" s="422"/>
      <c r="O1141" s="75" t="str">
        <f t="shared" si="3"/>
        <v/>
      </c>
      <c r="P1141" s="403">
        <v>0.0</v>
      </c>
      <c r="Q1141" s="403">
        <v>0.0</v>
      </c>
      <c r="R1141" s="403"/>
      <c r="S1141" s="403"/>
      <c r="T1141" s="403"/>
      <c r="U1141" s="403"/>
      <c r="V1141" s="403"/>
      <c r="W1141" s="403"/>
      <c r="X1141" s="403"/>
      <c r="Y1141" s="403"/>
      <c r="Z1141" s="403"/>
    </row>
    <row r="1142">
      <c r="A1142" s="403"/>
      <c r="B1142" s="417"/>
      <c r="C1142" s="415"/>
      <c r="D1142" s="417"/>
      <c r="E1142" s="417"/>
      <c r="F1142" s="417"/>
      <c r="G1142" s="418"/>
      <c r="H1142" s="417"/>
      <c r="I1142" s="418"/>
      <c r="J1142" s="432"/>
      <c r="K1142" s="420"/>
      <c r="L1142" s="417"/>
      <c r="M1142" s="415"/>
      <c r="N1142" s="422"/>
      <c r="O1142" s="75" t="str">
        <f t="shared" si="3"/>
        <v/>
      </c>
      <c r="P1142" s="403">
        <v>0.0</v>
      </c>
      <c r="Q1142" s="403">
        <v>0.0</v>
      </c>
      <c r="R1142" s="403"/>
      <c r="S1142" s="403"/>
      <c r="T1142" s="403"/>
      <c r="U1142" s="403"/>
      <c r="V1142" s="403"/>
      <c r="W1142" s="403"/>
      <c r="X1142" s="403"/>
      <c r="Y1142" s="403"/>
      <c r="Z1142" s="403"/>
    </row>
    <row r="1143">
      <c r="A1143" s="403"/>
      <c r="B1143" s="417"/>
      <c r="C1143" s="415"/>
      <c r="D1143" s="417"/>
      <c r="E1143" s="417"/>
      <c r="F1143" s="417"/>
      <c r="G1143" s="418"/>
      <c r="H1143" s="417"/>
      <c r="I1143" s="418"/>
      <c r="J1143" s="432"/>
      <c r="K1143" s="420"/>
      <c r="L1143" s="417"/>
      <c r="M1143" s="415"/>
      <c r="N1143" s="422"/>
      <c r="O1143" s="75" t="str">
        <f t="shared" si="3"/>
        <v/>
      </c>
      <c r="P1143" s="403">
        <v>0.0</v>
      </c>
      <c r="Q1143" s="403">
        <v>0.0</v>
      </c>
      <c r="R1143" s="403"/>
      <c r="S1143" s="403"/>
      <c r="T1143" s="403"/>
      <c r="U1143" s="403"/>
      <c r="V1143" s="403"/>
      <c r="W1143" s="403"/>
      <c r="X1143" s="403"/>
      <c r="Y1143" s="403"/>
      <c r="Z1143" s="403"/>
    </row>
    <row r="1144">
      <c r="A1144" s="403"/>
      <c r="B1144" s="417"/>
      <c r="C1144" s="415"/>
      <c r="D1144" s="417"/>
      <c r="E1144" s="417"/>
      <c r="F1144" s="417"/>
      <c r="G1144" s="418"/>
      <c r="H1144" s="417"/>
      <c r="I1144" s="418"/>
      <c r="J1144" s="432"/>
      <c r="K1144" s="420"/>
      <c r="L1144" s="417"/>
      <c r="M1144" s="415"/>
      <c r="N1144" s="422"/>
      <c r="O1144" s="75" t="str">
        <f t="shared" si="3"/>
        <v/>
      </c>
      <c r="P1144" s="403">
        <v>0.0</v>
      </c>
      <c r="Q1144" s="403">
        <v>0.0</v>
      </c>
      <c r="R1144" s="403"/>
      <c r="S1144" s="403"/>
      <c r="T1144" s="403"/>
      <c r="U1144" s="403"/>
      <c r="V1144" s="403"/>
      <c r="W1144" s="403"/>
      <c r="X1144" s="403"/>
      <c r="Y1144" s="403"/>
      <c r="Z1144" s="403"/>
    </row>
    <row r="1145">
      <c r="A1145" s="403"/>
      <c r="B1145" s="417"/>
      <c r="C1145" s="415"/>
      <c r="D1145" s="417"/>
      <c r="E1145" s="417"/>
      <c r="F1145" s="417"/>
      <c r="G1145" s="418"/>
      <c r="H1145" s="417"/>
      <c r="I1145" s="418"/>
      <c r="J1145" s="432"/>
      <c r="K1145" s="420"/>
      <c r="L1145" s="417"/>
      <c r="M1145" s="415"/>
      <c r="N1145" s="422"/>
      <c r="O1145" s="75" t="str">
        <f t="shared" si="3"/>
        <v/>
      </c>
      <c r="P1145" s="403">
        <v>0.0</v>
      </c>
      <c r="Q1145" s="403">
        <v>0.0</v>
      </c>
      <c r="R1145" s="403"/>
      <c r="S1145" s="403"/>
      <c r="T1145" s="403"/>
      <c r="U1145" s="403"/>
      <c r="V1145" s="403"/>
      <c r="W1145" s="403"/>
      <c r="X1145" s="403"/>
      <c r="Y1145" s="403"/>
      <c r="Z1145" s="403"/>
    </row>
    <row r="1146">
      <c r="A1146" s="403"/>
      <c r="B1146" s="417"/>
      <c r="C1146" s="415"/>
      <c r="D1146" s="417"/>
      <c r="E1146" s="417"/>
      <c r="F1146" s="417"/>
      <c r="G1146" s="418"/>
      <c r="H1146" s="417"/>
      <c r="I1146" s="418"/>
      <c r="J1146" s="432"/>
      <c r="K1146" s="420"/>
      <c r="L1146" s="417"/>
      <c r="M1146" s="415"/>
      <c r="N1146" s="422"/>
      <c r="O1146" s="75" t="str">
        <f t="shared" si="3"/>
        <v/>
      </c>
      <c r="P1146" s="403">
        <v>0.0</v>
      </c>
      <c r="Q1146" s="403">
        <v>0.0</v>
      </c>
      <c r="R1146" s="403"/>
      <c r="S1146" s="403"/>
      <c r="T1146" s="403"/>
      <c r="U1146" s="403"/>
      <c r="V1146" s="403"/>
      <c r="W1146" s="403"/>
      <c r="X1146" s="403"/>
      <c r="Y1146" s="403"/>
      <c r="Z1146" s="403"/>
    </row>
    <row r="1147">
      <c r="A1147" s="403"/>
      <c r="B1147" s="417"/>
      <c r="C1147" s="415"/>
      <c r="D1147" s="417"/>
      <c r="E1147" s="417"/>
      <c r="F1147" s="417"/>
      <c r="G1147" s="418"/>
      <c r="H1147" s="417"/>
      <c r="I1147" s="418"/>
      <c r="J1147" s="432"/>
      <c r="K1147" s="420"/>
      <c r="L1147" s="417"/>
      <c r="M1147" s="415"/>
      <c r="N1147" s="422"/>
      <c r="O1147" s="75" t="str">
        <f t="shared" si="3"/>
        <v/>
      </c>
      <c r="P1147" s="403">
        <v>0.0</v>
      </c>
      <c r="Q1147" s="403">
        <v>0.0</v>
      </c>
      <c r="R1147" s="403"/>
      <c r="S1147" s="403"/>
      <c r="T1147" s="403"/>
      <c r="U1147" s="403"/>
      <c r="V1147" s="403"/>
      <c r="W1147" s="403"/>
      <c r="X1147" s="403"/>
      <c r="Y1147" s="403"/>
      <c r="Z1147" s="403"/>
    </row>
    <row r="1148">
      <c r="A1148" s="403"/>
      <c r="B1148" s="417"/>
      <c r="C1148" s="415"/>
      <c r="D1148" s="417"/>
      <c r="E1148" s="417"/>
      <c r="F1148" s="417"/>
      <c r="G1148" s="418"/>
      <c r="H1148" s="417"/>
      <c r="I1148" s="418"/>
      <c r="J1148" s="432"/>
      <c r="K1148" s="420"/>
      <c r="L1148" s="417"/>
      <c r="M1148" s="415"/>
      <c r="N1148" s="422"/>
      <c r="O1148" s="75" t="str">
        <f t="shared" si="3"/>
        <v/>
      </c>
      <c r="P1148" s="403">
        <v>0.0</v>
      </c>
      <c r="Q1148" s="403">
        <v>0.0</v>
      </c>
      <c r="R1148" s="403"/>
      <c r="S1148" s="403"/>
      <c r="T1148" s="403"/>
      <c r="U1148" s="403"/>
      <c r="V1148" s="403"/>
      <c r="W1148" s="403"/>
      <c r="X1148" s="403"/>
      <c r="Y1148" s="403"/>
      <c r="Z1148" s="403"/>
    </row>
    <row r="1149">
      <c r="A1149" s="403"/>
      <c r="B1149" s="417"/>
      <c r="C1149" s="415"/>
      <c r="D1149" s="417"/>
      <c r="E1149" s="417"/>
      <c r="F1149" s="417"/>
      <c r="G1149" s="418"/>
      <c r="H1149" s="417"/>
      <c r="I1149" s="418"/>
      <c r="J1149" s="432"/>
      <c r="K1149" s="420"/>
      <c r="L1149" s="417"/>
      <c r="M1149" s="415"/>
      <c r="N1149" s="422"/>
      <c r="O1149" s="75" t="str">
        <f t="shared" si="3"/>
        <v/>
      </c>
      <c r="P1149" s="403">
        <v>0.0</v>
      </c>
      <c r="Q1149" s="403">
        <v>0.0</v>
      </c>
      <c r="R1149" s="403"/>
      <c r="S1149" s="403"/>
      <c r="T1149" s="403"/>
      <c r="U1149" s="403"/>
      <c r="V1149" s="403"/>
      <c r="W1149" s="403"/>
      <c r="X1149" s="403"/>
      <c r="Y1149" s="403"/>
      <c r="Z1149" s="403"/>
    </row>
    <row r="1150">
      <c r="A1150" s="403"/>
      <c r="B1150" s="417"/>
      <c r="C1150" s="415"/>
      <c r="D1150" s="417"/>
      <c r="E1150" s="417"/>
      <c r="F1150" s="417"/>
      <c r="G1150" s="418"/>
      <c r="H1150" s="417"/>
      <c r="I1150" s="418"/>
      <c r="J1150" s="432"/>
      <c r="K1150" s="420"/>
      <c r="L1150" s="417"/>
      <c r="M1150" s="415"/>
      <c r="N1150" s="422"/>
      <c r="O1150" s="75" t="str">
        <f t="shared" si="3"/>
        <v/>
      </c>
      <c r="P1150" s="403">
        <v>0.0</v>
      </c>
      <c r="Q1150" s="403">
        <v>0.0</v>
      </c>
      <c r="R1150" s="403"/>
      <c r="S1150" s="403"/>
      <c r="T1150" s="403"/>
      <c r="U1150" s="403"/>
      <c r="V1150" s="403"/>
      <c r="W1150" s="403"/>
      <c r="X1150" s="403"/>
      <c r="Y1150" s="403"/>
      <c r="Z1150" s="403"/>
    </row>
    <row r="1151">
      <c r="A1151" s="403"/>
      <c r="B1151" s="417"/>
      <c r="C1151" s="415"/>
      <c r="D1151" s="417"/>
      <c r="E1151" s="417"/>
      <c r="F1151" s="417"/>
      <c r="G1151" s="418"/>
      <c r="H1151" s="417"/>
      <c r="I1151" s="418"/>
      <c r="J1151" s="432"/>
      <c r="K1151" s="420"/>
      <c r="L1151" s="417"/>
      <c r="M1151" s="415"/>
      <c r="N1151" s="422"/>
      <c r="O1151" s="75" t="str">
        <f t="shared" si="3"/>
        <v/>
      </c>
      <c r="P1151" s="403">
        <v>0.0</v>
      </c>
      <c r="Q1151" s="403">
        <v>0.0</v>
      </c>
      <c r="R1151" s="403"/>
      <c r="S1151" s="403"/>
      <c r="T1151" s="403"/>
      <c r="U1151" s="403"/>
      <c r="V1151" s="403"/>
      <c r="W1151" s="403"/>
      <c r="X1151" s="403"/>
      <c r="Y1151" s="403"/>
      <c r="Z1151" s="403"/>
    </row>
    <row r="1152">
      <c r="A1152" s="403"/>
      <c r="B1152" s="417"/>
      <c r="C1152" s="415"/>
      <c r="D1152" s="417"/>
      <c r="E1152" s="417"/>
      <c r="F1152" s="417"/>
      <c r="G1152" s="418"/>
      <c r="H1152" s="417"/>
      <c r="I1152" s="418"/>
      <c r="J1152" s="432"/>
      <c r="K1152" s="420"/>
      <c r="L1152" s="417"/>
      <c r="M1152" s="415"/>
      <c r="N1152" s="422"/>
      <c r="O1152" s="75" t="str">
        <f t="shared" si="3"/>
        <v/>
      </c>
      <c r="P1152" s="403">
        <v>0.0</v>
      </c>
      <c r="Q1152" s="403">
        <v>0.0</v>
      </c>
      <c r="R1152" s="403"/>
      <c r="S1152" s="403"/>
      <c r="T1152" s="403"/>
      <c r="U1152" s="403"/>
      <c r="V1152" s="403"/>
      <c r="W1152" s="403"/>
      <c r="X1152" s="403"/>
      <c r="Y1152" s="403"/>
      <c r="Z1152" s="403"/>
    </row>
    <row r="1153">
      <c r="A1153" s="403"/>
      <c r="B1153" s="417"/>
      <c r="C1153" s="415"/>
      <c r="D1153" s="417"/>
      <c r="E1153" s="417"/>
      <c r="F1153" s="417"/>
      <c r="G1153" s="418"/>
      <c r="H1153" s="417"/>
      <c r="I1153" s="418"/>
      <c r="J1153" s="432"/>
      <c r="K1153" s="420"/>
      <c r="L1153" s="417"/>
      <c r="M1153" s="415"/>
      <c r="N1153" s="422"/>
      <c r="O1153" s="75" t="str">
        <f t="shared" si="3"/>
        <v/>
      </c>
      <c r="P1153" s="403">
        <v>0.0</v>
      </c>
      <c r="Q1153" s="403">
        <v>0.0</v>
      </c>
      <c r="R1153" s="403"/>
      <c r="S1153" s="403"/>
      <c r="T1153" s="403"/>
      <c r="U1153" s="403"/>
      <c r="V1153" s="403"/>
      <c r="W1153" s="403"/>
      <c r="X1153" s="403"/>
      <c r="Y1153" s="403"/>
      <c r="Z1153" s="403"/>
    </row>
    <row r="1154">
      <c r="A1154" s="403"/>
      <c r="B1154" s="417"/>
      <c r="C1154" s="415"/>
      <c r="D1154" s="417"/>
      <c r="E1154" s="417"/>
      <c r="F1154" s="417"/>
      <c r="G1154" s="418"/>
      <c r="H1154" s="417"/>
      <c r="I1154" s="418"/>
      <c r="J1154" s="432"/>
      <c r="K1154" s="420"/>
      <c r="L1154" s="417"/>
      <c r="M1154" s="415"/>
      <c r="N1154" s="422"/>
      <c r="O1154" s="75" t="str">
        <f t="shared" si="3"/>
        <v/>
      </c>
      <c r="P1154" s="403">
        <v>0.0</v>
      </c>
      <c r="Q1154" s="403">
        <v>0.0</v>
      </c>
      <c r="R1154" s="403"/>
      <c r="S1154" s="403"/>
      <c r="T1154" s="403"/>
      <c r="U1154" s="403"/>
      <c r="V1154" s="403"/>
      <c r="W1154" s="403"/>
      <c r="X1154" s="403"/>
      <c r="Y1154" s="403"/>
      <c r="Z1154" s="403"/>
    </row>
    <row r="1155">
      <c r="A1155" s="403"/>
      <c r="B1155" s="417"/>
      <c r="C1155" s="415"/>
      <c r="D1155" s="417"/>
      <c r="E1155" s="417"/>
      <c r="F1155" s="417"/>
      <c r="G1155" s="418"/>
      <c r="H1155" s="417"/>
      <c r="I1155" s="418"/>
      <c r="J1155" s="432"/>
      <c r="K1155" s="420"/>
      <c r="L1155" s="417"/>
      <c r="M1155" s="415"/>
      <c r="N1155" s="422"/>
      <c r="O1155" s="75" t="str">
        <f t="shared" si="3"/>
        <v/>
      </c>
      <c r="P1155" s="403">
        <v>0.0</v>
      </c>
      <c r="Q1155" s="403">
        <v>0.0</v>
      </c>
      <c r="R1155" s="403"/>
      <c r="S1155" s="403"/>
      <c r="T1155" s="403"/>
      <c r="U1155" s="403"/>
      <c r="V1155" s="403"/>
      <c r="W1155" s="403"/>
      <c r="X1155" s="403"/>
      <c r="Y1155" s="403"/>
      <c r="Z1155" s="403"/>
    </row>
    <row r="1156">
      <c r="A1156" s="403"/>
      <c r="B1156" s="417"/>
      <c r="C1156" s="415"/>
      <c r="D1156" s="417"/>
      <c r="E1156" s="417"/>
      <c r="F1156" s="417"/>
      <c r="G1156" s="418"/>
      <c r="H1156" s="417"/>
      <c r="I1156" s="418"/>
      <c r="J1156" s="432"/>
      <c r="K1156" s="420"/>
      <c r="L1156" s="417"/>
      <c r="M1156" s="415"/>
      <c r="N1156" s="422"/>
      <c r="O1156" s="75" t="str">
        <f t="shared" si="3"/>
        <v/>
      </c>
      <c r="P1156" s="403">
        <v>0.0</v>
      </c>
      <c r="Q1156" s="403">
        <v>0.0</v>
      </c>
      <c r="R1156" s="403"/>
      <c r="S1156" s="403"/>
      <c r="T1156" s="403"/>
      <c r="U1156" s="403"/>
      <c r="V1156" s="403"/>
      <c r="W1156" s="403"/>
      <c r="X1156" s="403"/>
      <c r="Y1156" s="403"/>
      <c r="Z1156" s="403"/>
    </row>
    <row r="1157">
      <c r="A1157" s="403"/>
      <c r="B1157" s="417"/>
      <c r="C1157" s="415"/>
      <c r="D1157" s="417"/>
      <c r="E1157" s="417"/>
      <c r="F1157" s="417"/>
      <c r="G1157" s="418"/>
      <c r="H1157" s="417"/>
      <c r="I1157" s="418"/>
      <c r="J1157" s="432"/>
      <c r="K1157" s="420"/>
      <c r="L1157" s="417"/>
      <c r="M1157" s="415"/>
      <c r="N1157" s="422"/>
      <c r="O1157" s="75" t="str">
        <f t="shared" si="3"/>
        <v/>
      </c>
      <c r="P1157" s="403">
        <v>0.0</v>
      </c>
      <c r="Q1157" s="403">
        <v>0.0</v>
      </c>
      <c r="R1157" s="403"/>
      <c r="S1157" s="403"/>
      <c r="T1157" s="403"/>
      <c r="U1157" s="403"/>
      <c r="V1157" s="403"/>
      <c r="W1157" s="403"/>
      <c r="X1157" s="403"/>
      <c r="Y1157" s="403"/>
      <c r="Z1157" s="403"/>
    </row>
    <row r="1158">
      <c r="A1158" s="403"/>
      <c r="B1158" s="417"/>
      <c r="C1158" s="415"/>
      <c r="D1158" s="417"/>
      <c r="E1158" s="417"/>
      <c r="F1158" s="417"/>
      <c r="G1158" s="418"/>
      <c r="H1158" s="417"/>
      <c r="I1158" s="418"/>
      <c r="J1158" s="432"/>
      <c r="K1158" s="420"/>
      <c r="L1158" s="417"/>
      <c r="M1158" s="415"/>
      <c r="N1158" s="422"/>
      <c r="O1158" s="75" t="str">
        <f t="shared" si="3"/>
        <v/>
      </c>
      <c r="P1158" s="403">
        <v>0.0</v>
      </c>
      <c r="Q1158" s="403">
        <v>0.0</v>
      </c>
      <c r="R1158" s="403"/>
      <c r="S1158" s="403"/>
      <c r="T1158" s="403"/>
      <c r="U1158" s="403"/>
      <c r="V1158" s="403"/>
      <c r="W1158" s="403"/>
      <c r="X1158" s="403"/>
      <c r="Y1158" s="403"/>
      <c r="Z1158" s="403"/>
    </row>
    <row r="1159">
      <c r="A1159" s="403"/>
      <c r="B1159" s="417"/>
      <c r="C1159" s="415"/>
      <c r="D1159" s="417"/>
      <c r="E1159" s="417"/>
      <c r="F1159" s="417"/>
      <c r="G1159" s="418"/>
      <c r="H1159" s="417"/>
      <c r="I1159" s="418"/>
      <c r="J1159" s="432"/>
      <c r="K1159" s="420"/>
      <c r="L1159" s="417"/>
      <c r="M1159" s="415"/>
      <c r="N1159" s="422"/>
      <c r="O1159" s="75" t="str">
        <f t="shared" si="3"/>
        <v/>
      </c>
      <c r="P1159" s="403">
        <v>0.0</v>
      </c>
      <c r="Q1159" s="403">
        <v>0.0</v>
      </c>
      <c r="R1159" s="403"/>
      <c r="S1159" s="403"/>
      <c r="T1159" s="403"/>
      <c r="U1159" s="403"/>
      <c r="V1159" s="403"/>
      <c r="W1159" s="403"/>
      <c r="X1159" s="403"/>
      <c r="Y1159" s="403"/>
      <c r="Z1159" s="403"/>
    </row>
    <row r="1160">
      <c r="A1160" s="403"/>
      <c r="B1160" s="417"/>
      <c r="C1160" s="415"/>
      <c r="D1160" s="417"/>
      <c r="E1160" s="417"/>
      <c r="F1160" s="417"/>
      <c r="G1160" s="418"/>
      <c r="H1160" s="417"/>
      <c r="I1160" s="418"/>
      <c r="J1160" s="432"/>
      <c r="K1160" s="420"/>
      <c r="L1160" s="417"/>
      <c r="M1160" s="415"/>
      <c r="N1160" s="422"/>
      <c r="O1160" s="75" t="str">
        <f t="shared" si="3"/>
        <v/>
      </c>
      <c r="P1160" s="403">
        <v>0.0</v>
      </c>
      <c r="Q1160" s="403">
        <v>0.0</v>
      </c>
      <c r="R1160" s="403"/>
      <c r="S1160" s="403"/>
      <c r="T1160" s="403"/>
      <c r="U1160" s="403"/>
      <c r="V1160" s="403"/>
      <c r="W1160" s="403"/>
      <c r="X1160" s="403"/>
      <c r="Y1160" s="403"/>
      <c r="Z1160" s="403"/>
    </row>
    <row r="1161">
      <c r="A1161" s="403"/>
      <c r="B1161" s="417"/>
      <c r="C1161" s="415"/>
      <c r="D1161" s="417"/>
      <c r="E1161" s="417"/>
      <c r="F1161" s="417"/>
      <c r="G1161" s="418"/>
      <c r="H1161" s="417"/>
      <c r="I1161" s="418"/>
      <c r="J1161" s="432"/>
      <c r="K1161" s="420"/>
      <c r="L1161" s="417"/>
      <c r="M1161" s="415"/>
      <c r="N1161" s="422"/>
      <c r="O1161" s="75" t="str">
        <f t="shared" si="3"/>
        <v/>
      </c>
      <c r="P1161" s="403">
        <v>0.0</v>
      </c>
      <c r="Q1161" s="403">
        <v>0.0</v>
      </c>
      <c r="R1161" s="403"/>
      <c r="S1161" s="403"/>
      <c r="T1161" s="403"/>
      <c r="U1161" s="403"/>
      <c r="V1161" s="403"/>
      <c r="W1161" s="403"/>
      <c r="X1161" s="403"/>
      <c r="Y1161" s="403"/>
      <c r="Z1161" s="403"/>
    </row>
    <row r="1162">
      <c r="A1162" s="403"/>
      <c r="B1162" s="417"/>
      <c r="C1162" s="415"/>
      <c r="D1162" s="417"/>
      <c r="E1162" s="417"/>
      <c r="F1162" s="417"/>
      <c r="G1162" s="418"/>
      <c r="H1162" s="417"/>
      <c r="I1162" s="418"/>
      <c r="J1162" s="432"/>
      <c r="K1162" s="420"/>
      <c r="L1162" s="417"/>
      <c r="M1162" s="415"/>
      <c r="N1162" s="422"/>
      <c r="O1162" s="75" t="str">
        <f t="shared" si="3"/>
        <v/>
      </c>
      <c r="P1162" s="403">
        <v>0.0</v>
      </c>
      <c r="Q1162" s="403">
        <v>0.0</v>
      </c>
      <c r="R1162" s="403"/>
      <c r="S1162" s="403"/>
      <c r="T1162" s="403"/>
      <c r="U1162" s="403"/>
      <c r="V1162" s="403"/>
      <c r="W1162" s="403"/>
      <c r="X1162" s="403"/>
      <c r="Y1162" s="403"/>
      <c r="Z1162" s="403"/>
    </row>
    <row r="1163">
      <c r="A1163" s="403"/>
      <c r="B1163" s="417"/>
      <c r="C1163" s="415"/>
      <c r="D1163" s="417"/>
      <c r="E1163" s="417"/>
      <c r="F1163" s="417"/>
      <c r="G1163" s="418"/>
      <c r="H1163" s="417"/>
      <c r="I1163" s="418"/>
      <c r="J1163" s="432"/>
      <c r="K1163" s="420"/>
      <c r="L1163" s="417"/>
      <c r="M1163" s="415"/>
      <c r="N1163" s="422"/>
      <c r="O1163" s="75" t="str">
        <f t="shared" si="3"/>
        <v/>
      </c>
      <c r="P1163" s="403">
        <v>0.0</v>
      </c>
      <c r="Q1163" s="403">
        <v>0.0</v>
      </c>
      <c r="R1163" s="403"/>
      <c r="S1163" s="403"/>
      <c r="T1163" s="403"/>
      <c r="U1163" s="403"/>
      <c r="V1163" s="403"/>
      <c r="W1163" s="403"/>
      <c r="X1163" s="403"/>
      <c r="Y1163" s="403"/>
      <c r="Z1163" s="403"/>
    </row>
    <row r="1164">
      <c r="A1164" s="403"/>
      <c r="B1164" s="417"/>
      <c r="C1164" s="415"/>
      <c r="D1164" s="417"/>
      <c r="E1164" s="417"/>
      <c r="F1164" s="417"/>
      <c r="G1164" s="418"/>
      <c r="H1164" s="417"/>
      <c r="I1164" s="418"/>
      <c r="J1164" s="432"/>
      <c r="K1164" s="420"/>
      <c r="L1164" s="417"/>
      <c r="M1164" s="415"/>
      <c r="N1164" s="422"/>
      <c r="O1164" s="75" t="str">
        <f t="shared" si="3"/>
        <v/>
      </c>
      <c r="P1164" s="403">
        <v>0.0</v>
      </c>
      <c r="Q1164" s="403">
        <v>0.0</v>
      </c>
      <c r="R1164" s="403"/>
      <c r="S1164" s="403"/>
      <c r="T1164" s="403"/>
      <c r="U1164" s="403"/>
      <c r="V1164" s="403"/>
      <c r="W1164" s="403"/>
      <c r="X1164" s="403"/>
      <c r="Y1164" s="403"/>
      <c r="Z1164" s="403"/>
    </row>
    <row r="1165">
      <c r="A1165" s="403"/>
      <c r="B1165" s="417"/>
      <c r="C1165" s="415"/>
      <c r="D1165" s="417"/>
      <c r="E1165" s="417"/>
      <c r="F1165" s="417"/>
      <c r="G1165" s="418"/>
      <c r="H1165" s="417"/>
      <c r="I1165" s="418"/>
      <c r="J1165" s="432"/>
      <c r="K1165" s="420"/>
      <c r="L1165" s="417"/>
      <c r="M1165" s="415"/>
      <c r="N1165" s="422"/>
      <c r="O1165" s="75" t="str">
        <f t="shared" si="3"/>
        <v/>
      </c>
      <c r="P1165" s="403">
        <v>0.0</v>
      </c>
      <c r="Q1165" s="403">
        <v>0.0</v>
      </c>
      <c r="R1165" s="403"/>
      <c r="S1165" s="403"/>
      <c r="T1165" s="403"/>
      <c r="U1165" s="403"/>
      <c r="V1165" s="403"/>
      <c r="W1165" s="403"/>
      <c r="X1165" s="403"/>
      <c r="Y1165" s="403"/>
      <c r="Z1165" s="403"/>
    </row>
    <row r="1166">
      <c r="A1166" s="403"/>
      <c r="B1166" s="417"/>
      <c r="C1166" s="415"/>
      <c r="D1166" s="417"/>
      <c r="E1166" s="417"/>
      <c r="F1166" s="417"/>
      <c r="G1166" s="418"/>
      <c r="H1166" s="417"/>
      <c r="I1166" s="418"/>
      <c r="J1166" s="432"/>
      <c r="K1166" s="420"/>
      <c r="L1166" s="417"/>
      <c r="M1166" s="415"/>
      <c r="N1166" s="422"/>
      <c r="O1166" s="75" t="str">
        <f t="shared" si="3"/>
        <v/>
      </c>
      <c r="P1166" s="403">
        <v>0.0</v>
      </c>
      <c r="Q1166" s="403">
        <v>0.0</v>
      </c>
      <c r="R1166" s="403"/>
      <c r="S1166" s="403"/>
      <c r="T1166" s="403"/>
      <c r="U1166" s="403"/>
      <c r="V1166" s="403"/>
      <c r="W1166" s="403"/>
      <c r="X1166" s="403"/>
      <c r="Y1166" s="403"/>
      <c r="Z1166" s="403"/>
    </row>
    <row r="1167">
      <c r="A1167" s="403"/>
      <c r="B1167" s="417"/>
      <c r="C1167" s="415"/>
      <c r="D1167" s="417"/>
      <c r="E1167" s="417"/>
      <c r="F1167" s="417"/>
      <c r="G1167" s="418"/>
      <c r="H1167" s="417"/>
      <c r="I1167" s="418"/>
      <c r="J1167" s="432"/>
      <c r="K1167" s="420"/>
      <c r="L1167" s="417"/>
      <c r="M1167" s="415"/>
      <c r="N1167" s="422"/>
      <c r="O1167" s="75" t="str">
        <f t="shared" si="3"/>
        <v/>
      </c>
      <c r="P1167" s="403">
        <v>0.0</v>
      </c>
      <c r="Q1167" s="403">
        <v>0.0</v>
      </c>
      <c r="R1167" s="403"/>
      <c r="S1167" s="403"/>
      <c r="T1167" s="403"/>
      <c r="U1167" s="403"/>
      <c r="V1167" s="403"/>
      <c r="W1167" s="403"/>
      <c r="X1167" s="403"/>
      <c r="Y1167" s="403"/>
      <c r="Z1167" s="403"/>
    </row>
    <row r="1168">
      <c r="A1168" s="403"/>
      <c r="B1168" s="417"/>
      <c r="C1168" s="415"/>
      <c r="D1168" s="417"/>
      <c r="E1168" s="417"/>
      <c r="F1168" s="417"/>
      <c r="G1168" s="418"/>
      <c r="H1168" s="417"/>
      <c r="I1168" s="418"/>
      <c r="J1168" s="432"/>
      <c r="K1168" s="420"/>
      <c r="L1168" s="417"/>
      <c r="M1168" s="415"/>
      <c r="N1168" s="422"/>
      <c r="O1168" s="75" t="str">
        <f t="shared" si="3"/>
        <v/>
      </c>
      <c r="P1168" s="403">
        <v>0.0</v>
      </c>
      <c r="Q1168" s="403">
        <v>0.0</v>
      </c>
      <c r="R1168" s="403"/>
      <c r="S1168" s="403"/>
      <c r="T1168" s="403"/>
      <c r="U1168" s="403"/>
      <c r="V1168" s="403"/>
      <c r="W1168" s="403"/>
      <c r="X1168" s="403"/>
      <c r="Y1168" s="403"/>
      <c r="Z1168" s="403"/>
    </row>
    <row r="1169">
      <c r="A1169" s="403"/>
      <c r="B1169" s="417"/>
      <c r="C1169" s="415"/>
      <c r="D1169" s="417"/>
      <c r="E1169" s="417"/>
      <c r="F1169" s="417"/>
      <c r="G1169" s="418"/>
      <c r="H1169" s="417"/>
      <c r="I1169" s="418"/>
      <c r="J1169" s="432"/>
      <c r="K1169" s="420"/>
      <c r="L1169" s="417"/>
      <c r="M1169" s="415"/>
      <c r="N1169" s="422"/>
      <c r="O1169" s="75" t="str">
        <f t="shared" si="3"/>
        <v/>
      </c>
      <c r="P1169" s="403">
        <v>0.0</v>
      </c>
      <c r="Q1169" s="403">
        <v>0.0</v>
      </c>
      <c r="R1169" s="403"/>
      <c r="S1169" s="403"/>
      <c r="T1169" s="403"/>
      <c r="U1169" s="403"/>
      <c r="V1169" s="403"/>
      <c r="W1169" s="403"/>
      <c r="X1169" s="403"/>
      <c r="Y1169" s="403"/>
      <c r="Z1169" s="403"/>
    </row>
    <row r="1170">
      <c r="A1170" s="403"/>
      <c r="B1170" s="417"/>
      <c r="C1170" s="415"/>
      <c r="D1170" s="417"/>
      <c r="E1170" s="417"/>
      <c r="F1170" s="417"/>
      <c r="G1170" s="418"/>
      <c r="H1170" s="417"/>
      <c r="I1170" s="418"/>
      <c r="J1170" s="432"/>
      <c r="K1170" s="420"/>
      <c r="L1170" s="417"/>
      <c r="M1170" s="415"/>
      <c r="N1170" s="422"/>
      <c r="O1170" s="75" t="str">
        <f t="shared" si="3"/>
        <v/>
      </c>
      <c r="P1170" s="403">
        <v>0.0</v>
      </c>
      <c r="Q1170" s="403">
        <v>0.0</v>
      </c>
      <c r="R1170" s="403"/>
      <c r="S1170" s="403"/>
      <c r="T1170" s="403"/>
      <c r="U1170" s="403"/>
      <c r="V1170" s="403"/>
      <c r="W1170" s="403"/>
      <c r="X1170" s="403"/>
      <c r="Y1170" s="403"/>
      <c r="Z1170" s="403"/>
    </row>
    <row r="1171">
      <c r="A1171" s="403"/>
      <c r="B1171" s="417"/>
      <c r="C1171" s="415"/>
      <c r="D1171" s="417"/>
      <c r="E1171" s="417"/>
      <c r="F1171" s="417"/>
      <c r="G1171" s="418"/>
      <c r="H1171" s="417"/>
      <c r="I1171" s="418"/>
      <c r="J1171" s="432"/>
      <c r="K1171" s="420"/>
      <c r="L1171" s="417"/>
      <c r="M1171" s="415"/>
      <c r="N1171" s="422"/>
      <c r="O1171" s="75" t="str">
        <f t="shared" si="3"/>
        <v/>
      </c>
      <c r="P1171" s="403">
        <v>0.0</v>
      </c>
      <c r="Q1171" s="403">
        <v>0.0</v>
      </c>
      <c r="R1171" s="403"/>
      <c r="S1171" s="403"/>
      <c r="T1171" s="403"/>
      <c r="U1171" s="403"/>
      <c r="V1171" s="403"/>
      <c r="W1171" s="403"/>
      <c r="X1171" s="403"/>
      <c r="Y1171" s="403"/>
      <c r="Z1171" s="403"/>
    </row>
    <row r="1172">
      <c r="A1172" s="403"/>
      <c r="B1172" s="417"/>
      <c r="C1172" s="415"/>
      <c r="D1172" s="417"/>
      <c r="E1172" s="417"/>
      <c r="F1172" s="417"/>
      <c r="G1172" s="418"/>
      <c r="H1172" s="417"/>
      <c r="I1172" s="418"/>
      <c r="J1172" s="432"/>
      <c r="K1172" s="420"/>
      <c r="L1172" s="417"/>
      <c r="M1172" s="415"/>
      <c r="N1172" s="422"/>
      <c r="O1172" s="75" t="str">
        <f t="shared" si="3"/>
        <v/>
      </c>
      <c r="P1172" s="403">
        <v>0.0</v>
      </c>
      <c r="Q1172" s="403">
        <v>0.0</v>
      </c>
      <c r="R1172" s="403"/>
      <c r="S1172" s="403"/>
      <c r="T1172" s="403"/>
      <c r="U1172" s="403"/>
      <c r="V1172" s="403"/>
      <c r="W1172" s="403"/>
      <c r="X1172" s="403"/>
      <c r="Y1172" s="403"/>
      <c r="Z1172" s="403"/>
    </row>
    <row r="1173">
      <c r="A1173" s="403"/>
      <c r="B1173" s="417"/>
      <c r="C1173" s="415"/>
      <c r="D1173" s="417"/>
      <c r="E1173" s="417"/>
      <c r="F1173" s="417"/>
      <c r="G1173" s="418"/>
      <c r="H1173" s="417"/>
      <c r="I1173" s="418"/>
      <c r="J1173" s="432"/>
      <c r="K1173" s="420"/>
      <c r="L1173" s="417"/>
      <c r="M1173" s="415"/>
      <c r="N1173" s="422"/>
      <c r="O1173" s="75" t="str">
        <f t="shared" si="3"/>
        <v/>
      </c>
      <c r="P1173" s="403">
        <v>0.0</v>
      </c>
      <c r="Q1173" s="403">
        <v>0.0</v>
      </c>
      <c r="R1173" s="403"/>
      <c r="S1173" s="403"/>
      <c r="T1173" s="403"/>
      <c r="U1173" s="403"/>
      <c r="V1173" s="403"/>
      <c r="W1173" s="403"/>
      <c r="X1173" s="403"/>
      <c r="Y1173" s="403"/>
      <c r="Z1173" s="403"/>
    </row>
    <row r="1174">
      <c r="A1174" s="403"/>
      <c r="B1174" s="417"/>
      <c r="C1174" s="415"/>
      <c r="D1174" s="417"/>
      <c r="E1174" s="417"/>
      <c r="F1174" s="417"/>
      <c r="G1174" s="418"/>
      <c r="H1174" s="417"/>
      <c r="I1174" s="418"/>
      <c r="J1174" s="432"/>
      <c r="K1174" s="420"/>
      <c r="L1174" s="417"/>
      <c r="M1174" s="415"/>
      <c r="N1174" s="422"/>
      <c r="O1174" s="75" t="str">
        <f t="shared" si="3"/>
        <v/>
      </c>
      <c r="P1174" s="403">
        <v>0.0</v>
      </c>
      <c r="Q1174" s="403">
        <v>0.0</v>
      </c>
      <c r="R1174" s="403"/>
      <c r="S1174" s="403"/>
      <c r="T1174" s="403"/>
      <c r="U1174" s="403"/>
      <c r="V1174" s="403"/>
      <c r="W1174" s="403"/>
      <c r="X1174" s="403"/>
      <c r="Y1174" s="403"/>
      <c r="Z1174" s="403"/>
    </row>
    <row r="1175">
      <c r="A1175" s="403"/>
      <c r="B1175" s="417"/>
      <c r="C1175" s="415"/>
      <c r="D1175" s="417"/>
      <c r="E1175" s="417"/>
      <c r="F1175" s="417"/>
      <c r="G1175" s="418"/>
      <c r="H1175" s="417"/>
      <c r="I1175" s="418"/>
      <c r="J1175" s="432"/>
      <c r="K1175" s="420"/>
      <c r="L1175" s="417"/>
      <c r="M1175" s="415"/>
      <c r="N1175" s="422"/>
      <c r="O1175" s="75" t="str">
        <f t="shared" si="3"/>
        <v/>
      </c>
      <c r="P1175" s="403">
        <v>0.0</v>
      </c>
      <c r="Q1175" s="403">
        <v>0.0</v>
      </c>
      <c r="R1175" s="403"/>
      <c r="S1175" s="403"/>
      <c r="T1175" s="403"/>
      <c r="U1175" s="403"/>
      <c r="V1175" s="403"/>
      <c r="W1175" s="403"/>
      <c r="X1175" s="403"/>
      <c r="Y1175" s="403"/>
      <c r="Z1175" s="403"/>
    </row>
    <row r="1176">
      <c r="A1176" s="403"/>
      <c r="B1176" s="417"/>
      <c r="C1176" s="415"/>
      <c r="D1176" s="417"/>
      <c r="E1176" s="417"/>
      <c r="F1176" s="417"/>
      <c r="G1176" s="418"/>
      <c r="H1176" s="417"/>
      <c r="I1176" s="418"/>
      <c r="J1176" s="432"/>
      <c r="K1176" s="420"/>
      <c r="L1176" s="417"/>
      <c r="M1176" s="415"/>
      <c r="N1176" s="422"/>
      <c r="O1176" s="75" t="str">
        <f t="shared" si="3"/>
        <v/>
      </c>
      <c r="P1176" s="403">
        <v>0.0</v>
      </c>
      <c r="Q1176" s="403">
        <v>0.0</v>
      </c>
      <c r="R1176" s="403"/>
      <c r="S1176" s="403"/>
      <c r="T1176" s="403"/>
      <c r="U1176" s="403"/>
      <c r="V1176" s="403"/>
      <c r="W1176" s="403"/>
      <c r="X1176" s="403"/>
      <c r="Y1176" s="403"/>
      <c r="Z1176" s="403"/>
    </row>
    <row r="1177">
      <c r="A1177" s="403"/>
      <c r="B1177" s="417"/>
      <c r="C1177" s="415"/>
      <c r="D1177" s="417"/>
      <c r="E1177" s="417"/>
      <c r="F1177" s="417"/>
      <c r="G1177" s="418"/>
      <c r="H1177" s="417"/>
      <c r="I1177" s="418"/>
      <c r="J1177" s="432"/>
      <c r="K1177" s="420"/>
      <c r="L1177" s="417"/>
      <c r="M1177" s="415"/>
      <c r="N1177" s="422"/>
      <c r="O1177" s="75" t="str">
        <f t="shared" si="3"/>
        <v/>
      </c>
      <c r="P1177" s="403">
        <v>0.0</v>
      </c>
      <c r="Q1177" s="403">
        <v>0.0</v>
      </c>
      <c r="R1177" s="403"/>
      <c r="S1177" s="403"/>
      <c r="T1177" s="403"/>
      <c r="U1177" s="403"/>
      <c r="V1177" s="403"/>
      <c r="W1177" s="403"/>
      <c r="X1177" s="403"/>
      <c r="Y1177" s="403"/>
      <c r="Z1177" s="403"/>
    </row>
    <row r="1178">
      <c r="A1178" s="403"/>
      <c r="B1178" s="417"/>
      <c r="C1178" s="415"/>
      <c r="D1178" s="417"/>
      <c r="E1178" s="417"/>
      <c r="F1178" s="417"/>
      <c r="G1178" s="418"/>
      <c r="H1178" s="417"/>
      <c r="I1178" s="418"/>
      <c r="J1178" s="432"/>
      <c r="K1178" s="420"/>
      <c r="L1178" s="417"/>
      <c r="M1178" s="415"/>
      <c r="N1178" s="422"/>
      <c r="O1178" s="75" t="str">
        <f t="shared" si="3"/>
        <v/>
      </c>
      <c r="P1178" s="403">
        <v>0.0</v>
      </c>
      <c r="Q1178" s="403">
        <v>0.0</v>
      </c>
      <c r="R1178" s="403"/>
      <c r="S1178" s="403"/>
      <c r="T1178" s="403"/>
      <c r="U1178" s="403"/>
      <c r="V1178" s="403"/>
      <c r="W1178" s="403"/>
      <c r="X1178" s="403"/>
      <c r="Y1178" s="403"/>
      <c r="Z1178" s="403"/>
    </row>
    <row r="1179">
      <c r="A1179" s="403"/>
      <c r="B1179" s="417"/>
      <c r="C1179" s="415"/>
      <c r="D1179" s="417"/>
      <c r="E1179" s="417"/>
      <c r="F1179" s="417"/>
      <c r="G1179" s="418"/>
      <c r="H1179" s="417"/>
      <c r="I1179" s="418"/>
      <c r="J1179" s="432"/>
      <c r="K1179" s="420"/>
      <c r="L1179" s="417"/>
      <c r="M1179" s="415"/>
      <c r="N1179" s="422"/>
      <c r="O1179" s="75" t="str">
        <f t="shared" si="3"/>
        <v/>
      </c>
      <c r="P1179" s="403">
        <v>0.0</v>
      </c>
      <c r="Q1179" s="403">
        <v>0.0</v>
      </c>
      <c r="R1179" s="403"/>
      <c r="S1179" s="403"/>
      <c r="T1179" s="403"/>
      <c r="U1179" s="403"/>
      <c r="V1179" s="403"/>
      <c r="W1179" s="403"/>
      <c r="X1179" s="403"/>
      <c r="Y1179" s="403"/>
      <c r="Z1179" s="403"/>
    </row>
    <row r="1180">
      <c r="A1180" s="403"/>
      <c r="B1180" s="417"/>
      <c r="C1180" s="415"/>
      <c r="D1180" s="417"/>
      <c r="E1180" s="417"/>
      <c r="F1180" s="417"/>
      <c r="G1180" s="418"/>
      <c r="H1180" s="417"/>
      <c r="I1180" s="418"/>
      <c r="J1180" s="432"/>
      <c r="K1180" s="420"/>
      <c r="L1180" s="417"/>
      <c r="M1180" s="415"/>
      <c r="N1180" s="422"/>
      <c r="O1180" s="75" t="str">
        <f t="shared" si="3"/>
        <v/>
      </c>
      <c r="P1180" s="403">
        <v>0.0</v>
      </c>
      <c r="Q1180" s="403">
        <v>0.0</v>
      </c>
      <c r="R1180" s="403"/>
      <c r="S1180" s="403"/>
      <c r="T1180" s="403"/>
      <c r="U1180" s="403"/>
      <c r="V1180" s="403"/>
      <c r="W1180" s="403"/>
      <c r="X1180" s="403"/>
      <c r="Y1180" s="403"/>
      <c r="Z1180" s="403"/>
    </row>
    <row r="1181">
      <c r="A1181" s="403"/>
      <c r="B1181" s="417"/>
      <c r="C1181" s="415"/>
      <c r="D1181" s="417"/>
      <c r="E1181" s="417"/>
      <c r="F1181" s="417"/>
      <c r="G1181" s="418"/>
      <c r="H1181" s="417"/>
      <c r="I1181" s="418"/>
      <c r="J1181" s="432"/>
      <c r="K1181" s="420"/>
      <c r="L1181" s="417"/>
      <c r="M1181" s="415"/>
      <c r="N1181" s="422"/>
      <c r="O1181" s="75" t="str">
        <f t="shared" si="3"/>
        <v/>
      </c>
      <c r="P1181" s="403">
        <v>0.0</v>
      </c>
      <c r="Q1181" s="403">
        <v>0.0</v>
      </c>
      <c r="R1181" s="403"/>
      <c r="S1181" s="403"/>
      <c r="T1181" s="403"/>
      <c r="U1181" s="403"/>
      <c r="V1181" s="403"/>
      <c r="W1181" s="403"/>
      <c r="X1181" s="403"/>
      <c r="Y1181" s="403"/>
      <c r="Z1181" s="403"/>
    </row>
    <row r="1182">
      <c r="A1182" s="403"/>
      <c r="B1182" s="417"/>
      <c r="C1182" s="415"/>
      <c r="D1182" s="417"/>
      <c r="E1182" s="417"/>
      <c r="F1182" s="417"/>
      <c r="G1182" s="418"/>
      <c r="H1182" s="417"/>
      <c r="I1182" s="418"/>
      <c r="J1182" s="432"/>
      <c r="K1182" s="420"/>
      <c r="L1182" s="417"/>
      <c r="M1182" s="415"/>
      <c r="N1182" s="422"/>
      <c r="O1182" s="75" t="str">
        <f t="shared" si="3"/>
        <v/>
      </c>
      <c r="P1182" s="403">
        <v>0.0</v>
      </c>
      <c r="Q1182" s="403">
        <v>0.0</v>
      </c>
      <c r="R1182" s="403"/>
      <c r="S1182" s="403"/>
      <c r="T1182" s="403"/>
      <c r="U1182" s="403"/>
      <c r="V1182" s="403"/>
      <c r="W1182" s="403"/>
      <c r="X1182" s="403"/>
      <c r="Y1182" s="403"/>
      <c r="Z1182" s="403"/>
    </row>
    <row r="1183">
      <c r="A1183" s="403"/>
      <c r="B1183" s="417"/>
      <c r="C1183" s="415"/>
      <c r="D1183" s="417"/>
      <c r="E1183" s="417"/>
      <c r="F1183" s="417"/>
      <c r="G1183" s="418"/>
      <c r="H1183" s="417"/>
      <c r="I1183" s="418"/>
      <c r="J1183" s="432"/>
      <c r="K1183" s="420"/>
      <c r="L1183" s="417"/>
      <c r="M1183" s="415"/>
      <c r="N1183" s="422"/>
      <c r="O1183" s="75" t="str">
        <f t="shared" si="3"/>
        <v/>
      </c>
      <c r="P1183" s="403">
        <v>0.0</v>
      </c>
      <c r="Q1183" s="403">
        <v>0.0</v>
      </c>
      <c r="R1183" s="403"/>
      <c r="S1183" s="403"/>
      <c r="T1183" s="403"/>
      <c r="U1183" s="403"/>
      <c r="V1183" s="403"/>
      <c r="W1183" s="403"/>
      <c r="X1183" s="403"/>
      <c r="Y1183" s="403"/>
      <c r="Z1183" s="403"/>
    </row>
    <row r="1184">
      <c r="A1184" s="403"/>
      <c r="B1184" s="417"/>
      <c r="C1184" s="415"/>
      <c r="D1184" s="417"/>
      <c r="E1184" s="417"/>
      <c r="F1184" s="417"/>
      <c r="G1184" s="418"/>
      <c r="H1184" s="417"/>
      <c r="I1184" s="418"/>
      <c r="J1184" s="432"/>
      <c r="K1184" s="420"/>
      <c r="L1184" s="417"/>
      <c r="M1184" s="415"/>
      <c r="N1184" s="422"/>
      <c r="O1184" s="75" t="str">
        <f t="shared" si="3"/>
        <v/>
      </c>
      <c r="P1184" s="403">
        <v>0.0</v>
      </c>
      <c r="Q1184" s="403">
        <v>0.0</v>
      </c>
      <c r="R1184" s="403"/>
      <c r="S1184" s="403"/>
      <c r="T1184" s="403"/>
      <c r="U1184" s="403"/>
      <c r="V1184" s="403"/>
      <c r="W1184" s="403"/>
      <c r="X1184" s="403"/>
      <c r="Y1184" s="403"/>
      <c r="Z1184" s="403"/>
    </row>
    <row r="1185">
      <c r="A1185" s="403"/>
      <c r="B1185" s="417"/>
      <c r="C1185" s="415"/>
      <c r="D1185" s="417"/>
      <c r="E1185" s="417"/>
      <c r="F1185" s="417"/>
      <c r="G1185" s="418"/>
      <c r="H1185" s="417"/>
      <c r="I1185" s="418"/>
      <c r="J1185" s="432"/>
      <c r="K1185" s="420"/>
      <c r="L1185" s="417"/>
      <c r="M1185" s="415"/>
      <c r="N1185" s="422"/>
      <c r="O1185" s="75" t="str">
        <f t="shared" si="3"/>
        <v/>
      </c>
      <c r="P1185" s="403">
        <v>0.0</v>
      </c>
      <c r="Q1185" s="403">
        <v>0.0</v>
      </c>
      <c r="R1185" s="403"/>
      <c r="S1185" s="403"/>
      <c r="T1185" s="403"/>
      <c r="U1185" s="403"/>
      <c r="V1185" s="403"/>
      <c r="W1185" s="403"/>
      <c r="X1185" s="403"/>
      <c r="Y1185" s="403"/>
      <c r="Z1185" s="403"/>
    </row>
    <row r="1186">
      <c r="A1186" s="403"/>
      <c r="B1186" s="417"/>
      <c r="C1186" s="415"/>
      <c r="D1186" s="417"/>
      <c r="E1186" s="417"/>
      <c r="F1186" s="417"/>
      <c r="G1186" s="418"/>
      <c r="H1186" s="417"/>
      <c r="I1186" s="418"/>
      <c r="J1186" s="432"/>
      <c r="K1186" s="420"/>
      <c r="L1186" s="417"/>
      <c r="M1186" s="415"/>
      <c r="N1186" s="422"/>
      <c r="O1186" s="75" t="str">
        <f t="shared" si="3"/>
        <v/>
      </c>
      <c r="P1186" s="403">
        <v>0.0</v>
      </c>
      <c r="Q1186" s="403">
        <v>0.0</v>
      </c>
      <c r="R1186" s="403"/>
      <c r="S1186" s="403"/>
      <c r="T1186" s="403"/>
      <c r="U1186" s="403"/>
      <c r="V1186" s="403"/>
      <c r="W1186" s="403"/>
      <c r="X1186" s="403"/>
      <c r="Y1186" s="403"/>
      <c r="Z1186" s="403"/>
    </row>
    <row r="1187">
      <c r="A1187" s="403"/>
      <c r="B1187" s="417"/>
      <c r="C1187" s="415"/>
      <c r="D1187" s="417"/>
      <c r="E1187" s="417"/>
      <c r="F1187" s="417"/>
      <c r="G1187" s="418"/>
      <c r="H1187" s="417"/>
      <c r="I1187" s="418"/>
      <c r="J1187" s="432"/>
      <c r="K1187" s="420"/>
      <c r="L1187" s="417"/>
      <c r="M1187" s="415"/>
      <c r="N1187" s="422"/>
      <c r="O1187" s="75" t="str">
        <f t="shared" si="3"/>
        <v/>
      </c>
      <c r="P1187" s="403">
        <v>0.0</v>
      </c>
      <c r="Q1187" s="403">
        <v>0.0</v>
      </c>
      <c r="R1187" s="403"/>
      <c r="S1187" s="403"/>
      <c r="T1187" s="403"/>
      <c r="U1187" s="403"/>
      <c r="V1187" s="403"/>
      <c r="W1187" s="403"/>
      <c r="X1187" s="403"/>
      <c r="Y1187" s="403"/>
      <c r="Z1187" s="403"/>
    </row>
    <row r="1188">
      <c r="A1188" s="403"/>
      <c r="B1188" s="417"/>
      <c r="C1188" s="415"/>
      <c r="D1188" s="417"/>
      <c r="E1188" s="417"/>
      <c r="F1188" s="417"/>
      <c r="G1188" s="418"/>
      <c r="H1188" s="417"/>
      <c r="I1188" s="418"/>
      <c r="J1188" s="432"/>
      <c r="K1188" s="420"/>
      <c r="L1188" s="417"/>
      <c r="M1188" s="415"/>
      <c r="N1188" s="422"/>
      <c r="O1188" s="75" t="str">
        <f t="shared" si="3"/>
        <v/>
      </c>
      <c r="P1188" s="403">
        <v>0.0</v>
      </c>
      <c r="Q1188" s="403">
        <v>0.0</v>
      </c>
      <c r="R1188" s="403"/>
      <c r="S1188" s="403"/>
      <c r="T1188" s="403"/>
      <c r="U1188" s="403"/>
      <c r="V1188" s="403"/>
      <c r="W1188" s="403"/>
      <c r="X1188" s="403"/>
      <c r="Y1188" s="403"/>
      <c r="Z1188" s="403"/>
    </row>
    <row r="1189">
      <c r="A1189" s="403"/>
      <c r="B1189" s="417"/>
      <c r="C1189" s="415"/>
      <c r="D1189" s="417"/>
      <c r="E1189" s="417"/>
      <c r="F1189" s="417"/>
      <c r="G1189" s="418"/>
      <c r="H1189" s="417"/>
      <c r="I1189" s="418"/>
      <c r="J1189" s="432"/>
      <c r="K1189" s="420"/>
      <c r="L1189" s="417"/>
      <c r="M1189" s="415"/>
      <c r="N1189" s="422"/>
      <c r="O1189" s="75" t="str">
        <f t="shared" si="3"/>
        <v/>
      </c>
      <c r="P1189" s="403">
        <v>0.0</v>
      </c>
      <c r="Q1189" s="403">
        <v>0.0</v>
      </c>
      <c r="R1189" s="403"/>
      <c r="S1189" s="403"/>
      <c r="T1189" s="403"/>
      <c r="U1189" s="403"/>
      <c r="V1189" s="403"/>
      <c r="W1189" s="403"/>
      <c r="X1189" s="403"/>
      <c r="Y1189" s="403"/>
      <c r="Z1189" s="403"/>
    </row>
    <row r="1190">
      <c r="A1190" s="403"/>
      <c r="B1190" s="417"/>
      <c r="C1190" s="415"/>
      <c r="D1190" s="417"/>
      <c r="E1190" s="417"/>
      <c r="F1190" s="417"/>
      <c r="G1190" s="418"/>
      <c r="H1190" s="417"/>
      <c r="I1190" s="418"/>
      <c r="J1190" s="432"/>
      <c r="K1190" s="420"/>
      <c r="L1190" s="417"/>
      <c r="M1190" s="415"/>
      <c r="N1190" s="422"/>
      <c r="O1190" s="75" t="str">
        <f t="shared" si="3"/>
        <v/>
      </c>
      <c r="P1190" s="403">
        <v>0.0</v>
      </c>
      <c r="Q1190" s="403">
        <v>0.0</v>
      </c>
      <c r="R1190" s="403"/>
      <c r="S1190" s="403"/>
      <c r="T1190" s="403"/>
      <c r="U1190" s="403"/>
      <c r="V1190" s="403"/>
      <c r="W1190" s="403"/>
      <c r="X1190" s="403"/>
      <c r="Y1190" s="403"/>
      <c r="Z1190" s="403"/>
    </row>
    <row r="1191">
      <c r="A1191" s="403"/>
      <c r="B1191" s="417"/>
      <c r="C1191" s="415"/>
      <c r="D1191" s="417"/>
      <c r="E1191" s="417"/>
      <c r="F1191" s="417"/>
      <c r="G1191" s="418"/>
      <c r="H1191" s="417"/>
      <c r="I1191" s="418"/>
      <c r="J1191" s="432"/>
      <c r="K1191" s="420"/>
      <c r="L1191" s="417"/>
      <c r="M1191" s="415"/>
      <c r="N1191" s="422"/>
      <c r="O1191" s="75" t="str">
        <f t="shared" si="3"/>
        <v/>
      </c>
      <c r="P1191" s="403">
        <v>0.0</v>
      </c>
      <c r="Q1191" s="403">
        <v>0.0</v>
      </c>
      <c r="R1191" s="403"/>
      <c r="S1191" s="403"/>
      <c r="T1191" s="403"/>
      <c r="U1191" s="403"/>
      <c r="V1191" s="403"/>
      <c r="W1191" s="403"/>
      <c r="X1191" s="403"/>
      <c r="Y1191" s="403"/>
      <c r="Z1191" s="403"/>
    </row>
    <row r="1192">
      <c r="A1192" s="403"/>
      <c r="B1192" s="417"/>
      <c r="C1192" s="415"/>
      <c r="D1192" s="417"/>
      <c r="E1192" s="417"/>
      <c r="F1192" s="417"/>
      <c r="G1192" s="418"/>
      <c r="H1192" s="417"/>
      <c r="I1192" s="418"/>
      <c r="J1192" s="432"/>
      <c r="K1192" s="420"/>
      <c r="L1192" s="417"/>
      <c r="M1192" s="415"/>
      <c r="N1192" s="422"/>
      <c r="O1192" s="75" t="str">
        <f t="shared" si="3"/>
        <v/>
      </c>
      <c r="P1192" s="403">
        <v>0.0</v>
      </c>
      <c r="Q1192" s="403">
        <v>0.0</v>
      </c>
      <c r="R1192" s="403"/>
      <c r="S1192" s="403"/>
      <c r="T1192" s="403"/>
      <c r="U1192" s="403"/>
      <c r="V1192" s="403"/>
      <c r="W1192" s="403"/>
      <c r="X1192" s="403"/>
      <c r="Y1192" s="403"/>
      <c r="Z1192" s="403"/>
    </row>
    <row r="1193">
      <c r="A1193" s="403"/>
      <c r="B1193" s="417"/>
      <c r="C1193" s="415"/>
      <c r="D1193" s="417"/>
      <c r="E1193" s="417"/>
      <c r="F1193" s="417"/>
      <c r="G1193" s="418"/>
      <c r="H1193" s="417"/>
      <c r="I1193" s="418"/>
      <c r="J1193" s="432"/>
      <c r="K1193" s="420"/>
      <c r="L1193" s="417"/>
      <c r="M1193" s="415"/>
      <c r="N1193" s="422"/>
      <c r="O1193" s="75" t="str">
        <f t="shared" si="3"/>
        <v/>
      </c>
      <c r="P1193" s="403">
        <v>0.0</v>
      </c>
      <c r="Q1193" s="403">
        <v>0.0</v>
      </c>
      <c r="R1193" s="403"/>
      <c r="S1193" s="403"/>
      <c r="T1193" s="403"/>
      <c r="U1193" s="403"/>
      <c r="V1193" s="403"/>
      <c r="W1193" s="403"/>
      <c r="X1193" s="403"/>
      <c r="Y1193" s="403"/>
      <c r="Z1193" s="403"/>
    </row>
    <row r="1194">
      <c r="A1194" s="403"/>
      <c r="B1194" s="417"/>
      <c r="C1194" s="415"/>
      <c r="D1194" s="417"/>
      <c r="E1194" s="417"/>
      <c r="F1194" s="417"/>
      <c r="G1194" s="418"/>
      <c r="H1194" s="417"/>
      <c r="I1194" s="418"/>
      <c r="J1194" s="432"/>
      <c r="K1194" s="420"/>
      <c r="L1194" s="417"/>
      <c r="M1194" s="415"/>
      <c r="N1194" s="422"/>
      <c r="O1194" s="75" t="str">
        <f t="shared" si="3"/>
        <v/>
      </c>
      <c r="P1194" s="403">
        <v>0.0</v>
      </c>
      <c r="Q1194" s="403">
        <v>0.0</v>
      </c>
      <c r="R1194" s="403"/>
      <c r="S1194" s="403"/>
      <c r="T1194" s="403"/>
      <c r="U1194" s="403"/>
      <c r="V1194" s="403"/>
      <c r="W1194" s="403"/>
      <c r="X1194" s="403"/>
      <c r="Y1194" s="403"/>
      <c r="Z1194" s="403"/>
    </row>
    <row r="1195">
      <c r="A1195" s="403"/>
      <c r="B1195" s="417"/>
      <c r="C1195" s="415"/>
      <c r="D1195" s="417"/>
      <c r="E1195" s="417"/>
      <c r="F1195" s="417"/>
      <c r="G1195" s="418"/>
      <c r="H1195" s="417"/>
      <c r="I1195" s="418"/>
      <c r="J1195" s="432"/>
      <c r="K1195" s="420"/>
      <c r="L1195" s="417"/>
      <c r="M1195" s="415"/>
      <c r="N1195" s="422"/>
      <c r="O1195" s="75" t="str">
        <f t="shared" si="3"/>
        <v/>
      </c>
      <c r="P1195" s="403">
        <v>0.0</v>
      </c>
      <c r="Q1195" s="403">
        <v>0.0</v>
      </c>
      <c r="R1195" s="403"/>
      <c r="S1195" s="403"/>
      <c r="T1195" s="403"/>
      <c r="U1195" s="403"/>
      <c r="V1195" s="403"/>
      <c r="W1195" s="403"/>
      <c r="X1195" s="403"/>
      <c r="Y1195" s="403"/>
      <c r="Z1195" s="403"/>
    </row>
    <row r="1196">
      <c r="A1196" s="403"/>
      <c r="B1196" s="417"/>
      <c r="C1196" s="415"/>
      <c r="D1196" s="417"/>
      <c r="E1196" s="417"/>
      <c r="F1196" s="417"/>
      <c r="G1196" s="418"/>
      <c r="H1196" s="417"/>
      <c r="I1196" s="418"/>
      <c r="J1196" s="432"/>
      <c r="K1196" s="420"/>
      <c r="L1196" s="417"/>
      <c r="M1196" s="415"/>
      <c r="N1196" s="422"/>
      <c r="O1196" s="75" t="str">
        <f t="shared" si="3"/>
        <v/>
      </c>
      <c r="P1196" s="403">
        <v>0.0</v>
      </c>
      <c r="Q1196" s="403">
        <v>0.0</v>
      </c>
      <c r="R1196" s="403"/>
      <c r="S1196" s="403"/>
      <c r="T1196" s="403"/>
      <c r="U1196" s="403"/>
      <c r="V1196" s="403"/>
      <c r="W1196" s="403"/>
      <c r="X1196" s="403"/>
      <c r="Y1196" s="403"/>
      <c r="Z1196" s="403"/>
    </row>
    <row r="1197">
      <c r="A1197" s="403"/>
      <c r="B1197" s="417"/>
      <c r="C1197" s="415"/>
      <c r="D1197" s="417"/>
      <c r="E1197" s="417"/>
      <c r="F1197" s="417"/>
      <c r="G1197" s="418"/>
      <c r="H1197" s="417"/>
      <c r="I1197" s="418"/>
      <c r="J1197" s="432"/>
      <c r="K1197" s="420"/>
      <c r="L1197" s="417"/>
      <c r="M1197" s="415"/>
      <c r="N1197" s="422"/>
      <c r="O1197" s="75" t="str">
        <f t="shared" si="3"/>
        <v/>
      </c>
      <c r="P1197" s="403">
        <v>0.0</v>
      </c>
      <c r="Q1197" s="403">
        <v>0.0</v>
      </c>
      <c r="R1197" s="403"/>
      <c r="S1197" s="403"/>
      <c r="T1197" s="403"/>
      <c r="U1197" s="403"/>
      <c r="V1197" s="403"/>
      <c r="W1197" s="403"/>
      <c r="X1197" s="403"/>
      <c r="Y1197" s="403"/>
      <c r="Z1197" s="403"/>
    </row>
    <row r="1198">
      <c r="A1198" s="403"/>
      <c r="B1198" s="417"/>
      <c r="C1198" s="415"/>
      <c r="D1198" s="417"/>
      <c r="E1198" s="417"/>
      <c r="F1198" s="417"/>
      <c r="G1198" s="418"/>
      <c r="H1198" s="417"/>
      <c r="I1198" s="418"/>
      <c r="J1198" s="432"/>
      <c r="K1198" s="420"/>
      <c r="L1198" s="417"/>
      <c r="M1198" s="415"/>
      <c r="N1198" s="422"/>
      <c r="O1198" s="75" t="str">
        <f t="shared" si="3"/>
        <v/>
      </c>
      <c r="P1198" s="403">
        <v>0.0</v>
      </c>
      <c r="Q1198" s="403">
        <v>0.0</v>
      </c>
      <c r="R1198" s="403"/>
      <c r="S1198" s="403"/>
      <c r="T1198" s="403"/>
      <c r="U1198" s="403"/>
      <c r="V1198" s="403"/>
      <c r="W1198" s="403"/>
      <c r="X1198" s="403"/>
      <c r="Y1198" s="403"/>
      <c r="Z1198" s="403"/>
    </row>
    <row r="1199">
      <c r="A1199" s="403"/>
      <c r="B1199" s="417"/>
      <c r="C1199" s="415"/>
      <c r="D1199" s="417"/>
      <c r="E1199" s="417"/>
      <c r="F1199" s="417"/>
      <c r="G1199" s="418"/>
      <c r="H1199" s="417"/>
      <c r="I1199" s="418"/>
      <c r="J1199" s="432"/>
      <c r="K1199" s="420"/>
      <c r="L1199" s="417"/>
      <c r="M1199" s="415"/>
      <c r="N1199" s="422"/>
      <c r="O1199" s="75" t="str">
        <f t="shared" si="3"/>
        <v/>
      </c>
      <c r="P1199" s="403">
        <v>0.0</v>
      </c>
      <c r="Q1199" s="403">
        <v>0.0</v>
      </c>
      <c r="R1199" s="403"/>
      <c r="S1199" s="403"/>
      <c r="T1199" s="403"/>
      <c r="U1199" s="403"/>
      <c r="V1199" s="403"/>
      <c r="W1199" s="403"/>
      <c r="X1199" s="403"/>
      <c r="Y1199" s="403"/>
      <c r="Z1199" s="403"/>
    </row>
    <row r="1200">
      <c r="A1200" s="403"/>
      <c r="B1200" s="417"/>
      <c r="C1200" s="415"/>
      <c r="D1200" s="417"/>
      <c r="E1200" s="417"/>
      <c r="F1200" s="417"/>
      <c r="G1200" s="418"/>
      <c r="H1200" s="417"/>
      <c r="I1200" s="418"/>
      <c r="J1200" s="432"/>
      <c r="K1200" s="420"/>
      <c r="L1200" s="417"/>
      <c r="M1200" s="415"/>
      <c r="N1200" s="422"/>
      <c r="O1200" s="75" t="str">
        <f t="shared" si="3"/>
        <v/>
      </c>
      <c r="P1200" s="403">
        <v>0.0</v>
      </c>
      <c r="Q1200" s="403">
        <v>0.0</v>
      </c>
      <c r="R1200" s="403"/>
      <c r="S1200" s="403"/>
      <c r="T1200" s="403"/>
      <c r="U1200" s="403"/>
      <c r="V1200" s="403"/>
      <c r="W1200" s="403"/>
      <c r="X1200" s="403"/>
      <c r="Y1200" s="403"/>
      <c r="Z1200" s="403"/>
    </row>
    <row r="1201">
      <c r="A1201" s="403"/>
      <c r="B1201" s="417"/>
      <c r="C1201" s="415"/>
      <c r="D1201" s="417"/>
      <c r="E1201" s="417"/>
      <c r="F1201" s="417"/>
      <c r="G1201" s="418"/>
      <c r="H1201" s="417"/>
      <c r="I1201" s="418"/>
      <c r="J1201" s="432"/>
      <c r="K1201" s="420"/>
      <c r="L1201" s="417"/>
      <c r="M1201" s="415"/>
      <c r="N1201" s="422"/>
      <c r="O1201" s="75" t="str">
        <f t="shared" si="3"/>
        <v/>
      </c>
      <c r="P1201" s="403">
        <v>0.0</v>
      </c>
      <c r="Q1201" s="403">
        <v>0.0</v>
      </c>
      <c r="R1201" s="403"/>
      <c r="S1201" s="403"/>
      <c r="T1201" s="403"/>
      <c r="U1201" s="403"/>
      <c r="V1201" s="403"/>
      <c r="W1201" s="403"/>
      <c r="X1201" s="403"/>
      <c r="Y1201" s="403"/>
      <c r="Z1201" s="403"/>
    </row>
    <row r="1202">
      <c r="A1202" s="403"/>
      <c r="B1202" s="417"/>
      <c r="C1202" s="415"/>
      <c r="D1202" s="417"/>
      <c r="E1202" s="417"/>
      <c r="F1202" s="417"/>
      <c r="G1202" s="418"/>
      <c r="H1202" s="417"/>
      <c r="I1202" s="418"/>
      <c r="J1202" s="432"/>
      <c r="K1202" s="420"/>
      <c r="L1202" s="417"/>
      <c r="M1202" s="415"/>
      <c r="N1202" s="422"/>
      <c r="O1202" s="75" t="str">
        <f t="shared" si="3"/>
        <v/>
      </c>
      <c r="P1202" s="403">
        <v>0.0</v>
      </c>
      <c r="Q1202" s="403">
        <v>0.0</v>
      </c>
      <c r="R1202" s="403"/>
      <c r="S1202" s="403"/>
      <c r="T1202" s="403"/>
      <c r="U1202" s="403"/>
      <c r="V1202" s="403"/>
      <c r="W1202" s="403"/>
      <c r="X1202" s="403"/>
      <c r="Y1202" s="403"/>
      <c r="Z1202" s="403"/>
    </row>
    <row r="1203">
      <c r="A1203" s="403"/>
      <c r="B1203" s="417"/>
      <c r="C1203" s="415"/>
      <c r="D1203" s="417"/>
      <c r="E1203" s="417"/>
      <c r="F1203" s="417"/>
      <c r="G1203" s="418"/>
      <c r="H1203" s="417"/>
      <c r="I1203" s="418"/>
      <c r="J1203" s="432"/>
      <c r="K1203" s="420"/>
      <c r="L1203" s="417"/>
      <c r="M1203" s="415"/>
      <c r="N1203" s="422"/>
      <c r="O1203" s="75" t="str">
        <f t="shared" si="3"/>
        <v/>
      </c>
      <c r="P1203" s="403">
        <v>0.0</v>
      </c>
      <c r="Q1203" s="403">
        <v>0.0</v>
      </c>
      <c r="R1203" s="403"/>
      <c r="S1203" s="403"/>
      <c r="T1203" s="403"/>
      <c r="U1203" s="403"/>
      <c r="V1203" s="403"/>
      <c r="W1203" s="403"/>
      <c r="X1203" s="403"/>
      <c r="Y1203" s="403"/>
      <c r="Z1203" s="403"/>
    </row>
    <row r="1204">
      <c r="A1204" s="403"/>
      <c r="B1204" s="417"/>
      <c r="C1204" s="415"/>
      <c r="D1204" s="417"/>
      <c r="E1204" s="417"/>
      <c r="F1204" s="417"/>
      <c r="G1204" s="418"/>
      <c r="H1204" s="417"/>
      <c r="I1204" s="418"/>
      <c r="J1204" s="432"/>
      <c r="K1204" s="420"/>
      <c r="L1204" s="417"/>
      <c r="M1204" s="415"/>
      <c r="N1204" s="422"/>
      <c r="O1204" s="75" t="str">
        <f t="shared" si="3"/>
        <v/>
      </c>
      <c r="P1204" s="403">
        <v>0.0</v>
      </c>
      <c r="Q1204" s="403">
        <v>0.0</v>
      </c>
      <c r="R1204" s="403"/>
      <c r="S1204" s="403"/>
      <c r="T1204" s="403"/>
      <c r="U1204" s="403"/>
      <c r="V1204" s="403"/>
      <c r="W1204" s="403"/>
      <c r="X1204" s="403"/>
      <c r="Y1204" s="403"/>
      <c r="Z1204" s="403"/>
    </row>
    <row r="1205">
      <c r="A1205" s="403"/>
      <c r="B1205" s="417"/>
      <c r="C1205" s="415"/>
      <c r="D1205" s="417"/>
      <c r="E1205" s="417"/>
      <c r="F1205" s="417"/>
      <c r="G1205" s="418"/>
      <c r="H1205" s="417"/>
      <c r="I1205" s="418"/>
      <c r="J1205" s="432"/>
      <c r="K1205" s="420"/>
      <c r="L1205" s="417"/>
      <c r="M1205" s="415"/>
      <c r="N1205" s="422"/>
      <c r="O1205" s="75" t="str">
        <f t="shared" si="3"/>
        <v/>
      </c>
      <c r="P1205" s="403">
        <v>0.0</v>
      </c>
      <c r="Q1205" s="403">
        <v>0.0</v>
      </c>
      <c r="R1205" s="403"/>
      <c r="S1205" s="403"/>
      <c r="T1205" s="403"/>
      <c r="U1205" s="403"/>
      <c r="V1205" s="403"/>
      <c r="W1205" s="403"/>
      <c r="X1205" s="403"/>
      <c r="Y1205" s="403"/>
      <c r="Z1205" s="403"/>
    </row>
    <row r="1206">
      <c r="A1206" s="403"/>
      <c r="B1206" s="417"/>
      <c r="C1206" s="415"/>
      <c r="D1206" s="417"/>
      <c r="E1206" s="417"/>
      <c r="F1206" s="417"/>
      <c r="G1206" s="418"/>
      <c r="H1206" s="417"/>
      <c r="I1206" s="418"/>
      <c r="J1206" s="432"/>
      <c r="K1206" s="420"/>
      <c r="L1206" s="417"/>
      <c r="M1206" s="415"/>
      <c r="N1206" s="422"/>
      <c r="O1206" s="75" t="str">
        <f t="shared" si="3"/>
        <v/>
      </c>
      <c r="P1206" s="403">
        <v>0.0</v>
      </c>
      <c r="Q1206" s="403">
        <v>0.0</v>
      </c>
      <c r="R1206" s="403"/>
      <c r="S1206" s="403"/>
      <c r="T1206" s="403"/>
      <c r="U1206" s="403"/>
      <c r="V1206" s="403"/>
      <c r="W1206" s="403"/>
      <c r="X1206" s="403"/>
      <c r="Y1206" s="403"/>
      <c r="Z1206" s="403"/>
    </row>
    <row r="1207">
      <c r="A1207" s="403"/>
      <c r="B1207" s="417"/>
      <c r="C1207" s="415"/>
      <c r="D1207" s="417"/>
      <c r="E1207" s="417"/>
      <c r="F1207" s="417"/>
      <c r="G1207" s="418"/>
      <c r="H1207" s="417"/>
      <c r="I1207" s="418"/>
      <c r="J1207" s="432"/>
      <c r="K1207" s="420"/>
      <c r="L1207" s="417"/>
      <c r="M1207" s="415"/>
      <c r="N1207" s="422"/>
      <c r="O1207" s="75" t="str">
        <f t="shared" si="3"/>
        <v/>
      </c>
      <c r="P1207" s="403">
        <v>0.0</v>
      </c>
      <c r="Q1207" s="403">
        <v>0.0</v>
      </c>
      <c r="R1207" s="403"/>
      <c r="S1207" s="403"/>
      <c r="T1207" s="403"/>
      <c r="U1207" s="403"/>
      <c r="V1207" s="403"/>
      <c r="W1207" s="403"/>
      <c r="X1207" s="403"/>
      <c r="Y1207" s="403"/>
      <c r="Z1207" s="403"/>
    </row>
    <row r="1208">
      <c r="A1208" s="403"/>
      <c r="B1208" s="417"/>
      <c r="C1208" s="415"/>
      <c r="D1208" s="417"/>
      <c r="E1208" s="417"/>
      <c r="F1208" s="417"/>
      <c r="G1208" s="418"/>
      <c r="H1208" s="417"/>
      <c r="I1208" s="418"/>
      <c r="J1208" s="432"/>
      <c r="K1208" s="420"/>
      <c r="L1208" s="417"/>
      <c r="M1208" s="415"/>
      <c r="N1208" s="422"/>
      <c r="O1208" s="75" t="str">
        <f t="shared" si="3"/>
        <v/>
      </c>
      <c r="P1208" s="403">
        <v>0.0</v>
      </c>
      <c r="Q1208" s="403">
        <v>0.0</v>
      </c>
      <c r="R1208" s="403"/>
      <c r="S1208" s="403"/>
      <c r="T1208" s="403"/>
      <c r="U1208" s="403"/>
      <c r="V1208" s="403"/>
      <c r="W1208" s="403"/>
      <c r="X1208" s="403"/>
      <c r="Y1208" s="403"/>
      <c r="Z1208" s="403"/>
    </row>
    <row r="1209">
      <c r="A1209" s="403"/>
      <c r="B1209" s="417"/>
      <c r="C1209" s="415"/>
      <c r="D1209" s="417"/>
      <c r="E1209" s="417"/>
      <c r="F1209" s="417"/>
      <c r="G1209" s="418"/>
      <c r="H1209" s="417"/>
      <c r="I1209" s="418"/>
      <c r="J1209" s="432"/>
      <c r="K1209" s="420"/>
      <c r="L1209" s="417"/>
      <c r="M1209" s="415"/>
      <c r="N1209" s="422"/>
      <c r="O1209" s="75" t="str">
        <f t="shared" si="3"/>
        <v/>
      </c>
      <c r="P1209" s="403">
        <v>0.0</v>
      </c>
      <c r="Q1209" s="403">
        <v>0.0</v>
      </c>
      <c r="R1209" s="403"/>
      <c r="S1209" s="403"/>
      <c r="T1209" s="403"/>
      <c r="U1209" s="403"/>
      <c r="V1209" s="403"/>
      <c r="W1209" s="403"/>
      <c r="X1209" s="403"/>
      <c r="Y1209" s="403"/>
      <c r="Z1209" s="403"/>
    </row>
    <row r="1210">
      <c r="A1210" s="403"/>
      <c r="B1210" s="417"/>
      <c r="C1210" s="415"/>
      <c r="D1210" s="417"/>
      <c r="E1210" s="417"/>
      <c r="F1210" s="417"/>
      <c r="G1210" s="418"/>
      <c r="H1210" s="417"/>
      <c r="I1210" s="418"/>
      <c r="J1210" s="432"/>
      <c r="K1210" s="420"/>
      <c r="L1210" s="417"/>
      <c r="M1210" s="415"/>
      <c r="N1210" s="422"/>
      <c r="O1210" s="75" t="str">
        <f t="shared" si="3"/>
        <v/>
      </c>
      <c r="P1210" s="403">
        <v>0.0</v>
      </c>
      <c r="Q1210" s="403">
        <v>0.0</v>
      </c>
      <c r="R1210" s="403"/>
      <c r="S1210" s="403"/>
      <c r="T1210" s="403"/>
      <c r="U1210" s="403"/>
      <c r="V1210" s="403"/>
      <c r="W1210" s="403"/>
      <c r="X1210" s="403"/>
      <c r="Y1210" s="403"/>
      <c r="Z1210" s="403"/>
    </row>
    <row r="1211">
      <c r="A1211" s="403"/>
      <c r="B1211" s="417"/>
      <c r="C1211" s="415"/>
      <c r="D1211" s="417"/>
      <c r="E1211" s="417"/>
      <c r="F1211" s="417"/>
      <c r="G1211" s="418"/>
      <c r="H1211" s="417"/>
      <c r="I1211" s="418"/>
      <c r="J1211" s="432"/>
      <c r="K1211" s="420"/>
      <c r="L1211" s="417"/>
      <c r="M1211" s="415"/>
      <c r="N1211" s="422"/>
      <c r="O1211" s="75" t="str">
        <f t="shared" si="3"/>
        <v/>
      </c>
      <c r="P1211" s="403">
        <v>0.0</v>
      </c>
      <c r="Q1211" s="403">
        <v>0.0</v>
      </c>
      <c r="R1211" s="403"/>
      <c r="S1211" s="403"/>
      <c r="T1211" s="403"/>
      <c r="U1211" s="403"/>
      <c r="V1211" s="403"/>
      <c r="W1211" s="403"/>
      <c r="X1211" s="403"/>
      <c r="Y1211" s="403"/>
      <c r="Z1211" s="403"/>
    </row>
    <row r="1212">
      <c r="A1212" s="403"/>
      <c r="B1212" s="417"/>
      <c r="C1212" s="415"/>
      <c r="D1212" s="417"/>
      <c r="E1212" s="417"/>
      <c r="F1212" s="417"/>
      <c r="G1212" s="418"/>
      <c r="H1212" s="417"/>
      <c r="I1212" s="418"/>
      <c r="J1212" s="432"/>
      <c r="K1212" s="420"/>
      <c r="L1212" s="417"/>
      <c r="M1212" s="415"/>
      <c r="N1212" s="422"/>
      <c r="O1212" s="75" t="str">
        <f t="shared" si="3"/>
        <v/>
      </c>
      <c r="P1212" s="403">
        <v>0.0</v>
      </c>
      <c r="Q1212" s="403">
        <v>0.0</v>
      </c>
      <c r="R1212" s="403"/>
      <c r="S1212" s="403"/>
      <c r="T1212" s="403"/>
      <c r="U1212" s="403"/>
      <c r="V1212" s="403"/>
      <c r="W1212" s="403"/>
      <c r="X1212" s="403"/>
      <c r="Y1212" s="403"/>
      <c r="Z1212" s="403"/>
    </row>
    <row r="1213">
      <c r="A1213" s="403"/>
      <c r="B1213" s="417"/>
      <c r="C1213" s="415"/>
      <c r="D1213" s="417"/>
      <c r="E1213" s="417"/>
      <c r="F1213" s="417"/>
      <c r="G1213" s="418"/>
      <c r="H1213" s="417"/>
      <c r="I1213" s="418"/>
      <c r="J1213" s="432"/>
      <c r="K1213" s="420"/>
      <c r="L1213" s="417"/>
      <c r="M1213" s="415"/>
      <c r="N1213" s="422"/>
      <c r="O1213" s="75" t="str">
        <f t="shared" si="3"/>
        <v/>
      </c>
      <c r="P1213" s="403">
        <v>0.0</v>
      </c>
      <c r="Q1213" s="403">
        <v>0.0</v>
      </c>
      <c r="R1213" s="403"/>
      <c r="S1213" s="403"/>
      <c r="T1213" s="403"/>
      <c r="U1213" s="403"/>
      <c r="V1213" s="403"/>
      <c r="W1213" s="403"/>
      <c r="X1213" s="403"/>
      <c r="Y1213" s="403"/>
      <c r="Z1213" s="403"/>
    </row>
    <row r="1214">
      <c r="A1214" s="403"/>
      <c r="B1214" s="417"/>
      <c r="C1214" s="415"/>
      <c r="D1214" s="417"/>
      <c r="E1214" s="417"/>
      <c r="F1214" s="417"/>
      <c r="G1214" s="418"/>
      <c r="H1214" s="417"/>
      <c r="I1214" s="418"/>
      <c r="J1214" s="432"/>
      <c r="K1214" s="420"/>
      <c r="L1214" s="417"/>
      <c r="M1214" s="415"/>
      <c r="N1214" s="422"/>
      <c r="O1214" s="75" t="str">
        <f t="shared" si="3"/>
        <v/>
      </c>
      <c r="P1214" s="403">
        <v>0.0</v>
      </c>
      <c r="Q1214" s="403">
        <v>0.0</v>
      </c>
      <c r="R1214" s="403"/>
      <c r="S1214" s="403"/>
      <c r="T1214" s="403"/>
      <c r="U1214" s="403"/>
      <c r="V1214" s="403"/>
      <c r="W1214" s="403"/>
      <c r="X1214" s="403"/>
      <c r="Y1214" s="403"/>
      <c r="Z1214" s="403"/>
    </row>
    <row r="1215">
      <c r="A1215" s="403"/>
      <c r="B1215" s="417"/>
      <c r="C1215" s="415"/>
      <c r="D1215" s="417"/>
      <c r="E1215" s="417"/>
      <c r="F1215" s="417"/>
      <c r="G1215" s="418"/>
      <c r="H1215" s="417"/>
      <c r="I1215" s="418"/>
      <c r="J1215" s="432"/>
      <c r="K1215" s="420"/>
      <c r="L1215" s="417"/>
      <c r="M1215" s="415"/>
      <c r="N1215" s="422"/>
      <c r="O1215" s="75" t="str">
        <f t="shared" si="3"/>
        <v/>
      </c>
      <c r="P1215" s="403">
        <v>0.0</v>
      </c>
      <c r="Q1215" s="403">
        <v>0.0</v>
      </c>
      <c r="R1215" s="403"/>
      <c r="S1215" s="403"/>
      <c r="T1215" s="403"/>
      <c r="U1215" s="403"/>
      <c r="V1215" s="403"/>
      <c r="W1215" s="403"/>
      <c r="X1215" s="403"/>
      <c r="Y1215" s="403"/>
      <c r="Z1215" s="403"/>
    </row>
    <row r="1216">
      <c r="A1216" s="403"/>
      <c r="B1216" s="417"/>
      <c r="C1216" s="415"/>
      <c r="D1216" s="417"/>
      <c r="E1216" s="417"/>
      <c r="F1216" s="417"/>
      <c r="G1216" s="418"/>
      <c r="H1216" s="417"/>
      <c r="I1216" s="418"/>
      <c r="J1216" s="432"/>
      <c r="K1216" s="420"/>
      <c r="L1216" s="417"/>
      <c r="M1216" s="415"/>
      <c r="N1216" s="422"/>
      <c r="O1216" s="75" t="str">
        <f t="shared" si="3"/>
        <v/>
      </c>
      <c r="P1216" s="403">
        <v>0.0</v>
      </c>
      <c r="Q1216" s="403">
        <v>0.0</v>
      </c>
      <c r="R1216" s="403"/>
      <c r="S1216" s="403"/>
      <c r="T1216" s="403"/>
      <c r="U1216" s="403"/>
      <c r="V1216" s="403"/>
      <c r="W1216" s="403"/>
      <c r="X1216" s="403"/>
      <c r="Y1216" s="403"/>
      <c r="Z1216" s="403"/>
    </row>
    <row r="1217">
      <c r="A1217" s="403"/>
      <c r="B1217" s="417"/>
      <c r="C1217" s="415"/>
      <c r="D1217" s="417"/>
      <c r="E1217" s="417"/>
      <c r="F1217" s="417"/>
      <c r="G1217" s="418"/>
      <c r="H1217" s="417"/>
      <c r="I1217" s="418"/>
      <c r="J1217" s="432"/>
      <c r="K1217" s="420"/>
      <c r="L1217" s="417"/>
      <c r="M1217" s="415"/>
      <c r="N1217" s="422"/>
      <c r="O1217" s="75" t="str">
        <f t="shared" si="3"/>
        <v/>
      </c>
      <c r="P1217" s="403">
        <v>0.0</v>
      </c>
      <c r="Q1217" s="403">
        <v>0.0</v>
      </c>
      <c r="R1217" s="403"/>
      <c r="S1217" s="403"/>
      <c r="T1217" s="403"/>
      <c r="U1217" s="403"/>
      <c r="V1217" s="403"/>
      <c r="W1217" s="403"/>
      <c r="X1217" s="403"/>
      <c r="Y1217" s="403"/>
      <c r="Z1217" s="403"/>
    </row>
    <row r="1218">
      <c r="A1218" s="403"/>
      <c r="B1218" s="417"/>
      <c r="C1218" s="415"/>
      <c r="D1218" s="417"/>
      <c r="E1218" s="417"/>
      <c r="F1218" s="417"/>
      <c r="G1218" s="418"/>
      <c r="H1218" s="417"/>
      <c r="I1218" s="418"/>
      <c r="J1218" s="432"/>
      <c r="K1218" s="420"/>
      <c r="L1218" s="417"/>
      <c r="M1218" s="415"/>
      <c r="N1218" s="422"/>
      <c r="O1218" s="75" t="str">
        <f t="shared" si="3"/>
        <v/>
      </c>
      <c r="P1218" s="403">
        <v>0.0</v>
      </c>
      <c r="Q1218" s="403">
        <v>0.0</v>
      </c>
      <c r="R1218" s="403"/>
      <c r="S1218" s="403"/>
      <c r="T1218" s="403"/>
      <c r="U1218" s="403"/>
      <c r="V1218" s="403"/>
      <c r="W1218" s="403"/>
      <c r="X1218" s="403"/>
      <c r="Y1218" s="403"/>
      <c r="Z1218" s="403"/>
    </row>
    <row r="1219">
      <c r="A1219" s="403"/>
      <c r="B1219" s="417"/>
      <c r="C1219" s="415"/>
      <c r="D1219" s="417"/>
      <c r="E1219" s="417"/>
      <c r="F1219" s="417"/>
      <c r="G1219" s="418"/>
      <c r="H1219" s="417"/>
      <c r="I1219" s="418"/>
      <c r="J1219" s="432"/>
      <c r="K1219" s="420"/>
      <c r="L1219" s="417"/>
      <c r="M1219" s="415"/>
      <c r="N1219" s="422"/>
      <c r="O1219" s="75" t="str">
        <f t="shared" si="3"/>
        <v/>
      </c>
      <c r="P1219" s="403">
        <v>0.0</v>
      </c>
      <c r="Q1219" s="403">
        <v>0.0</v>
      </c>
      <c r="R1219" s="403"/>
      <c r="S1219" s="403"/>
      <c r="T1219" s="403"/>
      <c r="U1219" s="403"/>
      <c r="V1219" s="403"/>
      <c r="W1219" s="403"/>
      <c r="X1219" s="403"/>
      <c r="Y1219" s="403"/>
      <c r="Z1219" s="403"/>
    </row>
    <row r="1220">
      <c r="A1220" s="403"/>
      <c r="B1220" s="417"/>
      <c r="C1220" s="415"/>
      <c r="D1220" s="417"/>
      <c r="E1220" s="417"/>
      <c r="F1220" s="417"/>
      <c r="G1220" s="418"/>
      <c r="H1220" s="417"/>
      <c r="I1220" s="418"/>
      <c r="J1220" s="432"/>
      <c r="K1220" s="420"/>
      <c r="L1220" s="417"/>
      <c r="M1220" s="415"/>
      <c r="N1220" s="422"/>
      <c r="O1220" s="75" t="str">
        <f t="shared" si="3"/>
        <v/>
      </c>
      <c r="P1220" s="403">
        <v>0.0</v>
      </c>
      <c r="Q1220" s="403">
        <v>0.0</v>
      </c>
      <c r="R1220" s="403"/>
      <c r="S1220" s="403"/>
      <c r="T1220" s="403"/>
      <c r="U1220" s="403"/>
      <c r="V1220" s="403"/>
      <c r="W1220" s="403"/>
      <c r="X1220" s="403"/>
      <c r="Y1220" s="403"/>
      <c r="Z1220" s="403"/>
    </row>
    <row r="1221">
      <c r="A1221" s="403"/>
      <c r="B1221" s="417"/>
      <c r="C1221" s="415"/>
      <c r="D1221" s="417"/>
      <c r="E1221" s="417"/>
      <c r="F1221" s="417"/>
      <c r="G1221" s="418"/>
      <c r="H1221" s="417"/>
      <c r="I1221" s="418"/>
      <c r="J1221" s="432"/>
      <c r="K1221" s="420"/>
      <c r="L1221" s="417"/>
      <c r="M1221" s="415"/>
      <c r="N1221" s="422"/>
      <c r="O1221" s="75" t="str">
        <f t="shared" si="3"/>
        <v/>
      </c>
      <c r="P1221" s="403">
        <v>0.0</v>
      </c>
      <c r="Q1221" s="403">
        <v>0.0</v>
      </c>
      <c r="R1221" s="403"/>
      <c r="S1221" s="403"/>
      <c r="T1221" s="403"/>
      <c r="U1221" s="403"/>
      <c r="V1221" s="403"/>
      <c r="W1221" s="403"/>
      <c r="X1221" s="403"/>
      <c r="Y1221" s="403"/>
      <c r="Z1221" s="403"/>
    </row>
    <row r="1222">
      <c r="A1222" s="403"/>
      <c r="B1222" s="417"/>
      <c r="C1222" s="415"/>
      <c r="D1222" s="417"/>
      <c r="E1222" s="417"/>
      <c r="F1222" s="417"/>
      <c r="G1222" s="418"/>
      <c r="H1222" s="417"/>
      <c r="I1222" s="418"/>
      <c r="J1222" s="432"/>
      <c r="K1222" s="420"/>
      <c r="L1222" s="417"/>
      <c r="M1222" s="415"/>
      <c r="N1222" s="422"/>
      <c r="O1222" s="75" t="str">
        <f t="shared" si="3"/>
        <v/>
      </c>
      <c r="P1222" s="403">
        <v>0.0</v>
      </c>
      <c r="Q1222" s="403">
        <v>0.0</v>
      </c>
      <c r="R1222" s="403"/>
      <c r="S1222" s="403"/>
      <c r="T1222" s="403"/>
      <c r="U1222" s="403"/>
      <c r="V1222" s="403"/>
      <c r="W1222" s="403"/>
      <c r="X1222" s="403"/>
      <c r="Y1222" s="403"/>
      <c r="Z1222" s="403"/>
    </row>
    <row r="1223">
      <c r="A1223" s="403"/>
      <c r="B1223" s="417"/>
      <c r="C1223" s="415"/>
      <c r="D1223" s="417"/>
      <c r="E1223" s="417"/>
      <c r="F1223" s="417"/>
      <c r="G1223" s="418"/>
      <c r="H1223" s="417"/>
      <c r="I1223" s="418"/>
      <c r="J1223" s="432"/>
      <c r="K1223" s="420"/>
      <c r="L1223" s="417"/>
      <c r="M1223" s="415"/>
      <c r="N1223" s="422"/>
      <c r="O1223" s="75" t="str">
        <f t="shared" si="3"/>
        <v/>
      </c>
      <c r="P1223" s="403">
        <v>0.0</v>
      </c>
      <c r="Q1223" s="403">
        <v>0.0</v>
      </c>
      <c r="R1223" s="403"/>
      <c r="S1223" s="403"/>
      <c r="T1223" s="403"/>
      <c r="U1223" s="403"/>
      <c r="V1223" s="403"/>
      <c r="W1223" s="403"/>
      <c r="X1223" s="403"/>
      <c r="Y1223" s="403"/>
      <c r="Z1223" s="403"/>
    </row>
    <row r="1224">
      <c r="A1224" s="403"/>
      <c r="B1224" s="417"/>
      <c r="C1224" s="415"/>
      <c r="D1224" s="417"/>
      <c r="E1224" s="417"/>
      <c r="F1224" s="417"/>
      <c r="G1224" s="418"/>
      <c r="H1224" s="417"/>
      <c r="I1224" s="418"/>
      <c r="J1224" s="432"/>
      <c r="K1224" s="420"/>
      <c r="L1224" s="417"/>
      <c r="M1224" s="415"/>
      <c r="N1224" s="422"/>
      <c r="O1224" s="75" t="str">
        <f t="shared" si="3"/>
        <v/>
      </c>
      <c r="P1224" s="403">
        <v>0.0</v>
      </c>
      <c r="Q1224" s="403">
        <v>0.0</v>
      </c>
      <c r="R1224" s="403"/>
      <c r="S1224" s="403"/>
      <c r="T1224" s="403"/>
      <c r="U1224" s="403"/>
      <c r="V1224" s="403"/>
      <c r="W1224" s="403"/>
      <c r="X1224" s="403"/>
      <c r="Y1224" s="403"/>
      <c r="Z1224" s="403"/>
    </row>
    <row r="1225">
      <c r="A1225" s="403"/>
      <c r="B1225" s="417"/>
      <c r="C1225" s="415"/>
      <c r="D1225" s="417"/>
      <c r="E1225" s="417"/>
      <c r="F1225" s="417"/>
      <c r="G1225" s="418"/>
      <c r="H1225" s="417"/>
      <c r="I1225" s="418"/>
      <c r="J1225" s="432"/>
      <c r="K1225" s="420"/>
      <c r="L1225" s="417"/>
      <c r="M1225" s="415"/>
      <c r="N1225" s="422"/>
      <c r="O1225" s="75" t="str">
        <f t="shared" si="3"/>
        <v/>
      </c>
      <c r="P1225" s="403">
        <v>0.0</v>
      </c>
      <c r="Q1225" s="403">
        <v>0.0</v>
      </c>
      <c r="R1225" s="403"/>
      <c r="S1225" s="403"/>
      <c r="T1225" s="403"/>
      <c r="U1225" s="403"/>
      <c r="V1225" s="403"/>
      <c r="W1225" s="403"/>
      <c r="X1225" s="403"/>
      <c r="Y1225" s="403"/>
      <c r="Z1225" s="403"/>
    </row>
    <row r="1226">
      <c r="A1226" s="403"/>
      <c r="B1226" s="417"/>
      <c r="C1226" s="415"/>
      <c r="D1226" s="417"/>
      <c r="E1226" s="417"/>
      <c r="F1226" s="417"/>
      <c r="G1226" s="418"/>
      <c r="H1226" s="417"/>
      <c r="I1226" s="418"/>
      <c r="J1226" s="432"/>
      <c r="K1226" s="420"/>
      <c r="L1226" s="417"/>
      <c r="M1226" s="415"/>
      <c r="N1226" s="422"/>
      <c r="O1226" s="75" t="str">
        <f t="shared" si="3"/>
        <v/>
      </c>
      <c r="P1226" s="403">
        <v>0.0</v>
      </c>
      <c r="Q1226" s="403">
        <v>0.0</v>
      </c>
      <c r="R1226" s="403"/>
      <c r="S1226" s="403"/>
      <c r="T1226" s="403"/>
      <c r="U1226" s="403"/>
      <c r="V1226" s="403"/>
      <c r="W1226" s="403"/>
      <c r="X1226" s="403"/>
      <c r="Y1226" s="403"/>
      <c r="Z1226" s="403"/>
    </row>
    <row r="1227">
      <c r="A1227" s="403"/>
      <c r="B1227" s="417"/>
      <c r="C1227" s="415"/>
      <c r="D1227" s="417"/>
      <c r="E1227" s="417"/>
      <c r="F1227" s="417"/>
      <c r="G1227" s="418"/>
      <c r="H1227" s="417"/>
      <c r="I1227" s="418"/>
      <c r="J1227" s="432"/>
      <c r="K1227" s="420"/>
      <c r="L1227" s="417"/>
      <c r="M1227" s="415"/>
      <c r="N1227" s="422"/>
      <c r="O1227" s="75" t="str">
        <f t="shared" si="3"/>
        <v/>
      </c>
      <c r="P1227" s="403">
        <v>0.0</v>
      </c>
      <c r="Q1227" s="403">
        <v>0.0</v>
      </c>
      <c r="R1227" s="403"/>
      <c r="S1227" s="403"/>
      <c r="T1227" s="403"/>
      <c r="U1227" s="403"/>
      <c r="V1227" s="403"/>
      <c r="W1227" s="403"/>
      <c r="X1227" s="403"/>
      <c r="Y1227" s="403"/>
      <c r="Z1227" s="403"/>
    </row>
    <row r="1228">
      <c r="A1228" s="403"/>
      <c r="B1228" s="417"/>
      <c r="C1228" s="415"/>
      <c r="D1228" s="417"/>
      <c r="E1228" s="417"/>
      <c r="F1228" s="417"/>
      <c r="G1228" s="418"/>
      <c r="H1228" s="417"/>
      <c r="I1228" s="418"/>
      <c r="J1228" s="432"/>
      <c r="K1228" s="420"/>
      <c r="L1228" s="417"/>
      <c r="M1228" s="415"/>
      <c r="N1228" s="422"/>
      <c r="O1228" s="75" t="str">
        <f t="shared" si="3"/>
        <v/>
      </c>
      <c r="P1228" s="403">
        <v>0.0</v>
      </c>
      <c r="Q1228" s="403">
        <v>0.0</v>
      </c>
      <c r="R1228" s="403"/>
      <c r="S1228" s="403"/>
      <c r="T1228" s="403"/>
      <c r="U1228" s="403"/>
      <c r="V1228" s="403"/>
      <c r="W1228" s="403"/>
      <c r="X1228" s="403"/>
      <c r="Y1228" s="403"/>
      <c r="Z1228" s="403"/>
    </row>
    <row r="1229">
      <c r="A1229" s="403"/>
      <c r="B1229" s="417"/>
      <c r="C1229" s="415"/>
      <c r="D1229" s="417"/>
      <c r="E1229" s="417"/>
      <c r="F1229" s="417"/>
      <c r="G1229" s="418"/>
      <c r="H1229" s="417"/>
      <c r="I1229" s="418"/>
      <c r="J1229" s="432"/>
      <c r="K1229" s="420"/>
      <c r="L1229" s="417"/>
      <c r="M1229" s="415"/>
      <c r="N1229" s="422"/>
      <c r="O1229" s="75" t="str">
        <f t="shared" si="3"/>
        <v/>
      </c>
      <c r="P1229" s="403">
        <v>0.0</v>
      </c>
      <c r="Q1229" s="403">
        <v>0.0</v>
      </c>
      <c r="R1229" s="403"/>
      <c r="S1229" s="403"/>
      <c r="T1229" s="403"/>
      <c r="U1229" s="403"/>
      <c r="V1229" s="403"/>
      <c r="W1229" s="403"/>
      <c r="X1229" s="403"/>
      <c r="Y1229" s="403"/>
      <c r="Z1229" s="403"/>
    </row>
    <row r="1230">
      <c r="A1230" s="403"/>
      <c r="B1230" s="417"/>
      <c r="C1230" s="415"/>
      <c r="D1230" s="417"/>
      <c r="E1230" s="417"/>
      <c r="F1230" s="417"/>
      <c r="G1230" s="418"/>
      <c r="H1230" s="417"/>
      <c r="I1230" s="418"/>
      <c r="J1230" s="432"/>
      <c r="K1230" s="420"/>
      <c r="L1230" s="417"/>
      <c r="M1230" s="415"/>
      <c r="N1230" s="422"/>
      <c r="O1230" s="75" t="str">
        <f t="shared" si="3"/>
        <v/>
      </c>
      <c r="P1230" s="403">
        <v>0.0</v>
      </c>
      <c r="Q1230" s="403">
        <v>0.0</v>
      </c>
      <c r="R1230" s="403"/>
      <c r="S1230" s="403"/>
      <c r="T1230" s="403"/>
      <c r="U1230" s="403"/>
      <c r="V1230" s="403"/>
      <c r="W1230" s="403"/>
      <c r="X1230" s="403"/>
      <c r="Y1230" s="403"/>
      <c r="Z1230" s="403"/>
    </row>
    <row r="1231">
      <c r="A1231" s="403"/>
      <c r="B1231" s="417"/>
      <c r="C1231" s="415"/>
      <c r="D1231" s="417"/>
      <c r="E1231" s="417"/>
      <c r="F1231" s="417"/>
      <c r="G1231" s="418"/>
      <c r="H1231" s="417"/>
      <c r="I1231" s="418"/>
      <c r="J1231" s="432"/>
      <c r="K1231" s="420"/>
      <c r="L1231" s="417"/>
      <c r="M1231" s="415"/>
      <c r="N1231" s="422"/>
      <c r="O1231" s="75" t="str">
        <f t="shared" si="3"/>
        <v/>
      </c>
      <c r="P1231" s="403">
        <v>0.0</v>
      </c>
      <c r="Q1231" s="403">
        <v>0.0</v>
      </c>
      <c r="R1231" s="403"/>
      <c r="S1231" s="403"/>
      <c r="T1231" s="403"/>
      <c r="U1231" s="403"/>
      <c r="V1231" s="403"/>
      <c r="W1231" s="403"/>
      <c r="X1231" s="403"/>
      <c r="Y1231" s="403"/>
      <c r="Z1231" s="403"/>
    </row>
    <row r="1232">
      <c r="A1232" s="403"/>
      <c r="B1232" s="417"/>
      <c r="C1232" s="415"/>
      <c r="D1232" s="417"/>
      <c r="E1232" s="417"/>
      <c r="F1232" s="417"/>
      <c r="G1232" s="418"/>
      <c r="H1232" s="417"/>
      <c r="I1232" s="418"/>
      <c r="J1232" s="432"/>
      <c r="K1232" s="420"/>
      <c r="L1232" s="417"/>
      <c r="M1232" s="415"/>
      <c r="N1232" s="422"/>
      <c r="O1232" s="75" t="str">
        <f t="shared" si="3"/>
        <v/>
      </c>
      <c r="P1232" s="403">
        <v>0.0</v>
      </c>
      <c r="Q1232" s="403">
        <v>0.0</v>
      </c>
      <c r="R1232" s="403"/>
      <c r="S1232" s="403"/>
      <c r="T1232" s="403"/>
      <c r="U1232" s="403"/>
      <c r="V1232" s="403"/>
      <c r="W1232" s="403"/>
      <c r="X1232" s="403"/>
      <c r="Y1232" s="403"/>
      <c r="Z1232" s="403"/>
    </row>
    <row r="1233">
      <c r="A1233" s="403"/>
      <c r="B1233" s="417"/>
      <c r="C1233" s="415"/>
      <c r="D1233" s="417"/>
      <c r="E1233" s="417"/>
      <c r="F1233" s="417"/>
      <c r="G1233" s="418"/>
      <c r="H1233" s="417"/>
      <c r="I1233" s="418"/>
      <c r="J1233" s="432"/>
      <c r="K1233" s="420"/>
      <c r="L1233" s="417"/>
      <c r="M1233" s="415"/>
      <c r="N1233" s="422"/>
      <c r="O1233" s="75" t="str">
        <f t="shared" si="3"/>
        <v/>
      </c>
      <c r="P1233" s="403">
        <v>0.0</v>
      </c>
      <c r="Q1233" s="403">
        <v>0.0</v>
      </c>
      <c r="R1233" s="403"/>
      <c r="S1233" s="403"/>
      <c r="T1233" s="403"/>
      <c r="U1233" s="403"/>
      <c r="V1233" s="403"/>
      <c r="W1233" s="403"/>
      <c r="X1233" s="403"/>
      <c r="Y1233" s="403"/>
      <c r="Z1233" s="403"/>
    </row>
    <row r="1234">
      <c r="A1234" s="403"/>
      <c r="B1234" s="417"/>
      <c r="C1234" s="415"/>
      <c r="D1234" s="417"/>
      <c r="E1234" s="417"/>
      <c r="F1234" s="417"/>
      <c r="G1234" s="418"/>
      <c r="H1234" s="417"/>
      <c r="I1234" s="418"/>
      <c r="J1234" s="432"/>
      <c r="K1234" s="420"/>
      <c r="L1234" s="417"/>
      <c r="M1234" s="415"/>
      <c r="N1234" s="422"/>
      <c r="O1234" s="75" t="str">
        <f t="shared" si="3"/>
        <v/>
      </c>
      <c r="P1234" s="403">
        <v>0.0</v>
      </c>
      <c r="Q1234" s="403">
        <v>0.0</v>
      </c>
      <c r="R1234" s="403"/>
      <c r="S1234" s="403"/>
      <c r="T1234" s="403"/>
      <c r="U1234" s="403"/>
      <c r="V1234" s="403"/>
      <c r="W1234" s="403"/>
      <c r="X1234" s="403"/>
      <c r="Y1234" s="403"/>
      <c r="Z1234" s="403"/>
    </row>
    <row r="1235">
      <c r="A1235" s="403"/>
      <c r="B1235" s="417"/>
      <c r="C1235" s="415"/>
      <c r="D1235" s="417"/>
      <c r="E1235" s="417"/>
      <c r="F1235" s="417"/>
      <c r="G1235" s="418"/>
      <c r="H1235" s="417"/>
      <c r="I1235" s="418"/>
      <c r="J1235" s="432"/>
      <c r="K1235" s="420"/>
      <c r="L1235" s="417"/>
      <c r="M1235" s="415"/>
      <c r="N1235" s="422"/>
      <c r="O1235" s="75" t="str">
        <f t="shared" si="3"/>
        <v/>
      </c>
      <c r="P1235" s="403">
        <v>0.0</v>
      </c>
      <c r="Q1235" s="403">
        <v>0.0</v>
      </c>
      <c r="R1235" s="403"/>
      <c r="S1235" s="403"/>
      <c r="T1235" s="403"/>
      <c r="U1235" s="403"/>
      <c r="V1235" s="403"/>
      <c r="W1235" s="403"/>
      <c r="X1235" s="403"/>
      <c r="Y1235" s="403"/>
      <c r="Z1235" s="403"/>
    </row>
    <row r="1236">
      <c r="A1236" s="403"/>
      <c r="B1236" s="417"/>
      <c r="C1236" s="415"/>
      <c r="D1236" s="417"/>
      <c r="E1236" s="417"/>
      <c r="F1236" s="417"/>
      <c r="G1236" s="418"/>
      <c r="H1236" s="417"/>
      <c r="I1236" s="418"/>
      <c r="J1236" s="432"/>
      <c r="K1236" s="420"/>
      <c r="L1236" s="417"/>
      <c r="M1236" s="415"/>
      <c r="N1236" s="422"/>
      <c r="O1236" s="75" t="str">
        <f t="shared" si="3"/>
        <v/>
      </c>
      <c r="P1236" s="403">
        <v>0.0</v>
      </c>
      <c r="Q1236" s="403">
        <v>0.0</v>
      </c>
      <c r="R1236" s="403"/>
      <c r="S1236" s="403"/>
      <c r="T1236" s="403"/>
      <c r="U1236" s="403"/>
      <c r="V1236" s="403"/>
      <c r="W1236" s="403"/>
      <c r="X1236" s="403"/>
      <c r="Y1236" s="403"/>
      <c r="Z1236" s="403"/>
    </row>
    <row r="1237">
      <c r="A1237" s="403"/>
      <c r="B1237" s="417"/>
      <c r="C1237" s="415"/>
      <c r="D1237" s="417"/>
      <c r="E1237" s="417"/>
      <c r="F1237" s="417"/>
      <c r="G1237" s="418"/>
      <c r="H1237" s="417"/>
      <c r="I1237" s="418"/>
      <c r="J1237" s="432"/>
      <c r="K1237" s="420"/>
      <c r="L1237" s="417"/>
      <c r="M1237" s="415"/>
      <c r="N1237" s="422"/>
      <c r="O1237" s="75" t="str">
        <f t="shared" si="3"/>
        <v/>
      </c>
      <c r="P1237" s="403">
        <v>0.0</v>
      </c>
      <c r="Q1237" s="403">
        <v>0.0</v>
      </c>
      <c r="R1237" s="403"/>
      <c r="S1237" s="403"/>
      <c r="T1237" s="403"/>
      <c r="U1237" s="403"/>
      <c r="V1237" s="403"/>
      <c r="W1237" s="403"/>
      <c r="X1237" s="403"/>
      <c r="Y1237" s="403"/>
      <c r="Z1237" s="403"/>
    </row>
    <row r="1238">
      <c r="A1238" s="403"/>
      <c r="B1238" s="417"/>
      <c r="C1238" s="415"/>
      <c r="D1238" s="417"/>
      <c r="E1238" s="417"/>
      <c r="F1238" s="417"/>
      <c r="G1238" s="418"/>
      <c r="H1238" s="417"/>
      <c r="I1238" s="418"/>
      <c r="J1238" s="432"/>
      <c r="K1238" s="420"/>
      <c r="L1238" s="417"/>
      <c r="M1238" s="415"/>
      <c r="N1238" s="422"/>
      <c r="O1238" s="75" t="str">
        <f t="shared" si="3"/>
        <v/>
      </c>
      <c r="P1238" s="403">
        <v>0.0</v>
      </c>
      <c r="Q1238" s="403">
        <v>0.0</v>
      </c>
      <c r="R1238" s="403"/>
      <c r="S1238" s="403"/>
      <c r="T1238" s="403"/>
      <c r="U1238" s="403"/>
      <c r="V1238" s="403"/>
      <c r="W1238" s="403"/>
      <c r="X1238" s="403"/>
      <c r="Y1238" s="403"/>
      <c r="Z1238" s="403"/>
    </row>
    <row r="1239">
      <c r="A1239" s="403"/>
      <c r="B1239" s="417"/>
      <c r="C1239" s="415"/>
      <c r="D1239" s="417"/>
      <c r="E1239" s="417"/>
      <c r="F1239" s="417"/>
      <c r="G1239" s="418"/>
      <c r="H1239" s="417"/>
      <c r="I1239" s="418"/>
      <c r="J1239" s="432"/>
      <c r="K1239" s="420"/>
      <c r="L1239" s="417"/>
      <c r="M1239" s="415"/>
      <c r="N1239" s="422"/>
      <c r="O1239" s="75" t="str">
        <f t="shared" si="3"/>
        <v/>
      </c>
      <c r="P1239" s="403">
        <v>0.0</v>
      </c>
      <c r="Q1239" s="403">
        <v>0.0</v>
      </c>
      <c r="R1239" s="403"/>
      <c r="S1239" s="403"/>
      <c r="T1239" s="403"/>
      <c r="U1239" s="403"/>
      <c r="V1239" s="403"/>
      <c r="W1239" s="403"/>
      <c r="X1239" s="403"/>
      <c r="Y1239" s="403"/>
      <c r="Z1239" s="403"/>
    </row>
    <row r="1240">
      <c r="A1240" s="403"/>
      <c r="B1240" s="417"/>
      <c r="C1240" s="415"/>
      <c r="D1240" s="417"/>
      <c r="E1240" s="417"/>
      <c r="F1240" s="417"/>
      <c r="G1240" s="418"/>
      <c r="H1240" s="417"/>
      <c r="I1240" s="418"/>
      <c r="J1240" s="432"/>
      <c r="K1240" s="420"/>
      <c r="L1240" s="417"/>
      <c r="M1240" s="415"/>
      <c r="N1240" s="422"/>
      <c r="O1240" s="75" t="str">
        <f t="shared" si="3"/>
        <v/>
      </c>
      <c r="P1240" s="403">
        <v>0.0</v>
      </c>
      <c r="Q1240" s="403">
        <v>0.0</v>
      </c>
      <c r="R1240" s="403"/>
      <c r="S1240" s="403"/>
      <c r="T1240" s="403"/>
      <c r="U1240" s="403"/>
      <c r="V1240" s="403"/>
      <c r="W1240" s="403"/>
      <c r="X1240" s="403"/>
      <c r="Y1240" s="403"/>
      <c r="Z1240" s="403"/>
    </row>
    <row r="1241">
      <c r="A1241" s="403"/>
      <c r="B1241" s="417"/>
      <c r="C1241" s="415"/>
      <c r="D1241" s="417"/>
      <c r="E1241" s="417"/>
      <c r="F1241" s="417"/>
      <c r="G1241" s="418"/>
      <c r="H1241" s="417"/>
      <c r="I1241" s="418"/>
      <c r="J1241" s="432"/>
      <c r="K1241" s="420"/>
      <c r="L1241" s="417"/>
      <c r="M1241" s="415"/>
      <c r="N1241" s="422"/>
      <c r="O1241" s="75" t="str">
        <f t="shared" si="3"/>
        <v/>
      </c>
      <c r="P1241" s="403">
        <v>0.0</v>
      </c>
      <c r="Q1241" s="403">
        <v>0.0</v>
      </c>
      <c r="R1241" s="403"/>
      <c r="S1241" s="403"/>
      <c r="T1241" s="403"/>
      <c r="U1241" s="403"/>
      <c r="V1241" s="403"/>
      <c r="W1241" s="403"/>
      <c r="X1241" s="403"/>
      <c r="Y1241" s="403"/>
      <c r="Z1241" s="403"/>
    </row>
    <row r="1242">
      <c r="A1242" s="403"/>
      <c r="B1242" s="417"/>
      <c r="C1242" s="415"/>
      <c r="D1242" s="417"/>
      <c r="E1242" s="417"/>
      <c r="F1242" s="417"/>
      <c r="G1242" s="418"/>
      <c r="H1242" s="417"/>
      <c r="I1242" s="418"/>
      <c r="J1242" s="432"/>
      <c r="K1242" s="420"/>
      <c r="L1242" s="417"/>
      <c r="M1242" s="415"/>
      <c r="N1242" s="422"/>
      <c r="O1242" s="75" t="str">
        <f t="shared" si="3"/>
        <v/>
      </c>
      <c r="P1242" s="403">
        <v>0.0</v>
      </c>
      <c r="Q1242" s="403">
        <v>0.0</v>
      </c>
      <c r="R1242" s="403"/>
      <c r="S1242" s="403"/>
      <c r="T1242" s="403"/>
      <c r="U1242" s="403"/>
      <c r="V1242" s="403"/>
      <c r="W1242" s="403"/>
      <c r="X1242" s="403"/>
      <c r="Y1242" s="403"/>
      <c r="Z1242" s="403"/>
    </row>
    <row r="1243">
      <c r="A1243" s="403"/>
      <c r="B1243" s="417"/>
      <c r="C1243" s="415"/>
      <c r="D1243" s="417"/>
      <c r="E1243" s="417"/>
      <c r="F1243" s="417"/>
      <c r="G1243" s="418"/>
      <c r="H1243" s="417"/>
      <c r="I1243" s="418"/>
      <c r="J1243" s="432"/>
      <c r="K1243" s="420"/>
      <c r="L1243" s="417"/>
      <c r="M1243" s="415"/>
      <c r="N1243" s="422"/>
      <c r="O1243" s="75" t="str">
        <f t="shared" si="3"/>
        <v/>
      </c>
      <c r="P1243" s="403">
        <v>0.0</v>
      </c>
      <c r="Q1243" s="403">
        <v>0.0</v>
      </c>
      <c r="R1243" s="403"/>
      <c r="S1243" s="403"/>
      <c r="T1243" s="403"/>
      <c r="U1243" s="403"/>
      <c r="V1243" s="403"/>
      <c r="W1243" s="403"/>
      <c r="X1243" s="403"/>
      <c r="Y1243" s="403"/>
      <c r="Z1243" s="403"/>
    </row>
    <row r="1244">
      <c r="A1244" s="403"/>
      <c r="B1244" s="417"/>
      <c r="C1244" s="415"/>
      <c r="D1244" s="417"/>
      <c r="E1244" s="417"/>
      <c r="F1244" s="417"/>
      <c r="G1244" s="418"/>
      <c r="H1244" s="417"/>
      <c r="I1244" s="418"/>
      <c r="J1244" s="432"/>
      <c r="K1244" s="420"/>
      <c r="L1244" s="417"/>
      <c r="M1244" s="415"/>
      <c r="N1244" s="422"/>
      <c r="O1244" s="75" t="str">
        <f t="shared" si="3"/>
        <v/>
      </c>
      <c r="P1244" s="403">
        <v>0.0</v>
      </c>
      <c r="Q1244" s="403">
        <v>0.0</v>
      </c>
      <c r="R1244" s="403"/>
      <c r="S1244" s="403"/>
      <c r="T1244" s="403"/>
      <c r="U1244" s="403"/>
      <c r="V1244" s="403"/>
      <c r="W1244" s="403"/>
      <c r="X1244" s="403"/>
      <c r="Y1244" s="403"/>
      <c r="Z1244" s="403"/>
    </row>
    <row r="1245">
      <c r="A1245" s="403"/>
      <c r="B1245" s="417"/>
      <c r="C1245" s="415"/>
      <c r="D1245" s="417"/>
      <c r="E1245" s="417"/>
      <c r="F1245" s="417"/>
      <c r="G1245" s="418"/>
      <c r="H1245" s="417"/>
      <c r="I1245" s="418"/>
      <c r="J1245" s="432"/>
      <c r="K1245" s="420"/>
      <c r="L1245" s="417"/>
      <c r="M1245" s="415"/>
      <c r="N1245" s="422"/>
      <c r="O1245" s="75" t="str">
        <f t="shared" si="3"/>
        <v/>
      </c>
      <c r="P1245" s="403">
        <v>0.0</v>
      </c>
      <c r="Q1245" s="403">
        <v>0.0</v>
      </c>
      <c r="R1245" s="403"/>
      <c r="S1245" s="403"/>
      <c r="T1245" s="403"/>
      <c r="U1245" s="403"/>
      <c r="V1245" s="403"/>
      <c r="W1245" s="403"/>
      <c r="X1245" s="403"/>
      <c r="Y1245" s="403"/>
      <c r="Z1245" s="403"/>
    </row>
    <row r="1246">
      <c r="A1246" s="403"/>
      <c r="B1246" s="417"/>
      <c r="C1246" s="415"/>
      <c r="D1246" s="417"/>
      <c r="E1246" s="417"/>
      <c r="F1246" s="417"/>
      <c r="G1246" s="418"/>
      <c r="H1246" s="417"/>
      <c r="I1246" s="418"/>
      <c r="J1246" s="432"/>
      <c r="K1246" s="420"/>
      <c r="L1246" s="417"/>
      <c r="M1246" s="415"/>
      <c r="N1246" s="422"/>
      <c r="O1246" s="75" t="str">
        <f t="shared" si="3"/>
        <v/>
      </c>
      <c r="P1246" s="403">
        <v>0.0</v>
      </c>
      <c r="Q1246" s="403">
        <v>0.0</v>
      </c>
      <c r="R1246" s="403"/>
      <c r="S1246" s="403"/>
      <c r="T1246" s="403"/>
      <c r="U1246" s="403"/>
      <c r="V1246" s="403"/>
      <c r="W1246" s="403"/>
      <c r="X1246" s="403"/>
      <c r="Y1246" s="403"/>
      <c r="Z1246" s="403"/>
    </row>
    <row r="1247">
      <c r="A1247" s="403"/>
      <c r="B1247" s="417"/>
      <c r="C1247" s="415"/>
      <c r="D1247" s="417"/>
      <c r="E1247" s="417"/>
      <c r="F1247" s="417"/>
      <c r="G1247" s="418"/>
      <c r="H1247" s="417"/>
      <c r="I1247" s="418"/>
      <c r="J1247" s="432"/>
      <c r="K1247" s="420"/>
      <c r="L1247" s="417"/>
      <c r="M1247" s="415"/>
      <c r="N1247" s="422"/>
      <c r="O1247" s="75" t="str">
        <f t="shared" si="3"/>
        <v/>
      </c>
      <c r="P1247" s="403">
        <v>0.0</v>
      </c>
      <c r="Q1247" s="403">
        <v>0.0</v>
      </c>
      <c r="R1247" s="403"/>
      <c r="S1247" s="403"/>
      <c r="T1247" s="403"/>
      <c r="U1247" s="403"/>
      <c r="V1247" s="403"/>
      <c r="W1247" s="403"/>
      <c r="X1247" s="403"/>
      <c r="Y1247" s="403"/>
      <c r="Z1247" s="403"/>
    </row>
    <row r="1248">
      <c r="A1248" s="403"/>
      <c r="B1248" s="417"/>
      <c r="C1248" s="415"/>
      <c r="D1248" s="417"/>
      <c r="E1248" s="417"/>
      <c r="F1248" s="417"/>
      <c r="G1248" s="418"/>
      <c r="H1248" s="417"/>
      <c r="I1248" s="418"/>
      <c r="J1248" s="432"/>
      <c r="K1248" s="420"/>
      <c r="L1248" s="417"/>
      <c r="M1248" s="415"/>
      <c r="N1248" s="422"/>
      <c r="O1248" s="75" t="str">
        <f t="shared" si="3"/>
        <v/>
      </c>
      <c r="P1248" s="403">
        <v>0.0</v>
      </c>
      <c r="Q1248" s="403">
        <v>0.0</v>
      </c>
      <c r="R1248" s="403"/>
      <c r="S1248" s="403"/>
      <c r="T1248" s="403"/>
      <c r="U1248" s="403"/>
      <c r="V1248" s="403"/>
      <c r="W1248" s="403"/>
      <c r="X1248" s="403"/>
      <c r="Y1248" s="403"/>
      <c r="Z1248" s="403"/>
    </row>
    <row r="1249">
      <c r="A1249" s="403"/>
      <c r="B1249" s="417"/>
      <c r="C1249" s="415"/>
      <c r="D1249" s="417"/>
      <c r="E1249" s="417"/>
      <c r="F1249" s="417"/>
      <c r="G1249" s="418"/>
      <c r="H1249" s="417"/>
      <c r="I1249" s="418"/>
      <c r="J1249" s="432"/>
      <c r="K1249" s="420"/>
      <c r="L1249" s="417"/>
      <c r="M1249" s="415"/>
      <c r="N1249" s="422"/>
      <c r="O1249" s="75" t="str">
        <f t="shared" si="3"/>
        <v/>
      </c>
      <c r="P1249" s="403">
        <v>0.0</v>
      </c>
      <c r="Q1249" s="403">
        <v>0.0</v>
      </c>
      <c r="R1249" s="403"/>
      <c r="S1249" s="403"/>
      <c r="T1249" s="403"/>
      <c r="U1249" s="403"/>
      <c r="V1249" s="403"/>
      <c r="W1249" s="403"/>
      <c r="X1249" s="403"/>
      <c r="Y1249" s="403"/>
      <c r="Z1249" s="403"/>
    </row>
    <row r="1250">
      <c r="A1250" s="403"/>
      <c r="B1250" s="417"/>
      <c r="C1250" s="415"/>
      <c r="D1250" s="417"/>
      <c r="E1250" s="417"/>
      <c r="F1250" s="417"/>
      <c r="G1250" s="418"/>
      <c r="H1250" s="417"/>
      <c r="I1250" s="418"/>
      <c r="J1250" s="432"/>
      <c r="K1250" s="420"/>
      <c r="L1250" s="417"/>
      <c r="M1250" s="415"/>
      <c r="N1250" s="422"/>
      <c r="O1250" s="75" t="str">
        <f t="shared" si="3"/>
        <v/>
      </c>
      <c r="P1250" s="403">
        <v>0.0</v>
      </c>
      <c r="Q1250" s="403">
        <v>0.0</v>
      </c>
      <c r="R1250" s="403"/>
      <c r="S1250" s="403"/>
      <c r="T1250" s="403"/>
      <c r="U1250" s="403"/>
      <c r="V1250" s="403"/>
      <c r="W1250" s="403"/>
      <c r="X1250" s="403"/>
      <c r="Y1250" s="403"/>
      <c r="Z1250" s="403"/>
    </row>
    <row r="1251">
      <c r="A1251" s="403"/>
      <c r="B1251" s="417"/>
      <c r="C1251" s="415"/>
      <c r="D1251" s="417"/>
      <c r="E1251" s="417"/>
      <c r="F1251" s="417"/>
      <c r="G1251" s="418"/>
      <c r="H1251" s="417"/>
      <c r="I1251" s="418"/>
      <c r="J1251" s="432"/>
      <c r="K1251" s="420"/>
      <c r="L1251" s="417"/>
      <c r="M1251" s="415"/>
      <c r="N1251" s="422"/>
      <c r="O1251" s="75" t="str">
        <f t="shared" si="3"/>
        <v/>
      </c>
      <c r="P1251" s="403">
        <v>0.0</v>
      </c>
      <c r="Q1251" s="403">
        <v>0.0</v>
      </c>
      <c r="R1251" s="403"/>
      <c r="S1251" s="403"/>
      <c r="T1251" s="403"/>
      <c r="U1251" s="403"/>
      <c r="V1251" s="403"/>
      <c r="W1251" s="403"/>
      <c r="X1251" s="403"/>
      <c r="Y1251" s="403"/>
      <c r="Z1251" s="403"/>
    </row>
    <row r="1252">
      <c r="A1252" s="403"/>
      <c r="B1252" s="417"/>
      <c r="C1252" s="415"/>
      <c r="D1252" s="417"/>
      <c r="E1252" s="417"/>
      <c r="F1252" s="417"/>
      <c r="G1252" s="418"/>
      <c r="H1252" s="417"/>
      <c r="I1252" s="418"/>
      <c r="J1252" s="432"/>
      <c r="K1252" s="420"/>
      <c r="L1252" s="417"/>
      <c r="M1252" s="415"/>
      <c r="N1252" s="422"/>
      <c r="O1252" s="75" t="str">
        <f t="shared" si="3"/>
        <v/>
      </c>
      <c r="P1252" s="403">
        <v>0.0</v>
      </c>
      <c r="Q1252" s="403">
        <v>0.0</v>
      </c>
      <c r="R1252" s="403"/>
      <c r="S1252" s="403"/>
      <c r="T1252" s="403"/>
      <c r="U1252" s="403"/>
      <c r="V1252" s="403"/>
      <c r="W1252" s="403"/>
      <c r="X1252" s="403"/>
      <c r="Y1252" s="403"/>
      <c r="Z1252" s="403"/>
    </row>
    <row r="1253">
      <c r="A1253" s="403"/>
      <c r="B1253" s="417"/>
      <c r="C1253" s="415"/>
      <c r="D1253" s="417"/>
      <c r="E1253" s="417"/>
      <c r="F1253" s="417"/>
      <c r="G1253" s="418"/>
      <c r="H1253" s="417"/>
      <c r="I1253" s="418"/>
      <c r="J1253" s="432"/>
      <c r="K1253" s="420"/>
      <c r="L1253" s="417"/>
      <c r="M1253" s="415"/>
      <c r="N1253" s="422"/>
      <c r="O1253" s="75" t="str">
        <f t="shared" si="3"/>
        <v/>
      </c>
      <c r="P1253" s="403">
        <v>0.0</v>
      </c>
      <c r="Q1253" s="403">
        <v>0.0</v>
      </c>
      <c r="R1253" s="403"/>
      <c r="S1253" s="403"/>
      <c r="T1253" s="403"/>
      <c r="U1253" s="403"/>
      <c r="V1253" s="403"/>
      <c r="W1253" s="403"/>
      <c r="X1253" s="403"/>
      <c r="Y1253" s="403"/>
      <c r="Z1253" s="403"/>
    </row>
    <row r="1254">
      <c r="A1254" s="403"/>
      <c r="B1254" s="417"/>
      <c r="C1254" s="415"/>
      <c r="D1254" s="417"/>
      <c r="E1254" s="417"/>
      <c r="F1254" s="417"/>
      <c r="G1254" s="418"/>
      <c r="H1254" s="417"/>
      <c r="I1254" s="418"/>
      <c r="J1254" s="432"/>
      <c r="K1254" s="420"/>
      <c r="L1254" s="417"/>
      <c r="M1254" s="415"/>
      <c r="N1254" s="422"/>
      <c r="O1254" s="75" t="str">
        <f t="shared" si="3"/>
        <v/>
      </c>
      <c r="P1254" s="403">
        <v>0.0</v>
      </c>
      <c r="Q1254" s="403">
        <v>0.0</v>
      </c>
      <c r="R1254" s="403"/>
      <c r="S1254" s="403"/>
      <c r="T1254" s="403"/>
      <c r="U1254" s="403"/>
      <c r="V1254" s="403"/>
      <c r="W1254" s="403"/>
      <c r="X1254" s="403"/>
      <c r="Y1254" s="403"/>
      <c r="Z1254" s="403"/>
    </row>
    <row r="1255">
      <c r="A1255" s="403"/>
      <c r="B1255" s="417"/>
      <c r="C1255" s="415"/>
      <c r="D1255" s="417"/>
      <c r="E1255" s="417"/>
      <c r="F1255" s="417"/>
      <c r="G1255" s="418"/>
      <c r="H1255" s="417"/>
      <c r="I1255" s="418"/>
      <c r="J1255" s="432"/>
      <c r="K1255" s="420"/>
      <c r="L1255" s="417"/>
      <c r="M1255" s="415"/>
      <c r="N1255" s="422"/>
      <c r="O1255" s="75" t="str">
        <f t="shared" si="3"/>
        <v/>
      </c>
      <c r="P1255" s="403">
        <v>0.0</v>
      </c>
      <c r="Q1255" s="403">
        <v>0.0</v>
      </c>
      <c r="R1255" s="403"/>
      <c r="S1255" s="403"/>
      <c r="T1255" s="403"/>
      <c r="U1255" s="403"/>
      <c r="V1255" s="403"/>
      <c r="W1255" s="403"/>
      <c r="X1255" s="403"/>
      <c r="Y1255" s="403"/>
      <c r="Z1255" s="403"/>
    </row>
    <row r="1256">
      <c r="A1256" s="403"/>
      <c r="B1256" s="417"/>
      <c r="C1256" s="415"/>
      <c r="D1256" s="417"/>
      <c r="E1256" s="417"/>
      <c r="F1256" s="417"/>
      <c r="G1256" s="418"/>
      <c r="H1256" s="417"/>
      <c r="I1256" s="418"/>
      <c r="J1256" s="432"/>
      <c r="K1256" s="420"/>
      <c r="L1256" s="417"/>
      <c r="M1256" s="415"/>
      <c r="N1256" s="422"/>
      <c r="O1256" s="75" t="str">
        <f t="shared" si="3"/>
        <v/>
      </c>
      <c r="P1256" s="403">
        <v>0.0</v>
      </c>
      <c r="Q1256" s="403">
        <v>0.0</v>
      </c>
      <c r="R1256" s="403"/>
      <c r="S1256" s="403"/>
      <c r="T1256" s="403"/>
      <c r="U1256" s="403"/>
      <c r="V1256" s="403"/>
      <c r="W1256" s="403"/>
      <c r="X1256" s="403"/>
      <c r="Y1256" s="403"/>
      <c r="Z1256" s="403"/>
    </row>
    <row r="1257">
      <c r="A1257" s="403"/>
      <c r="B1257" s="417"/>
      <c r="C1257" s="415"/>
      <c r="D1257" s="417"/>
      <c r="E1257" s="417"/>
      <c r="F1257" s="417"/>
      <c r="G1257" s="418"/>
      <c r="H1257" s="417"/>
      <c r="I1257" s="418"/>
      <c r="J1257" s="432"/>
      <c r="K1257" s="420"/>
      <c r="L1257" s="417"/>
      <c r="M1257" s="415"/>
      <c r="N1257" s="422"/>
      <c r="O1257" s="75" t="str">
        <f t="shared" si="3"/>
        <v/>
      </c>
      <c r="P1257" s="403">
        <v>0.0</v>
      </c>
      <c r="Q1257" s="403">
        <v>0.0</v>
      </c>
      <c r="R1257" s="403"/>
      <c r="S1257" s="403"/>
      <c r="T1257" s="403"/>
      <c r="U1257" s="403"/>
      <c r="V1257" s="403"/>
      <c r="W1257" s="403"/>
      <c r="X1257" s="403"/>
      <c r="Y1257" s="403"/>
      <c r="Z1257" s="403"/>
    </row>
    <row r="1258">
      <c r="A1258" s="403"/>
      <c r="B1258" s="417"/>
      <c r="C1258" s="415"/>
      <c r="D1258" s="417"/>
      <c r="E1258" s="417"/>
      <c r="F1258" s="417"/>
      <c r="G1258" s="418"/>
      <c r="H1258" s="417"/>
      <c r="I1258" s="418"/>
      <c r="J1258" s="432"/>
      <c r="K1258" s="420"/>
      <c r="L1258" s="417"/>
      <c r="M1258" s="415"/>
      <c r="N1258" s="422"/>
      <c r="O1258" s="75" t="str">
        <f t="shared" si="3"/>
        <v/>
      </c>
      <c r="P1258" s="403">
        <v>0.0</v>
      </c>
      <c r="Q1258" s="403">
        <v>0.0</v>
      </c>
      <c r="R1258" s="403"/>
      <c r="S1258" s="403"/>
      <c r="T1258" s="403"/>
      <c r="U1258" s="403"/>
      <c r="V1258" s="403"/>
      <c r="W1258" s="403"/>
      <c r="X1258" s="403"/>
      <c r="Y1258" s="403"/>
      <c r="Z1258" s="403"/>
    </row>
    <row r="1259">
      <c r="A1259" s="403"/>
      <c r="B1259" s="417"/>
      <c r="C1259" s="415"/>
      <c r="D1259" s="417"/>
      <c r="E1259" s="417"/>
      <c r="F1259" s="417"/>
      <c r="G1259" s="418"/>
      <c r="H1259" s="417"/>
      <c r="I1259" s="418"/>
      <c r="J1259" s="432"/>
      <c r="K1259" s="420"/>
      <c r="L1259" s="417"/>
      <c r="M1259" s="415"/>
      <c r="N1259" s="422"/>
      <c r="O1259" s="75" t="str">
        <f t="shared" si="3"/>
        <v/>
      </c>
      <c r="P1259" s="403">
        <v>0.0</v>
      </c>
      <c r="Q1259" s="403">
        <v>0.0</v>
      </c>
      <c r="R1259" s="403"/>
      <c r="S1259" s="403"/>
      <c r="T1259" s="403"/>
      <c r="U1259" s="403"/>
      <c r="V1259" s="403"/>
      <c r="W1259" s="403"/>
      <c r="X1259" s="403"/>
      <c r="Y1259" s="403"/>
      <c r="Z1259" s="403"/>
    </row>
    <row r="1260">
      <c r="A1260" s="403"/>
      <c r="B1260" s="417"/>
      <c r="C1260" s="415"/>
      <c r="D1260" s="417"/>
      <c r="E1260" s="417"/>
      <c r="F1260" s="417"/>
      <c r="G1260" s="418"/>
      <c r="H1260" s="417"/>
      <c r="I1260" s="418"/>
      <c r="J1260" s="432"/>
      <c r="K1260" s="420"/>
      <c r="L1260" s="417"/>
      <c r="M1260" s="415"/>
      <c r="N1260" s="422"/>
      <c r="O1260" s="75" t="str">
        <f t="shared" si="3"/>
        <v/>
      </c>
      <c r="P1260" s="403">
        <v>0.0</v>
      </c>
      <c r="Q1260" s="403">
        <v>0.0</v>
      </c>
      <c r="R1260" s="403"/>
      <c r="S1260" s="403"/>
      <c r="T1260" s="403"/>
      <c r="U1260" s="403"/>
      <c r="V1260" s="403"/>
      <c r="W1260" s="403"/>
      <c r="X1260" s="403"/>
      <c r="Y1260" s="403"/>
      <c r="Z1260" s="403"/>
    </row>
    <row r="1261">
      <c r="A1261" s="403"/>
      <c r="B1261" s="417"/>
      <c r="C1261" s="415"/>
      <c r="D1261" s="417"/>
      <c r="E1261" s="417"/>
      <c r="F1261" s="417"/>
      <c r="G1261" s="418"/>
      <c r="H1261" s="417"/>
      <c r="I1261" s="418"/>
      <c r="J1261" s="432"/>
      <c r="K1261" s="420"/>
      <c r="L1261" s="417"/>
      <c r="M1261" s="415"/>
      <c r="N1261" s="422"/>
      <c r="O1261" s="75" t="str">
        <f t="shared" si="3"/>
        <v/>
      </c>
      <c r="P1261" s="403">
        <v>0.0</v>
      </c>
      <c r="Q1261" s="403">
        <v>0.0</v>
      </c>
      <c r="R1261" s="403"/>
      <c r="S1261" s="403"/>
      <c r="T1261" s="403"/>
      <c r="U1261" s="403"/>
      <c r="V1261" s="403"/>
      <c r="W1261" s="403"/>
      <c r="X1261" s="403"/>
      <c r="Y1261" s="403"/>
      <c r="Z1261" s="403"/>
    </row>
    <row r="1262">
      <c r="A1262" s="403"/>
      <c r="B1262" s="417"/>
      <c r="C1262" s="415"/>
      <c r="D1262" s="417"/>
      <c r="E1262" s="417"/>
      <c r="F1262" s="417"/>
      <c r="G1262" s="418"/>
      <c r="H1262" s="417"/>
      <c r="I1262" s="418"/>
      <c r="J1262" s="432"/>
      <c r="K1262" s="420"/>
      <c r="L1262" s="417"/>
      <c r="M1262" s="415"/>
      <c r="N1262" s="422"/>
      <c r="O1262" s="75" t="str">
        <f t="shared" si="3"/>
        <v/>
      </c>
      <c r="P1262" s="403">
        <v>0.0</v>
      </c>
      <c r="Q1262" s="403">
        <v>0.0</v>
      </c>
      <c r="R1262" s="403"/>
      <c r="S1262" s="403"/>
      <c r="T1262" s="403"/>
      <c r="U1262" s="403"/>
      <c r="V1262" s="403"/>
      <c r="W1262" s="403"/>
      <c r="X1262" s="403"/>
      <c r="Y1262" s="403"/>
      <c r="Z1262" s="403"/>
    </row>
    <row r="1263">
      <c r="A1263" s="403"/>
      <c r="B1263" s="417"/>
      <c r="C1263" s="415"/>
      <c r="D1263" s="417"/>
      <c r="E1263" s="417"/>
      <c r="F1263" s="417"/>
      <c r="G1263" s="418"/>
      <c r="H1263" s="417"/>
      <c r="I1263" s="418"/>
      <c r="J1263" s="432"/>
      <c r="K1263" s="420"/>
      <c r="L1263" s="417"/>
      <c r="M1263" s="415"/>
      <c r="N1263" s="422"/>
      <c r="O1263" s="75" t="str">
        <f t="shared" si="3"/>
        <v/>
      </c>
      <c r="P1263" s="403">
        <v>0.0</v>
      </c>
      <c r="Q1263" s="403">
        <v>0.0</v>
      </c>
      <c r="R1263" s="403"/>
      <c r="S1263" s="403"/>
      <c r="T1263" s="403"/>
      <c r="U1263" s="403"/>
      <c r="V1263" s="403"/>
      <c r="W1263" s="403"/>
      <c r="X1263" s="403"/>
      <c r="Y1263" s="403"/>
      <c r="Z1263" s="403"/>
    </row>
    <row r="1264">
      <c r="A1264" s="403"/>
      <c r="B1264" s="417"/>
      <c r="C1264" s="415"/>
      <c r="D1264" s="417"/>
      <c r="E1264" s="417"/>
      <c r="F1264" s="417"/>
      <c r="G1264" s="418"/>
      <c r="H1264" s="417"/>
      <c r="I1264" s="418"/>
      <c r="J1264" s="432"/>
      <c r="K1264" s="420"/>
      <c r="L1264" s="417"/>
      <c r="M1264" s="415"/>
      <c r="N1264" s="422"/>
      <c r="O1264" s="75" t="str">
        <f t="shared" si="3"/>
        <v/>
      </c>
      <c r="P1264" s="403">
        <v>0.0</v>
      </c>
      <c r="Q1264" s="403">
        <v>0.0</v>
      </c>
      <c r="R1264" s="403"/>
      <c r="S1264" s="403"/>
      <c r="T1264" s="403"/>
      <c r="U1264" s="403"/>
      <c r="V1264" s="403"/>
      <c r="W1264" s="403"/>
      <c r="X1264" s="403"/>
      <c r="Y1264" s="403"/>
      <c r="Z1264" s="403"/>
    </row>
    <row r="1265">
      <c r="A1265" s="403"/>
      <c r="B1265" s="417"/>
      <c r="C1265" s="415"/>
      <c r="D1265" s="417"/>
      <c r="E1265" s="417"/>
      <c r="F1265" s="417"/>
      <c r="G1265" s="418"/>
      <c r="H1265" s="417"/>
      <c r="I1265" s="418"/>
      <c r="J1265" s="432"/>
      <c r="K1265" s="420"/>
      <c r="L1265" s="417"/>
      <c r="M1265" s="415"/>
      <c r="N1265" s="422"/>
      <c r="O1265" s="75" t="str">
        <f t="shared" si="3"/>
        <v/>
      </c>
      <c r="P1265" s="403">
        <v>0.0</v>
      </c>
      <c r="Q1265" s="403">
        <v>0.0</v>
      </c>
      <c r="R1265" s="403"/>
      <c r="S1265" s="403"/>
      <c r="T1265" s="403"/>
      <c r="U1265" s="403"/>
      <c r="V1265" s="403"/>
      <c r="W1265" s="403"/>
      <c r="X1265" s="403"/>
      <c r="Y1265" s="403"/>
      <c r="Z1265" s="403"/>
    </row>
    <row r="1266">
      <c r="A1266" s="403"/>
      <c r="B1266" s="417"/>
      <c r="C1266" s="415"/>
      <c r="D1266" s="417"/>
      <c r="E1266" s="417"/>
      <c r="F1266" s="417"/>
      <c r="G1266" s="418"/>
      <c r="H1266" s="417"/>
      <c r="I1266" s="418"/>
      <c r="J1266" s="432"/>
      <c r="K1266" s="420"/>
      <c r="L1266" s="417"/>
      <c r="M1266" s="415"/>
      <c r="N1266" s="422"/>
      <c r="O1266" s="75" t="str">
        <f t="shared" si="3"/>
        <v/>
      </c>
      <c r="P1266" s="403">
        <v>0.0</v>
      </c>
      <c r="Q1266" s="403">
        <v>0.0</v>
      </c>
      <c r="R1266" s="403"/>
      <c r="S1266" s="403"/>
      <c r="T1266" s="403"/>
      <c r="U1266" s="403"/>
      <c r="V1266" s="403"/>
      <c r="W1266" s="403"/>
      <c r="X1266" s="403"/>
      <c r="Y1266" s="403"/>
      <c r="Z1266" s="403"/>
    </row>
    <row r="1267">
      <c r="A1267" s="403"/>
      <c r="B1267" s="417"/>
      <c r="C1267" s="415"/>
      <c r="D1267" s="417"/>
      <c r="E1267" s="417"/>
      <c r="F1267" s="417"/>
      <c r="G1267" s="418"/>
      <c r="H1267" s="417"/>
      <c r="I1267" s="418"/>
      <c r="J1267" s="432"/>
      <c r="K1267" s="420"/>
      <c r="L1267" s="417"/>
      <c r="M1267" s="415"/>
      <c r="N1267" s="422"/>
      <c r="O1267" s="75" t="str">
        <f t="shared" si="3"/>
        <v/>
      </c>
      <c r="P1267" s="403">
        <v>0.0</v>
      </c>
      <c r="Q1267" s="403">
        <v>0.0</v>
      </c>
      <c r="R1267" s="403"/>
      <c r="S1267" s="403"/>
      <c r="T1267" s="403"/>
      <c r="U1267" s="403"/>
      <c r="V1267" s="403"/>
      <c r="W1267" s="403"/>
      <c r="X1267" s="403"/>
      <c r="Y1267" s="403"/>
      <c r="Z1267" s="403"/>
    </row>
    <row r="1268">
      <c r="A1268" s="403"/>
      <c r="B1268" s="417"/>
      <c r="C1268" s="415"/>
      <c r="D1268" s="417"/>
      <c r="E1268" s="417"/>
      <c r="F1268" s="417"/>
      <c r="G1268" s="418"/>
      <c r="H1268" s="417"/>
      <c r="I1268" s="418"/>
      <c r="J1268" s="432"/>
      <c r="K1268" s="420"/>
      <c r="L1268" s="417"/>
      <c r="M1268" s="415"/>
      <c r="N1268" s="422"/>
      <c r="O1268" s="75" t="str">
        <f t="shared" si="3"/>
        <v/>
      </c>
      <c r="P1268" s="403">
        <v>0.0</v>
      </c>
      <c r="Q1268" s="403">
        <v>0.0</v>
      </c>
      <c r="R1268" s="403"/>
      <c r="S1268" s="403"/>
      <c r="T1268" s="403"/>
      <c r="U1268" s="403"/>
      <c r="V1268" s="403"/>
      <c r="W1268" s="403"/>
      <c r="X1268" s="403"/>
      <c r="Y1268" s="403"/>
      <c r="Z1268" s="403"/>
    </row>
    <row r="1269">
      <c r="A1269" s="403"/>
      <c r="B1269" s="417"/>
      <c r="C1269" s="415"/>
      <c r="D1269" s="417"/>
      <c r="E1269" s="417"/>
      <c r="F1269" s="417"/>
      <c r="G1269" s="418"/>
      <c r="H1269" s="417"/>
      <c r="I1269" s="418"/>
      <c r="J1269" s="432"/>
      <c r="K1269" s="420"/>
      <c r="L1269" s="417"/>
      <c r="M1269" s="415"/>
      <c r="N1269" s="422"/>
      <c r="O1269" s="75" t="str">
        <f t="shared" si="3"/>
        <v/>
      </c>
      <c r="P1269" s="403">
        <v>0.0</v>
      </c>
      <c r="Q1269" s="403">
        <v>0.0</v>
      </c>
      <c r="R1269" s="403"/>
      <c r="S1269" s="403"/>
      <c r="T1269" s="403"/>
      <c r="U1269" s="403"/>
      <c r="V1269" s="403"/>
      <c r="W1269" s="403"/>
      <c r="X1269" s="403"/>
      <c r="Y1269" s="403"/>
      <c r="Z1269" s="403"/>
    </row>
    <row r="1270">
      <c r="A1270" s="403"/>
      <c r="B1270" s="417"/>
      <c r="C1270" s="415"/>
      <c r="D1270" s="417"/>
      <c r="E1270" s="417"/>
      <c r="F1270" s="417"/>
      <c r="G1270" s="418"/>
      <c r="H1270" s="417"/>
      <c r="I1270" s="418"/>
      <c r="J1270" s="432"/>
      <c r="K1270" s="420"/>
      <c r="L1270" s="417"/>
      <c r="M1270" s="415"/>
      <c r="N1270" s="422"/>
      <c r="O1270" s="75" t="str">
        <f t="shared" si="3"/>
        <v/>
      </c>
      <c r="P1270" s="403">
        <v>0.0</v>
      </c>
      <c r="Q1270" s="403">
        <v>0.0</v>
      </c>
      <c r="R1270" s="403"/>
      <c r="S1270" s="403"/>
      <c r="T1270" s="403"/>
      <c r="U1270" s="403"/>
      <c r="V1270" s="403"/>
      <c r="W1270" s="403"/>
      <c r="X1270" s="403"/>
      <c r="Y1270" s="403"/>
      <c r="Z1270" s="403"/>
    </row>
    <row r="1271">
      <c r="A1271" s="403"/>
      <c r="B1271" s="417"/>
      <c r="C1271" s="415"/>
      <c r="D1271" s="417"/>
      <c r="E1271" s="417"/>
      <c r="F1271" s="417"/>
      <c r="G1271" s="418"/>
      <c r="H1271" s="417"/>
      <c r="I1271" s="418"/>
      <c r="J1271" s="432"/>
      <c r="K1271" s="420"/>
      <c r="L1271" s="417"/>
      <c r="M1271" s="415"/>
      <c r="N1271" s="422"/>
      <c r="O1271" s="75" t="str">
        <f t="shared" si="3"/>
        <v/>
      </c>
      <c r="P1271" s="403">
        <v>0.0</v>
      </c>
      <c r="Q1271" s="403">
        <v>0.0</v>
      </c>
      <c r="R1271" s="403"/>
      <c r="S1271" s="403"/>
      <c r="T1271" s="403"/>
      <c r="U1271" s="403"/>
      <c r="V1271" s="403"/>
      <c r="W1271" s="403"/>
      <c r="X1271" s="403"/>
      <c r="Y1271" s="403"/>
      <c r="Z1271" s="403"/>
    </row>
    <row r="1272">
      <c r="A1272" s="403"/>
      <c r="B1272" s="417"/>
      <c r="C1272" s="415"/>
      <c r="D1272" s="417"/>
      <c r="E1272" s="417"/>
      <c r="F1272" s="417"/>
      <c r="G1272" s="418"/>
      <c r="H1272" s="417"/>
      <c r="I1272" s="418"/>
      <c r="J1272" s="432"/>
      <c r="K1272" s="420"/>
      <c r="L1272" s="417"/>
      <c r="M1272" s="415"/>
      <c r="N1272" s="422"/>
      <c r="O1272" s="75" t="str">
        <f t="shared" si="3"/>
        <v/>
      </c>
      <c r="P1272" s="403">
        <v>0.0</v>
      </c>
      <c r="Q1272" s="403">
        <v>0.0</v>
      </c>
      <c r="R1272" s="403"/>
      <c r="S1272" s="403"/>
      <c r="T1272" s="403"/>
      <c r="U1272" s="403"/>
      <c r="V1272" s="403"/>
      <c r="W1272" s="403"/>
      <c r="X1272" s="403"/>
      <c r="Y1272" s="403"/>
      <c r="Z1272" s="403"/>
    </row>
    <row r="1273">
      <c r="A1273" s="403"/>
      <c r="B1273" s="417"/>
      <c r="C1273" s="415"/>
      <c r="D1273" s="417"/>
      <c r="E1273" s="417"/>
      <c r="F1273" s="417"/>
      <c r="G1273" s="418"/>
      <c r="H1273" s="417"/>
      <c r="I1273" s="418"/>
      <c r="J1273" s="432"/>
      <c r="K1273" s="420"/>
      <c r="L1273" s="417"/>
      <c r="M1273" s="415"/>
      <c r="N1273" s="422"/>
      <c r="O1273" s="75" t="str">
        <f t="shared" si="3"/>
        <v/>
      </c>
      <c r="P1273" s="403">
        <v>0.0</v>
      </c>
      <c r="Q1273" s="403">
        <v>0.0</v>
      </c>
      <c r="R1273" s="403"/>
      <c r="S1273" s="403"/>
      <c r="T1273" s="403"/>
      <c r="U1273" s="403"/>
      <c r="V1273" s="403"/>
      <c r="W1273" s="403"/>
      <c r="X1273" s="403"/>
      <c r="Y1273" s="403"/>
      <c r="Z1273" s="403"/>
    </row>
    <row r="1274">
      <c r="A1274" s="403"/>
      <c r="B1274" s="417"/>
      <c r="C1274" s="415"/>
      <c r="D1274" s="417"/>
      <c r="E1274" s="417"/>
      <c r="F1274" s="417"/>
      <c r="G1274" s="418"/>
      <c r="H1274" s="417"/>
      <c r="I1274" s="418"/>
      <c r="J1274" s="432"/>
      <c r="K1274" s="420"/>
      <c r="L1274" s="417"/>
      <c r="M1274" s="415"/>
      <c r="N1274" s="422"/>
      <c r="O1274" s="75" t="str">
        <f t="shared" si="3"/>
        <v/>
      </c>
      <c r="P1274" s="403">
        <v>0.0</v>
      </c>
      <c r="Q1274" s="403">
        <v>0.0</v>
      </c>
      <c r="R1274" s="403"/>
      <c r="S1274" s="403"/>
      <c r="T1274" s="403"/>
      <c r="U1274" s="403"/>
      <c r="V1274" s="403"/>
      <c r="W1274" s="403"/>
      <c r="X1274" s="403"/>
      <c r="Y1274" s="403"/>
      <c r="Z1274" s="403"/>
    </row>
    <row r="1275">
      <c r="A1275" s="403"/>
      <c r="B1275" s="417"/>
      <c r="C1275" s="415"/>
      <c r="D1275" s="417"/>
      <c r="E1275" s="417"/>
      <c r="F1275" s="417"/>
      <c r="G1275" s="418"/>
      <c r="H1275" s="417"/>
      <c r="I1275" s="418"/>
      <c r="J1275" s="432"/>
      <c r="K1275" s="420"/>
      <c r="L1275" s="417"/>
      <c r="M1275" s="415"/>
      <c r="N1275" s="422"/>
      <c r="O1275" s="75" t="str">
        <f t="shared" si="3"/>
        <v/>
      </c>
      <c r="P1275" s="403">
        <v>0.0</v>
      </c>
      <c r="Q1275" s="403">
        <v>0.0</v>
      </c>
      <c r="R1275" s="403"/>
      <c r="S1275" s="403"/>
      <c r="T1275" s="403"/>
      <c r="U1275" s="403"/>
      <c r="V1275" s="403"/>
      <c r="W1275" s="403"/>
      <c r="X1275" s="403"/>
      <c r="Y1275" s="403"/>
      <c r="Z1275" s="403"/>
    </row>
    <row r="1276">
      <c r="A1276" s="403"/>
      <c r="B1276" s="417"/>
      <c r="C1276" s="415"/>
      <c r="D1276" s="417"/>
      <c r="E1276" s="417"/>
      <c r="F1276" s="417"/>
      <c r="G1276" s="418"/>
      <c r="H1276" s="417"/>
      <c r="I1276" s="418"/>
      <c r="J1276" s="432"/>
      <c r="K1276" s="420"/>
      <c r="L1276" s="417"/>
      <c r="M1276" s="415"/>
      <c r="N1276" s="422"/>
      <c r="O1276" s="75" t="str">
        <f t="shared" si="3"/>
        <v/>
      </c>
      <c r="P1276" s="403">
        <v>0.0</v>
      </c>
      <c r="Q1276" s="403">
        <v>0.0</v>
      </c>
      <c r="R1276" s="403"/>
      <c r="S1276" s="403"/>
      <c r="T1276" s="403"/>
      <c r="U1276" s="403"/>
      <c r="V1276" s="403"/>
      <c r="W1276" s="403"/>
      <c r="X1276" s="403"/>
      <c r="Y1276" s="403"/>
      <c r="Z1276" s="403"/>
    </row>
    <row r="1277">
      <c r="A1277" s="403"/>
      <c r="B1277" s="417"/>
      <c r="C1277" s="415"/>
      <c r="D1277" s="417"/>
      <c r="E1277" s="417"/>
      <c r="F1277" s="417"/>
      <c r="G1277" s="418"/>
      <c r="H1277" s="417"/>
      <c r="I1277" s="418"/>
      <c r="J1277" s="432"/>
      <c r="K1277" s="420"/>
      <c r="L1277" s="417"/>
      <c r="M1277" s="415"/>
      <c r="N1277" s="422"/>
      <c r="O1277" s="75" t="str">
        <f t="shared" si="3"/>
        <v/>
      </c>
      <c r="P1277" s="403">
        <v>0.0</v>
      </c>
      <c r="Q1277" s="403">
        <v>0.0</v>
      </c>
      <c r="R1277" s="403"/>
      <c r="S1277" s="403"/>
      <c r="T1277" s="403"/>
      <c r="U1277" s="403"/>
      <c r="V1277" s="403"/>
      <c r="W1277" s="403"/>
      <c r="X1277" s="403"/>
      <c r="Y1277" s="403"/>
      <c r="Z1277" s="403"/>
    </row>
    <row r="1278">
      <c r="A1278" s="403"/>
      <c r="B1278" s="417"/>
      <c r="C1278" s="415"/>
      <c r="D1278" s="417"/>
      <c r="E1278" s="417"/>
      <c r="F1278" s="417"/>
      <c r="G1278" s="418"/>
      <c r="H1278" s="417"/>
      <c r="I1278" s="418"/>
      <c r="J1278" s="432"/>
      <c r="K1278" s="420"/>
      <c r="L1278" s="417"/>
      <c r="M1278" s="415"/>
      <c r="N1278" s="422"/>
      <c r="O1278" s="75" t="str">
        <f t="shared" si="3"/>
        <v/>
      </c>
      <c r="P1278" s="403">
        <v>0.0</v>
      </c>
      <c r="Q1278" s="403">
        <v>0.0</v>
      </c>
      <c r="R1278" s="403"/>
      <c r="S1278" s="403"/>
      <c r="T1278" s="403"/>
      <c r="U1278" s="403"/>
      <c r="V1278" s="403"/>
      <c r="W1278" s="403"/>
      <c r="X1278" s="403"/>
      <c r="Y1278" s="403"/>
      <c r="Z1278" s="403"/>
    </row>
    <row r="1279">
      <c r="A1279" s="403"/>
      <c r="B1279" s="417"/>
      <c r="C1279" s="415"/>
      <c r="D1279" s="417"/>
      <c r="E1279" s="417"/>
      <c r="F1279" s="417"/>
      <c r="G1279" s="418"/>
      <c r="H1279" s="417"/>
      <c r="I1279" s="418"/>
      <c r="J1279" s="432"/>
      <c r="K1279" s="420"/>
      <c r="L1279" s="417"/>
      <c r="M1279" s="415"/>
      <c r="N1279" s="422"/>
      <c r="O1279" s="75" t="str">
        <f t="shared" si="3"/>
        <v/>
      </c>
      <c r="P1279" s="403">
        <v>0.0</v>
      </c>
      <c r="Q1279" s="403">
        <v>0.0</v>
      </c>
      <c r="R1279" s="403"/>
      <c r="S1279" s="403"/>
      <c r="T1279" s="403"/>
      <c r="U1279" s="403"/>
      <c r="V1279" s="403"/>
      <c r="W1279" s="403"/>
      <c r="X1279" s="403"/>
      <c r="Y1279" s="403"/>
      <c r="Z1279" s="403"/>
    </row>
    <row r="1280">
      <c r="A1280" s="403"/>
      <c r="B1280" s="417"/>
      <c r="C1280" s="415"/>
      <c r="D1280" s="417"/>
      <c r="E1280" s="417"/>
      <c r="F1280" s="417"/>
      <c r="G1280" s="418"/>
      <c r="H1280" s="417"/>
      <c r="I1280" s="418"/>
      <c r="J1280" s="432"/>
      <c r="K1280" s="420"/>
      <c r="L1280" s="417"/>
      <c r="M1280" s="415"/>
      <c r="N1280" s="422"/>
      <c r="O1280" s="75" t="str">
        <f t="shared" si="3"/>
        <v/>
      </c>
      <c r="P1280" s="403">
        <v>0.0</v>
      </c>
      <c r="Q1280" s="403">
        <v>0.0</v>
      </c>
      <c r="R1280" s="403"/>
      <c r="S1280" s="403"/>
      <c r="T1280" s="403"/>
      <c r="U1280" s="403"/>
      <c r="V1280" s="403"/>
      <c r="W1280" s="403"/>
      <c r="X1280" s="403"/>
      <c r="Y1280" s="403"/>
      <c r="Z1280" s="403"/>
    </row>
    <row r="1281">
      <c r="A1281" s="403"/>
      <c r="B1281" s="417"/>
      <c r="C1281" s="415"/>
      <c r="D1281" s="417"/>
      <c r="E1281" s="417"/>
      <c r="F1281" s="417"/>
      <c r="G1281" s="418"/>
      <c r="H1281" s="417"/>
      <c r="I1281" s="418"/>
      <c r="J1281" s="432"/>
      <c r="K1281" s="420"/>
      <c r="L1281" s="417"/>
      <c r="M1281" s="415"/>
      <c r="N1281" s="422"/>
      <c r="O1281" s="75" t="str">
        <f t="shared" si="3"/>
        <v/>
      </c>
      <c r="P1281" s="403">
        <v>0.0</v>
      </c>
      <c r="Q1281" s="403">
        <v>0.0</v>
      </c>
      <c r="R1281" s="403"/>
      <c r="S1281" s="403"/>
      <c r="T1281" s="403"/>
      <c r="U1281" s="403"/>
      <c r="V1281" s="403"/>
      <c r="W1281" s="403"/>
      <c r="X1281" s="403"/>
      <c r="Y1281" s="403"/>
      <c r="Z1281" s="403"/>
    </row>
    <row r="1282">
      <c r="A1282" s="403"/>
      <c r="B1282" s="417"/>
      <c r="C1282" s="415"/>
      <c r="D1282" s="417"/>
      <c r="E1282" s="417"/>
      <c r="F1282" s="417"/>
      <c r="G1282" s="418"/>
      <c r="H1282" s="417"/>
      <c r="I1282" s="418"/>
      <c r="J1282" s="432"/>
      <c r="K1282" s="420"/>
      <c r="L1282" s="417"/>
      <c r="M1282" s="415"/>
      <c r="N1282" s="422"/>
      <c r="O1282" s="75" t="str">
        <f t="shared" si="3"/>
        <v/>
      </c>
      <c r="P1282" s="403">
        <v>0.0</v>
      </c>
      <c r="Q1282" s="403">
        <v>0.0</v>
      </c>
      <c r="R1282" s="403"/>
      <c r="S1282" s="403"/>
      <c r="T1282" s="403"/>
      <c r="U1282" s="403"/>
      <c r="V1282" s="403"/>
      <c r="W1282" s="403"/>
      <c r="X1282" s="403"/>
      <c r="Y1282" s="403"/>
      <c r="Z1282" s="403"/>
    </row>
    <row r="1283">
      <c r="A1283" s="403"/>
      <c r="B1283" s="417"/>
      <c r="C1283" s="415"/>
      <c r="D1283" s="417"/>
      <c r="E1283" s="417"/>
      <c r="F1283" s="417"/>
      <c r="G1283" s="418"/>
      <c r="H1283" s="417"/>
      <c r="I1283" s="418"/>
      <c r="J1283" s="432"/>
      <c r="K1283" s="420"/>
      <c r="L1283" s="417"/>
      <c r="M1283" s="415"/>
      <c r="N1283" s="422"/>
      <c r="O1283" s="75" t="str">
        <f t="shared" si="3"/>
        <v/>
      </c>
      <c r="P1283" s="403">
        <v>0.0</v>
      </c>
      <c r="Q1283" s="403">
        <v>0.0</v>
      </c>
      <c r="R1283" s="403"/>
      <c r="S1283" s="403"/>
      <c r="T1283" s="403"/>
      <c r="U1283" s="403"/>
      <c r="V1283" s="403"/>
      <c r="W1283" s="403"/>
      <c r="X1283" s="403"/>
      <c r="Y1283" s="403"/>
      <c r="Z1283" s="403"/>
    </row>
    <row r="1284">
      <c r="A1284" s="403"/>
      <c r="B1284" s="417"/>
      <c r="C1284" s="415"/>
      <c r="D1284" s="417"/>
      <c r="E1284" s="417"/>
      <c r="F1284" s="417"/>
      <c r="G1284" s="418"/>
      <c r="H1284" s="417"/>
      <c r="I1284" s="418"/>
      <c r="J1284" s="432"/>
      <c r="K1284" s="420"/>
      <c r="L1284" s="417"/>
      <c r="M1284" s="415"/>
      <c r="N1284" s="422"/>
      <c r="O1284" s="75" t="str">
        <f t="shared" si="3"/>
        <v/>
      </c>
      <c r="P1284" s="403">
        <v>0.0</v>
      </c>
      <c r="Q1284" s="403">
        <v>0.0</v>
      </c>
      <c r="R1284" s="403"/>
      <c r="S1284" s="403"/>
      <c r="T1284" s="403"/>
      <c r="U1284" s="403"/>
      <c r="V1284" s="403"/>
      <c r="W1284" s="403"/>
      <c r="X1284" s="403"/>
      <c r="Y1284" s="403"/>
      <c r="Z1284" s="403"/>
    </row>
    <row r="1285">
      <c r="A1285" s="403"/>
      <c r="B1285" s="417"/>
      <c r="C1285" s="415"/>
      <c r="D1285" s="417"/>
      <c r="E1285" s="417"/>
      <c r="F1285" s="417"/>
      <c r="G1285" s="418"/>
      <c r="H1285" s="417"/>
      <c r="I1285" s="418"/>
      <c r="J1285" s="432"/>
      <c r="K1285" s="420"/>
      <c r="L1285" s="417"/>
      <c r="M1285" s="415"/>
      <c r="N1285" s="422"/>
      <c r="O1285" s="75" t="str">
        <f t="shared" si="3"/>
        <v/>
      </c>
      <c r="P1285" s="403">
        <v>0.0</v>
      </c>
      <c r="Q1285" s="403">
        <v>0.0</v>
      </c>
      <c r="R1285" s="403"/>
      <c r="S1285" s="403"/>
      <c r="T1285" s="403"/>
      <c r="U1285" s="403"/>
      <c r="V1285" s="403"/>
      <c r="W1285" s="403"/>
      <c r="X1285" s="403"/>
      <c r="Y1285" s="403"/>
      <c r="Z1285" s="403"/>
    </row>
    <row r="1286">
      <c r="A1286" s="403"/>
      <c r="B1286" s="417"/>
      <c r="C1286" s="415"/>
      <c r="D1286" s="417"/>
      <c r="E1286" s="417"/>
      <c r="F1286" s="417"/>
      <c r="G1286" s="418"/>
      <c r="H1286" s="417"/>
      <c r="I1286" s="418"/>
      <c r="J1286" s="432"/>
      <c r="K1286" s="420"/>
      <c r="L1286" s="417"/>
      <c r="M1286" s="415"/>
      <c r="N1286" s="422"/>
      <c r="O1286" s="75" t="str">
        <f t="shared" si="3"/>
        <v/>
      </c>
      <c r="P1286" s="403">
        <v>0.0</v>
      </c>
      <c r="Q1286" s="403">
        <v>0.0</v>
      </c>
      <c r="R1286" s="403"/>
      <c r="S1286" s="403"/>
      <c r="T1286" s="403"/>
      <c r="U1286" s="403"/>
      <c r="V1286" s="403"/>
      <c r="W1286" s="403"/>
      <c r="X1286" s="403"/>
      <c r="Y1286" s="403"/>
      <c r="Z1286" s="403"/>
    </row>
    <row r="1287">
      <c r="A1287" s="403"/>
      <c r="B1287" s="417"/>
      <c r="C1287" s="415"/>
      <c r="D1287" s="417"/>
      <c r="E1287" s="417"/>
      <c r="F1287" s="417"/>
      <c r="G1287" s="418"/>
      <c r="H1287" s="417"/>
      <c r="I1287" s="418"/>
      <c r="J1287" s="432"/>
      <c r="K1287" s="420"/>
      <c r="L1287" s="417"/>
      <c r="M1287" s="415"/>
      <c r="N1287" s="422"/>
      <c r="O1287" s="75" t="str">
        <f t="shared" si="3"/>
        <v/>
      </c>
      <c r="P1287" s="403">
        <v>0.0</v>
      </c>
      <c r="Q1287" s="403">
        <v>0.0</v>
      </c>
      <c r="R1287" s="403"/>
      <c r="S1287" s="403"/>
      <c r="T1287" s="403"/>
      <c r="U1287" s="403"/>
      <c r="V1287" s="403"/>
      <c r="W1287" s="403"/>
      <c r="X1287" s="403"/>
      <c r="Y1287" s="403"/>
      <c r="Z1287" s="403"/>
    </row>
    <row r="1288">
      <c r="A1288" s="403"/>
      <c r="B1288" s="417"/>
      <c r="C1288" s="415"/>
      <c r="D1288" s="417"/>
      <c r="E1288" s="417"/>
      <c r="F1288" s="417"/>
      <c r="G1288" s="418"/>
      <c r="H1288" s="417"/>
      <c r="I1288" s="418"/>
      <c r="J1288" s="432"/>
      <c r="K1288" s="420"/>
      <c r="L1288" s="417"/>
      <c r="M1288" s="415"/>
      <c r="N1288" s="422"/>
      <c r="O1288" s="75" t="str">
        <f t="shared" si="3"/>
        <v/>
      </c>
      <c r="P1288" s="403">
        <v>0.0</v>
      </c>
      <c r="Q1288" s="403">
        <v>0.0</v>
      </c>
      <c r="R1288" s="403"/>
      <c r="S1288" s="403"/>
      <c r="T1288" s="403"/>
      <c r="U1288" s="403"/>
      <c r="V1288" s="403"/>
      <c r="W1288" s="403"/>
      <c r="X1288" s="403"/>
      <c r="Y1288" s="403"/>
      <c r="Z1288" s="403"/>
    </row>
    <row r="1289">
      <c r="A1289" s="403"/>
      <c r="B1289" s="417"/>
      <c r="C1289" s="415"/>
      <c r="D1289" s="417"/>
      <c r="E1289" s="417"/>
      <c r="F1289" s="417"/>
      <c r="G1289" s="418"/>
      <c r="H1289" s="417"/>
      <c r="I1289" s="418"/>
      <c r="J1289" s="432"/>
      <c r="K1289" s="420"/>
      <c r="L1289" s="417"/>
      <c r="M1289" s="415"/>
      <c r="N1289" s="422"/>
      <c r="O1289" s="75" t="str">
        <f t="shared" si="3"/>
        <v/>
      </c>
      <c r="P1289" s="403">
        <v>0.0</v>
      </c>
      <c r="Q1289" s="403">
        <v>0.0</v>
      </c>
      <c r="R1289" s="403"/>
      <c r="S1289" s="403"/>
      <c r="T1289" s="403"/>
      <c r="U1289" s="403"/>
      <c r="V1289" s="403"/>
      <c r="W1289" s="403"/>
      <c r="X1289" s="403"/>
      <c r="Y1289" s="403"/>
      <c r="Z1289" s="403"/>
    </row>
    <row r="1290">
      <c r="A1290" s="403"/>
      <c r="B1290" s="417"/>
      <c r="C1290" s="415"/>
      <c r="D1290" s="417"/>
      <c r="E1290" s="417"/>
      <c r="F1290" s="417"/>
      <c r="G1290" s="418"/>
      <c r="H1290" s="417"/>
      <c r="I1290" s="418"/>
      <c r="J1290" s="432"/>
      <c r="K1290" s="420"/>
      <c r="L1290" s="417"/>
      <c r="M1290" s="415"/>
      <c r="N1290" s="422"/>
      <c r="O1290" s="75" t="str">
        <f t="shared" si="3"/>
        <v/>
      </c>
      <c r="P1290" s="403">
        <v>0.0</v>
      </c>
      <c r="Q1290" s="403">
        <v>0.0</v>
      </c>
      <c r="R1290" s="403"/>
      <c r="S1290" s="403"/>
      <c r="T1290" s="403"/>
      <c r="U1290" s="403"/>
      <c r="V1290" s="403"/>
      <c r="W1290" s="403"/>
      <c r="X1290" s="403"/>
      <c r="Y1290" s="403"/>
      <c r="Z1290" s="403"/>
    </row>
    <row r="1291">
      <c r="A1291" s="403"/>
      <c r="B1291" s="417"/>
      <c r="C1291" s="415"/>
      <c r="D1291" s="417"/>
      <c r="E1291" s="417"/>
      <c r="F1291" s="417"/>
      <c r="G1291" s="418"/>
      <c r="H1291" s="417"/>
      <c r="I1291" s="418"/>
      <c r="J1291" s="432"/>
      <c r="K1291" s="420"/>
      <c r="L1291" s="417"/>
      <c r="M1291" s="415"/>
      <c r="N1291" s="422"/>
      <c r="O1291" s="75" t="str">
        <f t="shared" si="3"/>
        <v/>
      </c>
      <c r="P1291" s="403">
        <v>0.0</v>
      </c>
      <c r="Q1291" s="403">
        <v>0.0</v>
      </c>
      <c r="R1291" s="403"/>
      <c r="S1291" s="403"/>
      <c r="T1291" s="403"/>
      <c r="U1291" s="403"/>
      <c r="V1291" s="403"/>
      <c r="W1291" s="403"/>
      <c r="X1291" s="403"/>
      <c r="Y1291" s="403"/>
      <c r="Z1291" s="403"/>
    </row>
    <row r="1292">
      <c r="A1292" s="403"/>
      <c r="B1292" s="417"/>
      <c r="C1292" s="415"/>
      <c r="D1292" s="417"/>
      <c r="E1292" s="417"/>
      <c r="F1292" s="417"/>
      <c r="G1292" s="418"/>
      <c r="H1292" s="417"/>
      <c r="I1292" s="418"/>
      <c r="J1292" s="432"/>
      <c r="K1292" s="420"/>
      <c r="L1292" s="417"/>
      <c r="M1292" s="415"/>
      <c r="N1292" s="422"/>
      <c r="O1292" s="75" t="str">
        <f t="shared" si="3"/>
        <v/>
      </c>
      <c r="P1292" s="403">
        <v>0.0</v>
      </c>
      <c r="Q1292" s="403">
        <v>0.0</v>
      </c>
      <c r="R1292" s="403"/>
      <c r="S1292" s="403"/>
      <c r="T1292" s="403"/>
      <c r="U1292" s="403"/>
      <c r="V1292" s="403"/>
      <c r="W1292" s="403"/>
      <c r="X1292" s="403"/>
      <c r="Y1292" s="403"/>
      <c r="Z1292" s="403"/>
    </row>
    <row r="1293">
      <c r="A1293" s="403"/>
      <c r="B1293" s="417"/>
      <c r="C1293" s="415"/>
      <c r="D1293" s="417"/>
      <c r="E1293" s="417"/>
      <c r="F1293" s="417"/>
      <c r="G1293" s="418"/>
      <c r="H1293" s="417"/>
      <c r="I1293" s="418"/>
      <c r="J1293" s="432"/>
      <c r="K1293" s="420"/>
      <c r="L1293" s="417"/>
      <c r="M1293" s="415"/>
      <c r="N1293" s="422"/>
      <c r="O1293" s="75" t="str">
        <f t="shared" si="3"/>
        <v/>
      </c>
      <c r="P1293" s="403">
        <v>0.0</v>
      </c>
      <c r="Q1293" s="403">
        <v>0.0</v>
      </c>
      <c r="R1293" s="403"/>
      <c r="S1293" s="403"/>
      <c r="T1293" s="403"/>
      <c r="U1293" s="403"/>
      <c r="V1293" s="403"/>
      <c r="W1293" s="403"/>
      <c r="X1293" s="403"/>
      <c r="Y1293" s="403"/>
      <c r="Z1293" s="403"/>
    </row>
    <row r="1294">
      <c r="A1294" s="403"/>
      <c r="B1294" s="417"/>
      <c r="C1294" s="415"/>
      <c r="D1294" s="417"/>
      <c r="E1294" s="417"/>
      <c r="F1294" s="417"/>
      <c r="G1294" s="418"/>
      <c r="H1294" s="417"/>
      <c r="I1294" s="418"/>
      <c r="J1294" s="432"/>
      <c r="K1294" s="420"/>
      <c r="L1294" s="417"/>
      <c r="M1294" s="415"/>
      <c r="N1294" s="422"/>
      <c r="O1294" s="75" t="str">
        <f t="shared" si="3"/>
        <v/>
      </c>
      <c r="P1294" s="403">
        <v>0.0</v>
      </c>
      <c r="Q1294" s="403">
        <v>0.0</v>
      </c>
      <c r="R1294" s="403"/>
      <c r="S1294" s="403"/>
      <c r="T1294" s="403"/>
      <c r="U1294" s="403"/>
      <c r="V1294" s="403"/>
      <c r="W1294" s="403"/>
      <c r="X1294" s="403"/>
      <c r="Y1294" s="403"/>
      <c r="Z1294" s="403"/>
    </row>
    <row r="1295">
      <c r="A1295" s="403"/>
      <c r="B1295" s="417"/>
      <c r="C1295" s="415"/>
      <c r="D1295" s="417"/>
      <c r="E1295" s="417"/>
      <c r="F1295" s="417"/>
      <c r="G1295" s="418"/>
      <c r="H1295" s="417"/>
      <c r="I1295" s="418"/>
      <c r="J1295" s="432"/>
      <c r="K1295" s="420"/>
      <c r="L1295" s="417"/>
      <c r="M1295" s="415"/>
      <c r="N1295" s="422"/>
      <c r="O1295" s="75" t="str">
        <f t="shared" si="3"/>
        <v/>
      </c>
      <c r="P1295" s="403">
        <v>0.0</v>
      </c>
      <c r="Q1295" s="403">
        <v>0.0</v>
      </c>
      <c r="R1295" s="403"/>
      <c r="S1295" s="403"/>
      <c r="T1295" s="403"/>
      <c r="U1295" s="403"/>
      <c r="V1295" s="403"/>
      <c r="W1295" s="403"/>
      <c r="X1295" s="403"/>
      <c r="Y1295" s="403"/>
      <c r="Z1295" s="403"/>
    </row>
    <row r="1296">
      <c r="A1296" s="403"/>
      <c r="B1296" s="417"/>
      <c r="C1296" s="415"/>
      <c r="D1296" s="417"/>
      <c r="E1296" s="417"/>
      <c r="F1296" s="417"/>
      <c r="G1296" s="418"/>
      <c r="H1296" s="417"/>
      <c r="I1296" s="418"/>
      <c r="J1296" s="432"/>
      <c r="K1296" s="420"/>
      <c r="L1296" s="417"/>
      <c r="M1296" s="415"/>
      <c r="N1296" s="422"/>
      <c r="O1296" s="75" t="str">
        <f t="shared" si="3"/>
        <v/>
      </c>
      <c r="P1296" s="403">
        <v>0.0</v>
      </c>
      <c r="Q1296" s="403">
        <v>0.0</v>
      </c>
      <c r="R1296" s="403"/>
      <c r="S1296" s="403"/>
      <c r="T1296" s="403"/>
      <c r="U1296" s="403"/>
      <c r="V1296" s="403"/>
      <c r="W1296" s="403"/>
      <c r="X1296" s="403"/>
      <c r="Y1296" s="403"/>
      <c r="Z1296" s="403"/>
    </row>
    <row r="1297">
      <c r="A1297" s="403"/>
      <c r="B1297" s="417"/>
      <c r="C1297" s="415"/>
      <c r="D1297" s="417"/>
      <c r="E1297" s="417"/>
      <c r="F1297" s="417"/>
      <c r="G1297" s="418"/>
      <c r="H1297" s="417"/>
      <c r="I1297" s="418"/>
      <c r="J1297" s="432"/>
      <c r="K1297" s="420"/>
      <c r="L1297" s="417"/>
      <c r="M1297" s="415"/>
      <c r="N1297" s="422"/>
      <c r="O1297" s="75" t="str">
        <f t="shared" si="3"/>
        <v/>
      </c>
      <c r="P1297" s="403">
        <v>0.0</v>
      </c>
      <c r="Q1297" s="403">
        <v>0.0</v>
      </c>
      <c r="R1297" s="403"/>
      <c r="S1297" s="403"/>
      <c r="T1297" s="403"/>
      <c r="U1297" s="403"/>
      <c r="V1297" s="403"/>
      <c r="W1297" s="403"/>
      <c r="X1297" s="403"/>
      <c r="Y1297" s="403"/>
      <c r="Z1297" s="403"/>
    </row>
    <row r="1298">
      <c r="A1298" s="403"/>
      <c r="B1298" s="417"/>
      <c r="C1298" s="415"/>
      <c r="D1298" s="417"/>
      <c r="E1298" s="417"/>
      <c r="F1298" s="417"/>
      <c r="G1298" s="418"/>
      <c r="H1298" s="417"/>
      <c r="I1298" s="418"/>
      <c r="J1298" s="432"/>
      <c r="K1298" s="420"/>
      <c r="L1298" s="417"/>
      <c r="M1298" s="415"/>
      <c r="N1298" s="422"/>
      <c r="O1298" s="75" t="str">
        <f t="shared" si="3"/>
        <v/>
      </c>
      <c r="P1298" s="403">
        <v>0.0</v>
      </c>
      <c r="Q1298" s="403">
        <v>0.0</v>
      </c>
      <c r="R1298" s="403"/>
      <c r="S1298" s="403"/>
      <c r="T1298" s="403"/>
      <c r="U1298" s="403"/>
      <c r="V1298" s="403"/>
      <c r="W1298" s="403"/>
      <c r="X1298" s="403"/>
      <c r="Y1298" s="403"/>
      <c r="Z1298" s="403"/>
    </row>
    <row r="1299">
      <c r="A1299" s="403"/>
      <c r="B1299" s="417"/>
      <c r="C1299" s="415"/>
      <c r="D1299" s="417"/>
      <c r="E1299" s="417"/>
      <c r="F1299" s="417"/>
      <c r="G1299" s="418"/>
      <c r="H1299" s="417"/>
      <c r="I1299" s="418"/>
      <c r="J1299" s="432"/>
      <c r="K1299" s="420"/>
      <c r="L1299" s="417"/>
      <c r="M1299" s="415"/>
      <c r="N1299" s="422"/>
      <c r="O1299" s="75" t="str">
        <f t="shared" si="3"/>
        <v/>
      </c>
      <c r="P1299" s="403">
        <v>0.0</v>
      </c>
      <c r="Q1299" s="403">
        <v>0.0</v>
      </c>
      <c r="R1299" s="403"/>
      <c r="S1299" s="403"/>
      <c r="T1299" s="403"/>
      <c r="U1299" s="403"/>
      <c r="V1299" s="403"/>
      <c r="W1299" s="403"/>
      <c r="X1299" s="403"/>
      <c r="Y1299" s="403"/>
      <c r="Z1299" s="403"/>
    </row>
    <row r="1300">
      <c r="A1300" s="403"/>
      <c r="B1300" s="417"/>
      <c r="C1300" s="415"/>
      <c r="D1300" s="417"/>
      <c r="E1300" s="417"/>
      <c r="F1300" s="417"/>
      <c r="G1300" s="418"/>
      <c r="H1300" s="417"/>
      <c r="I1300" s="418"/>
      <c r="J1300" s="432"/>
      <c r="K1300" s="420"/>
      <c r="L1300" s="417"/>
      <c r="M1300" s="415"/>
      <c r="N1300" s="422"/>
      <c r="O1300" s="75" t="str">
        <f t="shared" si="3"/>
        <v/>
      </c>
      <c r="P1300" s="403">
        <v>0.0</v>
      </c>
      <c r="Q1300" s="403">
        <v>0.0</v>
      </c>
      <c r="R1300" s="403"/>
      <c r="S1300" s="403"/>
      <c r="T1300" s="403"/>
      <c r="U1300" s="403"/>
      <c r="V1300" s="403"/>
      <c r="W1300" s="403"/>
      <c r="X1300" s="403"/>
      <c r="Y1300" s="403"/>
      <c r="Z1300" s="403"/>
    </row>
    <row r="1301">
      <c r="A1301" s="403"/>
      <c r="B1301" s="417"/>
      <c r="C1301" s="415"/>
      <c r="D1301" s="417"/>
      <c r="E1301" s="417"/>
      <c r="F1301" s="417"/>
      <c r="G1301" s="418"/>
      <c r="H1301" s="417"/>
      <c r="I1301" s="418"/>
      <c r="J1301" s="432"/>
      <c r="K1301" s="420"/>
      <c r="L1301" s="417"/>
      <c r="M1301" s="415"/>
      <c r="N1301" s="422"/>
      <c r="O1301" s="75" t="str">
        <f t="shared" si="3"/>
        <v/>
      </c>
      <c r="P1301" s="403">
        <v>0.0</v>
      </c>
      <c r="Q1301" s="403">
        <v>0.0</v>
      </c>
      <c r="R1301" s="403"/>
      <c r="S1301" s="403"/>
      <c r="T1301" s="403"/>
      <c r="U1301" s="403"/>
      <c r="V1301" s="403"/>
      <c r="W1301" s="403"/>
      <c r="X1301" s="403"/>
      <c r="Y1301" s="403"/>
      <c r="Z1301" s="403"/>
    </row>
    <row r="1302">
      <c r="A1302" s="403"/>
      <c r="B1302" s="417"/>
      <c r="C1302" s="415"/>
      <c r="D1302" s="417"/>
      <c r="E1302" s="417"/>
      <c r="F1302" s="417"/>
      <c r="G1302" s="418"/>
      <c r="H1302" s="417"/>
      <c r="I1302" s="418"/>
      <c r="J1302" s="432"/>
      <c r="K1302" s="420"/>
      <c r="L1302" s="417"/>
      <c r="M1302" s="415"/>
      <c r="N1302" s="422"/>
      <c r="O1302" s="75" t="str">
        <f t="shared" si="3"/>
        <v/>
      </c>
      <c r="P1302" s="403">
        <v>0.0</v>
      </c>
      <c r="Q1302" s="403">
        <v>0.0</v>
      </c>
      <c r="R1302" s="403"/>
      <c r="S1302" s="403"/>
      <c r="T1302" s="403"/>
      <c r="U1302" s="403"/>
      <c r="V1302" s="403"/>
      <c r="W1302" s="403"/>
      <c r="X1302" s="403"/>
      <c r="Y1302" s="403"/>
      <c r="Z1302" s="403"/>
    </row>
    <row r="1303">
      <c r="A1303" s="403"/>
      <c r="B1303" s="417"/>
      <c r="C1303" s="415"/>
      <c r="D1303" s="417"/>
      <c r="E1303" s="417"/>
      <c r="F1303" s="417"/>
      <c r="G1303" s="418"/>
      <c r="H1303" s="417"/>
      <c r="I1303" s="418"/>
      <c r="J1303" s="432"/>
      <c r="K1303" s="420"/>
      <c r="L1303" s="417"/>
      <c r="M1303" s="415"/>
      <c r="N1303" s="422"/>
      <c r="O1303" s="75" t="str">
        <f t="shared" si="3"/>
        <v/>
      </c>
      <c r="P1303" s="403">
        <v>0.0</v>
      </c>
      <c r="Q1303" s="403">
        <v>0.0</v>
      </c>
      <c r="R1303" s="403"/>
      <c r="S1303" s="403"/>
      <c r="T1303" s="403"/>
      <c r="U1303" s="403"/>
      <c r="V1303" s="403"/>
      <c r="W1303" s="403"/>
      <c r="X1303" s="403"/>
      <c r="Y1303" s="403"/>
      <c r="Z1303" s="403"/>
    </row>
    <row r="1304">
      <c r="A1304" s="403"/>
      <c r="B1304" s="417"/>
      <c r="C1304" s="415"/>
      <c r="D1304" s="417"/>
      <c r="E1304" s="417"/>
      <c r="F1304" s="417"/>
      <c r="G1304" s="418"/>
      <c r="H1304" s="417"/>
      <c r="I1304" s="418"/>
      <c r="J1304" s="432"/>
      <c r="K1304" s="420"/>
      <c r="L1304" s="417"/>
      <c r="M1304" s="415"/>
      <c r="N1304" s="422"/>
      <c r="O1304" s="75" t="str">
        <f t="shared" si="3"/>
        <v/>
      </c>
      <c r="P1304" s="403">
        <v>0.0</v>
      </c>
      <c r="Q1304" s="403">
        <v>0.0</v>
      </c>
      <c r="R1304" s="403"/>
      <c r="S1304" s="403"/>
      <c r="T1304" s="403"/>
      <c r="U1304" s="403"/>
      <c r="V1304" s="403"/>
      <c r="W1304" s="403"/>
      <c r="X1304" s="403"/>
      <c r="Y1304" s="403"/>
      <c r="Z1304" s="403"/>
    </row>
    <row r="1305">
      <c r="A1305" s="403"/>
      <c r="B1305" s="417"/>
      <c r="C1305" s="415"/>
      <c r="D1305" s="417"/>
      <c r="E1305" s="417"/>
      <c r="F1305" s="417"/>
      <c r="G1305" s="418"/>
      <c r="H1305" s="417"/>
      <c r="I1305" s="418"/>
      <c r="J1305" s="432"/>
      <c r="K1305" s="420"/>
      <c r="L1305" s="417"/>
      <c r="M1305" s="415"/>
      <c r="N1305" s="422"/>
      <c r="O1305" s="75" t="str">
        <f t="shared" si="3"/>
        <v/>
      </c>
      <c r="P1305" s="403">
        <v>0.0</v>
      </c>
      <c r="Q1305" s="403">
        <v>0.0</v>
      </c>
      <c r="R1305" s="403"/>
      <c r="S1305" s="403"/>
      <c r="T1305" s="403"/>
      <c r="U1305" s="403"/>
      <c r="V1305" s="403"/>
      <c r="W1305" s="403"/>
      <c r="X1305" s="403"/>
      <c r="Y1305" s="403"/>
      <c r="Z1305" s="403"/>
    </row>
    <row r="1306">
      <c r="A1306" s="403"/>
      <c r="B1306" s="417"/>
      <c r="C1306" s="415"/>
      <c r="D1306" s="417"/>
      <c r="E1306" s="417"/>
      <c r="F1306" s="417"/>
      <c r="G1306" s="418"/>
      <c r="H1306" s="417"/>
      <c r="I1306" s="418"/>
      <c r="J1306" s="432"/>
      <c r="K1306" s="420"/>
      <c r="L1306" s="417"/>
      <c r="M1306" s="415"/>
      <c r="N1306" s="422"/>
      <c r="O1306" s="75" t="str">
        <f t="shared" si="3"/>
        <v/>
      </c>
      <c r="P1306" s="403">
        <v>0.0</v>
      </c>
      <c r="Q1306" s="403">
        <v>0.0</v>
      </c>
      <c r="R1306" s="403"/>
      <c r="S1306" s="403"/>
      <c r="T1306" s="403"/>
      <c r="U1306" s="403"/>
      <c r="V1306" s="403"/>
      <c r="W1306" s="403"/>
      <c r="X1306" s="403"/>
      <c r="Y1306" s="403"/>
      <c r="Z1306" s="403"/>
    </row>
    <row r="1307">
      <c r="A1307" s="403"/>
      <c r="B1307" s="417"/>
      <c r="C1307" s="415"/>
      <c r="D1307" s="417"/>
      <c r="E1307" s="417"/>
      <c r="F1307" s="417"/>
      <c r="G1307" s="418"/>
      <c r="H1307" s="417"/>
      <c r="I1307" s="418"/>
      <c r="J1307" s="432"/>
      <c r="K1307" s="420"/>
      <c r="L1307" s="417"/>
      <c r="M1307" s="415"/>
      <c r="N1307" s="422"/>
      <c r="O1307" s="75" t="str">
        <f t="shared" si="3"/>
        <v/>
      </c>
      <c r="P1307" s="403">
        <v>0.0</v>
      </c>
      <c r="Q1307" s="403">
        <v>0.0</v>
      </c>
      <c r="R1307" s="403"/>
      <c r="S1307" s="403"/>
      <c r="T1307" s="403"/>
      <c r="U1307" s="403"/>
      <c r="V1307" s="403"/>
      <c r="W1307" s="403"/>
      <c r="X1307" s="403"/>
      <c r="Y1307" s="403"/>
      <c r="Z1307" s="403"/>
    </row>
    <row r="1308">
      <c r="A1308" s="403"/>
      <c r="B1308" s="417"/>
      <c r="C1308" s="415"/>
      <c r="D1308" s="417"/>
      <c r="E1308" s="417"/>
      <c r="F1308" s="417"/>
      <c r="G1308" s="418"/>
      <c r="H1308" s="417"/>
      <c r="I1308" s="418"/>
      <c r="J1308" s="432"/>
      <c r="K1308" s="420"/>
      <c r="L1308" s="417"/>
      <c r="M1308" s="415"/>
      <c r="N1308" s="422"/>
      <c r="O1308" s="75" t="str">
        <f t="shared" si="3"/>
        <v/>
      </c>
      <c r="P1308" s="403">
        <v>0.0</v>
      </c>
      <c r="Q1308" s="403">
        <v>0.0</v>
      </c>
      <c r="R1308" s="403"/>
      <c r="S1308" s="403"/>
      <c r="T1308" s="403"/>
      <c r="U1308" s="403"/>
      <c r="V1308" s="403"/>
      <c r="W1308" s="403"/>
      <c r="X1308" s="403"/>
      <c r="Y1308" s="403"/>
      <c r="Z1308" s="403"/>
    </row>
    <row r="1309">
      <c r="A1309" s="403"/>
      <c r="B1309" s="417"/>
      <c r="C1309" s="415"/>
      <c r="D1309" s="417"/>
      <c r="E1309" s="417"/>
      <c r="F1309" s="417"/>
      <c r="G1309" s="418"/>
      <c r="H1309" s="417"/>
      <c r="I1309" s="418"/>
      <c r="J1309" s="432"/>
      <c r="K1309" s="420"/>
      <c r="L1309" s="417"/>
      <c r="M1309" s="415"/>
      <c r="N1309" s="422"/>
      <c r="O1309" s="75" t="str">
        <f t="shared" si="3"/>
        <v/>
      </c>
      <c r="P1309" s="403">
        <v>0.0</v>
      </c>
      <c r="Q1309" s="403">
        <v>0.0</v>
      </c>
      <c r="R1309" s="403"/>
      <c r="S1309" s="403"/>
      <c r="T1309" s="403"/>
      <c r="U1309" s="403"/>
      <c r="V1309" s="403"/>
      <c r="W1309" s="403"/>
      <c r="X1309" s="403"/>
      <c r="Y1309" s="403"/>
      <c r="Z1309" s="403"/>
    </row>
    <row r="1310">
      <c r="A1310" s="403"/>
      <c r="B1310" s="417"/>
      <c r="C1310" s="415"/>
      <c r="D1310" s="417"/>
      <c r="E1310" s="417"/>
      <c r="F1310" s="417"/>
      <c r="G1310" s="418"/>
      <c r="H1310" s="417"/>
      <c r="I1310" s="418"/>
      <c r="J1310" s="432"/>
      <c r="K1310" s="420"/>
      <c r="L1310" s="417"/>
      <c r="M1310" s="415"/>
      <c r="N1310" s="422"/>
      <c r="O1310" s="75" t="str">
        <f t="shared" si="3"/>
        <v/>
      </c>
      <c r="P1310" s="403">
        <v>0.0</v>
      </c>
      <c r="Q1310" s="403">
        <v>0.0</v>
      </c>
      <c r="R1310" s="403"/>
      <c r="S1310" s="403"/>
      <c r="T1310" s="403"/>
      <c r="U1310" s="403"/>
      <c r="V1310" s="403"/>
      <c r="W1310" s="403"/>
      <c r="X1310" s="403"/>
      <c r="Y1310" s="403"/>
      <c r="Z1310" s="403"/>
    </row>
    <row r="1311">
      <c r="A1311" s="403"/>
      <c r="B1311" s="417"/>
      <c r="C1311" s="415"/>
      <c r="D1311" s="417"/>
      <c r="E1311" s="417"/>
      <c r="F1311" s="417"/>
      <c r="G1311" s="418"/>
      <c r="H1311" s="417"/>
      <c r="I1311" s="418"/>
      <c r="J1311" s="432"/>
      <c r="K1311" s="420"/>
      <c r="L1311" s="417"/>
      <c r="M1311" s="415"/>
      <c r="N1311" s="422"/>
      <c r="O1311" s="75" t="str">
        <f t="shared" si="3"/>
        <v/>
      </c>
      <c r="P1311" s="403">
        <v>0.0</v>
      </c>
      <c r="Q1311" s="403">
        <v>0.0</v>
      </c>
      <c r="R1311" s="403"/>
      <c r="S1311" s="403"/>
      <c r="T1311" s="403"/>
      <c r="U1311" s="403"/>
      <c r="V1311" s="403"/>
      <c r="W1311" s="403"/>
      <c r="X1311" s="403"/>
      <c r="Y1311" s="403"/>
      <c r="Z1311" s="403"/>
    </row>
    <row r="1312">
      <c r="A1312" s="403"/>
      <c r="B1312" s="417"/>
      <c r="C1312" s="415"/>
      <c r="D1312" s="417"/>
      <c r="E1312" s="417"/>
      <c r="F1312" s="417"/>
      <c r="G1312" s="418"/>
      <c r="H1312" s="417"/>
      <c r="I1312" s="418"/>
      <c r="J1312" s="432"/>
      <c r="K1312" s="420"/>
      <c r="L1312" s="417"/>
      <c r="M1312" s="415"/>
      <c r="N1312" s="422"/>
      <c r="O1312" s="75" t="str">
        <f t="shared" si="3"/>
        <v/>
      </c>
      <c r="P1312" s="403">
        <v>0.0</v>
      </c>
      <c r="Q1312" s="403">
        <v>0.0</v>
      </c>
      <c r="R1312" s="403"/>
      <c r="S1312" s="403"/>
      <c r="T1312" s="403"/>
      <c r="U1312" s="403"/>
      <c r="V1312" s="403"/>
      <c r="W1312" s="403"/>
      <c r="X1312" s="403"/>
      <c r="Y1312" s="403"/>
      <c r="Z1312" s="403"/>
    </row>
    <row r="1313">
      <c r="A1313" s="403"/>
      <c r="B1313" s="417"/>
      <c r="C1313" s="415"/>
      <c r="D1313" s="417"/>
      <c r="E1313" s="417"/>
      <c r="F1313" s="417"/>
      <c r="G1313" s="418"/>
      <c r="H1313" s="417"/>
      <c r="I1313" s="418"/>
      <c r="J1313" s="432"/>
      <c r="K1313" s="420"/>
      <c r="L1313" s="417"/>
      <c r="M1313" s="415"/>
      <c r="N1313" s="422"/>
      <c r="O1313" s="75" t="str">
        <f t="shared" si="3"/>
        <v/>
      </c>
      <c r="P1313" s="403">
        <v>0.0</v>
      </c>
      <c r="Q1313" s="403">
        <v>0.0</v>
      </c>
      <c r="R1313" s="403"/>
      <c r="S1313" s="403"/>
      <c r="T1313" s="403"/>
      <c r="U1313" s="403"/>
      <c r="V1313" s="403"/>
      <c r="W1313" s="403"/>
      <c r="X1313" s="403"/>
      <c r="Y1313" s="403"/>
      <c r="Z1313" s="403"/>
    </row>
    <row r="1314">
      <c r="A1314" s="403"/>
      <c r="B1314" s="417"/>
      <c r="C1314" s="415"/>
      <c r="D1314" s="417"/>
      <c r="E1314" s="417"/>
      <c r="F1314" s="417"/>
      <c r="G1314" s="418"/>
      <c r="H1314" s="417"/>
      <c r="I1314" s="418"/>
      <c r="J1314" s="432"/>
      <c r="K1314" s="420"/>
      <c r="L1314" s="417"/>
      <c r="M1314" s="415"/>
      <c r="N1314" s="422"/>
      <c r="O1314" s="75" t="str">
        <f t="shared" si="3"/>
        <v/>
      </c>
      <c r="P1314" s="403">
        <v>0.0</v>
      </c>
      <c r="Q1314" s="403">
        <v>0.0</v>
      </c>
      <c r="R1314" s="403"/>
      <c r="S1314" s="403"/>
      <c r="T1314" s="403"/>
      <c r="U1314" s="403"/>
      <c r="V1314" s="403"/>
      <c r="W1314" s="403"/>
      <c r="X1314" s="403"/>
      <c r="Y1314" s="403"/>
      <c r="Z1314" s="403"/>
    </row>
    <row r="1315">
      <c r="A1315" s="403"/>
      <c r="B1315" s="417"/>
      <c r="C1315" s="415"/>
      <c r="D1315" s="417"/>
      <c r="E1315" s="417"/>
      <c r="F1315" s="417"/>
      <c r="G1315" s="418"/>
      <c r="H1315" s="417"/>
      <c r="I1315" s="418"/>
      <c r="J1315" s="432"/>
      <c r="K1315" s="420"/>
      <c r="L1315" s="417"/>
      <c r="M1315" s="415"/>
      <c r="N1315" s="422"/>
      <c r="O1315" s="75" t="str">
        <f t="shared" si="3"/>
        <v/>
      </c>
      <c r="P1315" s="403">
        <v>0.0</v>
      </c>
      <c r="Q1315" s="403">
        <v>0.0</v>
      </c>
      <c r="R1315" s="403"/>
      <c r="S1315" s="403"/>
      <c r="T1315" s="403"/>
      <c r="U1315" s="403"/>
      <c r="V1315" s="403"/>
      <c r="W1315" s="403"/>
      <c r="X1315" s="403"/>
      <c r="Y1315" s="403"/>
      <c r="Z1315" s="403"/>
    </row>
    <row r="1316">
      <c r="A1316" s="403"/>
      <c r="B1316" s="417"/>
      <c r="C1316" s="415"/>
      <c r="D1316" s="417"/>
      <c r="E1316" s="417"/>
      <c r="F1316" s="417"/>
      <c r="G1316" s="418"/>
      <c r="H1316" s="417"/>
      <c r="I1316" s="418"/>
      <c r="J1316" s="432"/>
      <c r="K1316" s="420"/>
      <c r="L1316" s="417"/>
      <c r="M1316" s="415"/>
      <c r="N1316" s="422"/>
      <c r="O1316" s="75" t="str">
        <f t="shared" si="3"/>
        <v/>
      </c>
      <c r="P1316" s="403">
        <v>0.0</v>
      </c>
      <c r="Q1316" s="403">
        <v>0.0</v>
      </c>
      <c r="R1316" s="403"/>
      <c r="S1316" s="403"/>
      <c r="T1316" s="403"/>
      <c r="U1316" s="403"/>
      <c r="V1316" s="403"/>
      <c r="W1316" s="403"/>
      <c r="X1316" s="403"/>
      <c r="Y1316" s="403"/>
      <c r="Z1316" s="403"/>
    </row>
    <row r="1317">
      <c r="A1317" s="403"/>
      <c r="B1317" s="417"/>
      <c r="C1317" s="415"/>
      <c r="D1317" s="417"/>
      <c r="E1317" s="417"/>
      <c r="F1317" s="417"/>
      <c r="G1317" s="418"/>
      <c r="H1317" s="417"/>
      <c r="I1317" s="418"/>
      <c r="J1317" s="432"/>
      <c r="K1317" s="420"/>
      <c r="L1317" s="417"/>
      <c r="M1317" s="415"/>
      <c r="N1317" s="422"/>
      <c r="O1317" s="75" t="str">
        <f t="shared" si="3"/>
        <v/>
      </c>
      <c r="P1317" s="403">
        <v>0.0</v>
      </c>
      <c r="Q1317" s="403">
        <v>0.0</v>
      </c>
      <c r="R1317" s="403"/>
      <c r="S1317" s="403"/>
      <c r="T1317" s="403"/>
      <c r="U1317" s="403"/>
      <c r="V1317" s="403"/>
      <c r="W1317" s="403"/>
      <c r="X1317" s="403"/>
      <c r="Y1317" s="403"/>
      <c r="Z1317" s="403"/>
    </row>
    <row r="1318">
      <c r="A1318" s="403"/>
      <c r="B1318" s="417"/>
      <c r="C1318" s="415"/>
      <c r="D1318" s="417"/>
      <c r="E1318" s="417"/>
      <c r="F1318" s="417"/>
      <c r="G1318" s="418"/>
      <c r="H1318" s="417"/>
      <c r="I1318" s="418"/>
      <c r="J1318" s="432"/>
      <c r="K1318" s="420"/>
      <c r="L1318" s="417"/>
      <c r="M1318" s="415"/>
      <c r="N1318" s="422"/>
      <c r="O1318" s="75" t="str">
        <f t="shared" si="3"/>
        <v/>
      </c>
      <c r="P1318" s="403">
        <v>0.0</v>
      </c>
      <c r="Q1318" s="403">
        <v>0.0</v>
      </c>
      <c r="R1318" s="403"/>
      <c r="S1318" s="403"/>
      <c r="T1318" s="403"/>
      <c r="U1318" s="403"/>
      <c r="V1318" s="403"/>
      <c r="W1318" s="403"/>
      <c r="X1318" s="403"/>
      <c r="Y1318" s="403"/>
      <c r="Z1318" s="403"/>
    </row>
    <row r="1319">
      <c r="A1319" s="403"/>
      <c r="B1319" s="417"/>
      <c r="C1319" s="415"/>
      <c r="D1319" s="417"/>
      <c r="E1319" s="417"/>
      <c r="F1319" s="417"/>
      <c r="G1319" s="418"/>
      <c r="H1319" s="417"/>
      <c r="I1319" s="418"/>
      <c r="J1319" s="432"/>
      <c r="K1319" s="420"/>
      <c r="L1319" s="417"/>
      <c r="M1319" s="415"/>
      <c r="N1319" s="422"/>
      <c r="O1319" s="75" t="str">
        <f t="shared" si="3"/>
        <v/>
      </c>
      <c r="P1319" s="403">
        <v>0.0</v>
      </c>
      <c r="Q1319" s="403">
        <v>0.0</v>
      </c>
      <c r="R1319" s="403"/>
      <c r="S1319" s="403"/>
      <c r="T1319" s="403"/>
      <c r="U1319" s="403"/>
      <c r="V1319" s="403"/>
      <c r="W1319" s="403"/>
      <c r="X1319" s="403"/>
      <c r="Y1319" s="403"/>
      <c r="Z1319" s="403"/>
    </row>
    <row r="1320">
      <c r="A1320" s="403"/>
      <c r="B1320" s="417"/>
      <c r="C1320" s="415"/>
      <c r="D1320" s="417"/>
      <c r="E1320" s="417"/>
      <c r="F1320" s="417"/>
      <c r="G1320" s="418"/>
      <c r="H1320" s="417"/>
      <c r="I1320" s="418"/>
      <c r="J1320" s="432"/>
      <c r="K1320" s="420"/>
      <c r="L1320" s="417"/>
      <c r="M1320" s="415"/>
      <c r="N1320" s="422"/>
      <c r="O1320" s="75" t="str">
        <f t="shared" si="3"/>
        <v/>
      </c>
      <c r="P1320" s="403">
        <v>0.0</v>
      </c>
      <c r="Q1320" s="403">
        <v>0.0</v>
      </c>
      <c r="R1320" s="403"/>
      <c r="S1320" s="403"/>
      <c r="T1320" s="403"/>
      <c r="U1320" s="403"/>
      <c r="V1320" s="403"/>
      <c r="W1320" s="403"/>
      <c r="X1320" s="403"/>
      <c r="Y1320" s="403"/>
      <c r="Z1320" s="403"/>
    </row>
    <row r="1321">
      <c r="A1321" s="403"/>
      <c r="B1321" s="417"/>
      <c r="C1321" s="415"/>
      <c r="D1321" s="417"/>
      <c r="E1321" s="417"/>
      <c r="F1321" s="417"/>
      <c r="G1321" s="418"/>
      <c r="H1321" s="417"/>
      <c r="I1321" s="418"/>
      <c r="J1321" s="432"/>
      <c r="K1321" s="420"/>
      <c r="L1321" s="417"/>
      <c r="M1321" s="415"/>
      <c r="N1321" s="422"/>
      <c r="O1321" s="75" t="str">
        <f t="shared" si="3"/>
        <v/>
      </c>
      <c r="P1321" s="403">
        <v>0.0</v>
      </c>
      <c r="Q1321" s="403">
        <v>0.0</v>
      </c>
      <c r="R1321" s="403"/>
      <c r="S1321" s="403"/>
      <c r="T1321" s="403"/>
      <c r="U1321" s="403"/>
      <c r="V1321" s="403"/>
      <c r="W1321" s="403"/>
      <c r="X1321" s="403"/>
      <c r="Y1321" s="403"/>
      <c r="Z1321" s="403"/>
    </row>
    <row r="1322">
      <c r="A1322" s="403"/>
      <c r="B1322" s="417"/>
      <c r="C1322" s="415"/>
      <c r="D1322" s="417"/>
      <c r="E1322" s="417"/>
      <c r="F1322" s="417"/>
      <c r="G1322" s="418"/>
      <c r="H1322" s="417"/>
      <c r="I1322" s="418"/>
      <c r="J1322" s="432"/>
      <c r="K1322" s="420"/>
      <c r="L1322" s="417"/>
      <c r="M1322" s="415"/>
      <c r="N1322" s="422"/>
      <c r="O1322" s="75" t="str">
        <f t="shared" si="3"/>
        <v/>
      </c>
      <c r="P1322" s="403">
        <v>0.0</v>
      </c>
      <c r="Q1322" s="403">
        <v>0.0</v>
      </c>
      <c r="R1322" s="403"/>
      <c r="S1322" s="403"/>
      <c r="T1322" s="403"/>
      <c r="U1322" s="403"/>
      <c r="V1322" s="403"/>
      <c r="W1322" s="403"/>
      <c r="X1322" s="403"/>
      <c r="Y1322" s="403"/>
      <c r="Z1322" s="403"/>
    </row>
    <row r="1323">
      <c r="A1323" s="403"/>
      <c r="B1323" s="417"/>
      <c r="C1323" s="415"/>
      <c r="D1323" s="417"/>
      <c r="E1323" s="417"/>
      <c r="F1323" s="417"/>
      <c r="G1323" s="418"/>
      <c r="H1323" s="417"/>
      <c r="I1323" s="418"/>
      <c r="J1323" s="432"/>
      <c r="K1323" s="420"/>
      <c r="L1323" s="417"/>
      <c r="M1323" s="415"/>
      <c r="N1323" s="422"/>
      <c r="O1323" s="75" t="str">
        <f t="shared" si="3"/>
        <v/>
      </c>
      <c r="P1323" s="403">
        <v>0.0</v>
      </c>
      <c r="Q1323" s="403">
        <v>0.0</v>
      </c>
      <c r="R1323" s="403"/>
      <c r="S1323" s="403"/>
      <c r="T1323" s="403"/>
      <c r="U1323" s="403"/>
      <c r="V1323" s="403"/>
      <c r="W1323" s="403"/>
      <c r="X1323" s="403"/>
      <c r="Y1323" s="403"/>
      <c r="Z1323" s="403"/>
    </row>
    <row r="1324">
      <c r="A1324" s="403"/>
      <c r="B1324" s="417"/>
      <c r="C1324" s="415"/>
      <c r="D1324" s="417"/>
      <c r="E1324" s="417"/>
      <c r="F1324" s="417"/>
      <c r="G1324" s="418"/>
      <c r="H1324" s="417"/>
      <c r="I1324" s="418"/>
      <c r="J1324" s="432"/>
      <c r="K1324" s="420"/>
      <c r="L1324" s="417"/>
      <c r="M1324" s="415"/>
      <c r="N1324" s="422"/>
      <c r="O1324" s="75" t="str">
        <f t="shared" si="3"/>
        <v/>
      </c>
      <c r="P1324" s="403">
        <v>0.0</v>
      </c>
      <c r="Q1324" s="403">
        <v>0.0</v>
      </c>
      <c r="R1324" s="403"/>
      <c r="S1324" s="403"/>
      <c r="T1324" s="403"/>
      <c r="U1324" s="403"/>
      <c r="V1324" s="403"/>
      <c r="W1324" s="403"/>
      <c r="X1324" s="403"/>
      <c r="Y1324" s="403"/>
      <c r="Z1324" s="403"/>
    </row>
    <row r="1325">
      <c r="A1325" s="403"/>
      <c r="B1325" s="417"/>
      <c r="C1325" s="415"/>
      <c r="D1325" s="417"/>
      <c r="E1325" s="417"/>
      <c r="F1325" s="417"/>
      <c r="G1325" s="418"/>
      <c r="H1325" s="417"/>
      <c r="I1325" s="418"/>
      <c r="J1325" s="432"/>
      <c r="K1325" s="420"/>
      <c r="L1325" s="417"/>
      <c r="M1325" s="415"/>
      <c r="N1325" s="422"/>
      <c r="O1325" s="75" t="str">
        <f t="shared" si="3"/>
        <v/>
      </c>
      <c r="P1325" s="403">
        <v>0.0</v>
      </c>
      <c r="Q1325" s="403">
        <v>0.0</v>
      </c>
      <c r="R1325" s="403"/>
      <c r="S1325" s="403"/>
      <c r="T1325" s="403"/>
      <c r="U1325" s="403"/>
      <c r="V1325" s="403"/>
      <c r="W1325" s="403"/>
      <c r="X1325" s="403"/>
      <c r="Y1325" s="403"/>
      <c r="Z1325" s="403"/>
    </row>
    <row r="1326">
      <c r="A1326" s="403"/>
      <c r="B1326" s="417"/>
      <c r="C1326" s="415"/>
      <c r="D1326" s="417"/>
      <c r="E1326" s="417"/>
      <c r="F1326" s="417"/>
      <c r="G1326" s="418"/>
      <c r="H1326" s="417"/>
      <c r="I1326" s="418"/>
      <c r="J1326" s="432"/>
      <c r="K1326" s="420"/>
      <c r="L1326" s="417"/>
      <c r="M1326" s="415"/>
      <c r="N1326" s="422"/>
      <c r="O1326" s="75" t="str">
        <f t="shared" si="3"/>
        <v/>
      </c>
      <c r="P1326" s="403">
        <v>0.0</v>
      </c>
      <c r="Q1326" s="403">
        <v>0.0</v>
      </c>
      <c r="R1326" s="403"/>
      <c r="S1326" s="403"/>
      <c r="T1326" s="403"/>
      <c r="U1326" s="403"/>
      <c r="V1326" s="403"/>
      <c r="W1326" s="403"/>
      <c r="X1326" s="403"/>
      <c r="Y1326" s="403"/>
      <c r="Z1326" s="403"/>
    </row>
    <row r="1327">
      <c r="A1327" s="403"/>
      <c r="B1327" s="417"/>
      <c r="C1327" s="415"/>
      <c r="D1327" s="417"/>
      <c r="E1327" s="417"/>
      <c r="F1327" s="417"/>
      <c r="G1327" s="418"/>
      <c r="H1327" s="417"/>
      <c r="I1327" s="418"/>
      <c r="J1327" s="432"/>
      <c r="K1327" s="420"/>
      <c r="L1327" s="417"/>
      <c r="M1327" s="415"/>
      <c r="N1327" s="422"/>
      <c r="O1327" s="75" t="str">
        <f t="shared" si="3"/>
        <v/>
      </c>
      <c r="P1327" s="403">
        <v>0.0</v>
      </c>
      <c r="Q1327" s="403">
        <v>0.0</v>
      </c>
      <c r="R1327" s="403"/>
      <c r="S1327" s="403"/>
      <c r="T1327" s="403"/>
      <c r="U1327" s="403"/>
      <c r="V1327" s="403"/>
      <c r="W1327" s="403"/>
      <c r="X1327" s="403"/>
      <c r="Y1327" s="403"/>
      <c r="Z1327" s="403"/>
    </row>
    <row r="1328">
      <c r="A1328" s="403"/>
      <c r="B1328" s="417"/>
      <c r="C1328" s="415"/>
      <c r="D1328" s="417"/>
      <c r="E1328" s="417"/>
      <c r="F1328" s="417"/>
      <c r="G1328" s="418"/>
      <c r="H1328" s="417"/>
      <c r="I1328" s="418"/>
      <c r="J1328" s="432"/>
      <c r="K1328" s="420"/>
      <c r="L1328" s="417"/>
      <c r="M1328" s="415"/>
      <c r="N1328" s="422"/>
      <c r="O1328" s="75" t="str">
        <f t="shared" si="3"/>
        <v/>
      </c>
      <c r="P1328" s="403">
        <v>0.0</v>
      </c>
      <c r="Q1328" s="403">
        <v>0.0</v>
      </c>
      <c r="R1328" s="403"/>
      <c r="S1328" s="403"/>
      <c r="T1328" s="403"/>
      <c r="U1328" s="403"/>
      <c r="V1328" s="403"/>
      <c r="W1328" s="403"/>
      <c r="X1328" s="403"/>
      <c r="Y1328" s="403"/>
      <c r="Z1328" s="403"/>
    </row>
    <row r="1329">
      <c r="A1329" s="403"/>
      <c r="B1329" s="417"/>
      <c r="C1329" s="415"/>
      <c r="D1329" s="417"/>
      <c r="E1329" s="417"/>
      <c r="F1329" s="417"/>
      <c r="G1329" s="418"/>
      <c r="H1329" s="417"/>
      <c r="I1329" s="418"/>
      <c r="J1329" s="432"/>
      <c r="K1329" s="420"/>
      <c r="L1329" s="417"/>
      <c r="M1329" s="415"/>
      <c r="N1329" s="422"/>
      <c r="O1329" s="75" t="str">
        <f t="shared" si="3"/>
        <v/>
      </c>
      <c r="P1329" s="403">
        <v>0.0</v>
      </c>
      <c r="Q1329" s="403">
        <v>0.0</v>
      </c>
      <c r="R1329" s="403"/>
      <c r="S1329" s="403"/>
      <c r="T1329" s="403"/>
      <c r="U1329" s="403"/>
      <c r="V1329" s="403"/>
      <c r="W1329" s="403"/>
      <c r="X1329" s="403"/>
      <c r="Y1329" s="403"/>
      <c r="Z1329" s="403"/>
    </row>
    <row r="1330">
      <c r="A1330" s="403"/>
      <c r="B1330" s="417"/>
      <c r="C1330" s="415"/>
      <c r="D1330" s="417"/>
      <c r="E1330" s="417"/>
      <c r="F1330" s="417"/>
      <c r="G1330" s="418"/>
      <c r="H1330" s="417"/>
      <c r="I1330" s="418"/>
      <c r="J1330" s="432"/>
      <c r="K1330" s="420"/>
      <c r="L1330" s="417"/>
      <c r="M1330" s="415"/>
      <c r="N1330" s="422"/>
      <c r="O1330" s="75" t="str">
        <f t="shared" si="3"/>
        <v/>
      </c>
      <c r="P1330" s="403">
        <v>0.0</v>
      </c>
      <c r="Q1330" s="403">
        <v>0.0</v>
      </c>
      <c r="R1330" s="403"/>
      <c r="S1330" s="403"/>
      <c r="T1330" s="403"/>
      <c r="U1330" s="403"/>
      <c r="V1330" s="403"/>
      <c r="W1330" s="403"/>
      <c r="X1330" s="403"/>
      <c r="Y1330" s="403"/>
      <c r="Z1330" s="403"/>
    </row>
    <row r="1331">
      <c r="A1331" s="403"/>
      <c r="B1331" s="417"/>
      <c r="C1331" s="415"/>
      <c r="D1331" s="417"/>
      <c r="E1331" s="417"/>
      <c r="F1331" s="417"/>
      <c r="G1331" s="418"/>
      <c r="H1331" s="417"/>
      <c r="I1331" s="418"/>
      <c r="J1331" s="432"/>
      <c r="K1331" s="420"/>
      <c r="L1331" s="417"/>
      <c r="M1331" s="415"/>
      <c r="N1331" s="422"/>
      <c r="O1331" s="75" t="str">
        <f t="shared" si="3"/>
        <v/>
      </c>
      <c r="P1331" s="403">
        <v>0.0</v>
      </c>
      <c r="Q1331" s="403">
        <v>0.0</v>
      </c>
      <c r="R1331" s="403"/>
      <c r="S1331" s="403"/>
      <c r="T1331" s="403"/>
      <c r="U1331" s="403"/>
      <c r="V1331" s="403"/>
      <c r="W1331" s="403"/>
      <c r="X1331" s="403"/>
      <c r="Y1331" s="403"/>
      <c r="Z1331" s="403"/>
    </row>
    <row r="1332">
      <c r="A1332" s="403"/>
      <c r="B1332" s="417"/>
      <c r="C1332" s="415"/>
      <c r="D1332" s="417"/>
      <c r="E1332" s="417"/>
      <c r="F1332" s="417"/>
      <c r="G1332" s="418"/>
      <c r="H1332" s="417"/>
      <c r="I1332" s="418"/>
      <c r="J1332" s="432"/>
      <c r="K1332" s="420"/>
      <c r="L1332" s="417"/>
      <c r="M1332" s="415"/>
      <c r="N1332" s="422"/>
      <c r="O1332" s="75" t="str">
        <f t="shared" si="3"/>
        <v/>
      </c>
      <c r="P1332" s="403">
        <v>0.0</v>
      </c>
      <c r="Q1332" s="403">
        <v>0.0</v>
      </c>
      <c r="R1332" s="403"/>
      <c r="S1332" s="403"/>
      <c r="T1332" s="403"/>
      <c r="U1332" s="403"/>
      <c r="V1332" s="403"/>
      <c r="W1332" s="403"/>
      <c r="X1332" s="403"/>
      <c r="Y1332" s="403"/>
      <c r="Z1332" s="403"/>
    </row>
    <row r="1333">
      <c r="A1333" s="403"/>
      <c r="B1333" s="417"/>
      <c r="C1333" s="415"/>
      <c r="D1333" s="417"/>
      <c r="E1333" s="417"/>
      <c r="F1333" s="417"/>
      <c r="G1333" s="418"/>
      <c r="H1333" s="417"/>
      <c r="I1333" s="418"/>
      <c r="J1333" s="432"/>
      <c r="K1333" s="420"/>
      <c r="L1333" s="417"/>
      <c r="M1333" s="415"/>
      <c r="N1333" s="422"/>
      <c r="O1333" s="75" t="str">
        <f t="shared" si="3"/>
        <v/>
      </c>
      <c r="P1333" s="403">
        <v>0.0</v>
      </c>
      <c r="Q1333" s="403">
        <v>0.0</v>
      </c>
      <c r="R1333" s="403"/>
      <c r="S1333" s="403"/>
      <c r="T1333" s="403"/>
      <c r="U1333" s="403"/>
      <c r="V1333" s="403"/>
      <c r="W1333" s="403"/>
      <c r="X1333" s="403"/>
      <c r="Y1333" s="403"/>
      <c r="Z1333" s="403"/>
    </row>
    <row r="1334">
      <c r="A1334" s="403"/>
      <c r="B1334" s="417"/>
      <c r="C1334" s="415"/>
      <c r="D1334" s="417"/>
      <c r="E1334" s="417"/>
      <c r="F1334" s="417"/>
      <c r="G1334" s="418"/>
      <c r="H1334" s="417"/>
      <c r="I1334" s="418"/>
      <c r="J1334" s="432"/>
      <c r="K1334" s="420"/>
      <c r="L1334" s="417"/>
      <c r="M1334" s="415"/>
      <c r="N1334" s="422"/>
      <c r="O1334" s="75" t="str">
        <f t="shared" si="3"/>
        <v/>
      </c>
      <c r="P1334" s="403">
        <v>0.0</v>
      </c>
      <c r="Q1334" s="403">
        <v>0.0</v>
      </c>
      <c r="R1334" s="403"/>
      <c r="S1334" s="403"/>
      <c r="T1334" s="403"/>
      <c r="U1334" s="403"/>
      <c r="V1334" s="403"/>
      <c r="W1334" s="403"/>
      <c r="X1334" s="403"/>
      <c r="Y1334" s="403"/>
      <c r="Z1334" s="403"/>
    </row>
    <row r="1335">
      <c r="A1335" s="403"/>
      <c r="B1335" s="417"/>
      <c r="C1335" s="415"/>
      <c r="D1335" s="417"/>
      <c r="E1335" s="417"/>
      <c r="F1335" s="417"/>
      <c r="G1335" s="418"/>
      <c r="H1335" s="417"/>
      <c r="I1335" s="418"/>
      <c r="J1335" s="432"/>
      <c r="K1335" s="420"/>
      <c r="L1335" s="417"/>
      <c r="M1335" s="415"/>
      <c r="N1335" s="422"/>
      <c r="O1335" s="75" t="str">
        <f t="shared" si="3"/>
        <v/>
      </c>
      <c r="P1335" s="403">
        <v>0.0</v>
      </c>
      <c r="Q1335" s="403">
        <v>0.0</v>
      </c>
      <c r="R1335" s="403"/>
      <c r="S1335" s="403"/>
      <c r="T1335" s="403"/>
      <c r="U1335" s="403"/>
      <c r="V1335" s="403"/>
      <c r="W1335" s="403"/>
      <c r="X1335" s="403"/>
      <c r="Y1335" s="403"/>
      <c r="Z1335" s="403"/>
    </row>
    <row r="1336">
      <c r="A1336" s="403"/>
      <c r="B1336" s="417"/>
      <c r="C1336" s="415"/>
      <c r="D1336" s="417"/>
      <c r="E1336" s="417"/>
      <c r="F1336" s="417"/>
      <c r="G1336" s="418"/>
      <c r="H1336" s="417"/>
      <c r="I1336" s="418"/>
      <c r="J1336" s="432"/>
      <c r="K1336" s="420"/>
      <c r="L1336" s="417"/>
      <c r="M1336" s="415"/>
      <c r="N1336" s="422"/>
      <c r="O1336" s="75" t="str">
        <f t="shared" si="3"/>
        <v/>
      </c>
      <c r="P1336" s="403">
        <v>0.0</v>
      </c>
      <c r="Q1336" s="403">
        <v>0.0</v>
      </c>
      <c r="R1336" s="403"/>
      <c r="S1336" s="403"/>
      <c r="T1336" s="403"/>
      <c r="U1336" s="403"/>
      <c r="V1336" s="403"/>
      <c r="W1336" s="403"/>
      <c r="X1336" s="403"/>
      <c r="Y1336" s="403"/>
      <c r="Z1336" s="403"/>
    </row>
    <row r="1337">
      <c r="A1337" s="403"/>
      <c r="B1337" s="417"/>
      <c r="C1337" s="415"/>
      <c r="D1337" s="417"/>
      <c r="E1337" s="417"/>
      <c r="F1337" s="417"/>
      <c r="G1337" s="418"/>
      <c r="H1337" s="417"/>
      <c r="I1337" s="418"/>
      <c r="J1337" s="432"/>
      <c r="K1337" s="420"/>
      <c r="L1337" s="417"/>
      <c r="M1337" s="415"/>
      <c r="N1337" s="422"/>
      <c r="O1337" s="75" t="str">
        <f t="shared" si="3"/>
        <v/>
      </c>
      <c r="P1337" s="403">
        <v>0.0</v>
      </c>
      <c r="Q1337" s="403">
        <v>0.0</v>
      </c>
      <c r="R1337" s="403"/>
      <c r="S1337" s="403"/>
      <c r="T1337" s="403"/>
      <c r="U1337" s="403"/>
      <c r="V1337" s="403"/>
      <c r="W1337" s="403"/>
      <c r="X1337" s="403"/>
      <c r="Y1337" s="403"/>
      <c r="Z1337" s="403"/>
    </row>
    <row r="1338">
      <c r="A1338" s="403"/>
      <c r="B1338" s="417"/>
      <c r="C1338" s="415"/>
      <c r="D1338" s="417"/>
      <c r="E1338" s="417"/>
      <c r="F1338" s="417"/>
      <c r="G1338" s="418"/>
      <c r="H1338" s="417"/>
      <c r="I1338" s="418"/>
      <c r="J1338" s="432"/>
      <c r="K1338" s="420"/>
      <c r="L1338" s="417"/>
      <c r="M1338" s="415"/>
      <c r="N1338" s="422"/>
      <c r="O1338" s="75" t="str">
        <f t="shared" si="3"/>
        <v/>
      </c>
      <c r="P1338" s="403">
        <v>0.0</v>
      </c>
      <c r="Q1338" s="403">
        <v>0.0</v>
      </c>
      <c r="R1338" s="403"/>
      <c r="S1338" s="403"/>
      <c r="T1338" s="403"/>
      <c r="U1338" s="403"/>
      <c r="V1338" s="403"/>
      <c r="W1338" s="403"/>
      <c r="X1338" s="403"/>
      <c r="Y1338" s="403"/>
      <c r="Z1338" s="403"/>
    </row>
    <row r="1339">
      <c r="A1339" s="403"/>
      <c r="B1339" s="417"/>
      <c r="C1339" s="415"/>
      <c r="D1339" s="417"/>
      <c r="E1339" s="417"/>
      <c r="F1339" s="417"/>
      <c r="G1339" s="418"/>
      <c r="H1339" s="417"/>
      <c r="I1339" s="418"/>
      <c r="J1339" s="432"/>
      <c r="K1339" s="420"/>
      <c r="L1339" s="417"/>
      <c r="M1339" s="415"/>
      <c r="N1339" s="422"/>
      <c r="O1339" s="75" t="str">
        <f t="shared" si="3"/>
        <v/>
      </c>
      <c r="P1339" s="403">
        <v>0.0</v>
      </c>
      <c r="Q1339" s="403">
        <v>0.0</v>
      </c>
      <c r="R1339" s="403"/>
      <c r="S1339" s="403"/>
      <c r="T1339" s="403"/>
      <c r="U1339" s="403"/>
      <c r="V1339" s="403"/>
      <c r="W1339" s="403"/>
      <c r="X1339" s="403"/>
      <c r="Y1339" s="403"/>
      <c r="Z1339" s="403"/>
    </row>
    <row r="1340">
      <c r="A1340" s="403"/>
      <c r="B1340" s="417"/>
      <c r="C1340" s="415"/>
      <c r="D1340" s="417"/>
      <c r="E1340" s="417"/>
      <c r="F1340" s="417"/>
      <c r="G1340" s="418"/>
      <c r="H1340" s="417"/>
      <c r="I1340" s="418"/>
      <c r="J1340" s="432"/>
      <c r="K1340" s="420"/>
      <c r="L1340" s="417"/>
      <c r="M1340" s="415"/>
      <c r="N1340" s="422"/>
      <c r="O1340" s="75" t="str">
        <f t="shared" si="3"/>
        <v/>
      </c>
      <c r="P1340" s="403">
        <v>0.0</v>
      </c>
      <c r="Q1340" s="403">
        <v>0.0</v>
      </c>
      <c r="R1340" s="403"/>
      <c r="S1340" s="403"/>
      <c r="T1340" s="403"/>
      <c r="U1340" s="403"/>
      <c r="V1340" s="403"/>
      <c r="W1340" s="403"/>
      <c r="X1340" s="403"/>
      <c r="Y1340" s="403"/>
      <c r="Z1340" s="403"/>
    </row>
    <row r="1341">
      <c r="A1341" s="403"/>
      <c r="B1341" s="417"/>
      <c r="C1341" s="415"/>
      <c r="D1341" s="417"/>
      <c r="E1341" s="417"/>
      <c r="F1341" s="417"/>
      <c r="G1341" s="418"/>
      <c r="H1341" s="417"/>
      <c r="I1341" s="418"/>
      <c r="J1341" s="432"/>
      <c r="K1341" s="420"/>
      <c r="L1341" s="417"/>
      <c r="M1341" s="415"/>
      <c r="N1341" s="422"/>
      <c r="O1341" s="75" t="str">
        <f t="shared" si="3"/>
        <v/>
      </c>
      <c r="P1341" s="403">
        <v>0.0</v>
      </c>
      <c r="Q1341" s="403">
        <v>0.0</v>
      </c>
      <c r="R1341" s="403"/>
      <c r="S1341" s="403"/>
      <c r="T1341" s="403"/>
      <c r="U1341" s="403"/>
      <c r="V1341" s="403"/>
      <c r="W1341" s="403"/>
      <c r="X1341" s="403"/>
      <c r="Y1341" s="403"/>
      <c r="Z1341" s="403"/>
    </row>
    <row r="1342">
      <c r="A1342" s="403"/>
      <c r="B1342" s="417"/>
      <c r="C1342" s="415"/>
      <c r="D1342" s="417"/>
      <c r="E1342" s="417"/>
      <c r="F1342" s="417"/>
      <c r="G1342" s="418"/>
      <c r="H1342" s="417"/>
      <c r="I1342" s="418"/>
      <c r="J1342" s="432"/>
      <c r="K1342" s="420"/>
      <c r="L1342" s="417"/>
      <c r="M1342" s="415"/>
      <c r="N1342" s="422"/>
      <c r="O1342" s="75" t="str">
        <f t="shared" si="3"/>
        <v/>
      </c>
      <c r="P1342" s="403">
        <v>0.0</v>
      </c>
      <c r="Q1342" s="403">
        <v>0.0</v>
      </c>
      <c r="R1342" s="403"/>
      <c r="S1342" s="403"/>
      <c r="T1342" s="403"/>
      <c r="U1342" s="403"/>
      <c r="V1342" s="403"/>
      <c r="W1342" s="403"/>
      <c r="X1342" s="403"/>
      <c r="Y1342" s="403"/>
      <c r="Z1342" s="403"/>
    </row>
    <row r="1343">
      <c r="A1343" s="403"/>
      <c r="B1343" s="417"/>
      <c r="C1343" s="415"/>
      <c r="D1343" s="417"/>
      <c r="E1343" s="417"/>
      <c r="F1343" s="417"/>
      <c r="G1343" s="418"/>
      <c r="H1343" s="417"/>
      <c r="I1343" s="418"/>
      <c r="J1343" s="432"/>
      <c r="K1343" s="420"/>
      <c r="L1343" s="417"/>
      <c r="M1343" s="415"/>
      <c r="N1343" s="422"/>
      <c r="O1343" s="75" t="str">
        <f t="shared" si="3"/>
        <v/>
      </c>
      <c r="P1343" s="403">
        <v>0.0</v>
      </c>
      <c r="Q1343" s="403">
        <v>0.0</v>
      </c>
      <c r="R1343" s="403"/>
      <c r="S1343" s="403"/>
      <c r="T1343" s="403"/>
      <c r="U1343" s="403"/>
      <c r="V1343" s="403"/>
      <c r="W1343" s="403"/>
      <c r="X1343" s="403"/>
      <c r="Y1343" s="403"/>
      <c r="Z1343" s="403"/>
    </row>
    <row r="1344">
      <c r="A1344" s="403"/>
      <c r="B1344" s="417"/>
      <c r="C1344" s="415"/>
      <c r="D1344" s="417"/>
      <c r="E1344" s="417"/>
      <c r="F1344" s="417"/>
      <c r="G1344" s="418"/>
      <c r="H1344" s="417"/>
      <c r="I1344" s="418"/>
      <c r="J1344" s="432"/>
      <c r="K1344" s="420"/>
      <c r="L1344" s="417"/>
      <c r="M1344" s="415"/>
      <c r="N1344" s="422"/>
      <c r="O1344" s="75" t="str">
        <f t="shared" si="3"/>
        <v/>
      </c>
      <c r="P1344" s="403">
        <v>0.0</v>
      </c>
      <c r="Q1344" s="403">
        <v>0.0</v>
      </c>
      <c r="R1344" s="403"/>
      <c r="S1344" s="403"/>
      <c r="T1344" s="403"/>
      <c r="U1344" s="403"/>
      <c r="V1344" s="403"/>
      <c r="W1344" s="403"/>
      <c r="X1344" s="403"/>
      <c r="Y1344" s="403"/>
      <c r="Z1344" s="403"/>
    </row>
    <row r="1345">
      <c r="A1345" s="403"/>
      <c r="B1345" s="417"/>
      <c r="C1345" s="415"/>
      <c r="D1345" s="417"/>
      <c r="E1345" s="417"/>
      <c r="F1345" s="417"/>
      <c r="G1345" s="418"/>
      <c r="H1345" s="417"/>
      <c r="I1345" s="418"/>
      <c r="J1345" s="432"/>
      <c r="K1345" s="420"/>
      <c r="L1345" s="417"/>
      <c r="M1345" s="415"/>
      <c r="N1345" s="422"/>
      <c r="O1345" s="75" t="str">
        <f t="shared" si="3"/>
        <v/>
      </c>
      <c r="P1345" s="403">
        <v>0.0</v>
      </c>
      <c r="Q1345" s="403">
        <v>0.0</v>
      </c>
      <c r="R1345" s="403"/>
      <c r="S1345" s="403"/>
      <c r="T1345" s="403"/>
      <c r="U1345" s="403"/>
      <c r="V1345" s="403"/>
      <c r="W1345" s="403"/>
      <c r="X1345" s="403"/>
      <c r="Y1345" s="403"/>
      <c r="Z1345" s="403"/>
    </row>
    <row r="1346">
      <c r="A1346" s="403"/>
      <c r="B1346" s="417"/>
      <c r="C1346" s="415"/>
      <c r="D1346" s="417"/>
      <c r="E1346" s="417"/>
      <c r="F1346" s="417"/>
      <c r="G1346" s="418"/>
      <c r="H1346" s="417"/>
      <c r="I1346" s="418"/>
      <c r="J1346" s="432"/>
      <c r="K1346" s="420"/>
      <c r="L1346" s="417"/>
      <c r="M1346" s="415"/>
      <c r="N1346" s="422"/>
      <c r="O1346" s="75" t="str">
        <f t="shared" si="3"/>
        <v/>
      </c>
      <c r="P1346" s="403">
        <v>0.0</v>
      </c>
      <c r="Q1346" s="403">
        <v>0.0</v>
      </c>
      <c r="R1346" s="403"/>
      <c r="S1346" s="403"/>
      <c r="T1346" s="403"/>
      <c r="U1346" s="403"/>
      <c r="V1346" s="403"/>
      <c r="W1346" s="403"/>
      <c r="X1346" s="403"/>
      <c r="Y1346" s="403"/>
      <c r="Z1346" s="403"/>
    </row>
    <row r="1347">
      <c r="A1347" s="403"/>
      <c r="B1347" s="417"/>
      <c r="C1347" s="415"/>
      <c r="D1347" s="417"/>
      <c r="E1347" s="417"/>
      <c r="F1347" s="417"/>
      <c r="G1347" s="418"/>
      <c r="H1347" s="417"/>
      <c r="I1347" s="418"/>
      <c r="J1347" s="432"/>
      <c r="K1347" s="420"/>
      <c r="L1347" s="417"/>
      <c r="M1347" s="415"/>
      <c r="N1347" s="422"/>
      <c r="O1347" s="75" t="str">
        <f t="shared" si="3"/>
        <v/>
      </c>
      <c r="P1347" s="403">
        <v>0.0</v>
      </c>
      <c r="Q1347" s="403">
        <v>0.0</v>
      </c>
      <c r="R1347" s="403"/>
      <c r="S1347" s="403"/>
      <c r="T1347" s="403"/>
      <c r="U1347" s="403"/>
      <c r="V1347" s="403"/>
      <c r="W1347" s="403"/>
      <c r="X1347" s="403"/>
      <c r="Y1347" s="403"/>
      <c r="Z1347" s="403"/>
    </row>
    <row r="1348">
      <c r="A1348" s="403"/>
      <c r="B1348" s="417"/>
      <c r="C1348" s="415"/>
      <c r="D1348" s="417"/>
      <c r="E1348" s="417"/>
      <c r="F1348" s="417"/>
      <c r="G1348" s="418"/>
      <c r="H1348" s="417"/>
      <c r="I1348" s="418"/>
      <c r="J1348" s="432"/>
      <c r="K1348" s="420"/>
      <c r="L1348" s="417"/>
      <c r="M1348" s="415"/>
      <c r="N1348" s="422"/>
      <c r="O1348" s="75" t="str">
        <f t="shared" si="3"/>
        <v/>
      </c>
      <c r="P1348" s="403">
        <v>0.0</v>
      </c>
      <c r="Q1348" s="403">
        <v>0.0</v>
      </c>
      <c r="R1348" s="403"/>
      <c r="S1348" s="403"/>
      <c r="T1348" s="403"/>
      <c r="U1348" s="403"/>
      <c r="V1348" s="403"/>
      <c r="W1348" s="403"/>
      <c r="X1348" s="403"/>
      <c r="Y1348" s="403"/>
      <c r="Z1348" s="403"/>
    </row>
    <row r="1349">
      <c r="A1349" s="403"/>
      <c r="B1349" s="417"/>
      <c r="C1349" s="415"/>
      <c r="D1349" s="417"/>
      <c r="E1349" s="417"/>
      <c r="F1349" s="417"/>
      <c r="G1349" s="418"/>
      <c r="H1349" s="417"/>
      <c r="I1349" s="418"/>
      <c r="J1349" s="432"/>
      <c r="K1349" s="420"/>
      <c r="L1349" s="417"/>
      <c r="M1349" s="415"/>
      <c r="N1349" s="422"/>
      <c r="O1349" s="75" t="str">
        <f t="shared" si="3"/>
        <v/>
      </c>
      <c r="P1349" s="403">
        <v>0.0</v>
      </c>
      <c r="Q1349" s="403">
        <v>0.0</v>
      </c>
      <c r="R1349" s="403"/>
      <c r="S1349" s="403"/>
      <c r="T1349" s="403"/>
      <c r="U1349" s="403"/>
      <c r="V1349" s="403"/>
      <c r="W1349" s="403"/>
      <c r="X1349" s="403"/>
      <c r="Y1349" s="403"/>
      <c r="Z1349" s="403"/>
    </row>
    <row r="1350">
      <c r="A1350" s="403"/>
      <c r="B1350" s="417"/>
      <c r="C1350" s="415"/>
      <c r="D1350" s="417"/>
      <c r="E1350" s="417"/>
      <c r="F1350" s="417"/>
      <c r="G1350" s="418"/>
      <c r="H1350" s="417"/>
      <c r="I1350" s="418"/>
      <c r="J1350" s="432"/>
      <c r="K1350" s="420"/>
      <c r="L1350" s="417"/>
      <c r="M1350" s="415"/>
      <c r="N1350" s="422"/>
      <c r="O1350" s="75" t="str">
        <f t="shared" si="3"/>
        <v/>
      </c>
      <c r="P1350" s="403">
        <v>0.0</v>
      </c>
      <c r="Q1350" s="403">
        <v>0.0</v>
      </c>
      <c r="R1350" s="403"/>
      <c r="S1350" s="403"/>
      <c r="T1350" s="403"/>
      <c r="U1350" s="403"/>
      <c r="V1350" s="403"/>
      <c r="W1350" s="403"/>
      <c r="X1350" s="403"/>
      <c r="Y1350" s="403"/>
      <c r="Z1350" s="403"/>
    </row>
    <row r="1351">
      <c r="A1351" s="403"/>
      <c r="B1351" s="417"/>
      <c r="C1351" s="415"/>
      <c r="D1351" s="417"/>
      <c r="E1351" s="417"/>
      <c r="F1351" s="417"/>
      <c r="G1351" s="418"/>
      <c r="H1351" s="417"/>
      <c r="I1351" s="418"/>
      <c r="J1351" s="432"/>
      <c r="K1351" s="420"/>
      <c r="L1351" s="417"/>
      <c r="M1351" s="415"/>
      <c r="N1351" s="422"/>
      <c r="O1351" s="75" t="str">
        <f t="shared" si="3"/>
        <v/>
      </c>
      <c r="P1351" s="403">
        <v>0.0</v>
      </c>
      <c r="Q1351" s="403">
        <v>0.0</v>
      </c>
      <c r="R1351" s="403"/>
      <c r="S1351" s="403"/>
      <c r="T1351" s="403"/>
      <c r="U1351" s="403"/>
      <c r="V1351" s="403"/>
      <c r="W1351" s="403"/>
      <c r="X1351" s="403"/>
      <c r="Y1351" s="403"/>
      <c r="Z1351" s="403"/>
    </row>
    <row r="1352">
      <c r="A1352" s="403"/>
      <c r="B1352" s="417"/>
      <c r="C1352" s="415"/>
      <c r="D1352" s="417"/>
      <c r="E1352" s="417"/>
      <c r="F1352" s="417"/>
      <c r="G1352" s="418"/>
      <c r="H1352" s="417"/>
      <c r="I1352" s="418"/>
      <c r="J1352" s="432"/>
      <c r="K1352" s="420"/>
      <c r="L1352" s="417"/>
      <c r="M1352" s="415"/>
      <c r="N1352" s="422"/>
      <c r="O1352" s="75" t="str">
        <f t="shared" si="3"/>
        <v/>
      </c>
      <c r="P1352" s="403">
        <v>0.0</v>
      </c>
      <c r="Q1352" s="403">
        <v>0.0</v>
      </c>
      <c r="R1352" s="403"/>
      <c r="S1352" s="403"/>
      <c r="T1352" s="403"/>
      <c r="U1352" s="403"/>
      <c r="V1352" s="403"/>
      <c r="W1352" s="403"/>
      <c r="X1352" s="403"/>
      <c r="Y1352" s="403"/>
      <c r="Z1352" s="403"/>
    </row>
    <row r="1353">
      <c r="A1353" s="403"/>
      <c r="B1353" s="417"/>
      <c r="C1353" s="415"/>
      <c r="D1353" s="417"/>
      <c r="E1353" s="417"/>
      <c r="F1353" s="417"/>
      <c r="G1353" s="418"/>
      <c r="H1353" s="417"/>
      <c r="I1353" s="418"/>
      <c r="J1353" s="432"/>
      <c r="K1353" s="420"/>
      <c r="L1353" s="417"/>
      <c r="M1353" s="415"/>
      <c r="N1353" s="422"/>
      <c r="O1353" s="75" t="str">
        <f t="shared" si="3"/>
        <v/>
      </c>
      <c r="P1353" s="403">
        <v>0.0</v>
      </c>
      <c r="Q1353" s="403">
        <v>0.0</v>
      </c>
      <c r="R1353" s="403"/>
      <c r="S1353" s="403"/>
      <c r="T1353" s="403"/>
      <c r="U1353" s="403"/>
      <c r="V1353" s="403"/>
      <c r="W1353" s="403"/>
      <c r="X1353" s="403"/>
      <c r="Y1353" s="403"/>
      <c r="Z1353" s="403"/>
    </row>
    <row r="1354">
      <c r="A1354" s="403"/>
      <c r="B1354" s="417"/>
      <c r="C1354" s="415"/>
      <c r="D1354" s="417"/>
      <c r="E1354" s="417"/>
      <c r="F1354" s="417"/>
      <c r="G1354" s="418"/>
      <c r="H1354" s="417"/>
      <c r="I1354" s="418"/>
      <c r="J1354" s="432"/>
      <c r="K1354" s="420"/>
      <c r="L1354" s="417"/>
      <c r="M1354" s="415"/>
      <c r="N1354" s="422"/>
      <c r="O1354" s="75" t="str">
        <f t="shared" si="3"/>
        <v/>
      </c>
      <c r="P1354" s="403">
        <v>0.0</v>
      </c>
      <c r="Q1354" s="403">
        <v>0.0</v>
      </c>
      <c r="R1354" s="403"/>
      <c r="S1354" s="403"/>
      <c r="T1354" s="403"/>
      <c r="U1354" s="403"/>
      <c r="V1354" s="403"/>
      <c r="W1354" s="403"/>
      <c r="X1354" s="403"/>
      <c r="Y1354" s="403"/>
      <c r="Z1354" s="403"/>
    </row>
    <row r="1355">
      <c r="A1355" s="403"/>
      <c r="B1355" s="417"/>
      <c r="C1355" s="415"/>
      <c r="D1355" s="417"/>
      <c r="E1355" s="417"/>
      <c r="F1355" s="417"/>
      <c r="G1355" s="418"/>
      <c r="H1355" s="417"/>
      <c r="I1355" s="418"/>
      <c r="J1355" s="432"/>
      <c r="K1355" s="420"/>
      <c r="L1355" s="417"/>
      <c r="M1355" s="415"/>
      <c r="N1355" s="422"/>
      <c r="O1355" s="75" t="str">
        <f t="shared" si="3"/>
        <v/>
      </c>
      <c r="P1355" s="403">
        <v>0.0</v>
      </c>
      <c r="Q1355" s="403">
        <v>0.0</v>
      </c>
      <c r="R1355" s="403"/>
      <c r="S1355" s="403"/>
      <c r="T1355" s="403"/>
      <c r="U1355" s="403"/>
      <c r="V1355" s="403"/>
      <c r="W1355" s="403"/>
      <c r="X1355" s="403"/>
      <c r="Y1355" s="403"/>
      <c r="Z1355" s="403"/>
    </row>
    <row r="1356">
      <c r="A1356" s="403"/>
      <c r="B1356" s="417"/>
      <c r="C1356" s="415"/>
      <c r="D1356" s="417"/>
      <c r="E1356" s="417"/>
      <c r="F1356" s="417"/>
      <c r="G1356" s="418"/>
      <c r="H1356" s="417"/>
      <c r="I1356" s="418"/>
      <c r="J1356" s="432"/>
      <c r="K1356" s="420"/>
      <c r="L1356" s="417"/>
      <c r="M1356" s="415"/>
      <c r="N1356" s="422"/>
      <c r="O1356" s="75" t="str">
        <f t="shared" si="3"/>
        <v/>
      </c>
      <c r="P1356" s="403">
        <v>0.0</v>
      </c>
      <c r="Q1356" s="403">
        <v>0.0</v>
      </c>
      <c r="R1356" s="403"/>
      <c r="S1356" s="403"/>
      <c r="T1356" s="403"/>
      <c r="U1356" s="403"/>
      <c r="V1356" s="403"/>
      <c r="W1356" s="403"/>
      <c r="X1356" s="403"/>
      <c r="Y1356" s="403"/>
      <c r="Z1356" s="403"/>
    </row>
    <row r="1357">
      <c r="A1357" s="403"/>
      <c r="B1357" s="417"/>
      <c r="C1357" s="415"/>
      <c r="D1357" s="417"/>
      <c r="E1357" s="417"/>
      <c r="F1357" s="417"/>
      <c r="G1357" s="418"/>
      <c r="H1357" s="417"/>
      <c r="I1357" s="418"/>
      <c r="J1357" s="432"/>
      <c r="K1357" s="420"/>
      <c r="L1357" s="417"/>
      <c r="M1357" s="415"/>
      <c r="N1357" s="422"/>
      <c r="O1357" s="75" t="str">
        <f t="shared" si="3"/>
        <v/>
      </c>
      <c r="P1357" s="403">
        <v>0.0</v>
      </c>
      <c r="Q1357" s="403">
        <v>0.0</v>
      </c>
      <c r="R1357" s="403"/>
      <c r="S1357" s="403"/>
      <c r="T1357" s="403"/>
      <c r="U1357" s="403"/>
      <c r="V1357" s="403"/>
      <c r="W1357" s="403"/>
      <c r="X1357" s="403"/>
      <c r="Y1357" s="403"/>
      <c r="Z1357" s="403"/>
    </row>
    <row r="1358">
      <c r="A1358" s="403"/>
      <c r="B1358" s="417"/>
      <c r="C1358" s="415"/>
      <c r="D1358" s="417"/>
      <c r="E1358" s="417"/>
      <c r="F1358" s="417"/>
      <c r="G1358" s="418"/>
      <c r="H1358" s="417"/>
      <c r="I1358" s="418"/>
      <c r="J1358" s="432"/>
      <c r="K1358" s="420"/>
      <c r="L1358" s="417"/>
      <c r="M1358" s="415"/>
      <c r="N1358" s="422"/>
      <c r="O1358" s="75" t="str">
        <f t="shared" si="3"/>
        <v/>
      </c>
      <c r="P1358" s="403">
        <v>0.0</v>
      </c>
      <c r="Q1358" s="403">
        <v>0.0</v>
      </c>
      <c r="R1358" s="403"/>
      <c r="S1358" s="403"/>
      <c r="T1358" s="403"/>
      <c r="U1358" s="403"/>
      <c r="V1358" s="403"/>
      <c r="W1358" s="403"/>
      <c r="X1358" s="403"/>
      <c r="Y1358" s="403"/>
      <c r="Z1358" s="403"/>
    </row>
    <row r="1359">
      <c r="A1359" s="403"/>
      <c r="B1359" s="417"/>
      <c r="C1359" s="415"/>
      <c r="D1359" s="417"/>
      <c r="E1359" s="417"/>
      <c r="F1359" s="417"/>
      <c r="G1359" s="418"/>
      <c r="H1359" s="417"/>
      <c r="I1359" s="418"/>
      <c r="J1359" s="432"/>
      <c r="K1359" s="420"/>
      <c r="L1359" s="417"/>
      <c r="M1359" s="415"/>
      <c r="N1359" s="422"/>
      <c r="O1359" s="75" t="str">
        <f t="shared" si="3"/>
        <v/>
      </c>
      <c r="P1359" s="403">
        <v>0.0</v>
      </c>
      <c r="Q1359" s="403">
        <v>0.0</v>
      </c>
      <c r="R1359" s="403"/>
      <c r="S1359" s="403"/>
      <c r="T1359" s="403"/>
      <c r="U1359" s="403"/>
      <c r="V1359" s="403"/>
      <c r="W1359" s="403"/>
      <c r="X1359" s="403"/>
      <c r="Y1359" s="403"/>
      <c r="Z1359" s="403"/>
    </row>
    <row r="1360">
      <c r="A1360" s="403"/>
      <c r="B1360" s="417"/>
      <c r="C1360" s="415"/>
      <c r="D1360" s="417"/>
      <c r="E1360" s="417"/>
      <c r="F1360" s="417"/>
      <c r="G1360" s="418"/>
      <c r="H1360" s="417"/>
      <c r="I1360" s="418"/>
      <c r="J1360" s="432"/>
      <c r="K1360" s="420"/>
      <c r="L1360" s="417"/>
      <c r="M1360" s="415"/>
      <c r="N1360" s="422"/>
      <c r="O1360" s="75" t="str">
        <f t="shared" si="3"/>
        <v/>
      </c>
      <c r="P1360" s="403">
        <v>0.0</v>
      </c>
      <c r="Q1360" s="403">
        <v>0.0</v>
      </c>
      <c r="R1360" s="403"/>
      <c r="S1360" s="403"/>
      <c r="T1360" s="403"/>
      <c r="U1360" s="403"/>
      <c r="V1360" s="403"/>
      <c r="W1360" s="403"/>
      <c r="X1360" s="403"/>
      <c r="Y1360" s="403"/>
      <c r="Z1360" s="403"/>
    </row>
    <row r="1361">
      <c r="A1361" s="403"/>
      <c r="B1361" s="417"/>
      <c r="C1361" s="415"/>
      <c r="D1361" s="417"/>
      <c r="E1361" s="417"/>
      <c r="F1361" s="417"/>
      <c r="G1361" s="418"/>
      <c r="H1361" s="417"/>
      <c r="I1361" s="418"/>
      <c r="J1361" s="432"/>
      <c r="K1361" s="420"/>
      <c r="L1361" s="417"/>
      <c r="M1361" s="415"/>
      <c r="N1361" s="422"/>
      <c r="O1361" s="75" t="str">
        <f t="shared" si="3"/>
        <v/>
      </c>
      <c r="P1361" s="403">
        <v>0.0</v>
      </c>
      <c r="Q1361" s="403">
        <v>0.0</v>
      </c>
      <c r="R1361" s="403"/>
      <c r="S1361" s="403"/>
      <c r="T1361" s="403"/>
      <c r="U1361" s="403"/>
      <c r="V1361" s="403"/>
      <c r="W1361" s="403"/>
      <c r="X1361" s="403"/>
      <c r="Y1361" s="403"/>
      <c r="Z1361" s="403"/>
    </row>
    <row r="1362">
      <c r="A1362" s="403"/>
      <c r="B1362" s="417"/>
      <c r="C1362" s="415"/>
      <c r="D1362" s="417"/>
      <c r="E1362" s="417"/>
      <c r="F1362" s="417"/>
      <c r="G1362" s="418"/>
      <c r="H1362" s="417"/>
      <c r="I1362" s="418"/>
      <c r="J1362" s="432"/>
      <c r="K1362" s="420"/>
      <c r="L1362" s="417"/>
      <c r="M1362" s="415"/>
      <c r="N1362" s="422"/>
      <c r="O1362" s="75" t="str">
        <f t="shared" si="3"/>
        <v/>
      </c>
      <c r="P1362" s="403">
        <v>0.0</v>
      </c>
      <c r="Q1362" s="403">
        <v>0.0</v>
      </c>
      <c r="R1362" s="403"/>
      <c r="S1362" s="403"/>
      <c r="T1362" s="403"/>
      <c r="U1362" s="403"/>
      <c r="V1362" s="403"/>
      <c r="W1362" s="403"/>
      <c r="X1362" s="403"/>
      <c r="Y1362" s="403"/>
      <c r="Z1362" s="403"/>
    </row>
    <row r="1363">
      <c r="A1363" s="403"/>
      <c r="B1363" s="417"/>
      <c r="C1363" s="415"/>
      <c r="D1363" s="417"/>
      <c r="E1363" s="417"/>
      <c r="F1363" s="417"/>
      <c r="G1363" s="418"/>
      <c r="H1363" s="417"/>
      <c r="I1363" s="418"/>
      <c r="J1363" s="432"/>
      <c r="K1363" s="420"/>
      <c r="L1363" s="417"/>
      <c r="M1363" s="415"/>
      <c r="N1363" s="422"/>
      <c r="O1363" s="75" t="str">
        <f t="shared" si="3"/>
        <v/>
      </c>
      <c r="P1363" s="403">
        <v>0.0</v>
      </c>
      <c r="Q1363" s="403">
        <v>0.0</v>
      </c>
      <c r="R1363" s="403"/>
      <c r="S1363" s="403"/>
      <c r="T1363" s="403"/>
      <c r="U1363" s="403"/>
      <c r="V1363" s="403"/>
      <c r="W1363" s="403"/>
      <c r="X1363" s="403"/>
      <c r="Y1363" s="403"/>
      <c r="Z1363" s="403"/>
    </row>
    <row r="1364">
      <c r="A1364" s="403"/>
      <c r="B1364" s="417"/>
      <c r="C1364" s="415"/>
      <c r="D1364" s="417"/>
      <c r="E1364" s="417"/>
      <c r="F1364" s="417"/>
      <c r="G1364" s="418"/>
      <c r="H1364" s="417"/>
      <c r="I1364" s="418"/>
      <c r="J1364" s="432"/>
      <c r="K1364" s="420"/>
      <c r="L1364" s="417"/>
      <c r="M1364" s="415"/>
      <c r="N1364" s="422"/>
      <c r="O1364" s="75" t="str">
        <f t="shared" si="3"/>
        <v/>
      </c>
      <c r="P1364" s="403">
        <v>0.0</v>
      </c>
      <c r="Q1364" s="403">
        <v>0.0</v>
      </c>
      <c r="R1364" s="403"/>
      <c r="S1364" s="403"/>
      <c r="T1364" s="403"/>
      <c r="U1364" s="403"/>
      <c r="V1364" s="403"/>
      <c r="W1364" s="403"/>
      <c r="X1364" s="403"/>
      <c r="Y1364" s="403"/>
      <c r="Z1364" s="403"/>
    </row>
    <row r="1365">
      <c r="A1365" s="403"/>
      <c r="B1365" s="417"/>
      <c r="C1365" s="415"/>
      <c r="D1365" s="417"/>
      <c r="E1365" s="417"/>
      <c r="F1365" s="417"/>
      <c r="G1365" s="418"/>
      <c r="H1365" s="417"/>
      <c r="I1365" s="418"/>
      <c r="J1365" s="432"/>
      <c r="K1365" s="420"/>
      <c r="L1365" s="417"/>
      <c r="M1365" s="415"/>
      <c r="N1365" s="422"/>
      <c r="O1365" s="75" t="str">
        <f t="shared" si="3"/>
        <v/>
      </c>
      <c r="P1365" s="403">
        <v>0.0</v>
      </c>
      <c r="Q1365" s="403">
        <v>0.0</v>
      </c>
      <c r="R1365" s="403"/>
      <c r="S1365" s="403"/>
      <c r="T1365" s="403"/>
      <c r="U1365" s="403"/>
      <c r="V1365" s="403"/>
      <c r="W1365" s="403"/>
      <c r="X1365" s="403"/>
      <c r="Y1365" s="403"/>
      <c r="Z1365" s="403"/>
    </row>
    <row r="1366">
      <c r="A1366" s="403"/>
      <c r="B1366" s="417"/>
      <c r="C1366" s="415"/>
      <c r="D1366" s="417"/>
      <c r="E1366" s="417"/>
      <c r="F1366" s="417"/>
      <c r="G1366" s="418"/>
      <c r="H1366" s="417"/>
      <c r="I1366" s="418"/>
      <c r="J1366" s="432"/>
      <c r="K1366" s="420"/>
      <c r="L1366" s="417"/>
      <c r="M1366" s="415"/>
      <c r="N1366" s="422"/>
      <c r="O1366" s="75" t="str">
        <f t="shared" si="3"/>
        <v/>
      </c>
      <c r="P1366" s="403">
        <v>0.0</v>
      </c>
      <c r="Q1366" s="403">
        <v>0.0</v>
      </c>
      <c r="R1366" s="403"/>
      <c r="S1366" s="403"/>
      <c r="T1366" s="403"/>
      <c r="U1366" s="403"/>
      <c r="V1366" s="403"/>
      <c r="W1366" s="403"/>
      <c r="X1366" s="403"/>
      <c r="Y1366" s="403"/>
      <c r="Z1366" s="403"/>
    </row>
    <row r="1367">
      <c r="A1367" s="403"/>
      <c r="B1367" s="417"/>
      <c r="C1367" s="415"/>
      <c r="D1367" s="417"/>
      <c r="E1367" s="417"/>
      <c r="F1367" s="417"/>
      <c r="G1367" s="418"/>
      <c r="H1367" s="417"/>
      <c r="I1367" s="418"/>
      <c r="J1367" s="432"/>
      <c r="K1367" s="420"/>
      <c r="L1367" s="417"/>
      <c r="M1367" s="415"/>
      <c r="N1367" s="422"/>
      <c r="O1367" s="75" t="str">
        <f t="shared" si="3"/>
        <v/>
      </c>
      <c r="P1367" s="403">
        <v>0.0</v>
      </c>
      <c r="Q1367" s="403">
        <v>0.0</v>
      </c>
      <c r="R1367" s="403"/>
      <c r="S1367" s="403"/>
      <c r="T1367" s="403"/>
      <c r="U1367" s="403"/>
      <c r="V1367" s="403"/>
      <c r="W1367" s="403"/>
      <c r="X1367" s="403"/>
      <c r="Y1367" s="403"/>
      <c r="Z1367" s="403"/>
    </row>
    <row r="1368">
      <c r="A1368" s="403"/>
      <c r="B1368" s="417"/>
      <c r="C1368" s="415"/>
      <c r="D1368" s="417"/>
      <c r="E1368" s="417"/>
      <c r="F1368" s="417"/>
      <c r="G1368" s="418"/>
      <c r="H1368" s="417"/>
      <c r="I1368" s="418"/>
      <c r="J1368" s="432"/>
      <c r="K1368" s="420"/>
      <c r="L1368" s="417"/>
      <c r="M1368" s="415"/>
      <c r="N1368" s="422"/>
      <c r="O1368" s="75" t="str">
        <f t="shared" si="3"/>
        <v/>
      </c>
      <c r="P1368" s="403">
        <v>0.0</v>
      </c>
      <c r="Q1368" s="403">
        <v>0.0</v>
      </c>
      <c r="R1368" s="403"/>
      <c r="S1368" s="403"/>
      <c r="T1368" s="403"/>
      <c r="U1368" s="403"/>
      <c r="V1368" s="403"/>
      <c r="W1368" s="403"/>
      <c r="X1368" s="403"/>
      <c r="Y1368" s="403"/>
      <c r="Z1368" s="403"/>
    </row>
    <row r="1369">
      <c r="A1369" s="403"/>
      <c r="B1369" s="417"/>
      <c r="C1369" s="415"/>
      <c r="D1369" s="417"/>
      <c r="E1369" s="417"/>
      <c r="F1369" s="417"/>
      <c r="G1369" s="418"/>
      <c r="H1369" s="417"/>
      <c r="I1369" s="418"/>
      <c r="J1369" s="432"/>
      <c r="K1369" s="420"/>
      <c r="L1369" s="417"/>
      <c r="M1369" s="415"/>
      <c r="N1369" s="422"/>
      <c r="O1369" s="75" t="str">
        <f t="shared" si="3"/>
        <v/>
      </c>
      <c r="P1369" s="403">
        <v>0.0</v>
      </c>
      <c r="Q1369" s="403">
        <v>0.0</v>
      </c>
      <c r="R1369" s="403"/>
      <c r="S1369" s="403"/>
      <c r="T1369" s="403"/>
      <c r="U1369" s="403"/>
      <c r="V1369" s="403"/>
      <c r="W1369" s="403"/>
      <c r="X1369" s="403"/>
      <c r="Y1369" s="403"/>
      <c r="Z1369" s="403"/>
    </row>
    <row r="1370">
      <c r="A1370" s="403"/>
      <c r="B1370" s="417"/>
      <c r="C1370" s="415"/>
      <c r="D1370" s="417"/>
      <c r="E1370" s="417"/>
      <c r="F1370" s="417"/>
      <c r="G1370" s="418"/>
      <c r="H1370" s="417"/>
      <c r="I1370" s="418"/>
      <c r="J1370" s="432"/>
      <c r="K1370" s="420"/>
      <c r="L1370" s="417"/>
      <c r="M1370" s="415"/>
      <c r="N1370" s="422"/>
      <c r="O1370" s="75" t="str">
        <f t="shared" si="3"/>
        <v/>
      </c>
      <c r="P1370" s="403">
        <v>0.0</v>
      </c>
      <c r="Q1370" s="403">
        <v>0.0</v>
      </c>
      <c r="R1370" s="403"/>
      <c r="S1370" s="403"/>
      <c r="T1370" s="403"/>
      <c r="U1370" s="403"/>
      <c r="V1370" s="403"/>
      <c r="W1370" s="403"/>
      <c r="X1370" s="403"/>
      <c r="Y1370" s="403"/>
      <c r="Z1370" s="403"/>
    </row>
    <row r="1371">
      <c r="A1371" s="403"/>
      <c r="B1371" s="417"/>
      <c r="C1371" s="415"/>
      <c r="D1371" s="417"/>
      <c r="E1371" s="417"/>
      <c r="F1371" s="417"/>
      <c r="G1371" s="418"/>
      <c r="H1371" s="417"/>
      <c r="I1371" s="418"/>
      <c r="J1371" s="432"/>
      <c r="K1371" s="420"/>
      <c r="L1371" s="417"/>
      <c r="M1371" s="415"/>
      <c r="N1371" s="422"/>
      <c r="O1371" s="75" t="str">
        <f t="shared" si="3"/>
        <v/>
      </c>
      <c r="P1371" s="403">
        <v>0.0</v>
      </c>
      <c r="Q1371" s="403">
        <v>0.0</v>
      </c>
      <c r="R1371" s="403"/>
      <c r="S1371" s="403"/>
      <c r="T1371" s="403"/>
      <c r="U1371" s="403"/>
      <c r="V1371" s="403"/>
      <c r="W1371" s="403"/>
      <c r="X1371" s="403"/>
      <c r="Y1371" s="403"/>
      <c r="Z1371" s="403"/>
    </row>
    <row r="1372">
      <c r="A1372" s="403"/>
      <c r="B1372" s="417"/>
      <c r="C1372" s="415"/>
      <c r="D1372" s="417"/>
      <c r="E1372" s="417"/>
      <c r="F1372" s="417"/>
      <c r="G1372" s="418"/>
      <c r="H1372" s="417"/>
      <c r="I1372" s="418"/>
      <c r="J1372" s="432"/>
      <c r="K1372" s="420"/>
      <c r="L1372" s="417"/>
      <c r="M1372" s="415"/>
      <c r="N1372" s="422"/>
      <c r="O1372" s="75" t="str">
        <f t="shared" si="3"/>
        <v/>
      </c>
      <c r="P1372" s="403">
        <v>0.0</v>
      </c>
      <c r="Q1372" s="403">
        <v>0.0</v>
      </c>
      <c r="R1372" s="403"/>
      <c r="S1372" s="403"/>
      <c r="T1372" s="403"/>
      <c r="U1372" s="403"/>
      <c r="V1372" s="403"/>
      <c r="W1372" s="403"/>
      <c r="X1372" s="403"/>
      <c r="Y1372" s="403"/>
      <c r="Z1372" s="403"/>
    </row>
    <row r="1373">
      <c r="A1373" s="403"/>
      <c r="B1373" s="417"/>
      <c r="C1373" s="415"/>
      <c r="D1373" s="417"/>
      <c r="E1373" s="417"/>
      <c r="F1373" s="417"/>
      <c r="G1373" s="418"/>
      <c r="H1373" s="417"/>
      <c r="I1373" s="418"/>
      <c r="J1373" s="432"/>
      <c r="K1373" s="420"/>
      <c r="L1373" s="417"/>
      <c r="M1373" s="415"/>
      <c r="N1373" s="422"/>
      <c r="O1373" s="75" t="str">
        <f t="shared" si="3"/>
        <v/>
      </c>
      <c r="P1373" s="403">
        <v>0.0</v>
      </c>
      <c r="Q1373" s="403">
        <v>0.0</v>
      </c>
      <c r="R1373" s="403"/>
      <c r="S1373" s="403"/>
      <c r="T1373" s="403"/>
      <c r="U1373" s="403"/>
      <c r="V1373" s="403"/>
      <c r="W1373" s="403"/>
      <c r="X1373" s="403"/>
      <c r="Y1373" s="403"/>
      <c r="Z1373" s="403"/>
    </row>
    <row r="1374">
      <c r="A1374" s="403"/>
      <c r="B1374" s="417"/>
      <c r="C1374" s="415"/>
      <c r="D1374" s="417"/>
      <c r="E1374" s="417"/>
      <c r="F1374" s="417"/>
      <c r="G1374" s="418"/>
      <c r="H1374" s="417"/>
      <c r="I1374" s="418"/>
      <c r="J1374" s="432"/>
      <c r="K1374" s="420"/>
      <c r="L1374" s="417"/>
      <c r="M1374" s="415"/>
      <c r="N1374" s="422"/>
      <c r="O1374" s="75" t="str">
        <f t="shared" si="3"/>
        <v/>
      </c>
      <c r="P1374" s="403">
        <v>0.0</v>
      </c>
      <c r="Q1374" s="403">
        <v>0.0</v>
      </c>
      <c r="R1374" s="403"/>
      <c r="S1374" s="403"/>
      <c r="T1374" s="403"/>
      <c r="U1374" s="403"/>
      <c r="V1374" s="403"/>
      <c r="W1374" s="403"/>
      <c r="X1374" s="403"/>
      <c r="Y1374" s="403"/>
      <c r="Z1374" s="403"/>
    </row>
    <row r="1375">
      <c r="A1375" s="403"/>
      <c r="B1375" s="417"/>
      <c r="C1375" s="415"/>
      <c r="D1375" s="417"/>
      <c r="E1375" s="417"/>
      <c r="F1375" s="417"/>
      <c r="G1375" s="418"/>
      <c r="H1375" s="417"/>
      <c r="I1375" s="418"/>
      <c r="J1375" s="432"/>
      <c r="K1375" s="420"/>
      <c r="L1375" s="417"/>
      <c r="M1375" s="415"/>
      <c r="N1375" s="422"/>
      <c r="O1375" s="75" t="str">
        <f t="shared" si="3"/>
        <v/>
      </c>
      <c r="P1375" s="403">
        <v>0.0</v>
      </c>
      <c r="Q1375" s="403">
        <v>0.0</v>
      </c>
      <c r="R1375" s="403"/>
      <c r="S1375" s="403"/>
      <c r="T1375" s="403"/>
      <c r="U1375" s="403"/>
      <c r="V1375" s="403"/>
      <c r="W1375" s="403"/>
      <c r="X1375" s="403"/>
      <c r="Y1375" s="403"/>
      <c r="Z1375" s="403"/>
    </row>
    <row r="1376">
      <c r="A1376" s="403"/>
      <c r="B1376" s="417"/>
      <c r="C1376" s="415"/>
      <c r="D1376" s="417"/>
      <c r="E1376" s="417"/>
      <c r="F1376" s="417"/>
      <c r="G1376" s="418"/>
      <c r="H1376" s="417"/>
      <c r="I1376" s="418"/>
      <c r="J1376" s="432"/>
      <c r="K1376" s="420"/>
      <c r="L1376" s="417"/>
      <c r="M1376" s="415"/>
      <c r="N1376" s="422"/>
      <c r="O1376" s="75" t="str">
        <f t="shared" si="3"/>
        <v/>
      </c>
      <c r="P1376" s="403">
        <v>0.0</v>
      </c>
      <c r="Q1376" s="403">
        <v>0.0</v>
      </c>
      <c r="R1376" s="403"/>
      <c r="S1376" s="403"/>
      <c r="T1376" s="403"/>
      <c r="U1376" s="403"/>
      <c r="V1376" s="403"/>
      <c r="W1376" s="403"/>
      <c r="X1376" s="403"/>
      <c r="Y1376" s="403"/>
      <c r="Z1376" s="403"/>
    </row>
    <row r="1377">
      <c r="A1377" s="403"/>
      <c r="B1377" s="417"/>
      <c r="C1377" s="415"/>
      <c r="D1377" s="417"/>
      <c r="E1377" s="417"/>
      <c r="F1377" s="417"/>
      <c r="G1377" s="418"/>
      <c r="H1377" s="417"/>
      <c r="I1377" s="418"/>
      <c r="J1377" s="432"/>
      <c r="K1377" s="420"/>
      <c r="L1377" s="417"/>
      <c r="M1377" s="415"/>
      <c r="N1377" s="422"/>
      <c r="O1377" s="75" t="str">
        <f t="shared" si="3"/>
        <v/>
      </c>
      <c r="P1377" s="403">
        <v>0.0</v>
      </c>
      <c r="Q1377" s="403">
        <v>0.0</v>
      </c>
      <c r="R1377" s="403"/>
      <c r="S1377" s="403"/>
      <c r="T1377" s="403"/>
      <c r="U1377" s="403"/>
      <c r="V1377" s="403"/>
      <c r="W1377" s="403"/>
      <c r="X1377" s="403"/>
      <c r="Y1377" s="403"/>
      <c r="Z1377" s="403"/>
    </row>
    <row r="1378">
      <c r="A1378" s="403"/>
      <c r="B1378" s="417"/>
      <c r="C1378" s="415"/>
      <c r="D1378" s="417"/>
      <c r="E1378" s="417"/>
      <c r="F1378" s="417"/>
      <c r="G1378" s="418"/>
      <c r="H1378" s="417"/>
      <c r="I1378" s="418"/>
      <c r="J1378" s="432"/>
      <c r="K1378" s="420"/>
      <c r="L1378" s="417"/>
      <c r="M1378" s="415"/>
      <c r="N1378" s="422"/>
      <c r="O1378" s="75" t="str">
        <f t="shared" si="3"/>
        <v/>
      </c>
      <c r="P1378" s="403">
        <v>0.0</v>
      </c>
      <c r="Q1378" s="403">
        <v>0.0</v>
      </c>
      <c r="R1378" s="403"/>
      <c r="S1378" s="403"/>
      <c r="T1378" s="403"/>
      <c r="U1378" s="403"/>
      <c r="V1378" s="403"/>
      <c r="W1378" s="403"/>
      <c r="X1378" s="403"/>
      <c r="Y1378" s="403"/>
      <c r="Z1378" s="403"/>
    </row>
    <row r="1379">
      <c r="A1379" s="403"/>
      <c r="B1379" s="417"/>
      <c r="C1379" s="415"/>
      <c r="D1379" s="417"/>
      <c r="E1379" s="417"/>
      <c r="F1379" s="417"/>
      <c r="G1379" s="418"/>
      <c r="H1379" s="417"/>
      <c r="I1379" s="418"/>
      <c r="J1379" s="432"/>
      <c r="K1379" s="420"/>
      <c r="L1379" s="417"/>
      <c r="M1379" s="415"/>
      <c r="N1379" s="422"/>
      <c r="O1379" s="75" t="str">
        <f t="shared" si="3"/>
        <v/>
      </c>
      <c r="P1379" s="403">
        <v>0.0</v>
      </c>
      <c r="Q1379" s="403">
        <v>0.0</v>
      </c>
      <c r="R1379" s="403"/>
      <c r="S1379" s="403"/>
      <c r="T1379" s="403"/>
      <c r="U1379" s="403"/>
      <c r="V1379" s="403"/>
      <c r="W1379" s="403"/>
      <c r="X1379" s="403"/>
      <c r="Y1379" s="403"/>
      <c r="Z1379" s="403"/>
    </row>
    <row r="1380">
      <c r="A1380" s="403"/>
      <c r="B1380" s="417"/>
      <c r="C1380" s="415"/>
      <c r="D1380" s="417"/>
      <c r="E1380" s="417"/>
      <c r="F1380" s="417"/>
      <c r="G1380" s="418"/>
      <c r="H1380" s="417"/>
      <c r="I1380" s="418"/>
      <c r="J1380" s="432"/>
      <c r="K1380" s="420"/>
      <c r="L1380" s="417"/>
      <c r="M1380" s="415"/>
      <c r="N1380" s="422"/>
      <c r="O1380" s="75" t="str">
        <f t="shared" si="3"/>
        <v/>
      </c>
      <c r="P1380" s="403">
        <v>0.0</v>
      </c>
      <c r="Q1380" s="403">
        <v>0.0</v>
      </c>
      <c r="R1380" s="403"/>
      <c r="S1380" s="403"/>
      <c r="T1380" s="403"/>
      <c r="U1380" s="403"/>
      <c r="V1380" s="403"/>
      <c r="W1380" s="403"/>
      <c r="X1380" s="403"/>
      <c r="Y1380" s="403"/>
      <c r="Z1380" s="403"/>
    </row>
    <row r="1381">
      <c r="A1381" s="403"/>
      <c r="B1381" s="417"/>
      <c r="C1381" s="415"/>
      <c r="D1381" s="417"/>
      <c r="E1381" s="417"/>
      <c r="F1381" s="417"/>
      <c r="G1381" s="418"/>
      <c r="H1381" s="417"/>
      <c r="I1381" s="418"/>
      <c r="J1381" s="432"/>
      <c r="K1381" s="420"/>
      <c r="L1381" s="417"/>
      <c r="M1381" s="415"/>
      <c r="N1381" s="422"/>
      <c r="O1381" s="75" t="str">
        <f t="shared" si="3"/>
        <v/>
      </c>
      <c r="P1381" s="403">
        <v>0.0</v>
      </c>
      <c r="Q1381" s="403">
        <v>0.0</v>
      </c>
      <c r="R1381" s="403"/>
      <c r="S1381" s="403"/>
      <c r="T1381" s="403"/>
      <c r="U1381" s="403"/>
      <c r="V1381" s="403"/>
      <c r="W1381" s="403"/>
      <c r="X1381" s="403"/>
      <c r="Y1381" s="403"/>
      <c r="Z1381" s="403"/>
    </row>
    <row r="1382">
      <c r="A1382" s="403"/>
      <c r="B1382" s="417"/>
      <c r="C1382" s="415"/>
      <c r="D1382" s="417"/>
      <c r="E1382" s="417"/>
      <c r="F1382" s="417"/>
      <c r="G1382" s="418"/>
      <c r="H1382" s="417"/>
      <c r="I1382" s="418"/>
      <c r="J1382" s="432"/>
      <c r="K1382" s="420"/>
      <c r="L1382" s="417"/>
      <c r="M1382" s="415"/>
      <c r="N1382" s="422"/>
      <c r="O1382" s="75" t="str">
        <f t="shared" si="3"/>
        <v/>
      </c>
      <c r="P1382" s="403">
        <v>0.0</v>
      </c>
      <c r="Q1382" s="403">
        <v>0.0</v>
      </c>
      <c r="R1382" s="403"/>
      <c r="S1382" s="403"/>
      <c r="T1382" s="403"/>
      <c r="U1382" s="403"/>
      <c r="V1382" s="403"/>
      <c r="W1382" s="403"/>
      <c r="X1382" s="403"/>
      <c r="Y1382" s="403"/>
      <c r="Z1382" s="403"/>
    </row>
    <row r="1383">
      <c r="A1383" s="403"/>
      <c r="B1383" s="417"/>
      <c r="C1383" s="415"/>
      <c r="D1383" s="417"/>
      <c r="E1383" s="417"/>
      <c r="F1383" s="417"/>
      <c r="G1383" s="418"/>
      <c r="H1383" s="417"/>
      <c r="I1383" s="418"/>
      <c r="J1383" s="432"/>
      <c r="K1383" s="420"/>
      <c r="L1383" s="417"/>
      <c r="M1383" s="415"/>
      <c r="N1383" s="422"/>
      <c r="O1383" s="75" t="str">
        <f t="shared" si="3"/>
        <v/>
      </c>
      <c r="P1383" s="403">
        <v>0.0</v>
      </c>
      <c r="Q1383" s="403">
        <v>0.0</v>
      </c>
      <c r="R1383" s="403"/>
      <c r="S1383" s="403"/>
      <c r="T1383" s="403"/>
      <c r="U1383" s="403"/>
      <c r="V1383" s="403"/>
      <c r="W1383" s="403"/>
      <c r="X1383" s="403"/>
      <c r="Y1383" s="403"/>
      <c r="Z1383" s="403"/>
    </row>
    <row r="1384">
      <c r="A1384" s="403"/>
      <c r="B1384" s="417"/>
      <c r="C1384" s="415"/>
      <c r="D1384" s="417"/>
      <c r="E1384" s="417"/>
      <c r="F1384" s="417"/>
      <c r="G1384" s="418"/>
      <c r="H1384" s="417"/>
      <c r="I1384" s="418"/>
      <c r="J1384" s="432"/>
      <c r="K1384" s="420"/>
      <c r="L1384" s="417"/>
      <c r="M1384" s="415"/>
      <c r="N1384" s="422"/>
      <c r="O1384" s="75" t="str">
        <f t="shared" si="3"/>
        <v/>
      </c>
      <c r="P1384" s="403">
        <v>0.0</v>
      </c>
      <c r="Q1384" s="403">
        <v>0.0</v>
      </c>
      <c r="R1384" s="403"/>
      <c r="S1384" s="403"/>
      <c r="T1384" s="403"/>
      <c r="U1384" s="403"/>
      <c r="V1384" s="403"/>
      <c r="W1384" s="403"/>
      <c r="X1384" s="403"/>
      <c r="Y1384" s="403"/>
      <c r="Z1384" s="403"/>
    </row>
    <row r="1385">
      <c r="A1385" s="403"/>
      <c r="B1385" s="417"/>
      <c r="C1385" s="415"/>
      <c r="D1385" s="417"/>
      <c r="E1385" s="417"/>
      <c r="F1385" s="417"/>
      <c r="G1385" s="418"/>
      <c r="H1385" s="417"/>
      <c r="I1385" s="418"/>
      <c r="J1385" s="432"/>
      <c r="K1385" s="420"/>
      <c r="L1385" s="417"/>
      <c r="M1385" s="415"/>
      <c r="N1385" s="422"/>
      <c r="O1385" s="75" t="str">
        <f t="shared" si="3"/>
        <v/>
      </c>
      <c r="P1385" s="403">
        <v>0.0</v>
      </c>
      <c r="Q1385" s="403">
        <v>0.0</v>
      </c>
      <c r="R1385" s="403"/>
      <c r="S1385" s="403"/>
      <c r="T1385" s="403"/>
      <c r="U1385" s="403"/>
      <c r="V1385" s="403"/>
      <c r="W1385" s="403"/>
      <c r="X1385" s="403"/>
      <c r="Y1385" s="403"/>
      <c r="Z1385" s="403"/>
    </row>
    <row r="1386">
      <c r="A1386" s="403"/>
      <c r="B1386" s="417"/>
      <c r="C1386" s="415"/>
      <c r="D1386" s="417"/>
      <c r="E1386" s="417"/>
      <c r="F1386" s="417"/>
      <c r="G1386" s="418"/>
      <c r="H1386" s="417"/>
      <c r="I1386" s="418"/>
      <c r="J1386" s="432"/>
      <c r="K1386" s="420"/>
      <c r="L1386" s="417"/>
      <c r="M1386" s="415"/>
      <c r="N1386" s="422"/>
      <c r="O1386" s="75" t="str">
        <f t="shared" si="3"/>
        <v/>
      </c>
      <c r="P1386" s="403">
        <v>0.0</v>
      </c>
      <c r="Q1386" s="403">
        <v>0.0</v>
      </c>
      <c r="R1386" s="403"/>
      <c r="S1386" s="403"/>
      <c r="T1386" s="403"/>
      <c r="U1386" s="403"/>
      <c r="V1386" s="403"/>
      <c r="W1386" s="403"/>
      <c r="X1386" s="403"/>
      <c r="Y1386" s="403"/>
      <c r="Z1386" s="403"/>
    </row>
    <row r="1387">
      <c r="A1387" s="403"/>
      <c r="B1387" s="417"/>
      <c r="C1387" s="415"/>
      <c r="D1387" s="417"/>
      <c r="E1387" s="417"/>
      <c r="F1387" s="417"/>
      <c r="G1387" s="418"/>
      <c r="H1387" s="417"/>
      <c r="I1387" s="418"/>
      <c r="J1387" s="432"/>
      <c r="K1387" s="420"/>
      <c r="L1387" s="417"/>
      <c r="M1387" s="415"/>
      <c r="N1387" s="422"/>
      <c r="O1387" s="75" t="str">
        <f t="shared" si="3"/>
        <v/>
      </c>
      <c r="P1387" s="403">
        <v>0.0</v>
      </c>
      <c r="Q1387" s="403">
        <v>0.0</v>
      </c>
      <c r="R1387" s="403"/>
      <c r="S1387" s="403"/>
      <c r="T1387" s="403"/>
      <c r="U1387" s="403"/>
      <c r="V1387" s="403"/>
      <c r="W1387" s="403"/>
      <c r="X1387" s="403"/>
      <c r="Y1387" s="403"/>
      <c r="Z1387" s="403"/>
    </row>
    <row r="1388">
      <c r="A1388" s="403"/>
      <c r="B1388" s="417"/>
      <c r="C1388" s="415"/>
      <c r="D1388" s="417"/>
      <c r="E1388" s="417"/>
      <c r="F1388" s="417"/>
      <c r="G1388" s="418"/>
      <c r="H1388" s="417"/>
      <c r="I1388" s="418"/>
      <c r="J1388" s="432"/>
      <c r="K1388" s="420"/>
      <c r="L1388" s="417"/>
      <c r="M1388" s="415"/>
      <c r="N1388" s="422"/>
      <c r="O1388" s="75" t="str">
        <f t="shared" si="3"/>
        <v/>
      </c>
      <c r="P1388" s="403">
        <v>0.0</v>
      </c>
      <c r="Q1388" s="403">
        <v>0.0</v>
      </c>
      <c r="R1388" s="403"/>
      <c r="S1388" s="403"/>
      <c r="T1388" s="403"/>
      <c r="U1388" s="403"/>
      <c r="V1388" s="403"/>
      <c r="W1388" s="403"/>
      <c r="X1388" s="403"/>
      <c r="Y1388" s="403"/>
      <c r="Z1388" s="403"/>
    </row>
    <row r="1389">
      <c r="A1389" s="403"/>
      <c r="B1389" s="417"/>
      <c r="C1389" s="415"/>
      <c r="D1389" s="417"/>
      <c r="E1389" s="417"/>
      <c r="F1389" s="417"/>
      <c r="G1389" s="418"/>
      <c r="H1389" s="417"/>
      <c r="I1389" s="418"/>
      <c r="J1389" s="432"/>
      <c r="K1389" s="420"/>
      <c r="L1389" s="417"/>
      <c r="M1389" s="415"/>
      <c r="N1389" s="422"/>
      <c r="O1389" s="75" t="str">
        <f t="shared" si="3"/>
        <v/>
      </c>
      <c r="P1389" s="403">
        <v>0.0</v>
      </c>
      <c r="Q1389" s="403">
        <v>0.0</v>
      </c>
      <c r="R1389" s="403"/>
      <c r="S1389" s="403"/>
      <c r="T1389" s="403"/>
      <c r="U1389" s="403"/>
      <c r="V1389" s="403"/>
      <c r="W1389" s="403"/>
      <c r="X1389" s="403"/>
      <c r="Y1389" s="403"/>
      <c r="Z1389" s="403"/>
    </row>
    <row r="1390">
      <c r="A1390" s="403"/>
      <c r="B1390" s="417"/>
      <c r="C1390" s="415"/>
      <c r="D1390" s="417"/>
      <c r="E1390" s="417"/>
      <c r="F1390" s="417"/>
      <c r="G1390" s="418"/>
      <c r="H1390" s="417"/>
      <c r="I1390" s="418"/>
      <c r="J1390" s="432"/>
      <c r="K1390" s="420"/>
      <c r="L1390" s="417"/>
      <c r="M1390" s="415"/>
      <c r="N1390" s="422"/>
      <c r="O1390" s="75" t="str">
        <f t="shared" si="3"/>
        <v/>
      </c>
      <c r="P1390" s="403">
        <v>0.0</v>
      </c>
      <c r="Q1390" s="403">
        <v>0.0</v>
      </c>
      <c r="R1390" s="403"/>
      <c r="S1390" s="403"/>
      <c r="T1390" s="403"/>
      <c r="U1390" s="403"/>
      <c r="V1390" s="403"/>
      <c r="W1390" s="403"/>
      <c r="X1390" s="403"/>
      <c r="Y1390" s="403"/>
      <c r="Z1390" s="403"/>
    </row>
    <row r="1391">
      <c r="A1391" s="403"/>
      <c r="B1391" s="417"/>
      <c r="C1391" s="415"/>
      <c r="D1391" s="417"/>
      <c r="E1391" s="417"/>
      <c r="F1391" s="417"/>
      <c r="G1391" s="418"/>
      <c r="H1391" s="417"/>
      <c r="I1391" s="418"/>
      <c r="J1391" s="432"/>
      <c r="K1391" s="420"/>
      <c r="L1391" s="417"/>
      <c r="M1391" s="415"/>
      <c r="N1391" s="422"/>
      <c r="O1391" s="75" t="str">
        <f t="shared" si="3"/>
        <v/>
      </c>
      <c r="P1391" s="403">
        <v>0.0</v>
      </c>
      <c r="Q1391" s="403">
        <v>0.0</v>
      </c>
      <c r="R1391" s="403"/>
      <c r="S1391" s="403"/>
      <c r="T1391" s="403"/>
      <c r="U1391" s="403"/>
      <c r="V1391" s="403"/>
      <c r="W1391" s="403"/>
      <c r="X1391" s="403"/>
      <c r="Y1391" s="403"/>
      <c r="Z1391" s="403"/>
    </row>
    <row r="1392">
      <c r="A1392" s="403"/>
      <c r="B1392" s="417"/>
      <c r="C1392" s="415"/>
      <c r="D1392" s="417"/>
      <c r="E1392" s="417"/>
      <c r="F1392" s="417"/>
      <c r="G1392" s="418"/>
      <c r="H1392" s="417"/>
      <c r="I1392" s="418"/>
      <c r="J1392" s="432"/>
      <c r="K1392" s="420"/>
      <c r="L1392" s="417"/>
      <c r="M1392" s="415"/>
      <c r="N1392" s="422"/>
      <c r="O1392" s="75" t="str">
        <f t="shared" si="3"/>
        <v/>
      </c>
      <c r="P1392" s="403">
        <v>0.0</v>
      </c>
      <c r="Q1392" s="403">
        <v>0.0</v>
      </c>
      <c r="R1392" s="403"/>
      <c r="S1392" s="403"/>
      <c r="T1392" s="403"/>
      <c r="U1392" s="403"/>
      <c r="V1392" s="403"/>
      <c r="W1392" s="403"/>
      <c r="X1392" s="403"/>
      <c r="Y1392" s="403"/>
      <c r="Z1392" s="403"/>
    </row>
    <row r="1393">
      <c r="A1393" s="403"/>
      <c r="B1393" s="417"/>
      <c r="C1393" s="415"/>
      <c r="D1393" s="417"/>
      <c r="E1393" s="417"/>
      <c r="F1393" s="417"/>
      <c r="G1393" s="418"/>
      <c r="H1393" s="417"/>
      <c r="I1393" s="418"/>
      <c r="J1393" s="432"/>
      <c r="K1393" s="420"/>
      <c r="L1393" s="417"/>
      <c r="M1393" s="415"/>
      <c r="N1393" s="422"/>
      <c r="O1393" s="75" t="str">
        <f t="shared" si="3"/>
        <v/>
      </c>
      <c r="P1393" s="403">
        <v>0.0</v>
      </c>
      <c r="Q1393" s="403">
        <v>0.0</v>
      </c>
      <c r="R1393" s="403"/>
      <c r="S1393" s="403"/>
      <c r="T1393" s="403"/>
      <c r="U1393" s="403"/>
      <c r="V1393" s="403"/>
      <c r="W1393" s="403"/>
      <c r="X1393" s="403"/>
      <c r="Y1393" s="403"/>
      <c r="Z1393" s="403"/>
    </row>
    <row r="1394">
      <c r="A1394" s="403"/>
      <c r="B1394" s="417"/>
      <c r="C1394" s="415"/>
      <c r="D1394" s="417"/>
      <c r="E1394" s="417"/>
      <c r="F1394" s="417"/>
      <c r="G1394" s="418"/>
      <c r="H1394" s="417"/>
      <c r="I1394" s="418"/>
      <c r="J1394" s="432"/>
      <c r="K1394" s="420"/>
      <c r="L1394" s="417"/>
      <c r="M1394" s="415"/>
      <c r="N1394" s="422"/>
      <c r="O1394" s="75" t="str">
        <f t="shared" si="3"/>
        <v/>
      </c>
      <c r="P1394" s="403">
        <v>0.0</v>
      </c>
      <c r="Q1394" s="403">
        <v>0.0</v>
      </c>
      <c r="R1394" s="403"/>
      <c r="S1394" s="403"/>
      <c r="T1394" s="403"/>
      <c r="U1394" s="403"/>
      <c r="V1394" s="403"/>
      <c r="W1394" s="403"/>
      <c r="X1394" s="403"/>
      <c r="Y1394" s="403"/>
      <c r="Z1394" s="403"/>
    </row>
    <row r="1395">
      <c r="A1395" s="403"/>
      <c r="B1395" s="417"/>
      <c r="C1395" s="415"/>
      <c r="D1395" s="417"/>
      <c r="E1395" s="417"/>
      <c r="F1395" s="417"/>
      <c r="G1395" s="418"/>
      <c r="H1395" s="417"/>
      <c r="I1395" s="418"/>
      <c r="J1395" s="432"/>
      <c r="K1395" s="420"/>
      <c r="L1395" s="417"/>
      <c r="M1395" s="415"/>
      <c r="N1395" s="422"/>
      <c r="O1395" s="75" t="str">
        <f t="shared" si="3"/>
        <v/>
      </c>
      <c r="P1395" s="403">
        <v>0.0</v>
      </c>
      <c r="Q1395" s="403">
        <v>0.0</v>
      </c>
      <c r="R1395" s="403"/>
      <c r="S1395" s="403"/>
      <c r="T1395" s="403"/>
      <c r="U1395" s="403"/>
      <c r="V1395" s="403"/>
      <c r="W1395" s="403"/>
      <c r="X1395" s="403"/>
      <c r="Y1395" s="403"/>
      <c r="Z1395" s="403"/>
    </row>
    <row r="1396">
      <c r="A1396" s="403"/>
      <c r="B1396" s="417"/>
      <c r="C1396" s="415"/>
      <c r="D1396" s="417"/>
      <c r="E1396" s="417"/>
      <c r="F1396" s="417"/>
      <c r="G1396" s="418"/>
      <c r="H1396" s="417"/>
      <c r="I1396" s="418"/>
      <c r="J1396" s="432"/>
      <c r="K1396" s="420"/>
      <c r="L1396" s="417"/>
      <c r="M1396" s="415"/>
      <c r="N1396" s="422"/>
      <c r="O1396" s="75" t="str">
        <f t="shared" si="3"/>
        <v/>
      </c>
      <c r="P1396" s="403">
        <v>0.0</v>
      </c>
      <c r="Q1396" s="403">
        <v>0.0</v>
      </c>
      <c r="R1396" s="403"/>
      <c r="S1396" s="403"/>
      <c r="T1396" s="403"/>
      <c r="U1396" s="403"/>
      <c r="V1396" s="403"/>
      <c r="W1396" s="403"/>
      <c r="X1396" s="403"/>
      <c r="Y1396" s="403"/>
      <c r="Z1396" s="403"/>
    </row>
    <row r="1397">
      <c r="A1397" s="403"/>
      <c r="B1397" s="417"/>
      <c r="C1397" s="415"/>
      <c r="D1397" s="417"/>
      <c r="E1397" s="417"/>
      <c r="F1397" s="417"/>
      <c r="G1397" s="418"/>
      <c r="H1397" s="417"/>
      <c r="I1397" s="418"/>
      <c r="J1397" s="432"/>
      <c r="K1397" s="420"/>
      <c r="L1397" s="417"/>
      <c r="M1397" s="415"/>
      <c r="N1397" s="422"/>
      <c r="O1397" s="75" t="str">
        <f t="shared" si="3"/>
        <v/>
      </c>
      <c r="P1397" s="403">
        <v>0.0</v>
      </c>
      <c r="Q1397" s="403">
        <v>0.0</v>
      </c>
      <c r="R1397" s="403"/>
      <c r="S1397" s="403"/>
      <c r="T1397" s="403"/>
      <c r="U1397" s="403"/>
      <c r="V1397" s="403"/>
      <c r="W1397" s="403"/>
      <c r="X1397" s="403"/>
      <c r="Y1397" s="403"/>
      <c r="Z1397" s="403"/>
    </row>
    <row r="1398">
      <c r="A1398" s="403"/>
      <c r="B1398" s="417"/>
      <c r="C1398" s="415"/>
      <c r="D1398" s="417"/>
      <c r="E1398" s="417"/>
      <c r="F1398" s="417"/>
      <c r="G1398" s="418"/>
      <c r="H1398" s="417"/>
      <c r="I1398" s="418"/>
      <c r="J1398" s="432"/>
      <c r="K1398" s="420"/>
      <c r="L1398" s="417"/>
      <c r="M1398" s="415"/>
      <c r="N1398" s="422"/>
      <c r="O1398" s="75" t="str">
        <f t="shared" si="3"/>
        <v/>
      </c>
      <c r="P1398" s="403">
        <v>0.0</v>
      </c>
      <c r="Q1398" s="403">
        <v>0.0</v>
      </c>
      <c r="R1398" s="403"/>
      <c r="S1398" s="403"/>
      <c r="T1398" s="403"/>
      <c r="U1398" s="403"/>
      <c r="V1398" s="403"/>
      <c r="W1398" s="403"/>
      <c r="X1398" s="403"/>
      <c r="Y1398" s="403"/>
      <c r="Z1398" s="403"/>
    </row>
    <row r="1399">
      <c r="A1399" s="403"/>
      <c r="B1399" s="417"/>
      <c r="C1399" s="415"/>
      <c r="D1399" s="417"/>
      <c r="E1399" s="417"/>
      <c r="F1399" s="417"/>
      <c r="G1399" s="418"/>
      <c r="H1399" s="417"/>
      <c r="I1399" s="418"/>
      <c r="J1399" s="432"/>
      <c r="K1399" s="420"/>
      <c r="L1399" s="417"/>
      <c r="M1399" s="415"/>
      <c r="N1399" s="422"/>
      <c r="O1399" s="75" t="str">
        <f t="shared" si="3"/>
        <v/>
      </c>
      <c r="P1399" s="403">
        <v>0.0</v>
      </c>
      <c r="Q1399" s="403">
        <v>0.0</v>
      </c>
      <c r="R1399" s="403"/>
      <c r="S1399" s="403"/>
      <c r="T1399" s="403"/>
      <c r="U1399" s="403"/>
      <c r="V1399" s="403"/>
      <c r="W1399" s="403"/>
      <c r="X1399" s="403"/>
      <c r="Y1399" s="403"/>
      <c r="Z1399" s="403"/>
    </row>
    <row r="1400">
      <c r="A1400" s="403"/>
      <c r="B1400" s="417"/>
      <c r="C1400" s="415"/>
      <c r="D1400" s="417"/>
      <c r="E1400" s="417"/>
      <c r="F1400" s="417"/>
      <c r="G1400" s="418"/>
      <c r="H1400" s="417"/>
      <c r="I1400" s="418"/>
      <c r="J1400" s="432"/>
      <c r="K1400" s="420"/>
      <c r="L1400" s="417"/>
      <c r="M1400" s="415"/>
      <c r="N1400" s="422"/>
      <c r="O1400" s="75" t="str">
        <f t="shared" si="3"/>
        <v/>
      </c>
      <c r="P1400" s="403">
        <v>0.0</v>
      </c>
      <c r="Q1400" s="403">
        <v>0.0</v>
      </c>
      <c r="R1400" s="403"/>
      <c r="S1400" s="403"/>
      <c r="T1400" s="403"/>
      <c r="U1400" s="403"/>
      <c r="V1400" s="403"/>
      <c r="W1400" s="403"/>
      <c r="X1400" s="403"/>
      <c r="Y1400" s="403"/>
      <c r="Z1400" s="403"/>
    </row>
    <row r="1401">
      <c r="A1401" s="403"/>
      <c r="B1401" s="417"/>
      <c r="C1401" s="415"/>
      <c r="D1401" s="417"/>
      <c r="E1401" s="417"/>
      <c r="F1401" s="417"/>
      <c r="G1401" s="418"/>
      <c r="H1401" s="417"/>
      <c r="I1401" s="418"/>
      <c r="J1401" s="432"/>
      <c r="K1401" s="420"/>
      <c r="L1401" s="417"/>
      <c r="M1401" s="415"/>
      <c r="N1401" s="422"/>
      <c r="O1401" s="75" t="str">
        <f t="shared" si="3"/>
        <v/>
      </c>
      <c r="P1401" s="403">
        <v>0.0</v>
      </c>
      <c r="Q1401" s="403">
        <v>0.0</v>
      </c>
      <c r="R1401" s="403"/>
      <c r="S1401" s="403"/>
      <c r="T1401" s="403"/>
      <c r="U1401" s="403"/>
      <c r="V1401" s="403"/>
      <c r="W1401" s="403"/>
      <c r="X1401" s="403"/>
      <c r="Y1401" s="403"/>
      <c r="Z1401" s="403"/>
    </row>
    <row r="1402">
      <c r="A1402" s="403"/>
      <c r="B1402" s="417"/>
      <c r="C1402" s="415"/>
      <c r="D1402" s="417"/>
      <c r="E1402" s="417"/>
      <c r="F1402" s="417"/>
      <c r="G1402" s="418"/>
      <c r="H1402" s="417"/>
      <c r="I1402" s="418"/>
      <c r="J1402" s="432"/>
      <c r="K1402" s="420"/>
      <c r="L1402" s="417"/>
      <c r="M1402" s="415"/>
      <c r="N1402" s="422"/>
      <c r="O1402" s="75" t="str">
        <f t="shared" si="3"/>
        <v/>
      </c>
      <c r="P1402" s="403">
        <v>0.0</v>
      </c>
      <c r="Q1402" s="403">
        <v>0.0</v>
      </c>
      <c r="R1402" s="403"/>
      <c r="S1402" s="403"/>
      <c r="T1402" s="403"/>
      <c r="U1402" s="403"/>
      <c r="V1402" s="403"/>
      <c r="W1402" s="403"/>
      <c r="X1402" s="403"/>
      <c r="Y1402" s="403"/>
      <c r="Z1402" s="403"/>
    </row>
    <row r="1403">
      <c r="A1403" s="403"/>
      <c r="B1403" s="417"/>
      <c r="C1403" s="415"/>
      <c r="D1403" s="417"/>
      <c r="E1403" s="417"/>
      <c r="F1403" s="417"/>
      <c r="G1403" s="418"/>
      <c r="H1403" s="417"/>
      <c r="I1403" s="418"/>
      <c r="J1403" s="432"/>
      <c r="K1403" s="420"/>
      <c r="L1403" s="417"/>
      <c r="M1403" s="415"/>
      <c r="N1403" s="422"/>
      <c r="O1403" s="75" t="str">
        <f t="shared" si="3"/>
        <v/>
      </c>
      <c r="P1403" s="403">
        <v>0.0</v>
      </c>
      <c r="Q1403" s="403">
        <v>0.0</v>
      </c>
      <c r="R1403" s="403"/>
      <c r="S1403" s="403"/>
      <c r="T1403" s="403"/>
      <c r="U1403" s="403"/>
      <c r="V1403" s="403"/>
      <c r="W1403" s="403"/>
      <c r="X1403" s="403"/>
      <c r="Y1403" s="403"/>
      <c r="Z1403" s="403"/>
    </row>
    <row r="1404">
      <c r="A1404" s="403"/>
      <c r="B1404" s="417"/>
      <c r="C1404" s="415"/>
      <c r="D1404" s="417"/>
      <c r="E1404" s="417"/>
      <c r="F1404" s="417"/>
      <c r="G1404" s="418"/>
      <c r="H1404" s="417"/>
      <c r="I1404" s="418"/>
      <c r="J1404" s="432"/>
      <c r="K1404" s="420"/>
      <c r="L1404" s="417"/>
      <c r="M1404" s="415"/>
      <c r="N1404" s="422"/>
      <c r="O1404" s="75" t="str">
        <f t="shared" si="3"/>
        <v/>
      </c>
      <c r="P1404" s="403">
        <v>0.0</v>
      </c>
      <c r="Q1404" s="403">
        <v>0.0</v>
      </c>
      <c r="R1404" s="403"/>
      <c r="S1404" s="403"/>
      <c r="T1404" s="403"/>
      <c r="U1404" s="403"/>
      <c r="V1404" s="403"/>
      <c r="W1404" s="403"/>
      <c r="X1404" s="403"/>
      <c r="Y1404" s="403"/>
      <c r="Z1404" s="403"/>
    </row>
    <row r="1405">
      <c r="A1405" s="403"/>
      <c r="B1405" s="417"/>
      <c r="C1405" s="415"/>
      <c r="D1405" s="417"/>
      <c r="E1405" s="417"/>
      <c r="F1405" s="417"/>
      <c r="G1405" s="418"/>
      <c r="H1405" s="417"/>
      <c r="I1405" s="418"/>
      <c r="J1405" s="432"/>
      <c r="K1405" s="420"/>
      <c r="L1405" s="417"/>
      <c r="M1405" s="415"/>
      <c r="N1405" s="422"/>
      <c r="O1405" s="75" t="str">
        <f t="shared" si="3"/>
        <v/>
      </c>
      <c r="P1405" s="403">
        <v>0.0</v>
      </c>
      <c r="Q1405" s="403">
        <v>0.0</v>
      </c>
      <c r="R1405" s="403"/>
      <c r="S1405" s="403"/>
      <c r="T1405" s="403"/>
      <c r="U1405" s="403"/>
      <c r="V1405" s="403"/>
      <c r="W1405" s="403"/>
      <c r="X1405" s="403"/>
      <c r="Y1405" s="403"/>
      <c r="Z1405" s="403"/>
    </row>
    <row r="1406">
      <c r="A1406" s="403"/>
      <c r="B1406" s="417"/>
      <c r="C1406" s="415"/>
      <c r="D1406" s="417"/>
      <c r="E1406" s="417"/>
      <c r="F1406" s="417"/>
      <c r="G1406" s="418"/>
      <c r="H1406" s="417"/>
      <c r="I1406" s="418"/>
      <c r="J1406" s="432"/>
      <c r="K1406" s="420"/>
      <c r="L1406" s="417"/>
      <c r="M1406" s="415"/>
      <c r="N1406" s="422"/>
      <c r="O1406" s="75" t="str">
        <f t="shared" si="3"/>
        <v/>
      </c>
      <c r="P1406" s="403">
        <v>0.0</v>
      </c>
      <c r="Q1406" s="403">
        <v>0.0</v>
      </c>
      <c r="R1406" s="403"/>
      <c r="S1406" s="403"/>
      <c r="T1406" s="403"/>
      <c r="U1406" s="403"/>
      <c r="V1406" s="403"/>
      <c r="W1406" s="403"/>
      <c r="X1406" s="403"/>
      <c r="Y1406" s="403"/>
      <c r="Z1406" s="403"/>
    </row>
    <row r="1407">
      <c r="A1407" s="403"/>
      <c r="B1407" s="417"/>
      <c r="C1407" s="415"/>
      <c r="D1407" s="417"/>
      <c r="E1407" s="417"/>
      <c r="F1407" s="417"/>
      <c r="G1407" s="418"/>
      <c r="H1407" s="417"/>
      <c r="I1407" s="418"/>
      <c r="J1407" s="432"/>
      <c r="K1407" s="420"/>
      <c r="L1407" s="417"/>
      <c r="M1407" s="415"/>
      <c r="N1407" s="422"/>
      <c r="O1407" s="75" t="str">
        <f t="shared" si="3"/>
        <v/>
      </c>
      <c r="P1407" s="403">
        <v>0.0</v>
      </c>
      <c r="Q1407" s="403">
        <v>0.0</v>
      </c>
      <c r="R1407" s="403"/>
      <c r="S1407" s="403"/>
      <c r="T1407" s="403"/>
      <c r="U1407" s="403"/>
      <c r="V1407" s="403"/>
      <c r="W1407" s="403"/>
      <c r="X1407" s="403"/>
      <c r="Y1407" s="403"/>
      <c r="Z1407" s="403"/>
    </row>
    <row r="1408">
      <c r="A1408" s="403"/>
      <c r="B1408" s="417"/>
      <c r="C1408" s="415"/>
      <c r="D1408" s="417"/>
      <c r="E1408" s="417"/>
      <c r="F1408" s="417"/>
      <c r="G1408" s="418"/>
      <c r="H1408" s="417"/>
      <c r="I1408" s="418"/>
      <c r="J1408" s="432"/>
      <c r="K1408" s="420"/>
      <c r="L1408" s="417"/>
      <c r="M1408" s="415"/>
      <c r="N1408" s="422"/>
      <c r="O1408" s="75" t="str">
        <f t="shared" si="3"/>
        <v/>
      </c>
      <c r="P1408" s="403">
        <v>0.0</v>
      </c>
      <c r="Q1408" s="403">
        <v>0.0</v>
      </c>
      <c r="R1408" s="403"/>
      <c r="S1408" s="403"/>
      <c r="T1408" s="403"/>
      <c r="U1408" s="403"/>
      <c r="V1408" s="403"/>
      <c r="W1408" s="403"/>
      <c r="X1408" s="403"/>
      <c r="Y1408" s="403"/>
      <c r="Z1408" s="403"/>
    </row>
    <row r="1409">
      <c r="A1409" s="403"/>
      <c r="B1409" s="417"/>
      <c r="C1409" s="415"/>
      <c r="D1409" s="417"/>
      <c r="E1409" s="417"/>
      <c r="F1409" s="417"/>
      <c r="G1409" s="418"/>
      <c r="H1409" s="417"/>
      <c r="I1409" s="418"/>
      <c r="J1409" s="432"/>
      <c r="K1409" s="420"/>
      <c r="L1409" s="417"/>
      <c r="M1409" s="415"/>
      <c r="N1409" s="422"/>
      <c r="O1409" s="75" t="str">
        <f t="shared" si="3"/>
        <v/>
      </c>
      <c r="P1409" s="403">
        <v>0.0</v>
      </c>
      <c r="Q1409" s="403">
        <v>0.0</v>
      </c>
      <c r="R1409" s="403"/>
      <c r="S1409" s="403"/>
      <c r="T1409" s="403"/>
      <c r="U1409" s="403"/>
      <c r="V1409" s="403"/>
      <c r="W1409" s="403"/>
      <c r="X1409" s="403"/>
      <c r="Y1409" s="403"/>
      <c r="Z1409" s="403"/>
    </row>
    <row r="1410">
      <c r="A1410" s="403"/>
      <c r="B1410" s="417"/>
      <c r="C1410" s="415"/>
      <c r="D1410" s="417"/>
      <c r="E1410" s="417"/>
      <c r="F1410" s="417"/>
      <c r="G1410" s="418"/>
      <c r="H1410" s="417"/>
      <c r="I1410" s="418"/>
      <c r="J1410" s="432"/>
      <c r="K1410" s="420"/>
      <c r="L1410" s="417"/>
      <c r="M1410" s="415"/>
      <c r="N1410" s="422"/>
      <c r="O1410" s="75" t="str">
        <f t="shared" si="3"/>
        <v/>
      </c>
      <c r="P1410" s="403">
        <v>0.0</v>
      </c>
      <c r="Q1410" s="403">
        <v>0.0</v>
      </c>
      <c r="R1410" s="403"/>
      <c r="S1410" s="403"/>
      <c r="T1410" s="403"/>
      <c r="U1410" s="403"/>
      <c r="V1410" s="403"/>
      <c r="W1410" s="403"/>
      <c r="X1410" s="403"/>
      <c r="Y1410" s="403"/>
      <c r="Z1410" s="403"/>
    </row>
    <row r="1411">
      <c r="A1411" s="403"/>
      <c r="B1411" s="417"/>
      <c r="C1411" s="415"/>
      <c r="D1411" s="417"/>
      <c r="E1411" s="417"/>
      <c r="F1411" s="417"/>
      <c r="G1411" s="418"/>
      <c r="H1411" s="417"/>
      <c r="I1411" s="418"/>
      <c r="J1411" s="432"/>
      <c r="K1411" s="420"/>
      <c r="L1411" s="417"/>
      <c r="M1411" s="415"/>
      <c r="N1411" s="422"/>
      <c r="O1411" s="75" t="str">
        <f t="shared" si="3"/>
        <v/>
      </c>
      <c r="P1411" s="403">
        <v>0.0</v>
      </c>
      <c r="Q1411" s="403">
        <v>0.0</v>
      </c>
      <c r="R1411" s="403"/>
      <c r="S1411" s="403"/>
      <c r="T1411" s="403"/>
      <c r="U1411" s="403"/>
      <c r="V1411" s="403"/>
      <c r="W1411" s="403"/>
      <c r="X1411" s="403"/>
      <c r="Y1411" s="403"/>
      <c r="Z1411" s="403"/>
    </row>
    <row r="1412">
      <c r="A1412" s="403"/>
      <c r="B1412" s="417"/>
      <c r="C1412" s="415"/>
      <c r="D1412" s="417"/>
      <c r="E1412" s="417"/>
      <c r="F1412" s="417"/>
      <c r="G1412" s="418"/>
      <c r="H1412" s="417"/>
      <c r="I1412" s="418"/>
      <c r="J1412" s="432"/>
      <c r="K1412" s="420"/>
      <c r="L1412" s="417"/>
      <c r="M1412" s="415"/>
      <c r="N1412" s="422"/>
      <c r="O1412" s="75" t="str">
        <f t="shared" si="3"/>
        <v/>
      </c>
      <c r="P1412" s="403">
        <v>0.0</v>
      </c>
      <c r="Q1412" s="403">
        <v>0.0</v>
      </c>
      <c r="R1412" s="403"/>
      <c r="S1412" s="403"/>
      <c r="T1412" s="403"/>
      <c r="U1412" s="403"/>
      <c r="V1412" s="403"/>
      <c r="W1412" s="403"/>
      <c r="X1412" s="403"/>
      <c r="Y1412" s="403"/>
      <c r="Z1412" s="403"/>
    </row>
    <row r="1413">
      <c r="A1413" s="403"/>
      <c r="B1413" s="417"/>
      <c r="C1413" s="415"/>
      <c r="D1413" s="417"/>
      <c r="E1413" s="417"/>
      <c r="F1413" s="417"/>
      <c r="G1413" s="418"/>
      <c r="H1413" s="417"/>
      <c r="I1413" s="418"/>
      <c r="J1413" s="432"/>
      <c r="K1413" s="420"/>
      <c r="L1413" s="417"/>
      <c r="M1413" s="415"/>
      <c r="N1413" s="422"/>
      <c r="O1413" s="75" t="str">
        <f t="shared" si="3"/>
        <v/>
      </c>
      <c r="P1413" s="403">
        <v>0.0</v>
      </c>
      <c r="Q1413" s="403">
        <v>0.0</v>
      </c>
      <c r="R1413" s="403"/>
      <c r="S1413" s="403"/>
      <c r="T1413" s="403"/>
      <c r="U1413" s="403"/>
      <c r="V1413" s="403"/>
      <c r="W1413" s="403"/>
      <c r="X1413" s="403"/>
      <c r="Y1413" s="403"/>
      <c r="Z1413" s="403"/>
    </row>
    <row r="1414">
      <c r="A1414" s="403"/>
      <c r="B1414" s="417"/>
      <c r="C1414" s="415"/>
      <c r="D1414" s="417"/>
      <c r="E1414" s="417"/>
      <c r="F1414" s="417"/>
      <c r="G1414" s="418"/>
      <c r="H1414" s="417"/>
      <c r="I1414" s="418"/>
      <c r="J1414" s="432"/>
      <c r="K1414" s="420"/>
      <c r="L1414" s="417"/>
      <c r="M1414" s="415"/>
      <c r="N1414" s="422"/>
      <c r="O1414" s="75" t="str">
        <f t="shared" si="3"/>
        <v/>
      </c>
      <c r="P1414" s="403">
        <v>0.0</v>
      </c>
      <c r="Q1414" s="403">
        <v>0.0</v>
      </c>
      <c r="R1414" s="403"/>
      <c r="S1414" s="403"/>
      <c r="T1414" s="403"/>
      <c r="U1414" s="403"/>
      <c r="V1414" s="403"/>
      <c r="W1414" s="403"/>
      <c r="X1414" s="403"/>
      <c r="Y1414" s="403"/>
      <c r="Z1414" s="403"/>
    </row>
    <row r="1415">
      <c r="A1415" s="403"/>
      <c r="B1415" s="417"/>
      <c r="C1415" s="415"/>
      <c r="D1415" s="417"/>
      <c r="E1415" s="417"/>
      <c r="F1415" s="417"/>
      <c r="G1415" s="418"/>
      <c r="H1415" s="417"/>
      <c r="I1415" s="418"/>
      <c r="J1415" s="432"/>
      <c r="K1415" s="420"/>
      <c r="L1415" s="417"/>
      <c r="M1415" s="415"/>
      <c r="N1415" s="422"/>
      <c r="O1415" s="75" t="str">
        <f t="shared" si="3"/>
        <v/>
      </c>
      <c r="P1415" s="403">
        <v>0.0</v>
      </c>
      <c r="Q1415" s="403">
        <v>0.0</v>
      </c>
      <c r="R1415" s="403"/>
      <c r="S1415" s="403"/>
      <c r="T1415" s="403"/>
      <c r="U1415" s="403"/>
      <c r="V1415" s="403"/>
      <c r="W1415" s="403"/>
      <c r="X1415" s="403"/>
      <c r="Y1415" s="403"/>
      <c r="Z1415" s="403"/>
    </row>
    <row r="1416">
      <c r="A1416" s="403"/>
      <c r="B1416" s="417"/>
      <c r="C1416" s="415"/>
      <c r="D1416" s="417"/>
      <c r="E1416" s="417"/>
      <c r="F1416" s="417"/>
      <c r="G1416" s="418"/>
      <c r="H1416" s="417"/>
      <c r="I1416" s="418"/>
      <c r="J1416" s="432"/>
      <c r="K1416" s="420"/>
      <c r="L1416" s="417"/>
      <c r="M1416" s="415"/>
      <c r="N1416" s="422"/>
      <c r="O1416" s="75" t="str">
        <f t="shared" si="3"/>
        <v/>
      </c>
      <c r="P1416" s="403">
        <v>0.0</v>
      </c>
      <c r="Q1416" s="403">
        <v>0.0</v>
      </c>
      <c r="R1416" s="403"/>
      <c r="S1416" s="403"/>
      <c r="T1416" s="403"/>
      <c r="U1416" s="403"/>
      <c r="V1416" s="403"/>
      <c r="W1416" s="403"/>
      <c r="X1416" s="403"/>
      <c r="Y1416" s="403"/>
      <c r="Z1416" s="403"/>
    </row>
    <row r="1417">
      <c r="A1417" s="403"/>
      <c r="B1417" s="417"/>
      <c r="C1417" s="415"/>
      <c r="D1417" s="417"/>
      <c r="E1417" s="417"/>
      <c r="F1417" s="417"/>
      <c r="G1417" s="418"/>
      <c r="H1417" s="417"/>
      <c r="I1417" s="418"/>
      <c r="J1417" s="432"/>
      <c r="K1417" s="420"/>
      <c r="L1417" s="417"/>
      <c r="M1417" s="415"/>
      <c r="N1417" s="422"/>
      <c r="O1417" s="75" t="str">
        <f t="shared" si="3"/>
        <v/>
      </c>
      <c r="P1417" s="403">
        <v>0.0</v>
      </c>
      <c r="Q1417" s="403">
        <v>0.0</v>
      </c>
      <c r="R1417" s="403"/>
      <c r="S1417" s="403"/>
      <c r="T1417" s="403"/>
      <c r="U1417" s="403"/>
      <c r="V1417" s="403"/>
      <c r="W1417" s="403"/>
      <c r="X1417" s="403"/>
      <c r="Y1417" s="403"/>
      <c r="Z1417" s="403"/>
    </row>
    <row r="1418">
      <c r="A1418" s="403"/>
      <c r="B1418" s="417"/>
      <c r="C1418" s="415"/>
      <c r="D1418" s="417"/>
      <c r="E1418" s="417"/>
      <c r="F1418" s="417"/>
      <c r="G1418" s="418"/>
      <c r="H1418" s="417"/>
      <c r="I1418" s="418"/>
      <c r="J1418" s="432"/>
      <c r="K1418" s="420"/>
      <c r="L1418" s="417"/>
      <c r="M1418" s="415"/>
      <c r="N1418" s="422"/>
      <c r="O1418" s="75" t="str">
        <f t="shared" si="3"/>
        <v/>
      </c>
      <c r="P1418" s="403">
        <v>0.0</v>
      </c>
      <c r="Q1418" s="403">
        <v>0.0</v>
      </c>
      <c r="R1418" s="403"/>
      <c r="S1418" s="403"/>
      <c r="T1418" s="403"/>
      <c r="U1418" s="403"/>
      <c r="V1418" s="403"/>
      <c r="W1418" s="403"/>
      <c r="X1418" s="403"/>
      <c r="Y1418" s="403"/>
      <c r="Z1418" s="403"/>
    </row>
    <row r="1419">
      <c r="A1419" s="403"/>
      <c r="B1419" s="417"/>
      <c r="C1419" s="415"/>
      <c r="D1419" s="417"/>
      <c r="E1419" s="417"/>
      <c r="F1419" s="417"/>
      <c r="G1419" s="418"/>
      <c r="H1419" s="417"/>
      <c r="I1419" s="418"/>
      <c r="J1419" s="432"/>
      <c r="K1419" s="420"/>
      <c r="L1419" s="417"/>
      <c r="M1419" s="415"/>
      <c r="N1419" s="422"/>
      <c r="O1419" s="75" t="str">
        <f t="shared" si="3"/>
        <v/>
      </c>
      <c r="P1419" s="403">
        <v>0.0</v>
      </c>
      <c r="Q1419" s="403">
        <v>0.0</v>
      </c>
      <c r="R1419" s="403"/>
      <c r="S1419" s="403"/>
      <c r="T1419" s="403"/>
      <c r="U1419" s="403"/>
      <c r="V1419" s="403"/>
      <c r="W1419" s="403"/>
      <c r="X1419" s="403"/>
      <c r="Y1419" s="403"/>
      <c r="Z1419" s="403"/>
    </row>
    <row r="1420">
      <c r="A1420" s="403"/>
      <c r="B1420" s="417"/>
      <c r="C1420" s="415"/>
      <c r="D1420" s="417"/>
      <c r="E1420" s="417"/>
      <c r="F1420" s="417"/>
      <c r="G1420" s="418"/>
      <c r="H1420" s="417"/>
      <c r="I1420" s="418"/>
      <c r="J1420" s="432"/>
      <c r="K1420" s="420"/>
      <c r="L1420" s="417"/>
      <c r="M1420" s="415"/>
      <c r="N1420" s="422"/>
      <c r="O1420" s="75" t="str">
        <f t="shared" si="3"/>
        <v/>
      </c>
      <c r="P1420" s="403">
        <v>0.0</v>
      </c>
      <c r="Q1420" s="403">
        <v>0.0</v>
      </c>
      <c r="R1420" s="403"/>
      <c r="S1420" s="403"/>
      <c r="T1420" s="403"/>
      <c r="U1420" s="403"/>
      <c r="V1420" s="403"/>
      <c r="W1420" s="403"/>
      <c r="X1420" s="403"/>
      <c r="Y1420" s="403"/>
      <c r="Z1420" s="403"/>
    </row>
    <row r="1421">
      <c r="A1421" s="403"/>
      <c r="B1421" s="417"/>
      <c r="C1421" s="415"/>
      <c r="D1421" s="417"/>
      <c r="E1421" s="417"/>
      <c r="F1421" s="417"/>
      <c r="G1421" s="418"/>
      <c r="H1421" s="417"/>
      <c r="I1421" s="418"/>
      <c r="J1421" s="432"/>
      <c r="K1421" s="420"/>
      <c r="L1421" s="417"/>
      <c r="M1421" s="415"/>
      <c r="N1421" s="422"/>
      <c r="O1421" s="75" t="str">
        <f t="shared" si="3"/>
        <v/>
      </c>
      <c r="P1421" s="403">
        <v>0.0</v>
      </c>
      <c r="Q1421" s="403">
        <v>0.0</v>
      </c>
      <c r="R1421" s="403"/>
      <c r="S1421" s="403"/>
      <c r="T1421" s="403"/>
      <c r="U1421" s="403"/>
      <c r="V1421" s="403"/>
      <c r="W1421" s="403"/>
      <c r="X1421" s="403"/>
      <c r="Y1421" s="403"/>
      <c r="Z1421" s="403"/>
    </row>
    <row r="1422">
      <c r="A1422" s="403"/>
      <c r="B1422" s="417"/>
      <c r="C1422" s="415"/>
      <c r="D1422" s="417"/>
      <c r="E1422" s="417"/>
      <c r="F1422" s="417"/>
      <c r="G1422" s="418"/>
      <c r="H1422" s="417"/>
      <c r="I1422" s="418"/>
      <c r="J1422" s="432"/>
      <c r="K1422" s="420"/>
      <c r="L1422" s="417"/>
      <c r="M1422" s="415"/>
      <c r="N1422" s="422"/>
      <c r="O1422" s="75" t="str">
        <f t="shared" si="3"/>
        <v/>
      </c>
      <c r="P1422" s="403">
        <v>0.0</v>
      </c>
      <c r="Q1422" s="403">
        <v>0.0</v>
      </c>
      <c r="R1422" s="403"/>
      <c r="S1422" s="403"/>
      <c r="T1422" s="403"/>
      <c r="U1422" s="403"/>
      <c r="V1422" s="403"/>
      <c r="W1422" s="403"/>
      <c r="X1422" s="403"/>
      <c r="Y1422" s="403"/>
      <c r="Z1422" s="403"/>
    </row>
    <row r="1423">
      <c r="A1423" s="403"/>
      <c r="B1423" s="417"/>
      <c r="C1423" s="415"/>
      <c r="D1423" s="417"/>
      <c r="E1423" s="417"/>
      <c r="F1423" s="417"/>
      <c r="G1423" s="418"/>
      <c r="H1423" s="417"/>
      <c r="I1423" s="418"/>
      <c r="J1423" s="432"/>
      <c r="K1423" s="420"/>
      <c r="L1423" s="417"/>
      <c r="M1423" s="415"/>
      <c r="N1423" s="422"/>
      <c r="O1423" s="75" t="str">
        <f t="shared" si="3"/>
        <v/>
      </c>
      <c r="P1423" s="403">
        <v>0.0</v>
      </c>
      <c r="Q1423" s="403">
        <v>0.0</v>
      </c>
      <c r="R1423" s="403"/>
      <c r="S1423" s="403"/>
      <c r="T1423" s="403"/>
      <c r="U1423" s="403"/>
      <c r="V1423" s="403"/>
      <c r="W1423" s="403"/>
      <c r="X1423" s="403"/>
      <c r="Y1423" s="403"/>
      <c r="Z1423" s="403"/>
    </row>
    <row r="1424">
      <c r="A1424" s="403"/>
      <c r="B1424" s="417"/>
      <c r="C1424" s="415"/>
      <c r="D1424" s="417"/>
      <c r="E1424" s="417"/>
      <c r="F1424" s="417"/>
      <c r="G1424" s="418"/>
      <c r="H1424" s="417"/>
      <c r="I1424" s="418"/>
      <c r="J1424" s="432"/>
      <c r="K1424" s="420"/>
      <c r="L1424" s="417"/>
      <c r="M1424" s="415"/>
      <c r="N1424" s="422"/>
      <c r="O1424" s="75" t="str">
        <f t="shared" si="3"/>
        <v/>
      </c>
      <c r="P1424" s="403">
        <v>0.0</v>
      </c>
      <c r="Q1424" s="403">
        <v>0.0</v>
      </c>
      <c r="R1424" s="403"/>
      <c r="S1424" s="403"/>
      <c r="T1424" s="403"/>
      <c r="U1424" s="403"/>
      <c r="V1424" s="403"/>
      <c r="W1424" s="403"/>
      <c r="X1424" s="403"/>
      <c r="Y1424" s="403"/>
      <c r="Z1424" s="403"/>
    </row>
    <row r="1425">
      <c r="A1425" s="403"/>
      <c r="B1425" s="417"/>
      <c r="C1425" s="415"/>
      <c r="D1425" s="417"/>
      <c r="E1425" s="417"/>
      <c r="F1425" s="417"/>
      <c r="G1425" s="418"/>
      <c r="H1425" s="417"/>
      <c r="I1425" s="418"/>
      <c r="J1425" s="432"/>
      <c r="K1425" s="420"/>
      <c r="L1425" s="417"/>
      <c r="M1425" s="415"/>
      <c r="N1425" s="422"/>
      <c r="O1425" s="75" t="str">
        <f t="shared" si="3"/>
        <v/>
      </c>
      <c r="P1425" s="403">
        <v>0.0</v>
      </c>
      <c r="Q1425" s="403">
        <v>0.0</v>
      </c>
      <c r="R1425" s="403"/>
      <c r="S1425" s="403"/>
      <c r="T1425" s="403"/>
      <c r="U1425" s="403"/>
      <c r="V1425" s="403"/>
      <c r="W1425" s="403"/>
      <c r="X1425" s="403"/>
      <c r="Y1425" s="403"/>
      <c r="Z1425" s="403"/>
    </row>
    <row r="1426">
      <c r="A1426" s="403"/>
      <c r="B1426" s="417"/>
      <c r="C1426" s="415"/>
      <c r="D1426" s="417"/>
      <c r="E1426" s="417"/>
      <c r="F1426" s="417"/>
      <c r="G1426" s="418"/>
      <c r="H1426" s="417"/>
      <c r="I1426" s="418"/>
      <c r="J1426" s="432"/>
      <c r="K1426" s="420"/>
      <c r="L1426" s="417"/>
      <c r="M1426" s="415"/>
      <c r="N1426" s="422"/>
      <c r="O1426" s="75" t="str">
        <f t="shared" si="3"/>
        <v/>
      </c>
      <c r="P1426" s="403">
        <v>0.0</v>
      </c>
      <c r="Q1426" s="403">
        <v>0.0</v>
      </c>
      <c r="R1426" s="403"/>
      <c r="S1426" s="403"/>
      <c r="T1426" s="403"/>
      <c r="U1426" s="403"/>
      <c r="V1426" s="403"/>
      <c r="W1426" s="403"/>
      <c r="X1426" s="403"/>
      <c r="Y1426" s="403"/>
      <c r="Z1426" s="403"/>
    </row>
    <row r="1427">
      <c r="A1427" s="403"/>
      <c r="B1427" s="417"/>
      <c r="C1427" s="415"/>
      <c r="D1427" s="417"/>
      <c r="E1427" s="417"/>
      <c r="F1427" s="417"/>
      <c r="G1427" s="418"/>
      <c r="H1427" s="417"/>
      <c r="I1427" s="418"/>
      <c r="J1427" s="432"/>
      <c r="K1427" s="420"/>
      <c r="L1427" s="417"/>
      <c r="M1427" s="415"/>
      <c r="N1427" s="422"/>
      <c r="O1427" s="75" t="str">
        <f t="shared" si="3"/>
        <v/>
      </c>
      <c r="P1427" s="403">
        <v>0.0</v>
      </c>
      <c r="Q1427" s="403">
        <v>0.0</v>
      </c>
      <c r="R1427" s="403"/>
      <c r="S1427" s="403"/>
      <c r="T1427" s="403"/>
      <c r="U1427" s="403"/>
      <c r="V1427" s="403"/>
      <c r="W1427" s="403"/>
      <c r="X1427" s="403"/>
      <c r="Y1427" s="403"/>
      <c r="Z1427" s="403"/>
    </row>
    <row r="1428">
      <c r="A1428" s="403"/>
      <c r="B1428" s="417"/>
      <c r="C1428" s="415"/>
      <c r="D1428" s="417"/>
      <c r="E1428" s="417"/>
      <c r="F1428" s="417"/>
      <c r="G1428" s="418"/>
      <c r="H1428" s="417"/>
      <c r="I1428" s="418"/>
      <c r="J1428" s="432"/>
      <c r="K1428" s="420"/>
      <c r="L1428" s="417"/>
      <c r="M1428" s="415"/>
      <c r="N1428" s="422"/>
      <c r="O1428" s="75" t="str">
        <f t="shared" si="3"/>
        <v/>
      </c>
      <c r="P1428" s="403">
        <v>0.0</v>
      </c>
      <c r="Q1428" s="403">
        <v>0.0</v>
      </c>
      <c r="R1428" s="403"/>
      <c r="S1428" s="403"/>
      <c r="T1428" s="403"/>
      <c r="U1428" s="403"/>
      <c r="V1428" s="403"/>
      <c r="W1428" s="403"/>
      <c r="X1428" s="403"/>
      <c r="Y1428" s="403"/>
      <c r="Z1428" s="403"/>
    </row>
    <row r="1429">
      <c r="A1429" s="403"/>
      <c r="B1429" s="417"/>
      <c r="C1429" s="415"/>
      <c r="D1429" s="417"/>
      <c r="E1429" s="417"/>
      <c r="F1429" s="417"/>
      <c r="G1429" s="418"/>
      <c r="H1429" s="417"/>
      <c r="I1429" s="418"/>
      <c r="J1429" s="432"/>
      <c r="K1429" s="420"/>
      <c r="L1429" s="417"/>
      <c r="M1429" s="415"/>
      <c r="N1429" s="422"/>
      <c r="O1429" s="75" t="str">
        <f t="shared" si="3"/>
        <v/>
      </c>
      <c r="P1429" s="403">
        <v>0.0</v>
      </c>
      <c r="Q1429" s="403">
        <v>0.0</v>
      </c>
      <c r="R1429" s="403"/>
      <c r="S1429" s="403"/>
      <c r="T1429" s="403"/>
      <c r="U1429" s="403"/>
      <c r="V1429" s="403"/>
      <c r="W1429" s="403"/>
      <c r="X1429" s="403"/>
      <c r="Y1429" s="403"/>
      <c r="Z1429" s="403"/>
    </row>
    <row r="1430">
      <c r="A1430" s="403"/>
      <c r="B1430" s="417"/>
      <c r="C1430" s="415"/>
      <c r="D1430" s="417"/>
      <c r="E1430" s="417"/>
      <c r="F1430" s="417"/>
      <c r="G1430" s="418"/>
      <c r="H1430" s="417"/>
      <c r="I1430" s="418"/>
      <c r="J1430" s="432"/>
      <c r="K1430" s="420"/>
      <c r="L1430" s="417"/>
      <c r="M1430" s="415"/>
      <c r="N1430" s="422"/>
      <c r="O1430" s="75" t="str">
        <f t="shared" si="3"/>
        <v/>
      </c>
      <c r="P1430" s="403">
        <v>0.0</v>
      </c>
      <c r="Q1430" s="403">
        <v>0.0</v>
      </c>
      <c r="R1430" s="403"/>
      <c r="S1430" s="403"/>
      <c r="T1430" s="403"/>
      <c r="U1430" s="403"/>
      <c r="V1430" s="403"/>
      <c r="W1430" s="403"/>
      <c r="X1430" s="403"/>
      <c r="Y1430" s="403"/>
      <c r="Z1430" s="403"/>
    </row>
    <row r="1431">
      <c r="A1431" s="403"/>
      <c r="B1431" s="417"/>
      <c r="C1431" s="415"/>
      <c r="D1431" s="417"/>
      <c r="E1431" s="417"/>
      <c r="F1431" s="417"/>
      <c r="G1431" s="418"/>
      <c r="H1431" s="417"/>
      <c r="I1431" s="418"/>
      <c r="J1431" s="432"/>
      <c r="K1431" s="420"/>
      <c r="L1431" s="417"/>
      <c r="M1431" s="415"/>
      <c r="N1431" s="422"/>
      <c r="O1431" s="75" t="str">
        <f t="shared" si="3"/>
        <v/>
      </c>
      <c r="P1431" s="403">
        <v>0.0</v>
      </c>
      <c r="Q1431" s="403">
        <v>0.0</v>
      </c>
      <c r="R1431" s="403"/>
      <c r="S1431" s="403"/>
      <c r="T1431" s="403"/>
      <c r="U1431" s="403"/>
      <c r="V1431" s="403"/>
      <c r="W1431" s="403"/>
      <c r="X1431" s="403"/>
      <c r="Y1431" s="403"/>
      <c r="Z1431" s="403"/>
    </row>
    <row r="1432">
      <c r="A1432" s="403"/>
      <c r="B1432" s="417"/>
      <c r="C1432" s="415"/>
      <c r="D1432" s="417"/>
      <c r="E1432" s="417"/>
      <c r="F1432" s="417"/>
      <c r="G1432" s="418"/>
      <c r="H1432" s="417"/>
      <c r="I1432" s="418"/>
      <c r="J1432" s="432"/>
      <c r="K1432" s="420"/>
      <c r="L1432" s="417"/>
      <c r="M1432" s="415"/>
      <c r="N1432" s="422"/>
      <c r="O1432" s="75" t="str">
        <f t="shared" si="3"/>
        <v/>
      </c>
      <c r="P1432" s="403">
        <v>0.0</v>
      </c>
      <c r="Q1432" s="403">
        <v>0.0</v>
      </c>
      <c r="R1432" s="403"/>
      <c r="S1432" s="403"/>
      <c r="T1432" s="403"/>
      <c r="U1432" s="403"/>
      <c r="V1432" s="403"/>
      <c r="W1432" s="403"/>
      <c r="X1432" s="403"/>
      <c r="Y1432" s="403"/>
      <c r="Z1432" s="403"/>
    </row>
    <row r="1433">
      <c r="A1433" s="403"/>
      <c r="B1433" s="417"/>
      <c r="C1433" s="415"/>
      <c r="D1433" s="417"/>
      <c r="E1433" s="417"/>
      <c r="F1433" s="417"/>
      <c r="G1433" s="418"/>
      <c r="H1433" s="417"/>
      <c r="I1433" s="418"/>
      <c r="J1433" s="432"/>
      <c r="K1433" s="420"/>
      <c r="L1433" s="417"/>
      <c r="M1433" s="415"/>
      <c r="N1433" s="422"/>
      <c r="O1433" s="75" t="str">
        <f t="shared" si="3"/>
        <v/>
      </c>
      <c r="P1433" s="403">
        <v>0.0</v>
      </c>
      <c r="Q1433" s="403">
        <v>0.0</v>
      </c>
      <c r="R1433" s="403"/>
      <c r="S1433" s="403"/>
      <c r="T1433" s="403"/>
      <c r="U1433" s="403"/>
      <c r="V1433" s="403"/>
      <c r="W1433" s="403"/>
      <c r="X1433" s="403"/>
      <c r="Y1433" s="403"/>
      <c r="Z1433" s="403"/>
    </row>
    <row r="1434">
      <c r="A1434" s="403"/>
      <c r="B1434" s="417"/>
      <c r="C1434" s="415"/>
      <c r="D1434" s="417"/>
      <c r="E1434" s="417"/>
      <c r="F1434" s="417"/>
      <c r="G1434" s="418"/>
      <c r="H1434" s="417"/>
      <c r="I1434" s="418"/>
      <c r="J1434" s="432"/>
      <c r="K1434" s="420"/>
      <c r="L1434" s="417"/>
      <c r="M1434" s="415"/>
      <c r="N1434" s="422"/>
      <c r="O1434" s="75" t="str">
        <f t="shared" si="3"/>
        <v/>
      </c>
      <c r="P1434" s="403">
        <v>0.0</v>
      </c>
      <c r="Q1434" s="403">
        <v>0.0</v>
      </c>
      <c r="R1434" s="403"/>
      <c r="S1434" s="403"/>
      <c r="T1434" s="403"/>
      <c r="U1434" s="403"/>
      <c r="V1434" s="403"/>
      <c r="W1434" s="403"/>
      <c r="X1434" s="403"/>
      <c r="Y1434" s="403"/>
      <c r="Z1434" s="403"/>
    </row>
    <row r="1435">
      <c r="A1435" s="403"/>
      <c r="B1435" s="417"/>
      <c r="C1435" s="415"/>
      <c r="D1435" s="417"/>
      <c r="E1435" s="417"/>
      <c r="F1435" s="417"/>
      <c r="G1435" s="418"/>
      <c r="H1435" s="417"/>
      <c r="I1435" s="418"/>
      <c r="J1435" s="432"/>
      <c r="K1435" s="420"/>
      <c r="L1435" s="417"/>
      <c r="M1435" s="415"/>
      <c r="N1435" s="422"/>
      <c r="O1435" s="75" t="str">
        <f t="shared" si="3"/>
        <v/>
      </c>
      <c r="P1435" s="403">
        <v>0.0</v>
      </c>
      <c r="Q1435" s="403">
        <v>0.0</v>
      </c>
      <c r="R1435" s="403"/>
      <c r="S1435" s="403"/>
      <c r="T1435" s="403"/>
      <c r="U1435" s="403"/>
      <c r="V1435" s="403"/>
      <c r="W1435" s="403"/>
      <c r="X1435" s="403"/>
      <c r="Y1435" s="403"/>
      <c r="Z1435" s="403"/>
    </row>
    <row r="1436">
      <c r="A1436" s="403"/>
      <c r="B1436" s="417"/>
      <c r="C1436" s="415"/>
      <c r="D1436" s="417"/>
      <c r="E1436" s="417"/>
      <c r="F1436" s="417"/>
      <c r="G1436" s="418"/>
      <c r="H1436" s="417"/>
      <c r="I1436" s="418"/>
      <c r="J1436" s="432"/>
      <c r="K1436" s="420"/>
      <c r="L1436" s="417"/>
      <c r="M1436" s="415"/>
      <c r="N1436" s="422"/>
      <c r="O1436" s="75" t="str">
        <f t="shared" si="3"/>
        <v/>
      </c>
      <c r="P1436" s="403">
        <v>0.0</v>
      </c>
      <c r="Q1436" s="403">
        <v>0.0</v>
      </c>
      <c r="R1436" s="403"/>
      <c r="S1436" s="403"/>
      <c r="T1436" s="403"/>
      <c r="U1436" s="403"/>
      <c r="V1436" s="403"/>
      <c r="W1436" s="403"/>
      <c r="X1436" s="403"/>
      <c r="Y1436" s="403"/>
      <c r="Z1436" s="403"/>
    </row>
    <row r="1437">
      <c r="A1437" s="403"/>
      <c r="B1437" s="417"/>
      <c r="C1437" s="415"/>
      <c r="D1437" s="417"/>
      <c r="E1437" s="417"/>
      <c r="F1437" s="417"/>
      <c r="G1437" s="418"/>
      <c r="H1437" s="417"/>
      <c r="I1437" s="418"/>
      <c r="J1437" s="432"/>
      <c r="K1437" s="420"/>
      <c r="L1437" s="417"/>
      <c r="M1437" s="415"/>
      <c r="N1437" s="422"/>
      <c r="O1437" s="75" t="str">
        <f t="shared" si="3"/>
        <v/>
      </c>
      <c r="P1437" s="403">
        <v>0.0</v>
      </c>
      <c r="Q1437" s="403">
        <v>0.0</v>
      </c>
      <c r="R1437" s="403"/>
      <c r="S1437" s="403"/>
      <c r="T1437" s="403"/>
      <c r="U1437" s="403"/>
      <c r="V1437" s="403"/>
      <c r="W1437" s="403"/>
      <c r="X1437" s="403"/>
      <c r="Y1437" s="403"/>
      <c r="Z1437" s="403"/>
    </row>
    <row r="1438">
      <c r="A1438" s="403"/>
      <c r="B1438" s="417"/>
      <c r="C1438" s="415"/>
      <c r="D1438" s="417"/>
      <c r="E1438" s="417"/>
      <c r="F1438" s="417"/>
      <c r="G1438" s="418"/>
      <c r="H1438" s="417"/>
      <c r="I1438" s="418"/>
      <c r="J1438" s="432"/>
      <c r="K1438" s="420"/>
      <c r="L1438" s="417"/>
      <c r="M1438" s="415"/>
      <c r="N1438" s="422"/>
      <c r="O1438" s="75" t="str">
        <f t="shared" si="3"/>
        <v/>
      </c>
      <c r="P1438" s="403">
        <v>0.0</v>
      </c>
      <c r="Q1438" s="403">
        <v>0.0</v>
      </c>
      <c r="R1438" s="403"/>
      <c r="S1438" s="403"/>
      <c r="T1438" s="403"/>
      <c r="U1438" s="403"/>
      <c r="V1438" s="403"/>
      <c r="W1438" s="403"/>
      <c r="X1438" s="403"/>
      <c r="Y1438" s="403"/>
      <c r="Z1438" s="403"/>
    </row>
    <row r="1439">
      <c r="A1439" s="403"/>
      <c r="B1439" s="417"/>
      <c r="C1439" s="415"/>
      <c r="D1439" s="417"/>
      <c r="E1439" s="417"/>
      <c r="F1439" s="417"/>
      <c r="G1439" s="418"/>
      <c r="H1439" s="417"/>
      <c r="I1439" s="418"/>
      <c r="J1439" s="432"/>
      <c r="K1439" s="420"/>
      <c r="L1439" s="417"/>
      <c r="M1439" s="415"/>
      <c r="N1439" s="422"/>
      <c r="O1439" s="75" t="str">
        <f t="shared" si="3"/>
        <v/>
      </c>
      <c r="P1439" s="403">
        <v>0.0</v>
      </c>
      <c r="Q1439" s="403">
        <v>0.0</v>
      </c>
      <c r="R1439" s="403"/>
      <c r="S1439" s="403"/>
      <c r="T1439" s="403"/>
      <c r="U1439" s="403"/>
      <c r="V1439" s="403"/>
      <c r="W1439" s="403"/>
      <c r="X1439" s="403"/>
      <c r="Y1439" s="403"/>
      <c r="Z1439" s="403"/>
    </row>
    <row r="1440">
      <c r="A1440" s="403"/>
      <c r="B1440" s="417"/>
      <c r="C1440" s="415"/>
      <c r="D1440" s="417"/>
      <c r="E1440" s="417"/>
      <c r="F1440" s="417"/>
      <c r="G1440" s="418"/>
      <c r="H1440" s="417"/>
      <c r="I1440" s="418"/>
      <c r="J1440" s="432"/>
      <c r="K1440" s="420"/>
      <c r="L1440" s="417"/>
      <c r="M1440" s="415"/>
      <c r="N1440" s="422"/>
      <c r="O1440" s="75" t="str">
        <f t="shared" si="3"/>
        <v/>
      </c>
      <c r="P1440" s="403">
        <v>0.0</v>
      </c>
      <c r="Q1440" s="403">
        <v>0.0</v>
      </c>
      <c r="R1440" s="403"/>
      <c r="S1440" s="403"/>
      <c r="T1440" s="403"/>
      <c r="U1440" s="403"/>
      <c r="V1440" s="403"/>
      <c r="W1440" s="403"/>
      <c r="X1440" s="403"/>
      <c r="Y1440" s="403"/>
      <c r="Z1440" s="403"/>
    </row>
    <row r="1441">
      <c r="A1441" s="403"/>
      <c r="B1441" s="417"/>
      <c r="C1441" s="415"/>
      <c r="D1441" s="417"/>
      <c r="E1441" s="417"/>
      <c r="F1441" s="417"/>
      <c r="G1441" s="418"/>
      <c r="H1441" s="417"/>
      <c r="I1441" s="418"/>
      <c r="J1441" s="432"/>
      <c r="K1441" s="420"/>
      <c r="L1441" s="417"/>
      <c r="M1441" s="415"/>
      <c r="N1441" s="422"/>
      <c r="O1441" s="75" t="str">
        <f t="shared" si="3"/>
        <v/>
      </c>
      <c r="P1441" s="403">
        <v>0.0</v>
      </c>
      <c r="Q1441" s="403">
        <v>0.0</v>
      </c>
      <c r="R1441" s="403"/>
      <c r="S1441" s="403"/>
      <c r="T1441" s="403"/>
      <c r="U1441" s="403"/>
      <c r="V1441" s="403"/>
      <c r="W1441" s="403"/>
      <c r="X1441" s="403"/>
      <c r="Y1441" s="403"/>
      <c r="Z1441" s="403"/>
    </row>
    <row r="1442">
      <c r="A1442" s="403"/>
      <c r="B1442" s="417"/>
      <c r="C1442" s="415"/>
      <c r="D1442" s="417"/>
      <c r="E1442" s="417"/>
      <c r="F1442" s="417"/>
      <c r="G1442" s="418"/>
      <c r="H1442" s="417"/>
      <c r="I1442" s="418"/>
      <c r="J1442" s="432"/>
      <c r="K1442" s="420"/>
      <c r="L1442" s="417"/>
      <c r="M1442" s="415"/>
      <c r="N1442" s="422"/>
      <c r="O1442" s="75" t="str">
        <f t="shared" si="3"/>
        <v/>
      </c>
      <c r="P1442" s="403">
        <v>0.0</v>
      </c>
      <c r="Q1442" s="403">
        <v>0.0</v>
      </c>
      <c r="R1442" s="403"/>
      <c r="S1442" s="403"/>
      <c r="T1442" s="403"/>
      <c r="U1442" s="403"/>
      <c r="V1442" s="403"/>
      <c r="W1442" s="403"/>
      <c r="X1442" s="403"/>
      <c r="Y1442" s="403"/>
      <c r="Z1442" s="403"/>
    </row>
    <row r="1443">
      <c r="A1443" s="403"/>
      <c r="B1443" s="417"/>
      <c r="C1443" s="415"/>
      <c r="D1443" s="417"/>
      <c r="E1443" s="417"/>
      <c r="F1443" s="417"/>
      <c r="G1443" s="418"/>
      <c r="H1443" s="417"/>
      <c r="I1443" s="418"/>
      <c r="J1443" s="432"/>
      <c r="K1443" s="420"/>
      <c r="L1443" s="417"/>
      <c r="M1443" s="415"/>
      <c r="N1443" s="422"/>
      <c r="O1443" s="75" t="str">
        <f t="shared" si="3"/>
        <v/>
      </c>
      <c r="P1443" s="403">
        <v>0.0</v>
      </c>
      <c r="Q1443" s="403">
        <v>0.0</v>
      </c>
      <c r="R1443" s="403"/>
      <c r="S1443" s="403"/>
      <c r="T1443" s="403"/>
      <c r="U1443" s="403"/>
      <c r="V1443" s="403"/>
      <c r="W1443" s="403"/>
      <c r="X1443" s="403"/>
      <c r="Y1443" s="403"/>
      <c r="Z1443" s="403"/>
    </row>
    <row r="1444">
      <c r="A1444" s="403"/>
      <c r="B1444" s="417"/>
      <c r="C1444" s="415"/>
      <c r="D1444" s="417"/>
      <c r="E1444" s="417"/>
      <c r="F1444" s="417"/>
      <c r="G1444" s="418"/>
      <c r="H1444" s="417"/>
      <c r="I1444" s="418"/>
      <c r="J1444" s="432"/>
      <c r="K1444" s="420"/>
      <c r="L1444" s="417"/>
      <c r="M1444" s="415"/>
      <c r="N1444" s="422"/>
      <c r="O1444" s="75" t="str">
        <f t="shared" si="3"/>
        <v/>
      </c>
      <c r="P1444" s="403">
        <v>0.0</v>
      </c>
      <c r="Q1444" s="403">
        <v>0.0</v>
      </c>
      <c r="R1444" s="403"/>
      <c r="S1444" s="403"/>
      <c r="T1444" s="403"/>
      <c r="U1444" s="403"/>
      <c r="V1444" s="403"/>
      <c r="W1444" s="403"/>
      <c r="X1444" s="403"/>
      <c r="Y1444" s="403"/>
      <c r="Z1444" s="403"/>
    </row>
    <row r="1445">
      <c r="A1445" s="403"/>
      <c r="B1445" s="417"/>
      <c r="C1445" s="415"/>
      <c r="D1445" s="417"/>
      <c r="E1445" s="417"/>
      <c r="F1445" s="417"/>
      <c r="G1445" s="418"/>
      <c r="H1445" s="417"/>
      <c r="I1445" s="418"/>
      <c r="J1445" s="432"/>
      <c r="K1445" s="420"/>
      <c r="L1445" s="417"/>
      <c r="M1445" s="415"/>
      <c r="N1445" s="422"/>
      <c r="O1445" s="75" t="str">
        <f t="shared" si="3"/>
        <v/>
      </c>
      <c r="P1445" s="403">
        <v>0.0</v>
      </c>
      <c r="Q1445" s="403">
        <v>0.0</v>
      </c>
      <c r="R1445" s="403"/>
      <c r="S1445" s="403"/>
      <c r="T1445" s="403"/>
      <c r="U1445" s="403"/>
      <c r="V1445" s="403"/>
      <c r="W1445" s="403"/>
      <c r="X1445" s="403"/>
      <c r="Y1445" s="403"/>
      <c r="Z1445" s="403"/>
    </row>
    <row r="1446">
      <c r="A1446" s="403"/>
      <c r="B1446" s="417"/>
      <c r="C1446" s="415"/>
      <c r="D1446" s="417"/>
      <c r="E1446" s="417"/>
      <c r="F1446" s="417"/>
      <c r="G1446" s="418"/>
      <c r="H1446" s="417"/>
      <c r="I1446" s="418"/>
      <c r="J1446" s="432"/>
      <c r="K1446" s="420"/>
      <c r="L1446" s="417"/>
      <c r="M1446" s="415"/>
      <c r="N1446" s="422"/>
      <c r="O1446" s="75" t="str">
        <f t="shared" si="3"/>
        <v/>
      </c>
      <c r="P1446" s="403">
        <v>0.0</v>
      </c>
      <c r="Q1446" s="403">
        <v>0.0</v>
      </c>
      <c r="R1446" s="403"/>
      <c r="S1446" s="403"/>
      <c r="T1446" s="403"/>
      <c r="U1446" s="403"/>
      <c r="V1446" s="403"/>
      <c r="W1446" s="403"/>
      <c r="X1446" s="403"/>
      <c r="Y1446" s="403"/>
      <c r="Z1446" s="403"/>
    </row>
    <row r="1447">
      <c r="A1447" s="403"/>
      <c r="B1447" s="417"/>
      <c r="C1447" s="415"/>
      <c r="D1447" s="417"/>
      <c r="E1447" s="417"/>
      <c r="F1447" s="417"/>
      <c r="G1447" s="418"/>
      <c r="H1447" s="417"/>
      <c r="I1447" s="418"/>
      <c r="J1447" s="432"/>
      <c r="K1447" s="420"/>
      <c r="L1447" s="417"/>
      <c r="M1447" s="415"/>
      <c r="N1447" s="422"/>
      <c r="O1447" s="75" t="str">
        <f t="shared" si="3"/>
        <v/>
      </c>
      <c r="P1447" s="403">
        <v>0.0</v>
      </c>
      <c r="Q1447" s="403">
        <v>0.0</v>
      </c>
      <c r="R1447" s="403"/>
      <c r="S1447" s="403"/>
      <c r="T1447" s="403"/>
      <c r="U1447" s="403"/>
      <c r="V1447" s="403"/>
      <c r="W1447" s="403"/>
      <c r="X1447" s="403"/>
      <c r="Y1447" s="403"/>
      <c r="Z1447" s="403"/>
    </row>
    <row r="1448">
      <c r="A1448" s="403"/>
      <c r="B1448" s="417"/>
      <c r="C1448" s="415"/>
      <c r="D1448" s="417"/>
      <c r="E1448" s="417"/>
      <c r="F1448" s="417"/>
      <c r="G1448" s="418"/>
      <c r="H1448" s="417"/>
      <c r="I1448" s="418"/>
      <c r="J1448" s="432"/>
      <c r="K1448" s="420"/>
      <c r="L1448" s="417"/>
      <c r="M1448" s="415"/>
      <c r="N1448" s="422"/>
      <c r="O1448" s="75" t="str">
        <f t="shared" si="3"/>
        <v/>
      </c>
      <c r="P1448" s="403">
        <v>0.0</v>
      </c>
      <c r="Q1448" s="403">
        <v>0.0</v>
      </c>
      <c r="R1448" s="403"/>
      <c r="S1448" s="403"/>
      <c r="T1448" s="403"/>
      <c r="U1448" s="403"/>
      <c r="V1448" s="403"/>
      <c r="W1448" s="403"/>
      <c r="X1448" s="403"/>
      <c r="Y1448" s="403"/>
      <c r="Z1448" s="403"/>
    </row>
    <row r="1449">
      <c r="A1449" s="403"/>
      <c r="B1449" s="417"/>
      <c r="C1449" s="415"/>
      <c r="D1449" s="417"/>
      <c r="E1449" s="417"/>
      <c r="F1449" s="417"/>
      <c r="G1449" s="418"/>
      <c r="H1449" s="417"/>
      <c r="I1449" s="418"/>
      <c r="J1449" s="432"/>
      <c r="K1449" s="420"/>
      <c r="L1449" s="417"/>
      <c r="M1449" s="415"/>
      <c r="N1449" s="422"/>
      <c r="O1449" s="75" t="str">
        <f t="shared" si="3"/>
        <v/>
      </c>
      <c r="P1449" s="403">
        <v>0.0</v>
      </c>
      <c r="Q1449" s="403">
        <v>0.0</v>
      </c>
      <c r="R1449" s="403"/>
      <c r="S1449" s="403"/>
      <c r="T1449" s="403"/>
      <c r="U1449" s="403"/>
      <c r="V1449" s="403"/>
      <c r="W1449" s="403"/>
      <c r="X1449" s="403"/>
      <c r="Y1449" s="403"/>
      <c r="Z1449" s="403"/>
    </row>
    <row r="1450">
      <c r="A1450" s="403"/>
      <c r="B1450" s="417"/>
      <c r="C1450" s="415"/>
      <c r="D1450" s="417"/>
      <c r="E1450" s="417"/>
      <c r="F1450" s="417"/>
      <c r="G1450" s="418"/>
      <c r="H1450" s="417"/>
      <c r="I1450" s="418"/>
      <c r="J1450" s="432"/>
      <c r="K1450" s="420"/>
      <c r="L1450" s="417"/>
      <c r="M1450" s="415"/>
      <c r="N1450" s="422"/>
      <c r="O1450" s="75" t="str">
        <f t="shared" si="3"/>
        <v/>
      </c>
      <c r="P1450" s="403">
        <v>0.0</v>
      </c>
      <c r="Q1450" s="403">
        <v>0.0</v>
      </c>
      <c r="R1450" s="403"/>
      <c r="S1450" s="403"/>
      <c r="T1450" s="403"/>
      <c r="U1450" s="403"/>
      <c r="V1450" s="403"/>
      <c r="W1450" s="403"/>
      <c r="X1450" s="403"/>
      <c r="Y1450" s="403"/>
      <c r="Z1450" s="403"/>
    </row>
    <row r="1451">
      <c r="A1451" s="403"/>
      <c r="B1451" s="417"/>
      <c r="C1451" s="415"/>
      <c r="D1451" s="417"/>
      <c r="E1451" s="417"/>
      <c r="F1451" s="417"/>
      <c r="G1451" s="418"/>
      <c r="H1451" s="417"/>
      <c r="I1451" s="418"/>
      <c r="J1451" s="432"/>
      <c r="K1451" s="420"/>
      <c r="L1451" s="417"/>
      <c r="M1451" s="415"/>
      <c r="N1451" s="422"/>
      <c r="O1451" s="75" t="str">
        <f t="shared" si="3"/>
        <v/>
      </c>
      <c r="P1451" s="403">
        <v>0.0</v>
      </c>
      <c r="Q1451" s="403">
        <v>0.0</v>
      </c>
      <c r="R1451" s="403"/>
      <c r="S1451" s="403"/>
      <c r="T1451" s="403"/>
      <c r="U1451" s="403"/>
      <c r="V1451" s="403"/>
      <c r="W1451" s="403"/>
      <c r="X1451" s="403"/>
      <c r="Y1451" s="403"/>
      <c r="Z1451" s="403"/>
    </row>
    <row r="1452">
      <c r="A1452" s="403"/>
      <c r="B1452" s="417"/>
      <c r="C1452" s="415"/>
      <c r="D1452" s="417"/>
      <c r="E1452" s="417"/>
      <c r="F1452" s="417"/>
      <c r="G1452" s="418"/>
      <c r="H1452" s="417"/>
      <c r="I1452" s="418"/>
      <c r="J1452" s="432"/>
      <c r="K1452" s="420"/>
      <c r="L1452" s="417"/>
      <c r="M1452" s="415"/>
      <c r="N1452" s="422"/>
      <c r="O1452" s="75" t="str">
        <f t="shared" si="3"/>
        <v/>
      </c>
      <c r="P1452" s="403">
        <v>0.0</v>
      </c>
      <c r="Q1452" s="403">
        <v>0.0</v>
      </c>
      <c r="R1452" s="403"/>
      <c r="S1452" s="403"/>
      <c r="T1452" s="403"/>
      <c r="U1452" s="403"/>
      <c r="V1452" s="403"/>
      <c r="W1452" s="403"/>
      <c r="X1452" s="403"/>
      <c r="Y1452" s="403"/>
      <c r="Z1452" s="403"/>
    </row>
    <row r="1453">
      <c r="A1453" s="403"/>
      <c r="B1453" s="417"/>
      <c r="C1453" s="415"/>
      <c r="D1453" s="417"/>
      <c r="E1453" s="417"/>
      <c r="F1453" s="417"/>
      <c r="G1453" s="418"/>
      <c r="H1453" s="417"/>
      <c r="I1453" s="418"/>
      <c r="J1453" s="432"/>
      <c r="K1453" s="420"/>
      <c r="L1453" s="417"/>
      <c r="M1453" s="415"/>
      <c r="N1453" s="422"/>
      <c r="O1453" s="75" t="str">
        <f t="shared" si="3"/>
        <v/>
      </c>
      <c r="P1453" s="403">
        <v>0.0</v>
      </c>
      <c r="Q1453" s="403">
        <v>0.0</v>
      </c>
      <c r="R1453" s="403"/>
      <c r="S1453" s="403"/>
      <c r="T1453" s="403"/>
      <c r="U1453" s="403"/>
      <c r="V1453" s="403"/>
      <c r="W1453" s="403"/>
      <c r="X1453" s="403"/>
      <c r="Y1453" s="403"/>
      <c r="Z1453" s="403"/>
    </row>
    <row r="1454">
      <c r="A1454" s="403"/>
      <c r="B1454" s="417"/>
      <c r="C1454" s="415"/>
      <c r="D1454" s="417"/>
      <c r="E1454" s="417"/>
      <c r="F1454" s="417"/>
      <c r="G1454" s="418"/>
      <c r="H1454" s="417"/>
      <c r="I1454" s="418"/>
      <c r="J1454" s="432"/>
      <c r="K1454" s="420"/>
      <c r="L1454" s="417"/>
      <c r="M1454" s="415"/>
      <c r="N1454" s="422"/>
      <c r="O1454" s="75" t="str">
        <f t="shared" si="3"/>
        <v/>
      </c>
      <c r="P1454" s="403">
        <v>0.0</v>
      </c>
      <c r="Q1454" s="403">
        <v>0.0</v>
      </c>
      <c r="R1454" s="403"/>
      <c r="S1454" s="403"/>
      <c r="T1454" s="403"/>
      <c r="U1454" s="403"/>
      <c r="V1454" s="403"/>
      <c r="W1454" s="403"/>
      <c r="X1454" s="403"/>
      <c r="Y1454" s="403"/>
      <c r="Z1454" s="403"/>
    </row>
    <row r="1455">
      <c r="A1455" s="403"/>
      <c r="B1455" s="417"/>
      <c r="C1455" s="415"/>
      <c r="D1455" s="417"/>
      <c r="E1455" s="417"/>
      <c r="F1455" s="417"/>
      <c r="G1455" s="418"/>
      <c r="H1455" s="417"/>
      <c r="I1455" s="418"/>
      <c r="J1455" s="432"/>
      <c r="K1455" s="420"/>
      <c r="L1455" s="417"/>
      <c r="M1455" s="415"/>
      <c r="N1455" s="422"/>
      <c r="O1455" s="75" t="str">
        <f t="shared" si="3"/>
        <v/>
      </c>
      <c r="P1455" s="403">
        <v>0.0</v>
      </c>
      <c r="Q1455" s="403">
        <v>0.0</v>
      </c>
      <c r="R1455" s="403"/>
      <c r="S1455" s="403"/>
      <c r="T1455" s="403"/>
      <c r="U1455" s="403"/>
      <c r="V1455" s="403"/>
      <c r="W1455" s="403"/>
      <c r="X1455" s="403"/>
      <c r="Y1455" s="403"/>
      <c r="Z1455" s="403"/>
    </row>
    <row r="1456">
      <c r="A1456" s="403"/>
      <c r="B1456" s="417"/>
      <c r="C1456" s="415"/>
      <c r="D1456" s="417"/>
      <c r="E1456" s="417"/>
      <c r="F1456" s="417"/>
      <c r="G1456" s="418"/>
      <c r="H1456" s="417"/>
      <c r="I1456" s="418"/>
      <c r="J1456" s="432"/>
      <c r="K1456" s="420"/>
      <c r="L1456" s="417"/>
      <c r="M1456" s="415"/>
      <c r="N1456" s="422"/>
      <c r="O1456" s="75" t="str">
        <f t="shared" si="3"/>
        <v/>
      </c>
      <c r="P1456" s="403">
        <v>0.0</v>
      </c>
      <c r="Q1456" s="403">
        <v>0.0</v>
      </c>
      <c r="R1456" s="403"/>
      <c r="S1456" s="403"/>
      <c r="T1456" s="403"/>
      <c r="U1456" s="403"/>
      <c r="V1456" s="403"/>
      <c r="W1456" s="403"/>
      <c r="X1456" s="403"/>
      <c r="Y1456" s="403"/>
      <c r="Z1456" s="403"/>
    </row>
    <row r="1457">
      <c r="A1457" s="403"/>
      <c r="B1457" s="417"/>
      <c r="C1457" s="415"/>
      <c r="D1457" s="417"/>
      <c r="E1457" s="417"/>
      <c r="F1457" s="417"/>
      <c r="G1457" s="418"/>
      <c r="H1457" s="417"/>
      <c r="I1457" s="418"/>
      <c r="J1457" s="432"/>
      <c r="K1457" s="420"/>
      <c r="L1457" s="417"/>
      <c r="M1457" s="415"/>
      <c r="N1457" s="422"/>
      <c r="O1457" s="75" t="str">
        <f t="shared" si="3"/>
        <v/>
      </c>
      <c r="P1457" s="403">
        <v>0.0</v>
      </c>
      <c r="Q1457" s="403">
        <v>0.0</v>
      </c>
      <c r="R1457" s="403"/>
      <c r="S1457" s="403"/>
      <c r="T1457" s="403"/>
      <c r="U1457" s="403"/>
      <c r="V1457" s="403"/>
      <c r="W1457" s="403"/>
      <c r="X1457" s="403"/>
      <c r="Y1457" s="403"/>
      <c r="Z1457" s="403"/>
    </row>
    <row r="1458">
      <c r="A1458" s="403"/>
      <c r="B1458" s="417"/>
      <c r="C1458" s="415"/>
      <c r="D1458" s="417"/>
      <c r="E1458" s="417"/>
      <c r="F1458" s="417"/>
      <c r="G1458" s="418"/>
      <c r="H1458" s="417"/>
      <c r="I1458" s="418"/>
      <c r="J1458" s="432"/>
      <c r="K1458" s="420"/>
      <c r="L1458" s="417"/>
      <c r="M1458" s="415"/>
      <c r="N1458" s="422"/>
      <c r="O1458" s="75" t="str">
        <f t="shared" si="3"/>
        <v/>
      </c>
      <c r="P1458" s="403">
        <v>0.0</v>
      </c>
      <c r="Q1458" s="403">
        <v>0.0</v>
      </c>
      <c r="R1458" s="403"/>
      <c r="S1458" s="403"/>
      <c r="T1458" s="403"/>
      <c r="U1458" s="403"/>
      <c r="V1458" s="403"/>
      <c r="W1458" s="403"/>
      <c r="X1458" s="403"/>
      <c r="Y1458" s="403"/>
      <c r="Z1458" s="403"/>
    </row>
    <row r="1459">
      <c r="A1459" s="403"/>
      <c r="B1459" s="417"/>
      <c r="C1459" s="415"/>
      <c r="D1459" s="417"/>
      <c r="E1459" s="417"/>
      <c r="F1459" s="417"/>
      <c r="G1459" s="418"/>
      <c r="H1459" s="417"/>
      <c r="I1459" s="418"/>
      <c r="J1459" s="432"/>
      <c r="K1459" s="420"/>
      <c r="L1459" s="417"/>
      <c r="M1459" s="415"/>
      <c r="N1459" s="422"/>
      <c r="O1459" s="75" t="str">
        <f t="shared" si="3"/>
        <v/>
      </c>
      <c r="P1459" s="403">
        <v>0.0</v>
      </c>
      <c r="Q1459" s="403">
        <v>0.0</v>
      </c>
      <c r="R1459" s="403"/>
      <c r="S1459" s="403"/>
      <c r="T1459" s="403"/>
      <c r="U1459" s="403"/>
      <c r="V1459" s="403"/>
      <c r="W1459" s="403"/>
      <c r="X1459" s="403"/>
      <c r="Y1459" s="403"/>
      <c r="Z1459" s="403"/>
    </row>
    <row r="1460">
      <c r="A1460" s="403"/>
      <c r="B1460" s="417"/>
      <c r="C1460" s="415"/>
      <c r="D1460" s="417"/>
      <c r="E1460" s="417"/>
      <c r="F1460" s="417"/>
      <c r="G1460" s="418"/>
      <c r="H1460" s="417"/>
      <c r="I1460" s="418"/>
      <c r="J1460" s="432"/>
      <c r="K1460" s="420"/>
      <c r="L1460" s="417"/>
      <c r="M1460" s="415"/>
      <c r="N1460" s="422"/>
      <c r="O1460" s="75" t="str">
        <f t="shared" si="3"/>
        <v/>
      </c>
      <c r="P1460" s="403">
        <v>0.0</v>
      </c>
      <c r="Q1460" s="403">
        <v>0.0</v>
      </c>
      <c r="R1460" s="403"/>
      <c r="S1460" s="403"/>
      <c r="T1460" s="403"/>
      <c r="U1460" s="403"/>
      <c r="V1460" s="403"/>
      <c r="W1460" s="403"/>
      <c r="X1460" s="403"/>
      <c r="Y1460" s="403"/>
      <c r="Z1460" s="403"/>
    </row>
    <row r="1461">
      <c r="A1461" s="403"/>
      <c r="B1461" s="417"/>
      <c r="C1461" s="415"/>
      <c r="D1461" s="417"/>
      <c r="E1461" s="417"/>
      <c r="F1461" s="417"/>
      <c r="G1461" s="418"/>
      <c r="H1461" s="417"/>
      <c r="I1461" s="418"/>
      <c r="J1461" s="432"/>
      <c r="K1461" s="420"/>
      <c r="L1461" s="417"/>
      <c r="M1461" s="415"/>
      <c r="N1461" s="422"/>
      <c r="O1461" s="75" t="str">
        <f t="shared" si="3"/>
        <v/>
      </c>
      <c r="P1461" s="403">
        <v>0.0</v>
      </c>
      <c r="Q1461" s="403">
        <v>0.0</v>
      </c>
      <c r="R1461" s="403"/>
      <c r="S1461" s="403"/>
      <c r="T1461" s="403"/>
      <c r="U1461" s="403"/>
      <c r="V1461" s="403"/>
      <c r="W1461" s="403"/>
      <c r="X1461" s="403"/>
      <c r="Y1461" s="403"/>
      <c r="Z1461" s="403"/>
    </row>
    <row r="1462">
      <c r="A1462" s="403"/>
      <c r="B1462" s="417"/>
      <c r="C1462" s="415"/>
      <c r="D1462" s="417"/>
      <c r="E1462" s="417"/>
      <c r="F1462" s="417"/>
      <c r="G1462" s="418"/>
      <c r="H1462" s="417"/>
      <c r="I1462" s="418"/>
      <c r="J1462" s="432"/>
      <c r="K1462" s="420"/>
      <c r="L1462" s="417"/>
      <c r="M1462" s="415"/>
      <c r="N1462" s="422"/>
      <c r="O1462" s="75" t="str">
        <f t="shared" si="3"/>
        <v/>
      </c>
      <c r="P1462" s="403">
        <v>0.0</v>
      </c>
      <c r="Q1462" s="403">
        <v>0.0</v>
      </c>
      <c r="R1462" s="403"/>
      <c r="S1462" s="403"/>
      <c r="T1462" s="403"/>
      <c r="U1462" s="403"/>
      <c r="V1462" s="403"/>
      <c r="W1462" s="403"/>
      <c r="X1462" s="403"/>
      <c r="Y1462" s="403"/>
      <c r="Z1462" s="403"/>
    </row>
    <row r="1463">
      <c r="A1463" s="403"/>
      <c r="B1463" s="417"/>
      <c r="C1463" s="415"/>
      <c r="D1463" s="417"/>
      <c r="E1463" s="417"/>
      <c r="F1463" s="417"/>
      <c r="G1463" s="418"/>
      <c r="H1463" s="417"/>
      <c r="I1463" s="418"/>
      <c r="J1463" s="432"/>
      <c r="K1463" s="420"/>
      <c r="L1463" s="417"/>
      <c r="M1463" s="415"/>
      <c r="N1463" s="422"/>
      <c r="O1463" s="75" t="str">
        <f t="shared" si="3"/>
        <v/>
      </c>
      <c r="P1463" s="403">
        <v>0.0</v>
      </c>
      <c r="Q1463" s="403">
        <v>0.0</v>
      </c>
      <c r="R1463" s="403"/>
      <c r="S1463" s="403"/>
      <c r="T1463" s="403"/>
      <c r="U1463" s="403"/>
      <c r="V1463" s="403"/>
      <c r="W1463" s="403"/>
      <c r="X1463" s="403"/>
      <c r="Y1463" s="403"/>
      <c r="Z1463" s="403"/>
    </row>
    <row r="1464">
      <c r="A1464" s="403"/>
      <c r="B1464" s="417"/>
      <c r="C1464" s="415"/>
      <c r="D1464" s="417"/>
      <c r="E1464" s="417"/>
      <c r="F1464" s="417"/>
      <c r="G1464" s="418"/>
      <c r="H1464" s="417"/>
      <c r="I1464" s="418"/>
      <c r="J1464" s="432"/>
      <c r="K1464" s="420"/>
      <c r="L1464" s="417"/>
      <c r="M1464" s="415"/>
      <c r="N1464" s="422"/>
      <c r="O1464" s="75" t="str">
        <f t="shared" si="3"/>
        <v/>
      </c>
      <c r="P1464" s="403">
        <v>0.0</v>
      </c>
      <c r="Q1464" s="403">
        <v>0.0</v>
      </c>
      <c r="R1464" s="403"/>
      <c r="S1464" s="403"/>
      <c r="T1464" s="403"/>
      <c r="U1464" s="403"/>
      <c r="V1464" s="403"/>
      <c r="W1464" s="403"/>
      <c r="X1464" s="403"/>
      <c r="Y1464" s="403"/>
      <c r="Z1464" s="403"/>
    </row>
    <row r="1465">
      <c r="A1465" s="403"/>
      <c r="B1465" s="417"/>
      <c r="C1465" s="415"/>
      <c r="D1465" s="417"/>
      <c r="E1465" s="417"/>
      <c r="F1465" s="417"/>
      <c r="G1465" s="418"/>
      <c r="H1465" s="417"/>
      <c r="I1465" s="418"/>
      <c r="J1465" s="432"/>
      <c r="K1465" s="420"/>
      <c r="L1465" s="417"/>
      <c r="M1465" s="415"/>
      <c r="N1465" s="422"/>
      <c r="O1465" s="75" t="str">
        <f t="shared" si="3"/>
        <v/>
      </c>
      <c r="P1465" s="403">
        <v>0.0</v>
      </c>
      <c r="Q1465" s="403">
        <v>0.0</v>
      </c>
      <c r="R1465" s="403"/>
      <c r="S1465" s="403"/>
      <c r="T1465" s="403"/>
      <c r="U1465" s="403"/>
      <c r="V1465" s="403"/>
      <c r="W1465" s="403"/>
      <c r="X1465" s="403"/>
      <c r="Y1465" s="403"/>
      <c r="Z1465" s="403"/>
    </row>
    <row r="1466">
      <c r="A1466" s="403"/>
      <c r="B1466" s="417"/>
      <c r="C1466" s="415"/>
      <c r="D1466" s="417"/>
      <c r="E1466" s="417"/>
      <c r="F1466" s="417"/>
      <c r="G1466" s="418"/>
      <c r="H1466" s="417"/>
      <c r="I1466" s="418"/>
      <c r="J1466" s="432"/>
      <c r="K1466" s="420"/>
      <c r="L1466" s="417"/>
      <c r="M1466" s="415"/>
      <c r="N1466" s="422"/>
      <c r="O1466" s="75" t="str">
        <f t="shared" si="3"/>
        <v/>
      </c>
      <c r="P1466" s="403">
        <v>0.0</v>
      </c>
      <c r="Q1466" s="403">
        <v>0.0</v>
      </c>
      <c r="R1466" s="403"/>
      <c r="S1466" s="403"/>
      <c r="T1466" s="403"/>
      <c r="U1466" s="403"/>
      <c r="V1466" s="403"/>
      <c r="W1466" s="403"/>
      <c r="X1466" s="403"/>
      <c r="Y1466" s="403"/>
      <c r="Z1466" s="403"/>
    </row>
    <row r="1467">
      <c r="A1467" s="403"/>
      <c r="B1467" s="417"/>
      <c r="C1467" s="415"/>
      <c r="D1467" s="417"/>
      <c r="E1467" s="417"/>
      <c r="F1467" s="417"/>
      <c r="G1467" s="418"/>
      <c r="H1467" s="417"/>
      <c r="I1467" s="418"/>
      <c r="J1467" s="432"/>
      <c r="K1467" s="420"/>
      <c r="L1467" s="417"/>
      <c r="M1467" s="415"/>
      <c r="N1467" s="422"/>
      <c r="O1467" s="75" t="str">
        <f t="shared" si="3"/>
        <v/>
      </c>
      <c r="P1467" s="403">
        <v>0.0</v>
      </c>
      <c r="Q1467" s="403">
        <v>0.0</v>
      </c>
      <c r="R1467" s="403"/>
      <c r="S1467" s="403"/>
      <c r="T1467" s="403"/>
      <c r="U1467" s="403"/>
      <c r="V1467" s="403"/>
      <c r="W1467" s="403"/>
      <c r="X1467" s="403"/>
      <c r="Y1467" s="403"/>
      <c r="Z1467" s="403"/>
    </row>
    <row r="1468">
      <c r="A1468" s="403"/>
      <c r="B1468" s="417"/>
      <c r="C1468" s="415"/>
      <c r="D1468" s="417"/>
      <c r="E1468" s="417"/>
      <c r="F1468" s="417"/>
      <c r="G1468" s="418"/>
      <c r="H1468" s="417"/>
      <c r="I1468" s="418"/>
      <c r="J1468" s="432"/>
      <c r="K1468" s="420"/>
      <c r="L1468" s="417"/>
      <c r="M1468" s="415"/>
      <c r="N1468" s="422"/>
      <c r="O1468" s="75" t="str">
        <f t="shared" si="3"/>
        <v/>
      </c>
      <c r="P1468" s="403">
        <v>0.0</v>
      </c>
      <c r="Q1468" s="403">
        <v>0.0</v>
      </c>
      <c r="R1468" s="403"/>
      <c r="S1468" s="403"/>
      <c r="T1468" s="403"/>
      <c r="U1468" s="403"/>
      <c r="V1468" s="403"/>
      <c r="W1468" s="403"/>
      <c r="X1468" s="403"/>
      <c r="Y1468" s="403"/>
      <c r="Z1468" s="403"/>
    </row>
    <row r="1469">
      <c r="A1469" s="403"/>
      <c r="B1469" s="417"/>
      <c r="C1469" s="415"/>
      <c r="D1469" s="417"/>
      <c r="E1469" s="417"/>
      <c r="F1469" s="417"/>
      <c r="G1469" s="418"/>
      <c r="H1469" s="417"/>
      <c r="I1469" s="418"/>
      <c r="J1469" s="432"/>
      <c r="K1469" s="420"/>
      <c r="L1469" s="417"/>
      <c r="M1469" s="415"/>
      <c r="N1469" s="422"/>
      <c r="O1469" s="75" t="str">
        <f t="shared" si="3"/>
        <v/>
      </c>
      <c r="P1469" s="403">
        <v>0.0</v>
      </c>
      <c r="Q1469" s="403">
        <v>0.0</v>
      </c>
      <c r="R1469" s="403"/>
      <c r="S1469" s="403"/>
      <c r="T1469" s="403"/>
      <c r="U1469" s="403"/>
      <c r="V1469" s="403"/>
      <c r="W1469" s="403"/>
      <c r="X1469" s="403"/>
      <c r="Y1469" s="403"/>
      <c r="Z1469" s="403"/>
    </row>
    <row r="1470">
      <c r="A1470" s="403"/>
      <c r="B1470" s="417"/>
      <c r="C1470" s="415"/>
      <c r="D1470" s="417"/>
      <c r="E1470" s="417"/>
      <c r="F1470" s="417"/>
      <c r="G1470" s="418"/>
      <c r="H1470" s="417"/>
      <c r="I1470" s="418"/>
      <c r="J1470" s="432"/>
      <c r="K1470" s="420"/>
      <c r="L1470" s="417"/>
      <c r="M1470" s="415"/>
      <c r="N1470" s="422"/>
      <c r="O1470" s="75" t="str">
        <f t="shared" si="3"/>
        <v/>
      </c>
      <c r="P1470" s="403">
        <v>0.0</v>
      </c>
      <c r="Q1470" s="403">
        <v>0.0</v>
      </c>
      <c r="R1470" s="403"/>
      <c r="S1470" s="403"/>
      <c r="T1470" s="403"/>
      <c r="U1470" s="403"/>
      <c r="V1470" s="403"/>
      <c r="W1470" s="403"/>
      <c r="X1470" s="403"/>
      <c r="Y1470" s="403"/>
      <c r="Z1470" s="403"/>
    </row>
    <row r="1471">
      <c r="A1471" s="403"/>
      <c r="B1471" s="417"/>
      <c r="C1471" s="415"/>
      <c r="D1471" s="417"/>
      <c r="E1471" s="417"/>
      <c r="F1471" s="417"/>
      <c r="G1471" s="418"/>
      <c r="H1471" s="417"/>
      <c r="I1471" s="418"/>
      <c r="J1471" s="432"/>
      <c r="K1471" s="420"/>
      <c r="L1471" s="417"/>
      <c r="M1471" s="415"/>
      <c r="N1471" s="422"/>
      <c r="O1471" s="75" t="str">
        <f t="shared" si="3"/>
        <v/>
      </c>
      <c r="P1471" s="403">
        <v>0.0</v>
      </c>
      <c r="Q1471" s="403">
        <v>0.0</v>
      </c>
      <c r="R1471" s="403"/>
      <c r="S1471" s="403"/>
      <c r="T1471" s="403"/>
      <c r="U1471" s="403"/>
      <c r="V1471" s="403"/>
      <c r="W1471" s="403"/>
      <c r="X1471" s="403"/>
      <c r="Y1471" s="403"/>
      <c r="Z1471" s="403"/>
    </row>
    <row r="1472">
      <c r="A1472" s="403"/>
      <c r="B1472" s="417"/>
      <c r="C1472" s="415"/>
      <c r="D1472" s="417"/>
      <c r="E1472" s="417"/>
      <c r="F1472" s="417"/>
      <c r="G1472" s="418"/>
      <c r="H1472" s="417"/>
      <c r="I1472" s="418"/>
      <c r="J1472" s="432"/>
      <c r="K1472" s="420"/>
      <c r="L1472" s="417"/>
      <c r="M1472" s="415"/>
      <c r="N1472" s="422"/>
      <c r="O1472" s="75" t="str">
        <f t="shared" si="3"/>
        <v/>
      </c>
      <c r="P1472" s="403">
        <v>0.0</v>
      </c>
      <c r="Q1472" s="403">
        <v>0.0</v>
      </c>
      <c r="R1472" s="403"/>
      <c r="S1472" s="403"/>
      <c r="T1472" s="403"/>
      <c r="U1472" s="403"/>
      <c r="V1472" s="403"/>
      <c r="W1472" s="403"/>
      <c r="X1472" s="403"/>
      <c r="Y1472" s="403"/>
      <c r="Z1472" s="403"/>
    </row>
    <row r="1473">
      <c r="A1473" s="403"/>
      <c r="B1473" s="417"/>
      <c r="C1473" s="415"/>
      <c r="D1473" s="417"/>
      <c r="E1473" s="417"/>
      <c r="F1473" s="417"/>
      <c r="G1473" s="418"/>
      <c r="H1473" s="417"/>
      <c r="I1473" s="418"/>
      <c r="J1473" s="432"/>
      <c r="K1473" s="420"/>
      <c r="L1473" s="417"/>
      <c r="M1473" s="415"/>
      <c r="N1473" s="422"/>
      <c r="O1473" s="75" t="str">
        <f t="shared" si="3"/>
        <v/>
      </c>
      <c r="P1473" s="403">
        <v>0.0</v>
      </c>
      <c r="Q1473" s="403">
        <v>0.0</v>
      </c>
      <c r="R1473" s="403"/>
      <c r="S1473" s="403"/>
      <c r="T1473" s="403"/>
      <c r="U1473" s="403"/>
      <c r="V1473" s="403"/>
      <c r="W1473" s="403"/>
      <c r="X1473" s="403"/>
      <c r="Y1473" s="403"/>
      <c r="Z1473" s="403"/>
    </row>
    <row r="1474">
      <c r="A1474" s="403"/>
      <c r="B1474" s="417"/>
      <c r="C1474" s="415"/>
      <c r="D1474" s="417"/>
      <c r="E1474" s="417"/>
      <c r="F1474" s="417"/>
      <c r="G1474" s="418"/>
      <c r="H1474" s="417"/>
      <c r="I1474" s="418"/>
      <c r="J1474" s="432"/>
      <c r="K1474" s="420"/>
      <c r="L1474" s="417"/>
      <c r="M1474" s="415"/>
      <c r="N1474" s="422"/>
      <c r="O1474" s="75" t="str">
        <f t="shared" si="3"/>
        <v/>
      </c>
      <c r="P1474" s="403">
        <v>0.0</v>
      </c>
      <c r="Q1474" s="403">
        <v>0.0</v>
      </c>
      <c r="R1474" s="403"/>
      <c r="S1474" s="403"/>
      <c r="T1474" s="403"/>
      <c r="U1474" s="403"/>
      <c r="V1474" s="403"/>
      <c r="W1474" s="403"/>
      <c r="X1474" s="403"/>
      <c r="Y1474" s="403"/>
      <c r="Z1474" s="403"/>
    </row>
    <row r="1475">
      <c r="A1475" s="403"/>
      <c r="B1475" s="417"/>
      <c r="C1475" s="415"/>
      <c r="D1475" s="417"/>
      <c r="E1475" s="417"/>
      <c r="F1475" s="417"/>
      <c r="G1475" s="418"/>
      <c r="H1475" s="417"/>
      <c r="I1475" s="418"/>
      <c r="J1475" s="432"/>
      <c r="K1475" s="420"/>
      <c r="L1475" s="417"/>
      <c r="M1475" s="415"/>
      <c r="N1475" s="422"/>
      <c r="O1475" s="75" t="str">
        <f t="shared" si="3"/>
        <v/>
      </c>
      <c r="P1475" s="403">
        <v>0.0</v>
      </c>
      <c r="Q1475" s="403">
        <v>0.0</v>
      </c>
      <c r="R1475" s="403"/>
      <c r="S1475" s="403"/>
      <c r="T1475" s="403"/>
      <c r="U1475" s="403"/>
      <c r="V1475" s="403"/>
      <c r="W1475" s="403"/>
      <c r="X1475" s="403"/>
      <c r="Y1475" s="403"/>
      <c r="Z1475" s="403"/>
    </row>
    <row r="1476">
      <c r="A1476" s="403"/>
      <c r="B1476" s="417"/>
      <c r="C1476" s="415"/>
      <c r="D1476" s="417"/>
      <c r="E1476" s="417"/>
      <c r="F1476" s="417"/>
      <c r="G1476" s="418"/>
      <c r="H1476" s="417"/>
      <c r="I1476" s="418"/>
      <c r="J1476" s="432"/>
      <c r="K1476" s="420"/>
      <c r="L1476" s="417"/>
      <c r="M1476" s="415"/>
      <c r="N1476" s="422"/>
      <c r="O1476" s="75" t="str">
        <f t="shared" si="3"/>
        <v/>
      </c>
      <c r="P1476" s="403">
        <v>0.0</v>
      </c>
      <c r="Q1476" s="403">
        <v>0.0</v>
      </c>
      <c r="R1476" s="403"/>
      <c r="S1476" s="403"/>
      <c r="T1476" s="403"/>
      <c r="U1476" s="403"/>
      <c r="V1476" s="403"/>
      <c r="W1476" s="403"/>
      <c r="X1476" s="403"/>
      <c r="Y1476" s="403"/>
      <c r="Z1476" s="403"/>
    </row>
    <row r="1477">
      <c r="A1477" s="403"/>
      <c r="B1477" s="417"/>
      <c r="C1477" s="415"/>
      <c r="D1477" s="417"/>
      <c r="E1477" s="417"/>
      <c r="F1477" s="417"/>
      <c r="G1477" s="418"/>
      <c r="H1477" s="417"/>
      <c r="I1477" s="418"/>
      <c r="J1477" s="432"/>
      <c r="K1477" s="420"/>
      <c r="L1477" s="417"/>
      <c r="M1477" s="415"/>
      <c r="N1477" s="422"/>
      <c r="O1477" s="75" t="str">
        <f t="shared" si="3"/>
        <v/>
      </c>
      <c r="P1477" s="403">
        <v>0.0</v>
      </c>
      <c r="Q1477" s="403">
        <v>0.0</v>
      </c>
      <c r="R1477" s="403"/>
      <c r="S1477" s="403"/>
      <c r="T1477" s="403"/>
      <c r="U1477" s="403"/>
      <c r="V1477" s="403"/>
      <c r="W1477" s="403"/>
      <c r="X1477" s="403"/>
      <c r="Y1477" s="403"/>
      <c r="Z1477" s="403"/>
    </row>
    <row r="1478">
      <c r="A1478" s="403"/>
      <c r="B1478" s="417"/>
      <c r="C1478" s="415"/>
      <c r="D1478" s="417"/>
      <c r="E1478" s="417"/>
      <c r="F1478" s="417"/>
      <c r="G1478" s="418"/>
      <c r="H1478" s="417"/>
      <c r="I1478" s="418"/>
      <c r="J1478" s="432"/>
      <c r="K1478" s="420"/>
      <c r="L1478" s="417"/>
      <c r="M1478" s="415"/>
      <c r="N1478" s="422"/>
      <c r="O1478" s="75" t="str">
        <f t="shared" si="3"/>
        <v/>
      </c>
      <c r="P1478" s="403">
        <v>0.0</v>
      </c>
      <c r="Q1478" s="403">
        <v>0.0</v>
      </c>
      <c r="R1478" s="403"/>
      <c r="S1478" s="403"/>
      <c r="T1478" s="403"/>
      <c r="U1478" s="403"/>
      <c r="V1478" s="403"/>
      <c r="W1478" s="403"/>
      <c r="X1478" s="403"/>
      <c r="Y1478" s="403"/>
      <c r="Z1478" s="403"/>
    </row>
    <row r="1479">
      <c r="A1479" s="403"/>
      <c r="B1479" s="417"/>
      <c r="C1479" s="415"/>
      <c r="D1479" s="417"/>
      <c r="E1479" s="417"/>
      <c r="F1479" s="417"/>
      <c r="G1479" s="418"/>
      <c r="H1479" s="417"/>
      <c r="I1479" s="418"/>
      <c r="J1479" s="432"/>
      <c r="K1479" s="420"/>
      <c r="L1479" s="417"/>
      <c r="M1479" s="415"/>
      <c r="N1479" s="422"/>
      <c r="O1479" s="75" t="str">
        <f t="shared" si="3"/>
        <v/>
      </c>
      <c r="P1479" s="403">
        <v>0.0</v>
      </c>
      <c r="Q1479" s="403">
        <v>0.0</v>
      </c>
      <c r="R1479" s="403"/>
      <c r="S1479" s="403"/>
      <c r="T1479" s="403"/>
      <c r="U1479" s="403"/>
      <c r="V1479" s="403"/>
      <c r="W1479" s="403"/>
      <c r="X1479" s="403"/>
      <c r="Y1479" s="403"/>
      <c r="Z1479" s="403"/>
    </row>
    <row r="1480">
      <c r="A1480" s="403"/>
      <c r="B1480" s="417"/>
      <c r="C1480" s="415"/>
      <c r="D1480" s="417"/>
      <c r="E1480" s="417"/>
      <c r="F1480" s="417"/>
      <c r="G1480" s="418"/>
      <c r="H1480" s="417"/>
      <c r="I1480" s="418"/>
      <c r="J1480" s="432"/>
      <c r="K1480" s="420"/>
      <c r="L1480" s="417"/>
      <c r="M1480" s="415"/>
      <c r="N1480" s="422"/>
      <c r="O1480" s="75" t="str">
        <f t="shared" si="3"/>
        <v/>
      </c>
      <c r="P1480" s="403">
        <v>0.0</v>
      </c>
      <c r="Q1480" s="403">
        <v>0.0</v>
      </c>
      <c r="R1480" s="403"/>
      <c r="S1480" s="403"/>
      <c r="T1480" s="403"/>
      <c r="U1480" s="403"/>
      <c r="V1480" s="403"/>
      <c r="W1480" s="403"/>
      <c r="X1480" s="403"/>
      <c r="Y1480" s="403"/>
      <c r="Z1480" s="403"/>
    </row>
    <row r="1481">
      <c r="A1481" s="403"/>
      <c r="B1481" s="417"/>
      <c r="C1481" s="415"/>
      <c r="D1481" s="417"/>
      <c r="E1481" s="417"/>
      <c r="F1481" s="417"/>
      <c r="G1481" s="418"/>
      <c r="H1481" s="417"/>
      <c r="I1481" s="418"/>
      <c r="J1481" s="432"/>
      <c r="K1481" s="420"/>
      <c r="L1481" s="417"/>
      <c r="M1481" s="415"/>
      <c r="N1481" s="422"/>
      <c r="O1481" s="75" t="str">
        <f t="shared" si="3"/>
        <v/>
      </c>
      <c r="P1481" s="403">
        <v>0.0</v>
      </c>
      <c r="Q1481" s="403">
        <v>0.0</v>
      </c>
      <c r="R1481" s="403"/>
      <c r="S1481" s="403"/>
      <c r="T1481" s="403"/>
      <c r="U1481" s="403"/>
      <c r="V1481" s="403"/>
      <c r="W1481" s="403"/>
      <c r="X1481" s="403"/>
      <c r="Y1481" s="403"/>
      <c r="Z1481" s="403"/>
    </row>
    <row r="1482">
      <c r="A1482" s="403"/>
      <c r="B1482" s="417"/>
      <c r="C1482" s="415"/>
      <c r="D1482" s="417"/>
      <c r="E1482" s="417"/>
      <c r="F1482" s="417"/>
      <c r="G1482" s="418"/>
      <c r="H1482" s="417"/>
      <c r="I1482" s="418"/>
      <c r="J1482" s="432"/>
      <c r="K1482" s="420"/>
      <c r="L1482" s="417"/>
      <c r="M1482" s="415"/>
      <c r="N1482" s="422"/>
      <c r="O1482" s="75" t="str">
        <f t="shared" si="3"/>
        <v/>
      </c>
      <c r="P1482" s="403">
        <v>0.0</v>
      </c>
      <c r="Q1482" s="403">
        <v>0.0</v>
      </c>
      <c r="R1482" s="403"/>
      <c r="S1482" s="403"/>
      <c r="T1482" s="403"/>
      <c r="U1482" s="403"/>
      <c r="V1482" s="403"/>
      <c r="W1482" s="403"/>
      <c r="X1482" s="403"/>
      <c r="Y1482" s="403"/>
      <c r="Z1482" s="403"/>
    </row>
    <row r="1483">
      <c r="A1483" s="403"/>
      <c r="B1483" s="417"/>
      <c r="C1483" s="415"/>
      <c r="D1483" s="417"/>
      <c r="E1483" s="417"/>
      <c r="F1483" s="417"/>
      <c r="G1483" s="418"/>
      <c r="H1483" s="417"/>
      <c r="I1483" s="418"/>
      <c r="J1483" s="432"/>
      <c r="K1483" s="420"/>
      <c r="L1483" s="417"/>
      <c r="M1483" s="415"/>
      <c r="N1483" s="422"/>
      <c r="O1483" s="75" t="str">
        <f t="shared" si="3"/>
        <v/>
      </c>
      <c r="P1483" s="403">
        <v>0.0</v>
      </c>
      <c r="Q1483" s="403">
        <v>0.0</v>
      </c>
      <c r="R1483" s="403"/>
      <c r="S1483" s="403"/>
      <c r="T1483" s="403"/>
      <c r="U1483" s="403"/>
      <c r="V1483" s="403"/>
      <c r="W1483" s="403"/>
      <c r="X1483" s="403"/>
      <c r="Y1483" s="403"/>
      <c r="Z1483" s="403"/>
    </row>
    <row r="1484">
      <c r="A1484" s="403"/>
      <c r="B1484" s="417"/>
      <c r="C1484" s="415"/>
      <c r="D1484" s="417"/>
      <c r="E1484" s="417"/>
      <c r="F1484" s="417"/>
      <c r="G1484" s="418"/>
      <c r="H1484" s="417"/>
      <c r="I1484" s="418"/>
      <c r="J1484" s="432"/>
      <c r="K1484" s="420"/>
      <c r="L1484" s="417"/>
      <c r="M1484" s="415"/>
      <c r="N1484" s="422"/>
      <c r="O1484" s="75" t="str">
        <f t="shared" si="3"/>
        <v/>
      </c>
      <c r="P1484" s="403">
        <v>0.0</v>
      </c>
      <c r="Q1484" s="403">
        <v>0.0</v>
      </c>
      <c r="R1484" s="403"/>
      <c r="S1484" s="403"/>
      <c r="T1484" s="403"/>
      <c r="U1484" s="403"/>
      <c r="V1484" s="403"/>
      <c r="W1484" s="403"/>
      <c r="X1484" s="403"/>
      <c r="Y1484" s="403"/>
      <c r="Z1484" s="403"/>
    </row>
    <row r="1485">
      <c r="A1485" s="403"/>
      <c r="B1485" s="417"/>
      <c r="C1485" s="415"/>
      <c r="D1485" s="417"/>
      <c r="E1485" s="417"/>
      <c r="F1485" s="417"/>
      <c r="G1485" s="418"/>
      <c r="H1485" s="417"/>
      <c r="I1485" s="418"/>
      <c r="J1485" s="432"/>
      <c r="K1485" s="420"/>
      <c r="L1485" s="417"/>
      <c r="M1485" s="415"/>
      <c r="N1485" s="422"/>
      <c r="O1485" s="75" t="str">
        <f t="shared" si="3"/>
        <v/>
      </c>
      <c r="P1485" s="403">
        <v>0.0</v>
      </c>
      <c r="Q1485" s="403">
        <v>0.0</v>
      </c>
      <c r="R1485" s="403"/>
      <c r="S1485" s="403"/>
      <c r="T1485" s="403"/>
      <c r="U1485" s="403"/>
      <c r="V1485" s="403"/>
      <c r="W1485" s="403"/>
      <c r="X1485" s="403"/>
      <c r="Y1485" s="403"/>
      <c r="Z1485" s="403"/>
    </row>
    <row r="1486">
      <c r="A1486" s="403"/>
      <c r="B1486" s="417"/>
      <c r="C1486" s="415"/>
      <c r="D1486" s="417"/>
      <c r="E1486" s="417"/>
      <c r="F1486" s="417"/>
      <c r="G1486" s="418"/>
      <c r="H1486" s="417"/>
      <c r="I1486" s="418"/>
      <c r="J1486" s="432"/>
      <c r="K1486" s="420"/>
      <c r="L1486" s="417"/>
      <c r="M1486" s="415"/>
      <c r="N1486" s="422"/>
      <c r="O1486" s="75" t="str">
        <f t="shared" si="3"/>
        <v/>
      </c>
      <c r="P1486" s="403">
        <v>0.0</v>
      </c>
      <c r="Q1486" s="403">
        <v>0.0</v>
      </c>
      <c r="R1486" s="403"/>
      <c r="S1486" s="403"/>
      <c r="T1486" s="403"/>
      <c r="U1486" s="403"/>
      <c r="V1486" s="403"/>
      <c r="W1486" s="403"/>
      <c r="X1486" s="403"/>
      <c r="Y1486" s="403"/>
      <c r="Z1486" s="403"/>
    </row>
    <row r="1487">
      <c r="A1487" s="403"/>
      <c r="B1487" s="417"/>
      <c r="C1487" s="415"/>
      <c r="D1487" s="417"/>
      <c r="E1487" s="417"/>
      <c r="F1487" s="417"/>
      <c r="G1487" s="418"/>
      <c r="H1487" s="417"/>
      <c r="I1487" s="418"/>
      <c r="J1487" s="432"/>
      <c r="K1487" s="420"/>
      <c r="L1487" s="417"/>
      <c r="M1487" s="415"/>
      <c r="N1487" s="422"/>
      <c r="O1487" s="75" t="str">
        <f t="shared" si="3"/>
        <v/>
      </c>
      <c r="P1487" s="403">
        <v>0.0</v>
      </c>
      <c r="Q1487" s="403">
        <v>0.0</v>
      </c>
      <c r="R1487" s="403"/>
      <c r="S1487" s="403"/>
      <c r="T1487" s="403"/>
      <c r="U1487" s="403"/>
      <c r="V1487" s="403"/>
      <c r="W1487" s="403"/>
      <c r="X1487" s="403"/>
      <c r="Y1487" s="403"/>
      <c r="Z1487" s="403"/>
    </row>
    <row r="1488">
      <c r="A1488" s="403"/>
      <c r="B1488" s="417"/>
      <c r="C1488" s="415"/>
      <c r="D1488" s="417"/>
      <c r="E1488" s="417"/>
      <c r="F1488" s="417"/>
      <c r="G1488" s="418"/>
      <c r="H1488" s="417"/>
      <c r="I1488" s="418"/>
      <c r="J1488" s="432"/>
      <c r="K1488" s="420"/>
      <c r="L1488" s="417"/>
      <c r="M1488" s="415"/>
      <c r="N1488" s="422"/>
      <c r="O1488" s="75" t="str">
        <f t="shared" si="3"/>
        <v/>
      </c>
      <c r="P1488" s="403">
        <v>0.0</v>
      </c>
      <c r="Q1488" s="403">
        <v>0.0</v>
      </c>
      <c r="R1488" s="403"/>
      <c r="S1488" s="403"/>
      <c r="T1488" s="403"/>
      <c r="U1488" s="403"/>
      <c r="V1488" s="403"/>
      <c r="W1488" s="403"/>
      <c r="X1488" s="403"/>
      <c r="Y1488" s="403"/>
      <c r="Z1488" s="403"/>
    </row>
    <row r="1489">
      <c r="A1489" s="403"/>
      <c r="B1489" s="417"/>
      <c r="C1489" s="415"/>
      <c r="D1489" s="417"/>
      <c r="E1489" s="417"/>
      <c r="F1489" s="417"/>
      <c r="G1489" s="418"/>
      <c r="H1489" s="417"/>
      <c r="I1489" s="418"/>
      <c r="J1489" s="432"/>
      <c r="K1489" s="420"/>
      <c r="L1489" s="417"/>
      <c r="M1489" s="415"/>
      <c r="N1489" s="422"/>
      <c r="O1489" s="75" t="str">
        <f t="shared" si="3"/>
        <v/>
      </c>
      <c r="P1489" s="403">
        <v>0.0</v>
      </c>
      <c r="Q1489" s="403">
        <v>0.0</v>
      </c>
      <c r="R1489" s="403"/>
      <c r="S1489" s="403"/>
      <c r="T1489" s="403"/>
      <c r="U1489" s="403"/>
      <c r="V1489" s="403"/>
      <c r="W1489" s="403"/>
      <c r="X1489" s="403"/>
      <c r="Y1489" s="403"/>
      <c r="Z1489" s="403"/>
    </row>
    <row r="1490">
      <c r="A1490" s="403"/>
      <c r="B1490" s="417"/>
      <c r="C1490" s="415"/>
      <c r="D1490" s="417"/>
      <c r="E1490" s="417"/>
      <c r="F1490" s="417"/>
      <c r="G1490" s="418"/>
      <c r="H1490" s="417"/>
      <c r="I1490" s="418"/>
      <c r="J1490" s="432"/>
      <c r="K1490" s="420"/>
      <c r="L1490" s="417"/>
      <c r="M1490" s="415"/>
      <c r="N1490" s="422"/>
      <c r="O1490" s="75" t="str">
        <f t="shared" si="3"/>
        <v/>
      </c>
      <c r="P1490" s="403">
        <v>0.0</v>
      </c>
      <c r="Q1490" s="403">
        <v>0.0</v>
      </c>
      <c r="R1490" s="403"/>
      <c r="S1490" s="403"/>
      <c r="T1490" s="403"/>
      <c r="U1490" s="403"/>
      <c r="V1490" s="403"/>
      <c r="W1490" s="403"/>
      <c r="X1490" s="403"/>
      <c r="Y1490" s="403"/>
      <c r="Z1490" s="403"/>
    </row>
    <row r="1491">
      <c r="A1491" s="403"/>
      <c r="B1491" s="417"/>
      <c r="C1491" s="415"/>
      <c r="D1491" s="417"/>
      <c r="E1491" s="417"/>
      <c r="F1491" s="417"/>
      <c r="G1491" s="418"/>
      <c r="H1491" s="417"/>
      <c r="I1491" s="418"/>
      <c r="J1491" s="432"/>
      <c r="K1491" s="420"/>
      <c r="L1491" s="417"/>
      <c r="M1491" s="415"/>
      <c r="N1491" s="422"/>
      <c r="O1491" s="75" t="str">
        <f t="shared" si="3"/>
        <v/>
      </c>
      <c r="P1491" s="403">
        <v>0.0</v>
      </c>
      <c r="Q1491" s="403">
        <v>0.0</v>
      </c>
      <c r="R1491" s="403"/>
      <c r="S1491" s="403"/>
      <c r="T1491" s="403"/>
      <c r="U1491" s="403"/>
      <c r="V1491" s="403"/>
      <c r="W1491" s="403"/>
      <c r="X1491" s="403"/>
      <c r="Y1491" s="403"/>
      <c r="Z1491" s="403"/>
    </row>
    <row r="1492">
      <c r="A1492" s="403"/>
      <c r="B1492" s="417"/>
      <c r="C1492" s="415"/>
      <c r="D1492" s="417"/>
      <c r="E1492" s="417"/>
      <c r="F1492" s="417"/>
      <c r="G1492" s="418"/>
      <c r="H1492" s="417"/>
      <c r="I1492" s="418"/>
      <c r="J1492" s="432"/>
      <c r="K1492" s="420"/>
      <c r="L1492" s="417"/>
      <c r="M1492" s="415"/>
      <c r="N1492" s="422"/>
      <c r="O1492" s="75" t="str">
        <f t="shared" si="3"/>
        <v/>
      </c>
      <c r="P1492" s="403">
        <v>0.0</v>
      </c>
      <c r="Q1492" s="403">
        <v>0.0</v>
      </c>
      <c r="R1492" s="403"/>
      <c r="S1492" s="403"/>
      <c r="T1492" s="403"/>
      <c r="U1492" s="403"/>
      <c r="V1492" s="403"/>
      <c r="W1492" s="403"/>
      <c r="X1492" s="403"/>
      <c r="Y1492" s="403"/>
      <c r="Z1492" s="403"/>
    </row>
    <row r="1493">
      <c r="A1493" s="403"/>
      <c r="B1493" s="417"/>
      <c r="C1493" s="415"/>
      <c r="D1493" s="417"/>
      <c r="E1493" s="417"/>
      <c r="F1493" s="417"/>
      <c r="G1493" s="418"/>
      <c r="H1493" s="417"/>
      <c r="I1493" s="418"/>
      <c r="J1493" s="432"/>
      <c r="K1493" s="420"/>
      <c r="L1493" s="417"/>
      <c r="M1493" s="415"/>
      <c r="N1493" s="422"/>
      <c r="O1493" s="75" t="str">
        <f t="shared" si="3"/>
        <v/>
      </c>
      <c r="P1493" s="403">
        <v>0.0</v>
      </c>
      <c r="Q1493" s="403">
        <v>0.0</v>
      </c>
      <c r="R1493" s="403"/>
      <c r="S1493" s="403"/>
      <c r="T1493" s="403"/>
      <c r="U1493" s="403"/>
      <c r="V1493" s="403"/>
      <c r="W1493" s="403"/>
      <c r="X1493" s="403"/>
      <c r="Y1493" s="403"/>
      <c r="Z1493" s="403"/>
    </row>
    <row r="1494">
      <c r="A1494" s="403"/>
      <c r="B1494" s="417"/>
      <c r="C1494" s="415"/>
      <c r="D1494" s="417"/>
      <c r="E1494" s="417"/>
      <c r="F1494" s="417"/>
      <c r="G1494" s="418"/>
      <c r="H1494" s="417"/>
      <c r="I1494" s="418"/>
      <c r="J1494" s="432"/>
      <c r="K1494" s="420"/>
      <c r="L1494" s="417"/>
      <c r="M1494" s="415"/>
      <c r="N1494" s="422"/>
      <c r="O1494" s="75" t="str">
        <f t="shared" si="3"/>
        <v/>
      </c>
      <c r="P1494" s="403">
        <v>0.0</v>
      </c>
      <c r="Q1494" s="403">
        <v>0.0</v>
      </c>
      <c r="R1494" s="403"/>
      <c r="S1494" s="403"/>
      <c r="T1494" s="403"/>
      <c r="U1494" s="403"/>
      <c r="V1494" s="403"/>
      <c r="W1494" s="403"/>
      <c r="X1494" s="403"/>
      <c r="Y1494" s="403"/>
      <c r="Z1494" s="403"/>
    </row>
    <row r="1495">
      <c r="A1495" s="403"/>
      <c r="B1495" s="417"/>
      <c r="C1495" s="415"/>
      <c r="D1495" s="417"/>
      <c r="E1495" s="417"/>
      <c r="F1495" s="417"/>
      <c r="G1495" s="418"/>
      <c r="H1495" s="417"/>
      <c r="I1495" s="418"/>
      <c r="J1495" s="432"/>
      <c r="K1495" s="420"/>
      <c r="L1495" s="417"/>
      <c r="M1495" s="415"/>
      <c r="N1495" s="422"/>
      <c r="O1495" s="75" t="str">
        <f t="shared" si="3"/>
        <v/>
      </c>
      <c r="P1495" s="403">
        <v>0.0</v>
      </c>
      <c r="Q1495" s="403">
        <v>0.0</v>
      </c>
      <c r="R1495" s="403"/>
      <c r="S1495" s="403"/>
      <c r="T1495" s="403"/>
      <c r="U1495" s="403"/>
      <c r="V1495" s="403"/>
      <c r="W1495" s="403"/>
      <c r="X1495" s="403"/>
      <c r="Y1495" s="403"/>
      <c r="Z1495" s="403"/>
    </row>
    <row r="1496">
      <c r="A1496" s="403"/>
      <c r="B1496" s="417"/>
      <c r="C1496" s="415"/>
      <c r="D1496" s="417"/>
      <c r="E1496" s="417"/>
      <c r="F1496" s="417"/>
      <c r="G1496" s="418"/>
      <c r="H1496" s="417"/>
      <c r="I1496" s="418"/>
      <c r="J1496" s="432"/>
      <c r="K1496" s="420"/>
      <c r="L1496" s="417"/>
      <c r="M1496" s="415"/>
      <c r="N1496" s="422"/>
      <c r="O1496" s="75" t="str">
        <f t="shared" si="3"/>
        <v/>
      </c>
      <c r="P1496" s="403">
        <v>0.0</v>
      </c>
      <c r="Q1496" s="403">
        <v>0.0</v>
      </c>
      <c r="R1496" s="403"/>
      <c r="S1496" s="403"/>
      <c r="T1496" s="403"/>
      <c r="U1496" s="403"/>
      <c r="V1496" s="403"/>
      <c r="W1496" s="403"/>
      <c r="X1496" s="403"/>
      <c r="Y1496" s="403"/>
      <c r="Z1496" s="403"/>
    </row>
    <row r="1497">
      <c r="A1497" s="403"/>
      <c r="B1497" s="417"/>
      <c r="C1497" s="415"/>
      <c r="D1497" s="417"/>
      <c r="E1497" s="417"/>
      <c r="F1497" s="417"/>
      <c r="G1497" s="418"/>
      <c r="H1497" s="417"/>
      <c r="I1497" s="418"/>
      <c r="J1497" s="432"/>
      <c r="K1497" s="420"/>
      <c r="L1497" s="417"/>
      <c r="M1497" s="415"/>
      <c r="N1497" s="422"/>
      <c r="O1497" s="75" t="str">
        <f t="shared" si="3"/>
        <v/>
      </c>
      <c r="P1497" s="403">
        <v>0.0</v>
      </c>
      <c r="Q1497" s="403">
        <v>0.0</v>
      </c>
      <c r="R1497" s="403"/>
      <c r="S1497" s="403"/>
      <c r="T1497" s="403"/>
      <c r="U1497" s="403"/>
      <c r="V1497" s="403"/>
      <c r="W1497" s="403"/>
      <c r="X1497" s="403"/>
      <c r="Y1497" s="403"/>
      <c r="Z1497" s="403"/>
    </row>
    <row r="1498">
      <c r="A1498" s="403"/>
      <c r="B1498" s="417"/>
      <c r="C1498" s="415"/>
      <c r="D1498" s="417"/>
      <c r="E1498" s="417"/>
      <c r="F1498" s="417"/>
      <c r="G1498" s="418"/>
      <c r="H1498" s="417"/>
      <c r="I1498" s="418"/>
      <c r="J1498" s="432"/>
      <c r="K1498" s="420"/>
      <c r="L1498" s="417"/>
      <c r="M1498" s="415"/>
      <c r="N1498" s="422"/>
      <c r="O1498" s="75" t="str">
        <f t="shared" si="3"/>
        <v/>
      </c>
      <c r="P1498" s="403">
        <v>0.0</v>
      </c>
      <c r="Q1498" s="403">
        <v>0.0</v>
      </c>
      <c r="R1498" s="403"/>
      <c r="S1498" s="403"/>
      <c r="T1498" s="403"/>
      <c r="U1498" s="403"/>
      <c r="V1498" s="403"/>
      <c r="W1498" s="403"/>
      <c r="X1498" s="403"/>
      <c r="Y1498" s="403"/>
      <c r="Z1498" s="403"/>
    </row>
    <row r="1499">
      <c r="A1499" s="403"/>
      <c r="B1499" s="417"/>
      <c r="C1499" s="415"/>
      <c r="D1499" s="417"/>
      <c r="E1499" s="417"/>
      <c r="F1499" s="417"/>
      <c r="G1499" s="418"/>
      <c r="H1499" s="417"/>
      <c r="I1499" s="418"/>
      <c r="J1499" s="432"/>
      <c r="K1499" s="420"/>
      <c r="L1499" s="417"/>
      <c r="M1499" s="415"/>
      <c r="N1499" s="422"/>
      <c r="O1499" s="75" t="str">
        <f t="shared" si="3"/>
        <v/>
      </c>
      <c r="P1499" s="403">
        <v>0.0</v>
      </c>
      <c r="Q1499" s="403">
        <v>0.0</v>
      </c>
      <c r="R1499" s="403"/>
      <c r="S1499" s="403"/>
      <c r="T1499" s="403"/>
      <c r="U1499" s="403"/>
      <c r="V1499" s="403"/>
      <c r="W1499" s="403"/>
      <c r="X1499" s="403"/>
      <c r="Y1499" s="403"/>
      <c r="Z1499" s="403"/>
    </row>
    <row r="1500">
      <c r="A1500" s="403"/>
      <c r="B1500" s="417"/>
      <c r="C1500" s="415"/>
      <c r="D1500" s="417"/>
      <c r="E1500" s="417"/>
      <c r="F1500" s="417"/>
      <c r="G1500" s="418"/>
      <c r="H1500" s="417"/>
      <c r="I1500" s="418"/>
      <c r="J1500" s="432"/>
      <c r="K1500" s="420"/>
      <c r="L1500" s="417"/>
      <c r="M1500" s="415"/>
      <c r="N1500" s="422"/>
      <c r="O1500" s="75" t="str">
        <f t="shared" si="3"/>
        <v/>
      </c>
      <c r="P1500" s="403">
        <v>0.0</v>
      </c>
      <c r="Q1500" s="403">
        <v>0.0</v>
      </c>
      <c r="R1500" s="403"/>
      <c r="S1500" s="403"/>
      <c r="T1500" s="403"/>
      <c r="U1500" s="403"/>
      <c r="V1500" s="403"/>
      <c r="W1500" s="403"/>
      <c r="X1500" s="403"/>
      <c r="Y1500" s="403"/>
      <c r="Z1500" s="403"/>
    </row>
    <row r="1501">
      <c r="A1501" s="403"/>
      <c r="B1501" s="417"/>
      <c r="C1501" s="415"/>
      <c r="D1501" s="417"/>
      <c r="E1501" s="417"/>
      <c r="F1501" s="417"/>
      <c r="G1501" s="418"/>
      <c r="H1501" s="417"/>
      <c r="I1501" s="418"/>
      <c r="J1501" s="432"/>
      <c r="K1501" s="420"/>
      <c r="L1501" s="417"/>
      <c r="M1501" s="415"/>
      <c r="N1501" s="422"/>
      <c r="O1501" s="75" t="str">
        <f t="shared" si="3"/>
        <v/>
      </c>
      <c r="P1501" s="403">
        <v>0.0</v>
      </c>
      <c r="Q1501" s="403">
        <v>0.0</v>
      </c>
      <c r="R1501" s="403"/>
      <c r="S1501" s="403"/>
      <c r="T1501" s="403"/>
      <c r="U1501" s="403"/>
      <c r="V1501" s="403"/>
      <c r="W1501" s="403"/>
      <c r="X1501" s="403"/>
      <c r="Y1501" s="403"/>
      <c r="Z1501" s="403"/>
    </row>
    <row r="1502">
      <c r="A1502" s="403"/>
      <c r="B1502" s="417"/>
      <c r="C1502" s="415"/>
      <c r="D1502" s="417"/>
      <c r="E1502" s="417"/>
      <c r="F1502" s="417"/>
      <c r="G1502" s="418"/>
      <c r="H1502" s="417"/>
      <c r="I1502" s="418"/>
      <c r="J1502" s="432"/>
      <c r="K1502" s="420"/>
      <c r="L1502" s="417"/>
      <c r="M1502" s="415"/>
      <c r="N1502" s="422"/>
      <c r="O1502" s="75" t="str">
        <f t="shared" si="3"/>
        <v/>
      </c>
      <c r="P1502" s="403">
        <v>0.0</v>
      </c>
      <c r="Q1502" s="403">
        <v>0.0</v>
      </c>
      <c r="R1502" s="403"/>
      <c r="S1502" s="403"/>
      <c r="T1502" s="403"/>
      <c r="U1502" s="403"/>
      <c r="V1502" s="403"/>
      <c r="W1502" s="403"/>
      <c r="X1502" s="403"/>
      <c r="Y1502" s="403"/>
      <c r="Z1502" s="403"/>
    </row>
    <row r="1503">
      <c r="A1503" s="403"/>
      <c r="B1503" s="417"/>
      <c r="C1503" s="415"/>
      <c r="D1503" s="417"/>
      <c r="E1503" s="417"/>
      <c r="F1503" s="417"/>
      <c r="G1503" s="418"/>
      <c r="H1503" s="417"/>
      <c r="I1503" s="418"/>
      <c r="J1503" s="432"/>
      <c r="K1503" s="420"/>
      <c r="L1503" s="417"/>
      <c r="M1503" s="415"/>
      <c r="N1503" s="422"/>
      <c r="O1503" s="75" t="str">
        <f t="shared" si="3"/>
        <v/>
      </c>
      <c r="P1503" s="403">
        <v>0.0</v>
      </c>
      <c r="Q1503" s="403">
        <v>0.0</v>
      </c>
      <c r="R1503" s="403"/>
      <c r="S1503" s="403"/>
      <c r="T1503" s="403"/>
      <c r="U1503" s="403"/>
      <c r="V1503" s="403"/>
      <c r="W1503" s="403"/>
      <c r="X1503" s="403"/>
      <c r="Y1503" s="403"/>
      <c r="Z1503" s="403"/>
    </row>
    <row r="1504">
      <c r="A1504" s="403"/>
      <c r="B1504" s="417"/>
      <c r="C1504" s="415"/>
      <c r="D1504" s="417"/>
      <c r="E1504" s="417"/>
      <c r="F1504" s="417"/>
      <c r="G1504" s="418"/>
      <c r="H1504" s="417"/>
      <c r="I1504" s="418"/>
      <c r="J1504" s="432"/>
      <c r="K1504" s="420"/>
      <c r="L1504" s="417"/>
      <c r="M1504" s="415"/>
      <c r="N1504" s="422"/>
      <c r="O1504" s="75" t="str">
        <f t="shared" si="3"/>
        <v/>
      </c>
      <c r="P1504" s="403">
        <v>0.0</v>
      </c>
      <c r="Q1504" s="403">
        <v>0.0</v>
      </c>
      <c r="R1504" s="403"/>
      <c r="S1504" s="403"/>
      <c r="T1504" s="403"/>
      <c r="U1504" s="403"/>
      <c r="V1504" s="403"/>
      <c r="W1504" s="403"/>
      <c r="X1504" s="403"/>
      <c r="Y1504" s="403"/>
      <c r="Z1504" s="403"/>
    </row>
    <row r="1505">
      <c r="A1505" s="403"/>
      <c r="B1505" s="417"/>
      <c r="C1505" s="415"/>
      <c r="D1505" s="417"/>
      <c r="E1505" s="417"/>
      <c r="F1505" s="417"/>
      <c r="G1505" s="418"/>
      <c r="H1505" s="417"/>
      <c r="I1505" s="418"/>
      <c r="J1505" s="432"/>
      <c r="K1505" s="420"/>
      <c r="L1505" s="417"/>
      <c r="M1505" s="415"/>
      <c r="N1505" s="422"/>
      <c r="O1505" s="75" t="str">
        <f t="shared" si="3"/>
        <v/>
      </c>
      <c r="P1505" s="403">
        <v>0.0</v>
      </c>
      <c r="Q1505" s="403">
        <v>0.0</v>
      </c>
      <c r="R1505" s="403"/>
      <c r="S1505" s="403"/>
      <c r="T1505" s="403"/>
      <c r="U1505" s="403"/>
      <c r="V1505" s="403"/>
      <c r="W1505" s="403"/>
      <c r="X1505" s="403"/>
      <c r="Y1505" s="403"/>
      <c r="Z1505" s="403"/>
    </row>
    <row r="1506">
      <c r="A1506" s="403"/>
      <c r="B1506" s="417"/>
      <c r="C1506" s="415"/>
      <c r="D1506" s="417"/>
      <c r="E1506" s="417"/>
      <c r="F1506" s="417"/>
      <c r="G1506" s="418"/>
      <c r="H1506" s="417"/>
      <c r="I1506" s="418"/>
      <c r="J1506" s="432"/>
      <c r="K1506" s="420"/>
      <c r="L1506" s="417"/>
      <c r="M1506" s="415"/>
      <c r="N1506" s="422"/>
      <c r="O1506" s="75" t="str">
        <f t="shared" si="3"/>
        <v/>
      </c>
      <c r="P1506" s="403">
        <v>0.0</v>
      </c>
      <c r="Q1506" s="403">
        <v>0.0</v>
      </c>
      <c r="R1506" s="403"/>
      <c r="S1506" s="403"/>
      <c r="T1506" s="403"/>
      <c r="U1506" s="403"/>
      <c r="V1506" s="403"/>
      <c r="W1506" s="403"/>
      <c r="X1506" s="403"/>
      <c r="Y1506" s="403"/>
      <c r="Z1506" s="403"/>
    </row>
    <row r="1507">
      <c r="A1507" s="403"/>
      <c r="B1507" s="417"/>
      <c r="C1507" s="415"/>
      <c r="D1507" s="417"/>
      <c r="E1507" s="417"/>
      <c r="F1507" s="417"/>
      <c r="G1507" s="418"/>
      <c r="H1507" s="417"/>
      <c r="I1507" s="418"/>
      <c r="J1507" s="432"/>
      <c r="K1507" s="420"/>
      <c r="L1507" s="417"/>
      <c r="M1507" s="415"/>
      <c r="N1507" s="422"/>
      <c r="O1507" s="75" t="str">
        <f t="shared" si="3"/>
        <v/>
      </c>
      <c r="P1507" s="403">
        <v>0.0</v>
      </c>
      <c r="Q1507" s="403">
        <v>0.0</v>
      </c>
      <c r="R1507" s="403"/>
      <c r="S1507" s="403"/>
      <c r="T1507" s="403"/>
      <c r="U1507" s="403"/>
      <c r="V1507" s="403"/>
      <c r="W1507" s="403"/>
      <c r="X1507" s="403"/>
      <c r="Y1507" s="403"/>
      <c r="Z1507" s="403"/>
    </row>
    <row r="1508">
      <c r="A1508" s="403"/>
      <c r="B1508" s="417"/>
      <c r="C1508" s="415"/>
      <c r="D1508" s="417"/>
      <c r="E1508" s="417"/>
      <c r="F1508" s="417"/>
      <c r="G1508" s="418"/>
      <c r="H1508" s="417"/>
      <c r="I1508" s="418"/>
      <c r="J1508" s="432"/>
      <c r="K1508" s="420"/>
      <c r="L1508" s="417"/>
      <c r="M1508" s="415"/>
      <c r="N1508" s="422"/>
      <c r="O1508" s="75" t="str">
        <f t="shared" si="3"/>
        <v/>
      </c>
      <c r="P1508" s="403">
        <v>0.0</v>
      </c>
      <c r="Q1508" s="403">
        <v>0.0</v>
      </c>
      <c r="R1508" s="403"/>
      <c r="S1508" s="403"/>
      <c r="T1508" s="403"/>
      <c r="U1508" s="403"/>
      <c r="V1508" s="403"/>
      <c r="W1508" s="403"/>
      <c r="X1508" s="403"/>
      <c r="Y1508" s="403"/>
      <c r="Z1508" s="403"/>
    </row>
    <row r="1509">
      <c r="A1509" s="403"/>
      <c r="B1509" s="417"/>
      <c r="C1509" s="415"/>
      <c r="D1509" s="417"/>
      <c r="E1509" s="417"/>
      <c r="F1509" s="417"/>
      <c r="G1509" s="418"/>
      <c r="H1509" s="417"/>
      <c r="I1509" s="418"/>
      <c r="J1509" s="432"/>
      <c r="K1509" s="420"/>
      <c r="L1509" s="417"/>
      <c r="M1509" s="415"/>
      <c r="N1509" s="422"/>
      <c r="O1509" s="75" t="str">
        <f t="shared" si="3"/>
        <v/>
      </c>
      <c r="P1509" s="403">
        <v>0.0</v>
      </c>
      <c r="Q1509" s="403">
        <v>0.0</v>
      </c>
      <c r="R1509" s="403"/>
      <c r="S1509" s="403"/>
      <c r="T1509" s="403"/>
      <c r="U1509" s="403"/>
      <c r="V1509" s="403"/>
      <c r="W1509" s="403"/>
      <c r="X1509" s="403"/>
      <c r="Y1509" s="403"/>
      <c r="Z1509" s="403"/>
    </row>
    <row r="1510">
      <c r="A1510" s="403"/>
      <c r="B1510" s="417"/>
      <c r="C1510" s="415"/>
      <c r="D1510" s="417"/>
      <c r="E1510" s="417"/>
      <c r="F1510" s="417"/>
      <c r="G1510" s="418"/>
      <c r="H1510" s="417"/>
      <c r="I1510" s="418"/>
      <c r="J1510" s="432"/>
      <c r="K1510" s="420"/>
      <c r="L1510" s="417"/>
      <c r="M1510" s="415"/>
      <c r="N1510" s="422"/>
      <c r="O1510" s="75" t="str">
        <f t="shared" si="3"/>
        <v/>
      </c>
      <c r="P1510" s="403">
        <v>0.0</v>
      </c>
      <c r="Q1510" s="403">
        <v>0.0</v>
      </c>
      <c r="R1510" s="403"/>
      <c r="S1510" s="403"/>
      <c r="T1510" s="403"/>
      <c r="U1510" s="403"/>
      <c r="V1510" s="403"/>
      <c r="W1510" s="403"/>
      <c r="X1510" s="403"/>
      <c r="Y1510" s="403"/>
      <c r="Z1510" s="403"/>
    </row>
    <row r="1511">
      <c r="A1511" s="403"/>
      <c r="B1511" s="417"/>
      <c r="C1511" s="415"/>
      <c r="D1511" s="417"/>
      <c r="E1511" s="417"/>
      <c r="F1511" s="417"/>
      <c r="G1511" s="418"/>
      <c r="H1511" s="417"/>
      <c r="I1511" s="418"/>
      <c r="J1511" s="432"/>
      <c r="K1511" s="420"/>
      <c r="L1511" s="417"/>
      <c r="M1511" s="415"/>
      <c r="N1511" s="422"/>
      <c r="O1511" s="75" t="str">
        <f t="shared" si="3"/>
        <v/>
      </c>
      <c r="P1511" s="403">
        <v>0.0</v>
      </c>
      <c r="Q1511" s="403">
        <v>0.0</v>
      </c>
      <c r="R1511" s="403"/>
      <c r="S1511" s="403"/>
      <c r="T1511" s="403"/>
      <c r="U1511" s="403"/>
      <c r="V1511" s="403"/>
      <c r="W1511" s="403"/>
      <c r="X1511" s="403"/>
      <c r="Y1511" s="403"/>
      <c r="Z1511" s="403"/>
    </row>
    <row r="1512">
      <c r="A1512" s="403"/>
      <c r="B1512" s="417"/>
      <c r="C1512" s="415"/>
      <c r="D1512" s="417"/>
      <c r="E1512" s="417"/>
      <c r="F1512" s="417"/>
      <c r="G1512" s="418"/>
      <c r="H1512" s="417"/>
      <c r="I1512" s="418"/>
      <c r="J1512" s="432"/>
      <c r="K1512" s="420"/>
      <c r="L1512" s="417"/>
      <c r="M1512" s="415"/>
      <c r="N1512" s="422"/>
      <c r="O1512" s="75" t="str">
        <f t="shared" si="3"/>
        <v/>
      </c>
      <c r="P1512" s="403">
        <v>0.0</v>
      </c>
      <c r="Q1512" s="403">
        <v>0.0</v>
      </c>
      <c r="R1512" s="403"/>
      <c r="S1512" s="403"/>
      <c r="T1512" s="403"/>
      <c r="U1512" s="403"/>
      <c r="V1512" s="403"/>
      <c r="W1512" s="403"/>
      <c r="X1512" s="403"/>
      <c r="Y1512" s="403"/>
      <c r="Z1512" s="403"/>
    </row>
    <row r="1513">
      <c r="A1513" s="403"/>
      <c r="B1513" s="417"/>
      <c r="C1513" s="415"/>
      <c r="D1513" s="417"/>
      <c r="E1513" s="417"/>
      <c r="F1513" s="417"/>
      <c r="G1513" s="418"/>
      <c r="H1513" s="417"/>
      <c r="I1513" s="418"/>
      <c r="J1513" s="432"/>
      <c r="K1513" s="420"/>
      <c r="L1513" s="417"/>
      <c r="M1513" s="415"/>
      <c r="N1513" s="422"/>
      <c r="O1513" s="75" t="str">
        <f t="shared" si="3"/>
        <v/>
      </c>
      <c r="P1513" s="403">
        <v>0.0</v>
      </c>
      <c r="Q1513" s="403">
        <v>0.0</v>
      </c>
      <c r="R1513" s="403"/>
      <c r="S1513" s="403"/>
      <c r="T1513" s="403"/>
      <c r="U1513" s="403"/>
      <c r="V1513" s="403"/>
      <c r="W1513" s="403"/>
      <c r="X1513" s="403"/>
      <c r="Y1513" s="403"/>
      <c r="Z1513" s="403"/>
    </row>
    <row r="1514">
      <c r="A1514" s="403"/>
      <c r="B1514" s="417"/>
      <c r="C1514" s="415"/>
      <c r="D1514" s="417"/>
      <c r="E1514" s="417"/>
      <c r="F1514" s="417"/>
      <c r="G1514" s="418"/>
      <c r="H1514" s="417"/>
      <c r="I1514" s="418"/>
      <c r="J1514" s="432"/>
      <c r="K1514" s="420"/>
      <c r="L1514" s="417"/>
      <c r="M1514" s="415"/>
      <c r="N1514" s="422"/>
      <c r="O1514" s="75" t="str">
        <f t="shared" si="3"/>
        <v/>
      </c>
      <c r="P1514" s="403">
        <v>0.0</v>
      </c>
      <c r="Q1514" s="403">
        <v>0.0</v>
      </c>
      <c r="R1514" s="403"/>
      <c r="S1514" s="403"/>
      <c r="T1514" s="403"/>
      <c r="U1514" s="403"/>
      <c r="V1514" s="403"/>
      <c r="W1514" s="403"/>
      <c r="X1514" s="403"/>
      <c r="Y1514" s="403"/>
      <c r="Z1514" s="403"/>
    </row>
    <row r="1515">
      <c r="A1515" s="403"/>
      <c r="B1515" s="417"/>
      <c r="C1515" s="415"/>
      <c r="D1515" s="417"/>
      <c r="E1515" s="417"/>
      <c r="F1515" s="417"/>
      <c r="G1515" s="418"/>
      <c r="H1515" s="417"/>
      <c r="I1515" s="418"/>
      <c r="J1515" s="432"/>
      <c r="K1515" s="420"/>
      <c r="L1515" s="417"/>
      <c r="M1515" s="415"/>
      <c r="N1515" s="422"/>
      <c r="O1515" s="75" t="str">
        <f t="shared" si="3"/>
        <v/>
      </c>
      <c r="P1515" s="403">
        <v>0.0</v>
      </c>
      <c r="Q1515" s="403">
        <v>0.0</v>
      </c>
      <c r="R1515" s="403"/>
      <c r="S1515" s="403"/>
      <c r="T1515" s="403"/>
      <c r="U1515" s="403"/>
      <c r="V1515" s="403"/>
      <c r="W1515" s="403"/>
      <c r="X1515" s="403"/>
      <c r="Y1515" s="403"/>
      <c r="Z1515" s="403"/>
    </row>
    <row r="1516">
      <c r="A1516" s="403"/>
      <c r="B1516" s="417"/>
      <c r="C1516" s="415"/>
      <c r="D1516" s="417"/>
      <c r="E1516" s="417"/>
      <c r="F1516" s="417"/>
      <c r="G1516" s="418"/>
      <c r="H1516" s="417"/>
      <c r="I1516" s="418"/>
      <c r="J1516" s="432"/>
      <c r="K1516" s="420"/>
      <c r="L1516" s="417"/>
      <c r="M1516" s="415"/>
      <c r="N1516" s="422"/>
      <c r="O1516" s="75" t="str">
        <f t="shared" si="3"/>
        <v/>
      </c>
      <c r="P1516" s="403">
        <v>0.0</v>
      </c>
      <c r="Q1516" s="403">
        <v>0.0</v>
      </c>
      <c r="R1516" s="403"/>
      <c r="S1516" s="403"/>
      <c r="T1516" s="403"/>
      <c r="U1516" s="403"/>
      <c r="V1516" s="403"/>
      <c r="W1516" s="403"/>
      <c r="X1516" s="403"/>
      <c r="Y1516" s="403"/>
      <c r="Z1516" s="403"/>
    </row>
    <row r="1517">
      <c r="A1517" s="403"/>
      <c r="B1517" s="417"/>
      <c r="C1517" s="415"/>
      <c r="D1517" s="417"/>
      <c r="E1517" s="417"/>
      <c r="F1517" s="417"/>
      <c r="G1517" s="418"/>
      <c r="H1517" s="417"/>
      <c r="I1517" s="418"/>
      <c r="J1517" s="432"/>
      <c r="K1517" s="420"/>
      <c r="L1517" s="417"/>
      <c r="M1517" s="415"/>
      <c r="N1517" s="422"/>
      <c r="O1517" s="75" t="str">
        <f t="shared" si="3"/>
        <v/>
      </c>
      <c r="P1517" s="403">
        <v>0.0</v>
      </c>
      <c r="Q1517" s="403">
        <v>0.0</v>
      </c>
      <c r="R1517" s="403"/>
      <c r="S1517" s="403"/>
      <c r="T1517" s="403"/>
      <c r="U1517" s="403"/>
      <c r="V1517" s="403"/>
      <c r="W1517" s="403"/>
      <c r="X1517" s="403"/>
      <c r="Y1517" s="403"/>
      <c r="Z1517" s="403"/>
    </row>
    <row r="1518">
      <c r="A1518" s="403"/>
      <c r="B1518" s="417"/>
      <c r="C1518" s="415"/>
      <c r="D1518" s="417"/>
      <c r="E1518" s="417"/>
      <c r="F1518" s="417"/>
      <c r="G1518" s="418"/>
      <c r="H1518" s="417"/>
      <c r="I1518" s="418"/>
      <c r="J1518" s="432"/>
      <c r="K1518" s="420"/>
      <c r="L1518" s="417"/>
      <c r="M1518" s="415"/>
      <c r="N1518" s="422"/>
      <c r="O1518" s="75" t="str">
        <f t="shared" si="3"/>
        <v/>
      </c>
      <c r="P1518" s="403">
        <v>0.0</v>
      </c>
      <c r="Q1518" s="403">
        <v>0.0</v>
      </c>
      <c r="R1518" s="403"/>
      <c r="S1518" s="403"/>
      <c r="T1518" s="403"/>
      <c r="U1518" s="403"/>
      <c r="V1518" s="403"/>
      <c r="W1518" s="403"/>
      <c r="X1518" s="403"/>
      <c r="Y1518" s="403"/>
      <c r="Z1518" s="403"/>
    </row>
    <row r="1519">
      <c r="A1519" s="403"/>
      <c r="B1519" s="417"/>
      <c r="C1519" s="415"/>
      <c r="D1519" s="417"/>
      <c r="E1519" s="417"/>
      <c r="F1519" s="417"/>
      <c r="G1519" s="418"/>
      <c r="H1519" s="417"/>
      <c r="I1519" s="418"/>
      <c r="J1519" s="432"/>
      <c r="K1519" s="420"/>
      <c r="L1519" s="417"/>
      <c r="M1519" s="415"/>
      <c r="N1519" s="422"/>
      <c r="O1519" s="75" t="str">
        <f t="shared" si="3"/>
        <v/>
      </c>
      <c r="P1519" s="403">
        <v>0.0</v>
      </c>
      <c r="Q1519" s="403">
        <v>0.0</v>
      </c>
      <c r="R1519" s="403"/>
      <c r="S1519" s="403"/>
      <c r="T1519" s="403"/>
      <c r="U1519" s="403"/>
      <c r="V1519" s="403"/>
      <c r="W1519" s="403"/>
      <c r="X1519" s="403"/>
      <c r="Y1519" s="403"/>
      <c r="Z1519" s="403"/>
    </row>
    <row r="1520">
      <c r="A1520" s="403"/>
      <c r="B1520" s="417"/>
      <c r="C1520" s="415"/>
      <c r="D1520" s="417"/>
      <c r="E1520" s="417"/>
      <c r="F1520" s="417"/>
      <c r="G1520" s="418"/>
      <c r="H1520" s="417"/>
      <c r="I1520" s="418"/>
      <c r="J1520" s="432"/>
      <c r="K1520" s="420"/>
      <c r="L1520" s="417"/>
      <c r="M1520" s="415"/>
      <c r="N1520" s="422"/>
      <c r="O1520" s="75" t="str">
        <f t="shared" si="3"/>
        <v/>
      </c>
      <c r="P1520" s="403">
        <v>0.0</v>
      </c>
      <c r="Q1520" s="403">
        <v>0.0</v>
      </c>
      <c r="R1520" s="403"/>
      <c r="S1520" s="403"/>
      <c r="T1520" s="403"/>
      <c r="U1520" s="403"/>
      <c r="V1520" s="403"/>
      <c r="W1520" s="403"/>
      <c r="X1520" s="403"/>
      <c r="Y1520" s="403"/>
      <c r="Z1520" s="403"/>
    </row>
    <row r="1521">
      <c r="A1521" s="403"/>
      <c r="B1521" s="417"/>
      <c r="C1521" s="415"/>
      <c r="D1521" s="417"/>
      <c r="E1521" s="417"/>
      <c r="F1521" s="417"/>
      <c r="G1521" s="418"/>
      <c r="H1521" s="417"/>
      <c r="I1521" s="418"/>
      <c r="J1521" s="432"/>
      <c r="K1521" s="420"/>
      <c r="L1521" s="417"/>
      <c r="M1521" s="415"/>
      <c r="N1521" s="422"/>
      <c r="O1521" s="75" t="str">
        <f t="shared" si="3"/>
        <v/>
      </c>
      <c r="P1521" s="403">
        <v>0.0</v>
      </c>
      <c r="Q1521" s="403">
        <v>0.0</v>
      </c>
      <c r="R1521" s="403"/>
      <c r="S1521" s="403"/>
      <c r="T1521" s="403"/>
      <c r="U1521" s="403"/>
      <c r="V1521" s="403"/>
      <c r="W1521" s="403"/>
      <c r="X1521" s="403"/>
      <c r="Y1521" s="403"/>
      <c r="Z1521" s="403"/>
    </row>
    <row r="1522">
      <c r="A1522" s="403"/>
      <c r="B1522" s="417"/>
      <c r="C1522" s="415"/>
      <c r="D1522" s="417"/>
      <c r="E1522" s="417"/>
      <c r="F1522" s="417"/>
      <c r="G1522" s="418"/>
      <c r="H1522" s="417"/>
      <c r="I1522" s="418"/>
      <c r="J1522" s="432"/>
      <c r="K1522" s="420"/>
      <c r="L1522" s="417"/>
      <c r="M1522" s="415"/>
      <c r="N1522" s="422"/>
      <c r="O1522" s="75" t="str">
        <f t="shared" si="3"/>
        <v/>
      </c>
      <c r="P1522" s="403">
        <v>0.0</v>
      </c>
      <c r="Q1522" s="403">
        <v>0.0</v>
      </c>
      <c r="R1522" s="403"/>
      <c r="S1522" s="403"/>
      <c r="T1522" s="403"/>
      <c r="U1522" s="403"/>
      <c r="V1522" s="403"/>
      <c r="W1522" s="403"/>
      <c r="X1522" s="403"/>
      <c r="Y1522" s="403"/>
      <c r="Z1522" s="403"/>
    </row>
    <row r="1523">
      <c r="A1523" s="403"/>
      <c r="B1523" s="417"/>
      <c r="C1523" s="415"/>
      <c r="D1523" s="417"/>
      <c r="E1523" s="417"/>
      <c r="F1523" s="417"/>
      <c r="G1523" s="418"/>
      <c r="H1523" s="417"/>
      <c r="I1523" s="418"/>
      <c r="J1523" s="432"/>
      <c r="K1523" s="420"/>
      <c r="L1523" s="417"/>
      <c r="M1523" s="415"/>
      <c r="N1523" s="422"/>
      <c r="O1523" s="75" t="str">
        <f t="shared" si="3"/>
        <v/>
      </c>
      <c r="P1523" s="403">
        <v>0.0</v>
      </c>
      <c r="Q1523" s="403">
        <v>0.0</v>
      </c>
      <c r="R1523" s="403"/>
      <c r="S1523" s="403"/>
      <c r="T1523" s="403"/>
      <c r="U1523" s="403"/>
      <c r="V1523" s="403"/>
      <c r="W1523" s="403"/>
      <c r="X1523" s="403"/>
      <c r="Y1523" s="403"/>
      <c r="Z1523" s="403"/>
    </row>
    <row r="1524">
      <c r="A1524" s="403"/>
      <c r="B1524" s="417"/>
      <c r="C1524" s="415"/>
      <c r="D1524" s="417"/>
      <c r="E1524" s="417"/>
      <c r="F1524" s="417"/>
      <c r="G1524" s="418"/>
      <c r="H1524" s="417"/>
      <c r="I1524" s="418"/>
      <c r="J1524" s="432"/>
      <c r="K1524" s="420"/>
      <c r="L1524" s="417"/>
      <c r="M1524" s="415"/>
      <c r="N1524" s="422"/>
      <c r="O1524" s="75" t="str">
        <f t="shared" si="3"/>
        <v/>
      </c>
      <c r="P1524" s="403">
        <v>0.0</v>
      </c>
      <c r="Q1524" s="403">
        <v>0.0</v>
      </c>
      <c r="R1524" s="403"/>
      <c r="S1524" s="403"/>
      <c r="T1524" s="403"/>
      <c r="U1524" s="403"/>
      <c r="V1524" s="403"/>
      <c r="W1524" s="403"/>
      <c r="X1524" s="403"/>
      <c r="Y1524" s="403"/>
      <c r="Z1524" s="403"/>
    </row>
    <row r="1525">
      <c r="A1525" s="403"/>
      <c r="B1525" s="417"/>
      <c r="C1525" s="415"/>
      <c r="D1525" s="417"/>
      <c r="E1525" s="417"/>
      <c r="F1525" s="417"/>
      <c r="G1525" s="418"/>
      <c r="H1525" s="417"/>
      <c r="I1525" s="418"/>
      <c r="J1525" s="432"/>
      <c r="K1525" s="420"/>
      <c r="L1525" s="417"/>
      <c r="M1525" s="415"/>
      <c r="N1525" s="422"/>
      <c r="O1525" s="75" t="str">
        <f t="shared" si="3"/>
        <v/>
      </c>
      <c r="P1525" s="403">
        <v>0.0</v>
      </c>
      <c r="Q1525" s="403">
        <v>0.0</v>
      </c>
      <c r="R1525" s="403"/>
      <c r="S1525" s="403"/>
      <c r="T1525" s="403"/>
      <c r="U1525" s="403"/>
      <c r="V1525" s="403"/>
      <c r="W1525" s="403"/>
      <c r="X1525" s="403"/>
      <c r="Y1525" s="403"/>
      <c r="Z1525" s="403"/>
    </row>
    <row r="1526">
      <c r="A1526" s="403"/>
      <c r="B1526" s="417"/>
      <c r="C1526" s="415"/>
      <c r="D1526" s="417"/>
      <c r="E1526" s="417"/>
      <c r="F1526" s="417"/>
      <c r="G1526" s="418"/>
      <c r="H1526" s="417"/>
      <c r="I1526" s="418"/>
      <c r="J1526" s="432"/>
      <c r="K1526" s="420"/>
      <c r="L1526" s="417"/>
      <c r="M1526" s="415"/>
      <c r="N1526" s="422"/>
      <c r="O1526" s="75" t="str">
        <f t="shared" si="3"/>
        <v/>
      </c>
      <c r="P1526" s="403">
        <v>0.0</v>
      </c>
      <c r="Q1526" s="403">
        <v>0.0</v>
      </c>
      <c r="R1526" s="403"/>
      <c r="S1526" s="403"/>
      <c r="T1526" s="403"/>
      <c r="U1526" s="403"/>
      <c r="V1526" s="403"/>
      <c r="W1526" s="403"/>
      <c r="X1526" s="403"/>
      <c r="Y1526" s="403"/>
      <c r="Z1526" s="403"/>
    </row>
    <row r="1527">
      <c r="A1527" s="403"/>
      <c r="B1527" s="417"/>
      <c r="C1527" s="415"/>
      <c r="D1527" s="417"/>
      <c r="E1527" s="417"/>
      <c r="F1527" s="417"/>
      <c r="G1527" s="418"/>
      <c r="H1527" s="417"/>
      <c r="I1527" s="418"/>
      <c r="J1527" s="432"/>
      <c r="K1527" s="420"/>
      <c r="L1527" s="417"/>
      <c r="M1527" s="415"/>
      <c r="N1527" s="422"/>
      <c r="O1527" s="75" t="str">
        <f t="shared" si="3"/>
        <v/>
      </c>
      <c r="P1527" s="403">
        <v>0.0</v>
      </c>
      <c r="Q1527" s="403">
        <v>0.0</v>
      </c>
      <c r="R1527" s="403"/>
      <c r="S1527" s="403"/>
      <c r="T1527" s="403"/>
      <c r="U1527" s="403"/>
      <c r="V1527" s="403"/>
      <c r="W1527" s="403"/>
      <c r="X1527" s="403"/>
      <c r="Y1527" s="403"/>
      <c r="Z1527" s="403"/>
    </row>
    <row r="1528">
      <c r="A1528" s="403"/>
      <c r="B1528" s="417"/>
      <c r="C1528" s="415"/>
      <c r="D1528" s="417"/>
      <c r="E1528" s="417"/>
      <c r="F1528" s="417"/>
      <c r="G1528" s="418"/>
      <c r="H1528" s="417"/>
      <c r="I1528" s="418"/>
      <c r="J1528" s="432"/>
      <c r="K1528" s="420"/>
      <c r="L1528" s="417"/>
      <c r="M1528" s="415"/>
      <c r="N1528" s="422"/>
      <c r="O1528" s="75" t="str">
        <f t="shared" si="3"/>
        <v/>
      </c>
      <c r="P1528" s="403">
        <v>0.0</v>
      </c>
      <c r="Q1528" s="403">
        <v>0.0</v>
      </c>
      <c r="R1528" s="403"/>
      <c r="S1528" s="403"/>
      <c r="T1528" s="403"/>
      <c r="U1528" s="403"/>
      <c r="V1528" s="403"/>
      <c r="W1528" s="403"/>
      <c r="X1528" s="403"/>
      <c r="Y1528" s="403"/>
      <c r="Z1528" s="403"/>
    </row>
    <row r="1529">
      <c r="A1529" s="403"/>
      <c r="B1529" s="417"/>
      <c r="C1529" s="415"/>
      <c r="D1529" s="417"/>
      <c r="E1529" s="417"/>
      <c r="F1529" s="417"/>
      <c r="G1529" s="418"/>
      <c r="H1529" s="417"/>
      <c r="I1529" s="418"/>
      <c r="J1529" s="432"/>
      <c r="K1529" s="420"/>
      <c r="L1529" s="417"/>
      <c r="M1529" s="415"/>
      <c r="N1529" s="422"/>
      <c r="O1529" s="75" t="str">
        <f t="shared" si="3"/>
        <v/>
      </c>
      <c r="P1529" s="403">
        <v>0.0</v>
      </c>
      <c r="Q1529" s="403">
        <v>0.0</v>
      </c>
      <c r="R1529" s="403"/>
      <c r="S1529" s="403"/>
      <c r="T1529" s="403"/>
      <c r="U1529" s="403"/>
      <c r="V1529" s="403"/>
      <c r="W1529" s="403"/>
      <c r="X1529" s="403"/>
      <c r="Y1529" s="403"/>
      <c r="Z1529" s="403"/>
    </row>
    <row r="1530">
      <c r="A1530" s="403"/>
      <c r="B1530" s="417"/>
      <c r="C1530" s="415"/>
      <c r="D1530" s="417"/>
      <c r="E1530" s="417"/>
      <c r="F1530" s="417"/>
      <c r="G1530" s="418"/>
      <c r="H1530" s="417"/>
      <c r="I1530" s="418"/>
      <c r="J1530" s="432"/>
      <c r="K1530" s="420"/>
      <c r="L1530" s="417"/>
      <c r="M1530" s="415"/>
      <c r="N1530" s="422"/>
      <c r="O1530" s="75" t="str">
        <f t="shared" si="3"/>
        <v/>
      </c>
      <c r="P1530" s="403">
        <v>0.0</v>
      </c>
      <c r="Q1530" s="403">
        <v>0.0</v>
      </c>
      <c r="R1530" s="403"/>
      <c r="S1530" s="403"/>
      <c r="T1530" s="403"/>
      <c r="U1530" s="403"/>
      <c r="V1530" s="403"/>
      <c r="W1530" s="403"/>
      <c r="X1530" s="403"/>
      <c r="Y1530" s="403"/>
      <c r="Z1530" s="403"/>
    </row>
    <row r="1531">
      <c r="A1531" s="403"/>
      <c r="B1531" s="417"/>
      <c r="C1531" s="415"/>
      <c r="D1531" s="417"/>
      <c r="E1531" s="417"/>
      <c r="F1531" s="417"/>
      <c r="G1531" s="418"/>
      <c r="H1531" s="417"/>
      <c r="I1531" s="418"/>
      <c r="J1531" s="432"/>
      <c r="K1531" s="420"/>
      <c r="L1531" s="417"/>
      <c r="M1531" s="415"/>
      <c r="N1531" s="422"/>
      <c r="O1531" s="75" t="str">
        <f t="shared" si="3"/>
        <v/>
      </c>
      <c r="P1531" s="403">
        <v>0.0</v>
      </c>
      <c r="Q1531" s="403">
        <v>0.0</v>
      </c>
      <c r="R1531" s="403"/>
      <c r="S1531" s="403"/>
      <c r="T1531" s="403"/>
      <c r="U1531" s="403"/>
      <c r="V1531" s="403"/>
      <c r="W1531" s="403"/>
      <c r="X1531" s="403"/>
      <c r="Y1531" s="403"/>
      <c r="Z1531" s="403"/>
    </row>
    <row r="1532">
      <c r="A1532" s="403"/>
      <c r="B1532" s="417"/>
      <c r="C1532" s="415"/>
      <c r="D1532" s="417"/>
      <c r="E1532" s="417"/>
      <c r="F1532" s="417"/>
      <c r="G1532" s="418"/>
      <c r="H1532" s="417"/>
      <c r="I1532" s="418"/>
      <c r="J1532" s="432"/>
      <c r="K1532" s="420"/>
      <c r="L1532" s="417"/>
      <c r="M1532" s="415"/>
      <c r="N1532" s="422"/>
      <c r="O1532" s="75" t="str">
        <f t="shared" si="3"/>
        <v/>
      </c>
      <c r="P1532" s="403">
        <v>0.0</v>
      </c>
      <c r="Q1532" s="403">
        <v>0.0</v>
      </c>
      <c r="R1532" s="403"/>
      <c r="S1532" s="403"/>
      <c r="T1532" s="403"/>
      <c r="U1532" s="403"/>
      <c r="V1532" s="403"/>
      <c r="W1532" s="403"/>
      <c r="X1532" s="403"/>
      <c r="Y1532" s="403"/>
      <c r="Z1532" s="403"/>
    </row>
    <row r="1533">
      <c r="A1533" s="403"/>
      <c r="B1533" s="417"/>
      <c r="C1533" s="415"/>
      <c r="D1533" s="417"/>
      <c r="E1533" s="417"/>
      <c r="F1533" s="417"/>
      <c r="G1533" s="418"/>
      <c r="H1533" s="417"/>
      <c r="I1533" s="418"/>
      <c r="J1533" s="432"/>
      <c r="K1533" s="420"/>
      <c r="L1533" s="417"/>
      <c r="M1533" s="415"/>
      <c r="N1533" s="422"/>
      <c r="O1533" s="75" t="str">
        <f t="shared" si="3"/>
        <v/>
      </c>
      <c r="P1533" s="403">
        <v>0.0</v>
      </c>
      <c r="Q1533" s="403">
        <v>0.0</v>
      </c>
      <c r="R1533" s="403"/>
      <c r="S1533" s="403"/>
      <c r="T1533" s="403"/>
      <c r="U1533" s="403"/>
      <c r="V1533" s="403"/>
      <c r="W1533" s="403"/>
      <c r="X1533" s="403"/>
      <c r="Y1533" s="403"/>
      <c r="Z1533" s="403"/>
    </row>
    <row r="1534">
      <c r="A1534" s="403"/>
      <c r="B1534" s="417"/>
      <c r="C1534" s="415"/>
      <c r="D1534" s="417"/>
      <c r="E1534" s="417"/>
      <c r="F1534" s="417"/>
      <c r="G1534" s="418"/>
      <c r="H1534" s="417"/>
      <c r="I1534" s="418"/>
      <c r="J1534" s="432"/>
      <c r="K1534" s="420"/>
      <c r="L1534" s="417"/>
      <c r="M1534" s="415"/>
      <c r="N1534" s="422"/>
      <c r="O1534" s="75" t="str">
        <f t="shared" si="3"/>
        <v/>
      </c>
      <c r="P1534" s="403">
        <v>0.0</v>
      </c>
      <c r="Q1534" s="403">
        <v>0.0</v>
      </c>
      <c r="R1534" s="403"/>
      <c r="S1534" s="403"/>
      <c r="T1534" s="403"/>
      <c r="U1534" s="403"/>
      <c r="V1534" s="403"/>
      <c r="W1534" s="403"/>
      <c r="X1534" s="403"/>
      <c r="Y1534" s="403"/>
      <c r="Z1534" s="403"/>
    </row>
    <row r="1535">
      <c r="A1535" s="403"/>
      <c r="B1535" s="417"/>
      <c r="C1535" s="415"/>
      <c r="D1535" s="417"/>
      <c r="E1535" s="417"/>
      <c r="F1535" s="417"/>
      <c r="G1535" s="418"/>
      <c r="H1535" s="417"/>
      <c r="I1535" s="418"/>
      <c r="J1535" s="432"/>
      <c r="K1535" s="420"/>
      <c r="L1535" s="417"/>
      <c r="M1535" s="415"/>
      <c r="N1535" s="422"/>
      <c r="O1535" s="75" t="str">
        <f t="shared" si="3"/>
        <v/>
      </c>
      <c r="P1535" s="403">
        <v>0.0</v>
      </c>
      <c r="Q1535" s="403">
        <v>0.0</v>
      </c>
      <c r="R1535" s="403"/>
      <c r="S1535" s="403"/>
      <c r="T1535" s="403"/>
      <c r="U1535" s="403"/>
      <c r="V1535" s="403"/>
      <c r="W1535" s="403"/>
      <c r="X1535" s="403"/>
      <c r="Y1535" s="403"/>
      <c r="Z1535" s="403"/>
    </row>
    <row r="1536">
      <c r="A1536" s="403"/>
      <c r="B1536" s="417"/>
      <c r="C1536" s="415"/>
      <c r="D1536" s="417"/>
      <c r="E1536" s="417"/>
      <c r="F1536" s="417"/>
      <c r="G1536" s="418"/>
      <c r="H1536" s="417"/>
      <c r="I1536" s="418"/>
      <c r="J1536" s="432"/>
      <c r="K1536" s="420"/>
      <c r="L1536" s="417"/>
      <c r="M1536" s="415"/>
      <c r="N1536" s="422"/>
      <c r="O1536" s="75" t="str">
        <f t="shared" si="3"/>
        <v/>
      </c>
      <c r="P1536" s="403">
        <v>0.0</v>
      </c>
      <c r="Q1536" s="403">
        <v>0.0</v>
      </c>
      <c r="R1536" s="403"/>
      <c r="S1536" s="403"/>
      <c r="T1536" s="403"/>
      <c r="U1536" s="403"/>
      <c r="V1536" s="403"/>
      <c r="W1536" s="403"/>
      <c r="X1536" s="403"/>
      <c r="Y1536" s="403"/>
      <c r="Z1536" s="403"/>
    </row>
    <row r="1537">
      <c r="A1537" s="403"/>
      <c r="B1537" s="417"/>
      <c r="C1537" s="415"/>
      <c r="D1537" s="417"/>
      <c r="E1537" s="417"/>
      <c r="F1537" s="417"/>
      <c r="G1537" s="418"/>
      <c r="H1537" s="417"/>
      <c r="I1537" s="418"/>
      <c r="J1537" s="432"/>
      <c r="K1537" s="420"/>
      <c r="L1537" s="417"/>
      <c r="M1537" s="415"/>
      <c r="N1537" s="422"/>
      <c r="O1537" s="75" t="str">
        <f t="shared" si="3"/>
        <v/>
      </c>
      <c r="P1537" s="403">
        <v>0.0</v>
      </c>
      <c r="Q1537" s="403">
        <v>0.0</v>
      </c>
      <c r="R1537" s="403"/>
      <c r="S1537" s="403"/>
      <c r="T1537" s="403"/>
      <c r="U1537" s="403"/>
      <c r="V1537" s="403"/>
      <c r="W1537" s="403"/>
      <c r="X1537" s="403"/>
      <c r="Y1537" s="403"/>
      <c r="Z1537" s="403"/>
    </row>
    <row r="1538">
      <c r="A1538" s="403"/>
      <c r="B1538" s="417"/>
      <c r="C1538" s="415"/>
      <c r="D1538" s="417"/>
      <c r="E1538" s="417"/>
      <c r="F1538" s="417"/>
      <c r="G1538" s="418"/>
      <c r="H1538" s="417"/>
      <c r="I1538" s="418"/>
      <c r="J1538" s="432"/>
      <c r="K1538" s="420"/>
      <c r="L1538" s="417"/>
      <c r="M1538" s="415"/>
      <c r="N1538" s="422"/>
      <c r="O1538" s="75" t="str">
        <f t="shared" si="3"/>
        <v/>
      </c>
      <c r="P1538" s="403">
        <v>0.0</v>
      </c>
      <c r="Q1538" s="403">
        <v>0.0</v>
      </c>
      <c r="R1538" s="403"/>
      <c r="S1538" s="403"/>
      <c r="T1538" s="403"/>
      <c r="U1538" s="403"/>
      <c r="V1538" s="403"/>
      <c r="W1538" s="403"/>
      <c r="X1538" s="403"/>
      <c r="Y1538" s="403"/>
      <c r="Z1538" s="403"/>
    </row>
    <row r="1539">
      <c r="A1539" s="403"/>
      <c r="B1539" s="417"/>
      <c r="C1539" s="415"/>
      <c r="D1539" s="417"/>
      <c r="E1539" s="417"/>
      <c r="F1539" s="417"/>
      <c r="G1539" s="418"/>
      <c r="H1539" s="417"/>
      <c r="I1539" s="418"/>
      <c r="J1539" s="432"/>
      <c r="K1539" s="420"/>
      <c r="L1539" s="417"/>
      <c r="M1539" s="415"/>
      <c r="N1539" s="422"/>
      <c r="O1539" s="75" t="str">
        <f t="shared" si="3"/>
        <v/>
      </c>
      <c r="P1539" s="403">
        <v>0.0</v>
      </c>
      <c r="Q1539" s="403">
        <v>0.0</v>
      </c>
      <c r="R1539" s="403"/>
      <c r="S1539" s="403"/>
      <c r="T1539" s="403"/>
      <c r="U1539" s="403"/>
      <c r="V1539" s="403"/>
      <c r="W1539" s="403"/>
      <c r="X1539" s="403"/>
      <c r="Y1539" s="403"/>
      <c r="Z1539" s="403"/>
    </row>
    <row r="1540">
      <c r="A1540" s="403"/>
      <c r="B1540" s="417"/>
      <c r="C1540" s="415"/>
      <c r="D1540" s="417"/>
      <c r="E1540" s="417"/>
      <c r="F1540" s="417"/>
      <c r="G1540" s="418"/>
      <c r="H1540" s="417"/>
      <c r="I1540" s="418"/>
      <c r="J1540" s="432"/>
      <c r="K1540" s="420"/>
      <c r="L1540" s="417"/>
      <c r="M1540" s="415"/>
      <c r="N1540" s="422"/>
      <c r="O1540" s="75" t="str">
        <f t="shared" si="3"/>
        <v/>
      </c>
      <c r="P1540" s="403">
        <v>0.0</v>
      </c>
      <c r="Q1540" s="403">
        <v>0.0</v>
      </c>
      <c r="R1540" s="403"/>
      <c r="S1540" s="403"/>
      <c r="T1540" s="403"/>
      <c r="U1540" s="403"/>
      <c r="V1540" s="403"/>
      <c r="W1540" s="403"/>
      <c r="X1540" s="403"/>
      <c r="Y1540" s="403"/>
      <c r="Z1540" s="403"/>
    </row>
    <row r="1541">
      <c r="A1541" s="403"/>
      <c r="B1541" s="417"/>
      <c r="C1541" s="415"/>
      <c r="D1541" s="417"/>
      <c r="E1541" s="417"/>
      <c r="F1541" s="417"/>
      <c r="G1541" s="418"/>
      <c r="H1541" s="417"/>
      <c r="I1541" s="418"/>
      <c r="J1541" s="432"/>
      <c r="K1541" s="420"/>
      <c r="L1541" s="417"/>
      <c r="M1541" s="415"/>
      <c r="N1541" s="422"/>
      <c r="O1541" s="75" t="str">
        <f t="shared" si="3"/>
        <v/>
      </c>
      <c r="P1541" s="403">
        <v>0.0</v>
      </c>
      <c r="Q1541" s="403">
        <v>0.0</v>
      </c>
      <c r="R1541" s="403"/>
      <c r="S1541" s="403"/>
      <c r="T1541" s="403"/>
      <c r="U1541" s="403"/>
      <c r="V1541" s="403"/>
      <c r="W1541" s="403"/>
      <c r="X1541" s="403"/>
      <c r="Y1541" s="403"/>
      <c r="Z1541" s="403"/>
    </row>
    <row r="1542">
      <c r="A1542" s="403"/>
      <c r="B1542" s="417"/>
      <c r="C1542" s="415"/>
      <c r="D1542" s="417"/>
      <c r="E1542" s="417"/>
      <c r="F1542" s="417"/>
      <c r="G1542" s="418"/>
      <c r="H1542" s="417"/>
      <c r="I1542" s="418"/>
      <c r="J1542" s="432"/>
      <c r="K1542" s="420"/>
      <c r="L1542" s="417"/>
      <c r="M1542" s="415"/>
      <c r="N1542" s="422"/>
      <c r="O1542" s="75" t="str">
        <f t="shared" si="3"/>
        <v/>
      </c>
      <c r="P1542" s="403">
        <v>0.0</v>
      </c>
      <c r="Q1542" s="403">
        <v>0.0</v>
      </c>
      <c r="R1542" s="403"/>
      <c r="S1542" s="403"/>
      <c r="T1542" s="403"/>
      <c r="U1542" s="403"/>
      <c r="V1542" s="403"/>
      <c r="W1542" s="403"/>
      <c r="X1542" s="403"/>
      <c r="Y1542" s="403"/>
      <c r="Z1542" s="403"/>
    </row>
    <row r="1543">
      <c r="A1543" s="403"/>
      <c r="B1543" s="417"/>
      <c r="C1543" s="415"/>
      <c r="D1543" s="417"/>
      <c r="E1543" s="417"/>
      <c r="F1543" s="417"/>
      <c r="G1543" s="418"/>
      <c r="H1543" s="417"/>
      <c r="I1543" s="418"/>
      <c r="J1543" s="432"/>
      <c r="K1543" s="420"/>
      <c r="L1543" s="417"/>
      <c r="M1543" s="415"/>
      <c r="N1543" s="422"/>
      <c r="O1543" s="75" t="str">
        <f t="shared" si="3"/>
        <v/>
      </c>
      <c r="P1543" s="403">
        <v>0.0</v>
      </c>
      <c r="Q1543" s="403">
        <v>0.0</v>
      </c>
      <c r="R1543" s="403"/>
      <c r="S1543" s="403"/>
      <c r="T1543" s="403"/>
      <c r="U1543" s="403"/>
      <c r="V1543" s="403"/>
      <c r="W1543" s="403"/>
      <c r="X1543" s="403"/>
      <c r="Y1543" s="403"/>
      <c r="Z1543" s="403"/>
    </row>
    <row r="1544">
      <c r="A1544" s="403"/>
      <c r="B1544" s="417"/>
      <c r="C1544" s="415"/>
      <c r="D1544" s="417"/>
      <c r="E1544" s="417"/>
      <c r="F1544" s="417"/>
      <c r="G1544" s="418"/>
      <c r="H1544" s="417"/>
      <c r="I1544" s="418"/>
      <c r="J1544" s="432"/>
      <c r="K1544" s="420"/>
      <c r="L1544" s="417"/>
      <c r="M1544" s="415"/>
      <c r="N1544" s="422"/>
      <c r="O1544" s="75" t="str">
        <f t="shared" si="3"/>
        <v/>
      </c>
      <c r="P1544" s="403">
        <v>0.0</v>
      </c>
      <c r="Q1544" s="403">
        <v>0.0</v>
      </c>
      <c r="R1544" s="403"/>
      <c r="S1544" s="403"/>
      <c r="T1544" s="403"/>
      <c r="U1544" s="403"/>
      <c r="V1544" s="403"/>
      <c r="W1544" s="403"/>
      <c r="X1544" s="403"/>
      <c r="Y1544" s="403"/>
      <c r="Z1544" s="403"/>
    </row>
    <row r="1545">
      <c r="A1545" s="403"/>
      <c r="B1545" s="417"/>
      <c r="C1545" s="415"/>
      <c r="D1545" s="417"/>
      <c r="E1545" s="417"/>
      <c r="F1545" s="417"/>
      <c r="G1545" s="418"/>
      <c r="H1545" s="417"/>
      <c r="I1545" s="418"/>
      <c r="J1545" s="432"/>
      <c r="K1545" s="420"/>
      <c r="L1545" s="417"/>
      <c r="M1545" s="415"/>
      <c r="N1545" s="422"/>
      <c r="O1545" s="75" t="str">
        <f t="shared" si="3"/>
        <v/>
      </c>
      <c r="P1545" s="403">
        <v>0.0</v>
      </c>
      <c r="Q1545" s="403">
        <v>0.0</v>
      </c>
      <c r="R1545" s="403"/>
      <c r="S1545" s="403"/>
      <c r="T1545" s="403"/>
      <c r="U1545" s="403"/>
      <c r="V1545" s="403"/>
      <c r="W1545" s="403"/>
      <c r="X1545" s="403"/>
      <c r="Y1545" s="403"/>
      <c r="Z1545" s="403"/>
    </row>
    <row r="1546">
      <c r="A1546" s="403"/>
      <c r="B1546" s="417"/>
      <c r="C1546" s="415"/>
      <c r="D1546" s="417"/>
      <c r="E1546" s="417"/>
      <c r="F1546" s="417"/>
      <c r="G1546" s="418"/>
      <c r="H1546" s="417"/>
      <c r="I1546" s="418"/>
      <c r="J1546" s="432"/>
      <c r="K1546" s="420"/>
      <c r="L1546" s="417"/>
      <c r="M1546" s="415"/>
      <c r="N1546" s="422"/>
      <c r="O1546" s="75" t="str">
        <f t="shared" si="3"/>
        <v/>
      </c>
      <c r="P1546" s="403">
        <v>0.0</v>
      </c>
      <c r="Q1546" s="403">
        <v>0.0</v>
      </c>
      <c r="R1546" s="403"/>
      <c r="S1546" s="403"/>
      <c r="T1546" s="403"/>
      <c r="U1546" s="403"/>
      <c r="V1546" s="403"/>
      <c r="W1546" s="403"/>
      <c r="X1546" s="403"/>
      <c r="Y1546" s="403"/>
      <c r="Z1546" s="403"/>
    </row>
    <row r="1547">
      <c r="A1547" s="403"/>
      <c r="B1547" s="417"/>
      <c r="C1547" s="415"/>
      <c r="D1547" s="417"/>
      <c r="E1547" s="417"/>
      <c r="F1547" s="417"/>
      <c r="G1547" s="418"/>
      <c r="H1547" s="417"/>
      <c r="I1547" s="418"/>
      <c r="J1547" s="432"/>
      <c r="K1547" s="420"/>
      <c r="L1547" s="417"/>
      <c r="M1547" s="415"/>
      <c r="N1547" s="422"/>
      <c r="O1547" s="75" t="str">
        <f t="shared" si="3"/>
        <v/>
      </c>
      <c r="P1547" s="403">
        <v>0.0</v>
      </c>
      <c r="Q1547" s="403">
        <v>0.0</v>
      </c>
      <c r="R1547" s="403"/>
      <c r="S1547" s="403"/>
      <c r="T1547" s="403"/>
      <c r="U1547" s="403"/>
      <c r="V1547" s="403"/>
      <c r="W1547" s="403"/>
      <c r="X1547" s="403"/>
      <c r="Y1547" s="403"/>
      <c r="Z1547" s="403"/>
    </row>
    <row r="1548">
      <c r="A1548" s="403"/>
      <c r="B1548" s="417"/>
      <c r="C1548" s="415"/>
      <c r="D1548" s="417"/>
      <c r="E1548" s="417"/>
      <c r="F1548" s="417"/>
      <c r="G1548" s="418"/>
      <c r="H1548" s="417"/>
      <c r="I1548" s="418"/>
      <c r="J1548" s="432"/>
      <c r="K1548" s="420"/>
      <c r="L1548" s="417"/>
      <c r="M1548" s="415"/>
      <c r="N1548" s="422"/>
      <c r="O1548" s="75" t="str">
        <f t="shared" si="3"/>
        <v/>
      </c>
      <c r="P1548" s="403">
        <v>0.0</v>
      </c>
      <c r="Q1548" s="403">
        <v>0.0</v>
      </c>
      <c r="R1548" s="403"/>
      <c r="S1548" s="403"/>
      <c r="T1548" s="403"/>
      <c r="U1548" s="403"/>
      <c r="V1548" s="403"/>
      <c r="W1548" s="403"/>
      <c r="X1548" s="403"/>
      <c r="Y1548" s="403"/>
      <c r="Z1548" s="403"/>
    </row>
    <row r="1549">
      <c r="A1549" s="403"/>
      <c r="B1549" s="417"/>
      <c r="C1549" s="415"/>
      <c r="D1549" s="417"/>
      <c r="E1549" s="417"/>
      <c r="F1549" s="417"/>
      <c r="G1549" s="418"/>
      <c r="H1549" s="417"/>
      <c r="I1549" s="418"/>
      <c r="J1549" s="432"/>
      <c r="K1549" s="420"/>
      <c r="L1549" s="417"/>
      <c r="M1549" s="415"/>
      <c r="N1549" s="422"/>
      <c r="O1549" s="75" t="str">
        <f t="shared" si="3"/>
        <v/>
      </c>
      <c r="P1549" s="403">
        <v>0.0</v>
      </c>
      <c r="Q1549" s="403">
        <v>0.0</v>
      </c>
      <c r="R1549" s="403"/>
      <c r="S1549" s="403"/>
      <c r="T1549" s="403"/>
      <c r="U1549" s="403"/>
      <c r="V1549" s="403"/>
      <c r="W1549" s="403"/>
      <c r="X1549" s="403"/>
      <c r="Y1549" s="403"/>
      <c r="Z1549" s="403"/>
    </row>
    <row r="1550">
      <c r="A1550" s="403"/>
      <c r="B1550" s="417"/>
      <c r="C1550" s="415"/>
      <c r="D1550" s="417"/>
      <c r="E1550" s="417"/>
      <c r="F1550" s="417"/>
      <c r="G1550" s="418"/>
      <c r="H1550" s="417"/>
      <c r="I1550" s="418"/>
      <c r="J1550" s="432"/>
      <c r="K1550" s="420"/>
      <c r="L1550" s="417"/>
      <c r="M1550" s="415"/>
      <c r="N1550" s="422"/>
      <c r="O1550" s="75" t="str">
        <f t="shared" si="3"/>
        <v/>
      </c>
      <c r="P1550" s="403">
        <v>0.0</v>
      </c>
      <c r="Q1550" s="403">
        <v>0.0</v>
      </c>
      <c r="R1550" s="403"/>
      <c r="S1550" s="403"/>
      <c r="T1550" s="403"/>
      <c r="U1550" s="403"/>
      <c r="V1550" s="403"/>
      <c r="W1550" s="403"/>
      <c r="X1550" s="403"/>
      <c r="Y1550" s="403"/>
      <c r="Z1550" s="403"/>
    </row>
    <row r="1551">
      <c r="A1551" s="403"/>
      <c r="B1551" s="417"/>
      <c r="C1551" s="415"/>
      <c r="D1551" s="417"/>
      <c r="E1551" s="417"/>
      <c r="F1551" s="417"/>
      <c r="G1551" s="418"/>
      <c r="H1551" s="417"/>
      <c r="I1551" s="418"/>
      <c r="J1551" s="432"/>
      <c r="K1551" s="420"/>
      <c r="L1551" s="417"/>
      <c r="M1551" s="415"/>
      <c r="N1551" s="422"/>
      <c r="O1551" s="75" t="str">
        <f t="shared" si="3"/>
        <v/>
      </c>
      <c r="P1551" s="403">
        <v>0.0</v>
      </c>
      <c r="Q1551" s="403">
        <v>0.0</v>
      </c>
      <c r="R1551" s="403"/>
      <c r="S1551" s="403"/>
      <c r="T1551" s="403"/>
      <c r="U1551" s="403"/>
      <c r="V1551" s="403"/>
      <c r="W1551" s="403"/>
      <c r="X1551" s="403"/>
      <c r="Y1551" s="403"/>
      <c r="Z1551" s="403"/>
    </row>
    <row r="1552">
      <c r="A1552" s="403"/>
      <c r="B1552" s="417"/>
      <c r="C1552" s="415"/>
      <c r="D1552" s="417"/>
      <c r="E1552" s="417"/>
      <c r="F1552" s="417"/>
      <c r="G1552" s="418"/>
      <c r="H1552" s="417"/>
      <c r="I1552" s="418"/>
      <c r="J1552" s="432"/>
      <c r="K1552" s="420"/>
      <c r="L1552" s="417"/>
      <c r="M1552" s="415"/>
      <c r="N1552" s="422"/>
      <c r="O1552" s="75" t="str">
        <f t="shared" si="3"/>
        <v/>
      </c>
      <c r="P1552" s="403">
        <v>0.0</v>
      </c>
      <c r="Q1552" s="403">
        <v>0.0</v>
      </c>
      <c r="R1552" s="403"/>
      <c r="S1552" s="403"/>
      <c r="T1552" s="403"/>
      <c r="U1552" s="403"/>
      <c r="V1552" s="403"/>
      <c r="W1552" s="403"/>
      <c r="X1552" s="403"/>
      <c r="Y1552" s="403"/>
      <c r="Z1552" s="403"/>
    </row>
    <row r="1553">
      <c r="A1553" s="403"/>
      <c r="B1553" s="417"/>
      <c r="C1553" s="415"/>
      <c r="D1553" s="417"/>
      <c r="E1553" s="417"/>
      <c r="F1553" s="417"/>
      <c r="G1553" s="418"/>
      <c r="H1553" s="417"/>
      <c r="I1553" s="418"/>
      <c r="J1553" s="432"/>
      <c r="K1553" s="420"/>
      <c r="L1553" s="417"/>
      <c r="M1553" s="415"/>
      <c r="N1553" s="422"/>
      <c r="O1553" s="75" t="str">
        <f t="shared" si="3"/>
        <v/>
      </c>
      <c r="P1553" s="403">
        <v>0.0</v>
      </c>
      <c r="Q1553" s="403">
        <v>0.0</v>
      </c>
      <c r="R1553" s="403"/>
      <c r="S1553" s="403"/>
      <c r="T1553" s="403"/>
      <c r="U1553" s="403"/>
      <c r="V1553" s="403"/>
      <c r="W1553" s="403"/>
      <c r="X1553" s="403"/>
      <c r="Y1553" s="403"/>
      <c r="Z1553" s="403"/>
    </row>
    <row r="1554">
      <c r="A1554" s="403"/>
      <c r="B1554" s="417"/>
      <c r="C1554" s="415"/>
      <c r="D1554" s="417"/>
      <c r="E1554" s="417"/>
      <c r="F1554" s="417"/>
      <c r="G1554" s="418"/>
      <c r="H1554" s="417"/>
      <c r="I1554" s="418"/>
      <c r="J1554" s="432"/>
      <c r="K1554" s="420"/>
      <c r="L1554" s="417"/>
      <c r="M1554" s="415"/>
      <c r="N1554" s="422"/>
      <c r="O1554" s="75" t="str">
        <f t="shared" si="3"/>
        <v/>
      </c>
      <c r="P1554" s="403">
        <v>0.0</v>
      </c>
      <c r="Q1554" s="403">
        <v>0.0</v>
      </c>
      <c r="R1554" s="403"/>
      <c r="S1554" s="403"/>
      <c r="T1554" s="403"/>
      <c r="U1554" s="403"/>
      <c r="V1554" s="403"/>
      <c r="W1554" s="403"/>
      <c r="X1554" s="403"/>
      <c r="Y1554" s="403"/>
      <c r="Z1554" s="403"/>
    </row>
    <row r="1555">
      <c r="A1555" s="403"/>
      <c r="B1555" s="417"/>
      <c r="C1555" s="415"/>
      <c r="D1555" s="417"/>
      <c r="E1555" s="417"/>
      <c r="F1555" s="417"/>
      <c r="G1555" s="418"/>
      <c r="H1555" s="417"/>
      <c r="I1555" s="418"/>
      <c r="J1555" s="432"/>
      <c r="K1555" s="420"/>
      <c r="L1555" s="417"/>
      <c r="M1555" s="415"/>
      <c r="N1555" s="422"/>
      <c r="O1555" s="75" t="str">
        <f t="shared" si="3"/>
        <v/>
      </c>
      <c r="P1555" s="403">
        <v>0.0</v>
      </c>
      <c r="Q1555" s="403">
        <v>0.0</v>
      </c>
      <c r="R1555" s="403"/>
      <c r="S1555" s="403"/>
      <c r="T1555" s="403"/>
      <c r="U1555" s="403"/>
      <c r="V1555" s="403"/>
      <c r="W1555" s="403"/>
      <c r="X1555" s="403"/>
      <c r="Y1555" s="403"/>
      <c r="Z1555" s="403"/>
    </row>
    <row r="1556">
      <c r="A1556" s="403"/>
      <c r="B1556" s="417"/>
      <c r="C1556" s="415"/>
      <c r="D1556" s="417"/>
      <c r="E1556" s="417"/>
      <c r="F1556" s="417"/>
      <c r="G1556" s="418"/>
      <c r="H1556" s="417"/>
      <c r="I1556" s="418"/>
      <c r="J1556" s="432"/>
      <c r="K1556" s="420"/>
      <c r="L1556" s="417"/>
      <c r="M1556" s="415"/>
      <c r="N1556" s="422"/>
      <c r="O1556" s="75" t="str">
        <f t="shared" si="3"/>
        <v/>
      </c>
      <c r="P1556" s="403">
        <v>0.0</v>
      </c>
      <c r="Q1556" s="403">
        <v>0.0</v>
      </c>
      <c r="R1556" s="403"/>
      <c r="S1556" s="403"/>
      <c r="T1556" s="403"/>
      <c r="U1556" s="403"/>
      <c r="V1556" s="403"/>
      <c r="W1556" s="403"/>
      <c r="X1556" s="403"/>
      <c r="Y1556" s="403"/>
      <c r="Z1556" s="403"/>
    </row>
    <row r="1557">
      <c r="A1557" s="403"/>
      <c r="B1557" s="417"/>
      <c r="C1557" s="415"/>
      <c r="D1557" s="417"/>
      <c r="E1557" s="417"/>
      <c r="F1557" s="417"/>
      <c r="G1557" s="418"/>
      <c r="H1557" s="417"/>
      <c r="I1557" s="418"/>
      <c r="J1557" s="432"/>
      <c r="K1557" s="420"/>
      <c r="L1557" s="417"/>
      <c r="M1557" s="415"/>
      <c r="N1557" s="422"/>
      <c r="O1557" s="75" t="str">
        <f t="shared" si="3"/>
        <v/>
      </c>
      <c r="P1557" s="403">
        <v>0.0</v>
      </c>
      <c r="Q1557" s="403">
        <v>0.0</v>
      </c>
      <c r="R1557" s="403"/>
      <c r="S1557" s="403"/>
      <c r="T1557" s="403"/>
      <c r="U1557" s="403"/>
      <c r="V1557" s="403"/>
      <c r="W1557" s="403"/>
      <c r="X1557" s="403"/>
      <c r="Y1557" s="403"/>
      <c r="Z1557" s="403"/>
    </row>
    <row r="1558">
      <c r="A1558" s="403"/>
      <c r="B1558" s="417"/>
      <c r="C1558" s="415"/>
      <c r="D1558" s="417"/>
      <c r="E1558" s="417"/>
      <c r="F1558" s="417"/>
      <c r="G1558" s="418"/>
      <c r="H1558" s="417"/>
      <c r="I1558" s="418"/>
      <c r="J1558" s="432"/>
      <c r="K1558" s="420"/>
      <c r="L1558" s="417"/>
      <c r="M1558" s="415"/>
      <c r="N1558" s="422"/>
      <c r="O1558" s="75" t="str">
        <f t="shared" si="3"/>
        <v/>
      </c>
      <c r="P1558" s="403">
        <v>0.0</v>
      </c>
      <c r="Q1558" s="403">
        <v>0.0</v>
      </c>
      <c r="R1558" s="403"/>
      <c r="S1558" s="403"/>
      <c r="T1558" s="403"/>
      <c r="U1558" s="403"/>
      <c r="V1558" s="403"/>
      <c r="W1558" s="403"/>
      <c r="X1558" s="403"/>
      <c r="Y1558" s="403"/>
      <c r="Z1558" s="403"/>
    </row>
    <row r="1559">
      <c r="A1559" s="403"/>
      <c r="B1559" s="417"/>
      <c r="C1559" s="415"/>
      <c r="D1559" s="417"/>
      <c r="E1559" s="417"/>
      <c r="F1559" s="417"/>
      <c r="G1559" s="418"/>
      <c r="H1559" s="417"/>
      <c r="I1559" s="418"/>
      <c r="J1559" s="432"/>
      <c r="K1559" s="420"/>
      <c r="L1559" s="417"/>
      <c r="M1559" s="415"/>
      <c r="N1559" s="422"/>
      <c r="O1559" s="75" t="str">
        <f t="shared" si="3"/>
        <v/>
      </c>
      <c r="P1559" s="403">
        <v>0.0</v>
      </c>
      <c r="Q1559" s="403">
        <v>0.0</v>
      </c>
      <c r="R1559" s="403"/>
      <c r="S1559" s="403"/>
      <c r="T1559" s="403"/>
      <c r="U1559" s="403"/>
      <c r="V1559" s="403"/>
      <c r="W1559" s="403"/>
      <c r="X1559" s="403"/>
      <c r="Y1559" s="403"/>
      <c r="Z1559" s="403"/>
    </row>
    <row r="1560">
      <c r="A1560" s="403"/>
      <c r="B1560" s="417"/>
      <c r="C1560" s="415"/>
      <c r="D1560" s="417"/>
      <c r="E1560" s="417"/>
      <c r="F1560" s="417"/>
      <c r="G1560" s="418"/>
      <c r="H1560" s="417"/>
      <c r="I1560" s="418"/>
      <c r="J1560" s="432"/>
      <c r="K1560" s="420"/>
      <c r="L1560" s="417"/>
      <c r="M1560" s="415"/>
      <c r="N1560" s="422"/>
      <c r="O1560" s="75" t="str">
        <f t="shared" si="3"/>
        <v/>
      </c>
      <c r="P1560" s="403">
        <v>0.0</v>
      </c>
      <c r="Q1560" s="403">
        <v>0.0</v>
      </c>
      <c r="R1560" s="403"/>
      <c r="S1560" s="403"/>
      <c r="T1560" s="403"/>
      <c r="U1560" s="403"/>
      <c r="V1560" s="403"/>
      <c r="W1560" s="403"/>
      <c r="X1560" s="403"/>
      <c r="Y1560" s="403"/>
      <c r="Z1560" s="403"/>
    </row>
    <row r="1561">
      <c r="A1561" s="403"/>
      <c r="B1561" s="417"/>
      <c r="C1561" s="415"/>
      <c r="D1561" s="417"/>
      <c r="E1561" s="417"/>
      <c r="F1561" s="417"/>
      <c r="G1561" s="418"/>
      <c r="H1561" s="417"/>
      <c r="I1561" s="418"/>
      <c r="J1561" s="432"/>
      <c r="K1561" s="420"/>
      <c r="L1561" s="417"/>
      <c r="M1561" s="415"/>
      <c r="N1561" s="422"/>
      <c r="O1561" s="75" t="str">
        <f t="shared" si="3"/>
        <v/>
      </c>
      <c r="P1561" s="403">
        <v>0.0</v>
      </c>
      <c r="Q1561" s="403">
        <v>0.0</v>
      </c>
      <c r="R1561" s="403"/>
      <c r="S1561" s="403"/>
      <c r="T1561" s="403"/>
      <c r="U1561" s="403"/>
      <c r="V1561" s="403"/>
      <c r="W1561" s="403"/>
      <c r="X1561" s="403"/>
      <c r="Y1561" s="403"/>
      <c r="Z1561" s="403"/>
    </row>
    <row r="1562">
      <c r="A1562" s="403"/>
      <c r="B1562" s="417"/>
      <c r="C1562" s="415"/>
      <c r="D1562" s="417"/>
      <c r="E1562" s="417"/>
      <c r="F1562" s="417"/>
      <c r="G1562" s="418"/>
      <c r="H1562" s="417"/>
      <c r="I1562" s="418"/>
      <c r="J1562" s="432"/>
      <c r="K1562" s="420"/>
      <c r="L1562" s="417"/>
      <c r="M1562" s="415"/>
      <c r="N1562" s="422"/>
      <c r="O1562" s="75" t="str">
        <f t="shared" si="3"/>
        <v/>
      </c>
      <c r="P1562" s="403">
        <v>0.0</v>
      </c>
      <c r="Q1562" s="403">
        <v>0.0</v>
      </c>
      <c r="R1562" s="403"/>
      <c r="S1562" s="403"/>
      <c r="T1562" s="403"/>
      <c r="U1562" s="403"/>
      <c r="V1562" s="403"/>
      <c r="W1562" s="403"/>
      <c r="X1562" s="403"/>
      <c r="Y1562" s="403"/>
      <c r="Z1562" s="403"/>
    </row>
    <row r="1563">
      <c r="A1563" s="403"/>
      <c r="B1563" s="417"/>
      <c r="C1563" s="415"/>
      <c r="D1563" s="417"/>
      <c r="E1563" s="417"/>
      <c r="F1563" s="417"/>
      <c r="G1563" s="418"/>
      <c r="H1563" s="417"/>
      <c r="I1563" s="418"/>
      <c r="J1563" s="432"/>
      <c r="K1563" s="420"/>
      <c r="L1563" s="417"/>
      <c r="M1563" s="415"/>
      <c r="N1563" s="422"/>
      <c r="O1563" s="75" t="str">
        <f t="shared" si="3"/>
        <v/>
      </c>
      <c r="P1563" s="403">
        <v>0.0</v>
      </c>
      <c r="Q1563" s="403">
        <v>0.0</v>
      </c>
      <c r="R1563" s="403"/>
      <c r="S1563" s="403"/>
      <c r="T1563" s="403"/>
      <c r="U1563" s="403"/>
      <c r="V1563" s="403"/>
      <c r="W1563" s="403"/>
      <c r="X1563" s="403"/>
      <c r="Y1563" s="403"/>
      <c r="Z1563" s="403"/>
    </row>
    <row r="1564">
      <c r="A1564" s="403"/>
      <c r="B1564" s="417"/>
      <c r="C1564" s="415"/>
      <c r="D1564" s="417"/>
      <c r="E1564" s="417"/>
      <c r="F1564" s="417"/>
      <c r="G1564" s="418"/>
      <c r="H1564" s="417"/>
      <c r="I1564" s="418"/>
      <c r="J1564" s="432"/>
      <c r="K1564" s="420"/>
      <c r="L1564" s="417"/>
      <c r="M1564" s="415"/>
      <c r="N1564" s="422"/>
      <c r="O1564" s="75" t="str">
        <f t="shared" si="3"/>
        <v/>
      </c>
      <c r="P1564" s="403">
        <v>0.0</v>
      </c>
      <c r="Q1564" s="403">
        <v>0.0</v>
      </c>
      <c r="R1564" s="403"/>
      <c r="S1564" s="403"/>
      <c r="T1564" s="403"/>
      <c r="U1564" s="403"/>
      <c r="V1564" s="403"/>
      <c r="W1564" s="403"/>
      <c r="X1564" s="403"/>
      <c r="Y1564" s="403"/>
      <c r="Z1564" s="403"/>
    </row>
    <row r="1565">
      <c r="A1565" s="403"/>
      <c r="B1565" s="417"/>
      <c r="C1565" s="415"/>
      <c r="D1565" s="417"/>
      <c r="E1565" s="417"/>
      <c r="F1565" s="417"/>
      <c r="G1565" s="418"/>
      <c r="H1565" s="417"/>
      <c r="I1565" s="418"/>
      <c r="J1565" s="432"/>
      <c r="K1565" s="420"/>
      <c r="L1565" s="417"/>
      <c r="M1565" s="415"/>
      <c r="N1565" s="422"/>
      <c r="O1565" s="75" t="str">
        <f t="shared" si="3"/>
        <v/>
      </c>
      <c r="P1565" s="403">
        <v>0.0</v>
      </c>
      <c r="Q1565" s="403">
        <v>0.0</v>
      </c>
      <c r="R1565" s="403"/>
      <c r="S1565" s="403"/>
      <c r="T1565" s="403"/>
      <c r="U1565" s="403"/>
      <c r="V1565" s="403"/>
      <c r="W1565" s="403"/>
      <c r="X1565" s="403"/>
      <c r="Y1565" s="403"/>
      <c r="Z1565" s="403"/>
    </row>
    <row r="1566">
      <c r="A1566" s="403"/>
      <c r="B1566" s="417"/>
      <c r="C1566" s="415"/>
      <c r="D1566" s="417"/>
      <c r="E1566" s="417"/>
      <c r="F1566" s="417"/>
      <c r="G1566" s="418"/>
      <c r="H1566" s="417"/>
      <c r="I1566" s="418"/>
      <c r="J1566" s="432"/>
      <c r="K1566" s="420"/>
      <c r="L1566" s="417"/>
      <c r="M1566" s="415"/>
      <c r="N1566" s="422"/>
      <c r="O1566" s="75" t="str">
        <f t="shared" si="3"/>
        <v/>
      </c>
      <c r="P1566" s="403">
        <v>0.0</v>
      </c>
      <c r="Q1566" s="403">
        <v>0.0</v>
      </c>
      <c r="R1566" s="403"/>
      <c r="S1566" s="403"/>
      <c r="T1566" s="403"/>
      <c r="U1566" s="403"/>
      <c r="V1566" s="403"/>
      <c r="W1566" s="403"/>
      <c r="X1566" s="403"/>
      <c r="Y1566" s="403"/>
      <c r="Z1566" s="403"/>
    </row>
    <row r="1567">
      <c r="A1567" s="403"/>
      <c r="B1567" s="417"/>
      <c r="C1567" s="415"/>
      <c r="D1567" s="417"/>
      <c r="E1567" s="417"/>
      <c r="F1567" s="417"/>
      <c r="G1567" s="418"/>
      <c r="H1567" s="417"/>
      <c r="I1567" s="418"/>
      <c r="J1567" s="432"/>
      <c r="K1567" s="420"/>
      <c r="L1567" s="417"/>
      <c r="M1567" s="415"/>
      <c r="N1567" s="422"/>
      <c r="O1567" s="75" t="str">
        <f t="shared" si="3"/>
        <v/>
      </c>
      <c r="P1567" s="403">
        <v>0.0</v>
      </c>
      <c r="Q1567" s="403">
        <v>0.0</v>
      </c>
      <c r="R1567" s="403"/>
      <c r="S1567" s="403"/>
      <c r="T1567" s="403"/>
      <c r="U1567" s="403"/>
      <c r="V1567" s="403"/>
      <c r="W1567" s="403"/>
      <c r="X1567" s="403"/>
      <c r="Y1567" s="403"/>
      <c r="Z1567" s="403"/>
    </row>
    <row r="1568">
      <c r="A1568" s="403"/>
      <c r="B1568" s="417"/>
      <c r="C1568" s="415"/>
      <c r="D1568" s="417"/>
      <c r="E1568" s="417"/>
      <c r="F1568" s="417"/>
      <c r="G1568" s="418"/>
      <c r="H1568" s="417"/>
      <c r="I1568" s="418"/>
      <c r="J1568" s="432"/>
      <c r="K1568" s="420"/>
      <c r="L1568" s="417"/>
      <c r="M1568" s="415"/>
      <c r="N1568" s="422"/>
      <c r="O1568" s="75" t="str">
        <f t="shared" si="3"/>
        <v/>
      </c>
      <c r="P1568" s="403">
        <v>0.0</v>
      </c>
      <c r="Q1568" s="403">
        <v>0.0</v>
      </c>
      <c r="R1568" s="403"/>
      <c r="S1568" s="403"/>
      <c r="T1568" s="403"/>
      <c r="U1568" s="403"/>
      <c r="V1568" s="403"/>
      <c r="W1568" s="403"/>
      <c r="X1568" s="403"/>
      <c r="Y1568" s="403"/>
      <c r="Z1568" s="403"/>
    </row>
    <row r="1569">
      <c r="A1569" s="403"/>
      <c r="B1569" s="417"/>
      <c r="C1569" s="415"/>
      <c r="D1569" s="417"/>
      <c r="E1569" s="417"/>
      <c r="F1569" s="417"/>
      <c r="G1569" s="418"/>
      <c r="H1569" s="417"/>
      <c r="I1569" s="418"/>
      <c r="J1569" s="432"/>
      <c r="K1569" s="420"/>
      <c r="L1569" s="417"/>
      <c r="M1569" s="415"/>
      <c r="N1569" s="422"/>
      <c r="O1569" s="75" t="str">
        <f t="shared" si="3"/>
        <v/>
      </c>
      <c r="P1569" s="403">
        <v>0.0</v>
      </c>
      <c r="Q1569" s="403">
        <v>0.0</v>
      </c>
      <c r="R1569" s="403"/>
      <c r="S1569" s="403"/>
      <c r="T1569" s="403"/>
      <c r="U1569" s="403"/>
      <c r="V1569" s="403"/>
      <c r="W1569" s="403"/>
      <c r="X1569" s="403"/>
      <c r="Y1569" s="403"/>
      <c r="Z1569" s="403"/>
    </row>
    <row r="1570">
      <c r="A1570" s="403"/>
      <c r="B1570" s="417"/>
      <c r="C1570" s="415"/>
      <c r="D1570" s="417"/>
      <c r="E1570" s="417"/>
      <c r="F1570" s="417"/>
      <c r="G1570" s="418"/>
      <c r="H1570" s="417"/>
      <c r="I1570" s="418"/>
      <c r="J1570" s="432"/>
      <c r="K1570" s="420"/>
      <c r="L1570" s="417"/>
      <c r="M1570" s="415"/>
      <c r="N1570" s="422"/>
      <c r="O1570" s="75" t="str">
        <f t="shared" si="3"/>
        <v/>
      </c>
      <c r="P1570" s="403">
        <v>0.0</v>
      </c>
      <c r="Q1570" s="403">
        <v>0.0</v>
      </c>
      <c r="R1570" s="403"/>
      <c r="S1570" s="403"/>
      <c r="T1570" s="403"/>
      <c r="U1570" s="403"/>
      <c r="V1570" s="403"/>
      <c r="W1570" s="403"/>
      <c r="X1570" s="403"/>
      <c r="Y1570" s="403"/>
      <c r="Z1570" s="403"/>
    </row>
    <row r="1571">
      <c r="A1571" s="403"/>
      <c r="B1571" s="417"/>
      <c r="C1571" s="415"/>
      <c r="D1571" s="417"/>
      <c r="E1571" s="417"/>
      <c r="F1571" s="417"/>
      <c r="G1571" s="418"/>
      <c r="H1571" s="417"/>
      <c r="I1571" s="418"/>
      <c r="J1571" s="432"/>
      <c r="K1571" s="420"/>
      <c r="L1571" s="417"/>
      <c r="M1571" s="415"/>
      <c r="N1571" s="422"/>
      <c r="O1571" s="75" t="str">
        <f t="shared" si="3"/>
        <v/>
      </c>
      <c r="P1571" s="403">
        <v>0.0</v>
      </c>
      <c r="Q1571" s="403">
        <v>0.0</v>
      </c>
      <c r="R1571" s="403"/>
      <c r="S1571" s="403"/>
      <c r="T1571" s="403"/>
      <c r="U1571" s="403"/>
      <c r="V1571" s="403"/>
      <c r="W1571" s="403"/>
      <c r="X1571" s="403"/>
      <c r="Y1571" s="403"/>
      <c r="Z1571" s="403"/>
    </row>
    <row r="1572">
      <c r="A1572" s="403"/>
      <c r="B1572" s="417"/>
      <c r="C1572" s="415"/>
      <c r="D1572" s="417"/>
      <c r="E1572" s="417"/>
      <c r="F1572" s="417"/>
      <c r="G1572" s="418"/>
      <c r="H1572" s="417"/>
      <c r="I1572" s="418"/>
      <c r="J1572" s="432"/>
      <c r="K1572" s="420"/>
      <c r="L1572" s="417"/>
      <c r="M1572" s="415"/>
      <c r="N1572" s="422"/>
      <c r="O1572" s="75" t="str">
        <f t="shared" si="3"/>
        <v/>
      </c>
      <c r="P1572" s="403">
        <v>0.0</v>
      </c>
      <c r="Q1572" s="403">
        <v>0.0</v>
      </c>
      <c r="R1572" s="403"/>
      <c r="S1572" s="403"/>
      <c r="T1572" s="403"/>
      <c r="U1572" s="403"/>
      <c r="V1572" s="403"/>
      <c r="W1572" s="403"/>
      <c r="X1572" s="403"/>
      <c r="Y1572" s="403"/>
      <c r="Z1572" s="403"/>
    </row>
    <row r="1573">
      <c r="A1573" s="403"/>
      <c r="B1573" s="417"/>
      <c r="C1573" s="415"/>
      <c r="D1573" s="417"/>
      <c r="E1573" s="417"/>
      <c r="F1573" s="417"/>
      <c r="G1573" s="418"/>
      <c r="H1573" s="417"/>
      <c r="I1573" s="418"/>
      <c r="J1573" s="432"/>
      <c r="K1573" s="420"/>
      <c r="L1573" s="417"/>
      <c r="M1573" s="415"/>
      <c r="N1573" s="422"/>
      <c r="O1573" s="75" t="str">
        <f t="shared" si="3"/>
        <v/>
      </c>
      <c r="P1573" s="403">
        <v>0.0</v>
      </c>
      <c r="Q1573" s="403">
        <v>0.0</v>
      </c>
      <c r="R1573" s="403"/>
      <c r="S1573" s="403"/>
      <c r="T1573" s="403"/>
      <c r="U1573" s="403"/>
      <c r="V1573" s="403"/>
      <c r="W1573" s="403"/>
      <c r="X1573" s="403"/>
      <c r="Y1573" s="403"/>
      <c r="Z1573" s="403"/>
    </row>
    <row r="1574">
      <c r="A1574" s="403"/>
      <c r="B1574" s="417"/>
      <c r="C1574" s="415"/>
      <c r="D1574" s="417"/>
      <c r="E1574" s="417"/>
      <c r="F1574" s="417"/>
      <c r="G1574" s="418"/>
      <c r="H1574" s="417"/>
      <c r="I1574" s="418"/>
      <c r="J1574" s="432"/>
      <c r="K1574" s="420"/>
      <c r="L1574" s="417"/>
      <c r="M1574" s="415"/>
      <c r="N1574" s="422"/>
      <c r="O1574" s="75" t="str">
        <f t="shared" si="3"/>
        <v/>
      </c>
      <c r="P1574" s="403">
        <v>0.0</v>
      </c>
      <c r="Q1574" s="403">
        <v>0.0</v>
      </c>
      <c r="R1574" s="403"/>
      <c r="S1574" s="403"/>
      <c r="T1574" s="403"/>
      <c r="U1574" s="403"/>
      <c r="V1574" s="403"/>
      <c r="W1574" s="403"/>
      <c r="X1574" s="403"/>
      <c r="Y1574" s="403"/>
      <c r="Z1574" s="403"/>
    </row>
    <row r="1575">
      <c r="A1575" s="403"/>
      <c r="B1575" s="417"/>
      <c r="C1575" s="415"/>
      <c r="D1575" s="417"/>
      <c r="E1575" s="417"/>
      <c r="F1575" s="417"/>
      <c r="G1575" s="418"/>
      <c r="H1575" s="417"/>
      <c r="I1575" s="418"/>
      <c r="J1575" s="432"/>
      <c r="K1575" s="420"/>
      <c r="L1575" s="417"/>
      <c r="M1575" s="415"/>
      <c r="N1575" s="422"/>
      <c r="O1575" s="75" t="str">
        <f t="shared" si="3"/>
        <v/>
      </c>
      <c r="P1575" s="403">
        <v>0.0</v>
      </c>
      <c r="Q1575" s="403">
        <v>0.0</v>
      </c>
      <c r="R1575" s="403"/>
      <c r="S1575" s="403"/>
      <c r="T1575" s="403"/>
      <c r="U1575" s="403"/>
      <c r="V1575" s="403"/>
      <c r="W1575" s="403"/>
      <c r="X1575" s="403"/>
      <c r="Y1575" s="403"/>
      <c r="Z1575" s="403"/>
    </row>
    <row r="1576">
      <c r="A1576" s="403"/>
      <c r="B1576" s="417"/>
      <c r="C1576" s="415"/>
      <c r="D1576" s="417"/>
      <c r="E1576" s="417"/>
      <c r="F1576" s="417"/>
      <c r="G1576" s="418"/>
      <c r="H1576" s="417"/>
      <c r="I1576" s="418"/>
      <c r="J1576" s="432"/>
      <c r="K1576" s="420"/>
      <c r="L1576" s="417"/>
      <c r="M1576" s="415"/>
      <c r="N1576" s="422"/>
      <c r="O1576" s="75" t="str">
        <f t="shared" si="3"/>
        <v/>
      </c>
      <c r="P1576" s="403">
        <v>0.0</v>
      </c>
      <c r="Q1576" s="403">
        <v>0.0</v>
      </c>
      <c r="R1576" s="403"/>
      <c r="S1576" s="403"/>
      <c r="T1576" s="403"/>
      <c r="U1576" s="403"/>
      <c r="V1576" s="403"/>
      <c r="W1576" s="403"/>
      <c r="X1576" s="403"/>
      <c r="Y1576" s="403"/>
      <c r="Z1576" s="403"/>
    </row>
    <row r="1577">
      <c r="A1577" s="403"/>
      <c r="B1577" s="417"/>
      <c r="C1577" s="415"/>
      <c r="D1577" s="417"/>
      <c r="E1577" s="417"/>
      <c r="F1577" s="417"/>
      <c r="G1577" s="418"/>
      <c r="H1577" s="417"/>
      <c r="I1577" s="418"/>
      <c r="J1577" s="432"/>
      <c r="K1577" s="420"/>
      <c r="L1577" s="417"/>
      <c r="M1577" s="415"/>
      <c r="N1577" s="422"/>
      <c r="O1577" s="75" t="str">
        <f t="shared" si="3"/>
        <v/>
      </c>
      <c r="P1577" s="403">
        <v>0.0</v>
      </c>
      <c r="Q1577" s="403">
        <v>0.0</v>
      </c>
      <c r="R1577" s="403"/>
      <c r="S1577" s="403"/>
      <c r="T1577" s="403"/>
      <c r="U1577" s="403"/>
      <c r="V1577" s="403"/>
      <c r="W1577" s="403"/>
      <c r="X1577" s="403"/>
      <c r="Y1577" s="403"/>
      <c r="Z1577" s="403"/>
    </row>
    <row r="1578">
      <c r="A1578" s="403"/>
      <c r="B1578" s="417"/>
      <c r="C1578" s="415"/>
      <c r="D1578" s="417"/>
      <c r="E1578" s="417"/>
      <c r="F1578" s="417"/>
      <c r="G1578" s="418"/>
      <c r="H1578" s="417"/>
      <c r="I1578" s="418"/>
      <c r="J1578" s="432"/>
      <c r="K1578" s="420"/>
      <c r="L1578" s="417"/>
      <c r="M1578" s="415"/>
      <c r="N1578" s="422"/>
      <c r="O1578" s="75" t="str">
        <f t="shared" si="3"/>
        <v/>
      </c>
      <c r="P1578" s="403">
        <v>0.0</v>
      </c>
      <c r="Q1578" s="403">
        <v>0.0</v>
      </c>
      <c r="R1578" s="403"/>
      <c r="S1578" s="403"/>
      <c r="T1578" s="403"/>
      <c r="U1578" s="403"/>
      <c r="V1578" s="403"/>
      <c r="W1578" s="403"/>
      <c r="X1578" s="403"/>
      <c r="Y1578" s="403"/>
      <c r="Z1578" s="403"/>
    </row>
    <row r="1579">
      <c r="A1579" s="403"/>
      <c r="B1579" s="417"/>
      <c r="C1579" s="415"/>
      <c r="D1579" s="417"/>
      <c r="E1579" s="417"/>
      <c r="F1579" s="417"/>
      <c r="G1579" s="418"/>
      <c r="H1579" s="417"/>
      <c r="I1579" s="418"/>
      <c r="J1579" s="432"/>
      <c r="K1579" s="420"/>
      <c r="L1579" s="417"/>
      <c r="M1579" s="415"/>
      <c r="N1579" s="422"/>
      <c r="O1579" s="75" t="str">
        <f t="shared" si="3"/>
        <v/>
      </c>
      <c r="P1579" s="403">
        <v>0.0</v>
      </c>
      <c r="Q1579" s="403">
        <v>0.0</v>
      </c>
      <c r="R1579" s="403"/>
      <c r="S1579" s="403"/>
      <c r="T1579" s="403"/>
      <c r="U1579" s="403"/>
      <c r="V1579" s="403"/>
      <c r="W1579" s="403"/>
      <c r="X1579" s="403"/>
      <c r="Y1579" s="403"/>
      <c r="Z1579" s="403"/>
    </row>
    <row r="1580">
      <c r="A1580" s="403"/>
      <c r="B1580" s="417"/>
      <c r="C1580" s="415"/>
      <c r="D1580" s="417"/>
      <c r="E1580" s="417"/>
      <c r="F1580" s="417"/>
      <c r="G1580" s="418"/>
      <c r="H1580" s="417"/>
      <c r="I1580" s="418"/>
      <c r="J1580" s="432"/>
      <c r="K1580" s="420"/>
      <c r="L1580" s="417"/>
      <c r="M1580" s="415"/>
      <c r="N1580" s="422"/>
      <c r="O1580" s="75" t="str">
        <f t="shared" si="3"/>
        <v/>
      </c>
      <c r="P1580" s="403">
        <v>0.0</v>
      </c>
      <c r="Q1580" s="403">
        <v>0.0</v>
      </c>
      <c r="R1580" s="403"/>
      <c r="S1580" s="403"/>
      <c r="T1580" s="403"/>
      <c r="U1580" s="403"/>
      <c r="V1580" s="403"/>
      <c r="W1580" s="403"/>
      <c r="X1580" s="403"/>
      <c r="Y1580" s="403"/>
      <c r="Z1580" s="403"/>
    </row>
    <row r="1581">
      <c r="A1581" s="403"/>
      <c r="B1581" s="417"/>
      <c r="C1581" s="415"/>
      <c r="D1581" s="417"/>
      <c r="E1581" s="417"/>
      <c r="F1581" s="417"/>
      <c r="G1581" s="418"/>
      <c r="H1581" s="417"/>
      <c r="I1581" s="418"/>
      <c r="J1581" s="432"/>
      <c r="K1581" s="420"/>
      <c r="L1581" s="417"/>
      <c r="M1581" s="415"/>
      <c r="N1581" s="422"/>
      <c r="O1581" s="75" t="str">
        <f t="shared" si="3"/>
        <v/>
      </c>
      <c r="P1581" s="403">
        <v>0.0</v>
      </c>
      <c r="Q1581" s="403">
        <v>0.0</v>
      </c>
      <c r="R1581" s="403"/>
      <c r="S1581" s="403"/>
      <c r="T1581" s="403"/>
      <c r="U1581" s="403"/>
      <c r="V1581" s="403"/>
      <c r="W1581" s="403"/>
      <c r="X1581" s="403"/>
      <c r="Y1581" s="403"/>
      <c r="Z1581" s="403"/>
    </row>
    <row r="1582">
      <c r="A1582" s="403"/>
      <c r="B1582" s="417"/>
      <c r="C1582" s="415"/>
      <c r="D1582" s="417"/>
      <c r="E1582" s="417"/>
      <c r="F1582" s="417"/>
      <c r="G1582" s="418"/>
      <c r="H1582" s="417"/>
      <c r="I1582" s="418"/>
      <c r="J1582" s="432"/>
      <c r="K1582" s="420"/>
      <c r="L1582" s="417"/>
      <c r="M1582" s="415"/>
      <c r="N1582" s="422"/>
      <c r="O1582" s="75" t="str">
        <f t="shared" si="3"/>
        <v/>
      </c>
      <c r="P1582" s="403">
        <v>0.0</v>
      </c>
      <c r="Q1582" s="403">
        <v>0.0</v>
      </c>
      <c r="R1582" s="403"/>
      <c r="S1582" s="403"/>
      <c r="T1582" s="403"/>
      <c r="U1582" s="403"/>
      <c r="V1582" s="403"/>
      <c r="W1582" s="403"/>
      <c r="X1582" s="403"/>
      <c r="Y1582" s="403"/>
      <c r="Z1582" s="403"/>
    </row>
    <row r="1583">
      <c r="A1583" s="403"/>
      <c r="B1583" s="417"/>
      <c r="C1583" s="415"/>
      <c r="D1583" s="417"/>
      <c r="E1583" s="417"/>
      <c r="F1583" s="417"/>
      <c r="G1583" s="418"/>
      <c r="H1583" s="417"/>
      <c r="I1583" s="418"/>
      <c r="J1583" s="432"/>
      <c r="K1583" s="420"/>
      <c r="L1583" s="417"/>
      <c r="M1583" s="415"/>
      <c r="N1583" s="422"/>
      <c r="O1583" s="75" t="str">
        <f t="shared" si="3"/>
        <v/>
      </c>
      <c r="P1583" s="403">
        <v>0.0</v>
      </c>
      <c r="Q1583" s="403">
        <v>0.0</v>
      </c>
      <c r="R1583" s="403"/>
      <c r="S1583" s="403"/>
      <c r="T1583" s="403"/>
      <c r="U1583" s="403"/>
      <c r="V1583" s="403"/>
      <c r="W1583" s="403"/>
      <c r="X1583" s="403"/>
      <c r="Y1583" s="403"/>
      <c r="Z1583" s="403"/>
    </row>
    <row r="1584">
      <c r="A1584" s="403"/>
      <c r="B1584" s="417"/>
      <c r="C1584" s="415"/>
      <c r="D1584" s="417"/>
      <c r="E1584" s="417"/>
      <c r="F1584" s="417"/>
      <c r="G1584" s="418"/>
      <c r="H1584" s="417"/>
      <c r="I1584" s="418"/>
      <c r="J1584" s="432"/>
      <c r="K1584" s="420"/>
      <c r="L1584" s="417"/>
      <c r="M1584" s="415"/>
      <c r="N1584" s="422"/>
      <c r="O1584" s="75" t="str">
        <f t="shared" si="3"/>
        <v/>
      </c>
      <c r="P1584" s="403">
        <v>0.0</v>
      </c>
      <c r="Q1584" s="403">
        <v>0.0</v>
      </c>
      <c r="R1584" s="403"/>
      <c r="S1584" s="403"/>
      <c r="T1584" s="403"/>
      <c r="U1584" s="403"/>
      <c r="V1584" s="403"/>
      <c r="W1584" s="403"/>
      <c r="X1584" s="403"/>
      <c r="Y1584" s="403"/>
      <c r="Z1584" s="403"/>
    </row>
    <row r="1585">
      <c r="A1585" s="403"/>
      <c r="B1585" s="417"/>
      <c r="C1585" s="415"/>
      <c r="D1585" s="417"/>
      <c r="E1585" s="417"/>
      <c r="F1585" s="417"/>
      <c r="G1585" s="418"/>
      <c r="H1585" s="417"/>
      <c r="I1585" s="418"/>
      <c r="J1585" s="432"/>
      <c r="K1585" s="420"/>
      <c r="L1585" s="417"/>
      <c r="M1585" s="415"/>
      <c r="N1585" s="422"/>
      <c r="O1585" s="75" t="str">
        <f t="shared" si="3"/>
        <v/>
      </c>
      <c r="P1585" s="403">
        <v>0.0</v>
      </c>
      <c r="Q1585" s="403">
        <v>0.0</v>
      </c>
      <c r="R1585" s="403"/>
      <c r="S1585" s="403"/>
      <c r="T1585" s="403"/>
      <c r="U1585" s="403"/>
      <c r="V1585" s="403"/>
      <c r="W1585" s="403"/>
      <c r="X1585" s="403"/>
      <c r="Y1585" s="403"/>
      <c r="Z1585" s="403"/>
    </row>
    <row r="1586">
      <c r="A1586" s="403"/>
      <c r="B1586" s="417"/>
      <c r="C1586" s="415"/>
      <c r="D1586" s="417"/>
      <c r="E1586" s="417"/>
      <c r="F1586" s="417"/>
      <c r="G1586" s="418"/>
      <c r="H1586" s="417"/>
      <c r="I1586" s="418"/>
      <c r="J1586" s="432"/>
      <c r="K1586" s="420"/>
      <c r="L1586" s="417"/>
      <c r="M1586" s="415"/>
      <c r="N1586" s="422"/>
      <c r="O1586" s="75" t="str">
        <f t="shared" si="3"/>
        <v/>
      </c>
      <c r="P1586" s="403">
        <v>0.0</v>
      </c>
      <c r="Q1586" s="403">
        <v>0.0</v>
      </c>
      <c r="R1586" s="403"/>
      <c r="S1586" s="403"/>
      <c r="T1586" s="403"/>
      <c r="U1586" s="403"/>
      <c r="V1586" s="403"/>
      <c r="W1586" s="403"/>
      <c r="X1586" s="403"/>
      <c r="Y1586" s="403"/>
      <c r="Z1586" s="403"/>
    </row>
    <row r="1587">
      <c r="A1587" s="403"/>
      <c r="B1587" s="417"/>
      <c r="C1587" s="415"/>
      <c r="D1587" s="417"/>
      <c r="E1587" s="417"/>
      <c r="F1587" s="417"/>
      <c r="G1587" s="418"/>
      <c r="H1587" s="417"/>
      <c r="I1587" s="418"/>
      <c r="J1587" s="432"/>
      <c r="K1587" s="420"/>
      <c r="L1587" s="417"/>
      <c r="M1587" s="415"/>
      <c r="N1587" s="422"/>
      <c r="O1587" s="75" t="str">
        <f t="shared" si="3"/>
        <v/>
      </c>
      <c r="P1587" s="403">
        <v>0.0</v>
      </c>
      <c r="Q1587" s="403">
        <v>0.0</v>
      </c>
      <c r="R1587" s="403"/>
      <c r="S1587" s="403"/>
      <c r="T1587" s="403"/>
      <c r="U1587" s="403"/>
      <c r="V1587" s="403"/>
      <c r="W1587" s="403"/>
      <c r="X1587" s="403"/>
      <c r="Y1587" s="403"/>
      <c r="Z1587" s="403"/>
    </row>
    <row r="1588">
      <c r="A1588" s="403"/>
      <c r="B1588" s="417"/>
      <c r="C1588" s="415"/>
      <c r="D1588" s="417"/>
      <c r="E1588" s="417"/>
      <c r="F1588" s="417"/>
      <c r="G1588" s="418"/>
      <c r="H1588" s="417"/>
      <c r="I1588" s="418"/>
      <c r="J1588" s="432"/>
      <c r="K1588" s="420"/>
      <c r="L1588" s="417"/>
      <c r="M1588" s="415"/>
      <c r="N1588" s="422"/>
      <c r="O1588" s="75" t="str">
        <f t="shared" si="3"/>
        <v/>
      </c>
      <c r="P1588" s="403">
        <v>0.0</v>
      </c>
      <c r="Q1588" s="403">
        <v>0.0</v>
      </c>
      <c r="R1588" s="403"/>
      <c r="S1588" s="403"/>
      <c r="T1588" s="403"/>
      <c r="U1588" s="403"/>
      <c r="V1588" s="403"/>
      <c r="W1588" s="403"/>
      <c r="X1588" s="403"/>
      <c r="Y1588" s="403"/>
      <c r="Z1588" s="403"/>
    </row>
    <row r="1589">
      <c r="A1589" s="403"/>
      <c r="B1589" s="417"/>
      <c r="C1589" s="415"/>
      <c r="D1589" s="417"/>
      <c r="E1589" s="417"/>
      <c r="F1589" s="417"/>
      <c r="G1589" s="418"/>
      <c r="H1589" s="417"/>
      <c r="I1589" s="418"/>
      <c r="J1589" s="432"/>
      <c r="K1589" s="420"/>
      <c r="L1589" s="417"/>
      <c r="M1589" s="415"/>
      <c r="N1589" s="422"/>
      <c r="O1589" s="75" t="str">
        <f t="shared" si="3"/>
        <v/>
      </c>
      <c r="P1589" s="403">
        <v>0.0</v>
      </c>
      <c r="Q1589" s="403">
        <v>0.0</v>
      </c>
      <c r="R1589" s="403"/>
      <c r="S1589" s="403"/>
      <c r="T1589" s="403"/>
      <c r="U1589" s="403"/>
      <c r="V1589" s="403"/>
      <c r="W1589" s="403"/>
      <c r="X1589" s="403"/>
      <c r="Y1589" s="403"/>
      <c r="Z1589" s="403"/>
    </row>
    <row r="1590">
      <c r="A1590" s="403"/>
      <c r="B1590" s="417"/>
      <c r="C1590" s="415"/>
      <c r="D1590" s="417"/>
      <c r="E1590" s="417"/>
      <c r="F1590" s="417"/>
      <c r="G1590" s="418"/>
      <c r="H1590" s="417"/>
      <c r="I1590" s="418"/>
      <c r="J1590" s="432"/>
      <c r="K1590" s="420"/>
      <c r="L1590" s="417"/>
      <c r="M1590" s="415"/>
      <c r="N1590" s="422"/>
      <c r="O1590" s="75" t="str">
        <f t="shared" si="3"/>
        <v/>
      </c>
      <c r="P1590" s="403">
        <v>0.0</v>
      </c>
      <c r="Q1590" s="403">
        <v>0.0</v>
      </c>
      <c r="R1590" s="403"/>
      <c r="S1590" s="403"/>
      <c r="T1590" s="403"/>
      <c r="U1590" s="403"/>
      <c r="V1590" s="403"/>
      <c r="W1590" s="403"/>
      <c r="X1590" s="403"/>
      <c r="Y1590" s="403"/>
      <c r="Z1590" s="403"/>
    </row>
    <row r="1591">
      <c r="A1591" s="403"/>
      <c r="B1591" s="417"/>
      <c r="C1591" s="415"/>
      <c r="D1591" s="417"/>
      <c r="E1591" s="417"/>
      <c r="F1591" s="417"/>
      <c r="G1591" s="418"/>
      <c r="H1591" s="417"/>
      <c r="I1591" s="418"/>
      <c r="J1591" s="432"/>
      <c r="K1591" s="420"/>
      <c r="L1591" s="417"/>
      <c r="M1591" s="415"/>
      <c r="N1591" s="422"/>
      <c r="O1591" s="75" t="str">
        <f t="shared" si="3"/>
        <v/>
      </c>
      <c r="P1591" s="403">
        <v>0.0</v>
      </c>
      <c r="Q1591" s="403">
        <v>0.0</v>
      </c>
      <c r="R1591" s="403"/>
      <c r="S1591" s="403"/>
      <c r="T1591" s="403"/>
      <c r="U1591" s="403"/>
      <c r="V1591" s="403"/>
      <c r="W1591" s="403"/>
      <c r="X1591" s="403"/>
      <c r="Y1591" s="403"/>
      <c r="Z1591" s="403"/>
    </row>
    <row r="1592">
      <c r="A1592" s="403"/>
      <c r="B1592" s="417"/>
      <c r="C1592" s="415"/>
      <c r="D1592" s="417"/>
      <c r="E1592" s="417"/>
      <c r="F1592" s="417"/>
      <c r="G1592" s="418"/>
      <c r="H1592" s="417"/>
      <c r="I1592" s="418"/>
      <c r="J1592" s="432"/>
      <c r="K1592" s="420"/>
      <c r="L1592" s="417"/>
      <c r="M1592" s="415"/>
      <c r="N1592" s="422"/>
      <c r="O1592" s="75" t="str">
        <f t="shared" si="3"/>
        <v/>
      </c>
      <c r="P1592" s="403">
        <v>0.0</v>
      </c>
      <c r="Q1592" s="403">
        <v>0.0</v>
      </c>
      <c r="R1592" s="403"/>
      <c r="S1592" s="403"/>
      <c r="T1592" s="403"/>
      <c r="U1592" s="403"/>
      <c r="V1592" s="403"/>
      <c r="W1592" s="403"/>
      <c r="X1592" s="403"/>
      <c r="Y1592" s="403"/>
      <c r="Z1592" s="403"/>
    </row>
    <row r="1593">
      <c r="A1593" s="403"/>
      <c r="B1593" s="417"/>
      <c r="C1593" s="415"/>
      <c r="D1593" s="417"/>
      <c r="E1593" s="417"/>
      <c r="F1593" s="417"/>
      <c r="G1593" s="418"/>
      <c r="H1593" s="417"/>
      <c r="I1593" s="418"/>
      <c r="J1593" s="432"/>
      <c r="K1593" s="420"/>
      <c r="L1593" s="417"/>
      <c r="M1593" s="415"/>
      <c r="N1593" s="422"/>
      <c r="O1593" s="75" t="str">
        <f t="shared" si="3"/>
        <v/>
      </c>
      <c r="P1593" s="403">
        <v>0.0</v>
      </c>
      <c r="Q1593" s="403">
        <v>0.0</v>
      </c>
      <c r="R1593" s="403"/>
      <c r="S1593" s="403"/>
      <c r="T1593" s="403"/>
      <c r="U1593" s="403"/>
      <c r="V1593" s="403"/>
      <c r="W1593" s="403"/>
      <c r="X1593" s="403"/>
      <c r="Y1593" s="403"/>
      <c r="Z1593" s="403"/>
    </row>
    <row r="1594">
      <c r="A1594" s="403"/>
      <c r="B1594" s="417"/>
      <c r="C1594" s="415"/>
      <c r="D1594" s="417"/>
      <c r="E1594" s="417"/>
      <c r="F1594" s="417"/>
      <c r="G1594" s="418"/>
      <c r="H1594" s="417"/>
      <c r="I1594" s="418"/>
      <c r="J1594" s="432"/>
      <c r="K1594" s="420"/>
      <c r="L1594" s="417"/>
      <c r="M1594" s="415"/>
      <c r="N1594" s="422"/>
      <c r="O1594" s="75" t="str">
        <f t="shared" si="3"/>
        <v/>
      </c>
      <c r="P1594" s="403">
        <v>0.0</v>
      </c>
      <c r="Q1594" s="403">
        <v>0.0</v>
      </c>
      <c r="R1594" s="403"/>
      <c r="S1594" s="403"/>
      <c r="T1594" s="403"/>
      <c r="U1594" s="403"/>
      <c r="V1594" s="403"/>
      <c r="W1594" s="403"/>
      <c r="X1594" s="403"/>
      <c r="Y1594" s="403"/>
      <c r="Z1594" s="403"/>
    </row>
    <row r="1595">
      <c r="A1595" s="403"/>
      <c r="B1595" s="417"/>
      <c r="C1595" s="415"/>
      <c r="D1595" s="417"/>
      <c r="E1595" s="417"/>
      <c r="F1595" s="417"/>
      <c r="G1595" s="418"/>
      <c r="H1595" s="417"/>
      <c r="I1595" s="418"/>
      <c r="J1595" s="432"/>
      <c r="K1595" s="420"/>
      <c r="L1595" s="417"/>
      <c r="M1595" s="415"/>
      <c r="N1595" s="422"/>
      <c r="O1595" s="75" t="str">
        <f t="shared" si="3"/>
        <v/>
      </c>
      <c r="P1595" s="403">
        <v>0.0</v>
      </c>
      <c r="Q1595" s="403">
        <v>0.0</v>
      </c>
      <c r="R1595" s="403"/>
      <c r="S1595" s="403"/>
      <c r="T1595" s="403"/>
      <c r="U1595" s="403"/>
      <c r="V1595" s="403"/>
      <c r="W1595" s="403"/>
      <c r="X1595" s="403"/>
      <c r="Y1595" s="403"/>
      <c r="Z1595" s="403"/>
    </row>
    <row r="1596">
      <c r="A1596" s="403"/>
      <c r="B1596" s="417"/>
      <c r="C1596" s="415"/>
      <c r="D1596" s="417"/>
      <c r="E1596" s="417"/>
      <c r="F1596" s="417"/>
      <c r="G1596" s="418"/>
      <c r="H1596" s="417"/>
      <c r="I1596" s="418"/>
      <c r="J1596" s="432"/>
      <c r="K1596" s="420"/>
      <c r="L1596" s="417"/>
      <c r="M1596" s="415"/>
      <c r="N1596" s="422"/>
      <c r="O1596" s="75" t="str">
        <f t="shared" si="3"/>
        <v/>
      </c>
      <c r="P1596" s="403">
        <v>0.0</v>
      </c>
      <c r="Q1596" s="403">
        <v>0.0</v>
      </c>
      <c r="R1596" s="403"/>
      <c r="S1596" s="403"/>
      <c r="T1596" s="403"/>
      <c r="U1596" s="403"/>
      <c r="V1596" s="403"/>
      <c r="W1596" s="403"/>
      <c r="X1596" s="403"/>
      <c r="Y1596" s="403"/>
      <c r="Z1596" s="403"/>
    </row>
    <row r="1597">
      <c r="A1597" s="403"/>
      <c r="B1597" s="417"/>
      <c r="C1597" s="415"/>
      <c r="D1597" s="417"/>
      <c r="E1597" s="417"/>
      <c r="F1597" s="417"/>
      <c r="G1597" s="418"/>
      <c r="H1597" s="417"/>
      <c r="I1597" s="418"/>
      <c r="J1597" s="432"/>
      <c r="K1597" s="420"/>
      <c r="L1597" s="417"/>
      <c r="M1597" s="415"/>
      <c r="N1597" s="422"/>
      <c r="O1597" s="75" t="str">
        <f t="shared" si="3"/>
        <v/>
      </c>
      <c r="P1597" s="403">
        <v>0.0</v>
      </c>
      <c r="Q1597" s="403">
        <v>0.0</v>
      </c>
      <c r="R1597" s="403"/>
      <c r="S1597" s="403"/>
      <c r="T1597" s="403"/>
      <c r="U1597" s="403"/>
      <c r="V1597" s="403"/>
      <c r="W1597" s="403"/>
      <c r="X1597" s="403"/>
      <c r="Y1597" s="403"/>
      <c r="Z1597" s="403"/>
    </row>
    <row r="1598">
      <c r="A1598" s="403"/>
      <c r="B1598" s="417"/>
      <c r="C1598" s="415"/>
      <c r="D1598" s="417"/>
      <c r="E1598" s="417"/>
      <c r="F1598" s="417"/>
      <c r="G1598" s="418"/>
      <c r="H1598" s="417"/>
      <c r="I1598" s="418"/>
      <c r="J1598" s="432"/>
      <c r="K1598" s="420"/>
      <c r="L1598" s="417"/>
      <c r="M1598" s="415"/>
      <c r="N1598" s="422"/>
      <c r="O1598" s="75" t="str">
        <f t="shared" si="3"/>
        <v/>
      </c>
      <c r="P1598" s="403">
        <v>0.0</v>
      </c>
      <c r="Q1598" s="403">
        <v>0.0</v>
      </c>
      <c r="R1598" s="403"/>
      <c r="S1598" s="403"/>
      <c r="T1598" s="403"/>
      <c r="U1598" s="403"/>
      <c r="V1598" s="403"/>
      <c r="W1598" s="403"/>
      <c r="X1598" s="403"/>
      <c r="Y1598" s="403"/>
      <c r="Z1598" s="403"/>
    </row>
    <row r="1599">
      <c r="A1599" s="403"/>
      <c r="B1599" s="417"/>
      <c r="C1599" s="415"/>
      <c r="D1599" s="417"/>
      <c r="E1599" s="417"/>
      <c r="F1599" s="417"/>
      <c r="G1599" s="418"/>
      <c r="H1599" s="417"/>
      <c r="I1599" s="418"/>
      <c r="J1599" s="432"/>
      <c r="K1599" s="420"/>
      <c r="L1599" s="417"/>
      <c r="M1599" s="415"/>
      <c r="N1599" s="422"/>
      <c r="O1599" s="75" t="str">
        <f t="shared" si="3"/>
        <v/>
      </c>
      <c r="P1599" s="403">
        <v>0.0</v>
      </c>
      <c r="Q1599" s="403">
        <v>0.0</v>
      </c>
      <c r="R1599" s="403"/>
      <c r="S1599" s="403"/>
      <c r="T1599" s="403"/>
      <c r="U1599" s="403"/>
      <c r="V1599" s="403"/>
      <c r="W1599" s="403"/>
      <c r="X1599" s="403"/>
      <c r="Y1599" s="403"/>
      <c r="Z1599" s="403"/>
    </row>
    <row r="1600">
      <c r="A1600" s="403"/>
      <c r="B1600" s="417"/>
      <c r="C1600" s="415"/>
      <c r="D1600" s="417"/>
      <c r="E1600" s="417"/>
      <c r="F1600" s="417"/>
      <c r="G1600" s="418"/>
      <c r="H1600" s="417"/>
      <c r="I1600" s="418"/>
      <c r="J1600" s="432"/>
      <c r="K1600" s="420"/>
      <c r="L1600" s="417"/>
      <c r="M1600" s="415"/>
      <c r="N1600" s="422"/>
      <c r="O1600" s="75" t="str">
        <f t="shared" si="3"/>
        <v/>
      </c>
      <c r="P1600" s="403">
        <v>0.0</v>
      </c>
      <c r="Q1600" s="403">
        <v>0.0</v>
      </c>
      <c r="R1600" s="403"/>
      <c r="S1600" s="403"/>
      <c r="T1600" s="403"/>
      <c r="U1600" s="403"/>
      <c r="V1600" s="403"/>
      <c r="W1600" s="403"/>
      <c r="X1600" s="403"/>
      <c r="Y1600" s="403"/>
      <c r="Z1600" s="403"/>
    </row>
    <row r="1601">
      <c r="A1601" s="403"/>
      <c r="B1601" s="417"/>
      <c r="C1601" s="415"/>
      <c r="D1601" s="417"/>
      <c r="E1601" s="417"/>
      <c r="F1601" s="417"/>
      <c r="G1601" s="418"/>
      <c r="H1601" s="417"/>
      <c r="I1601" s="418"/>
      <c r="J1601" s="432"/>
      <c r="K1601" s="420"/>
      <c r="L1601" s="417"/>
      <c r="M1601" s="415"/>
      <c r="N1601" s="422"/>
      <c r="O1601" s="75" t="str">
        <f t="shared" si="3"/>
        <v/>
      </c>
      <c r="P1601" s="403">
        <v>0.0</v>
      </c>
      <c r="Q1601" s="403">
        <v>0.0</v>
      </c>
      <c r="R1601" s="403"/>
      <c r="S1601" s="403"/>
      <c r="T1601" s="403"/>
      <c r="U1601" s="403"/>
      <c r="V1601" s="403"/>
      <c r="W1601" s="403"/>
      <c r="X1601" s="403"/>
      <c r="Y1601" s="403"/>
      <c r="Z1601" s="403"/>
    </row>
    <row r="1602">
      <c r="A1602" s="403"/>
      <c r="B1602" s="417"/>
      <c r="C1602" s="415"/>
      <c r="D1602" s="417"/>
      <c r="E1602" s="417"/>
      <c r="F1602" s="417"/>
      <c r="G1602" s="418"/>
      <c r="H1602" s="417"/>
      <c r="I1602" s="418"/>
      <c r="J1602" s="432"/>
      <c r="K1602" s="420"/>
      <c r="L1602" s="417"/>
      <c r="M1602" s="415"/>
      <c r="N1602" s="422"/>
      <c r="O1602" s="75" t="str">
        <f t="shared" si="3"/>
        <v/>
      </c>
      <c r="P1602" s="403">
        <v>0.0</v>
      </c>
      <c r="Q1602" s="403">
        <v>0.0</v>
      </c>
      <c r="R1602" s="403"/>
      <c r="S1602" s="403"/>
      <c r="T1602" s="403"/>
      <c r="U1602" s="403"/>
      <c r="V1602" s="403"/>
      <c r="W1602" s="403"/>
      <c r="X1602" s="403"/>
      <c r="Y1602" s="403"/>
      <c r="Z1602" s="403"/>
    </row>
    <row r="1603">
      <c r="A1603" s="403"/>
      <c r="B1603" s="417"/>
      <c r="C1603" s="415"/>
      <c r="D1603" s="417"/>
      <c r="E1603" s="417"/>
      <c r="F1603" s="417"/>
      <c r="G1603" s="418"/>
      <c r="H1603" s="417"/>
      <c r="I1603" s="418"/>
      <c r="J1603" s="432"/>
      <c r="K1603" s="420"/>
      <c r="L1603" s="417"/>
      <c r="M1603" s="415"/>
      <c r="N1603" s="422"/>
      <c r="O1603" s="75" t="str">
        <f t="shared" si="3"/>
        <v/>
      </c>
      <c r="P1603" s="403">
        <v>0.0</v>
      </c>
      <c r="Q1603" s="403">
        <v>0.0</v>
      </c>
      <c r="R1603" s="403"/>
      <c r="S1603" s="403"/>
      <c r="T1603" s="403"/>
      <c r="U1603" s="403"/>
      <c r="V1603" s="403"/>
      <c r="W1603" s="403"/>
      <c r="X1603" s="403"/>
      <c r="Y1603" s="403"/>
      <c r="Z1603" s="403"/>
    </row>
    <row r="1604">
      <c r="A1604" s="403"/>
      <c r="B1604" s="417"/>
      <c r="C1604" s="415"/>
      <c r="D1604" s="417"/>
      <c r="E1604" s="417"/>
      <c r="F1604" s="417"/>
      <c r="G1604" s="418"/>
      <c r="H1604" s="417"/>
      <c r="I1604" s="418"/>
      <c r="J1604" s="432"/>
      <c r="K1604" s="420"/>
      <c r="L1604" s="417"/>
      <c r="M1604" s="415"/>
      <c r="N1604" s="422"/>
      <c r="O1604" s="75" t="str">
        <f t="shared" si="3"/>
        <v/>
      </c>
      <c r="P1604" s="403">
        <v>0.0</v>
      </c>
      <c r="Q1604" s="403">
        <v>0.0</v>
      </c>
      <c r="R1604" s="403"/>
      <c r="S1604" s="403"/>
      <c r="T1604" s="403"/>
      <c r="U1604" s="403"/>
      <c r="V1604" s="403"/>
      <c r="W1604" s="403"/>
      <c r="X1604" s="403"/>
      <c r="Y1604" s="403"/>
      <c r="Z1604" s="403"/>
    </row>
    <row r="1605">
      <c r="A1605" s="403"/>
      <c r="B1605" s="417"/>
      <c r="C1605" s="415"/>
      <c r="D1605" s="417"/>
      <c r="E1605" s="417"/>
      <c r="F1605" s="417"/>
      <c r="G1605" s="418"/>
      <c r="H1605" s="417"/>
      <c r="I1605" s="418"/>
      <c r="J1605" s="432"/>
      <c r="K1605" s="420"/>
      <c r="L1605" s="417"/>
      <c r="M1605" s="415"/>
      <c r="N1605" s="422"/>
      <c r="O1605" s="75" t="str">
        <f t="shared" si="3"/>
        <v/>
      </c>
      <c r="P1605" s="403">
        <v>0.0</v>
      </c>
      <c r="Q1605" s="403">
        <v>0.0</v>
      </c>
      <c r="R1605" s="403"/>
      <c r="S1605" s="403"/>
      <c r="T1605" s="403"/>
      <c r="U1605" s="403"/>
      <c r="V1605" s="403"/>
      <c r="W1605" s="403"/>
      <c r="X1605" s="403"/>
      <c r="Y1605" s="403"/>
      <c r="Z1605" s="403"/>
    </row>
    <row r="1606">
      <c r="A1606" s="403"/>
      <c r="B1606" s="417"/>
      <c r="C1606" s="415"/>
      <c r="D1606" s="417"/>
      <c r="E1606" s="417"/>
      <c r="F1606" s="417"/>
      <c r="G1606" s="418"/>
      <c r="H1606" s="417"/>
      <c r="I1606" s="418"/>
      <c r="J1606" s="432"/>
      <c r="K1606" s="420"/>
      <c r="L1606" s="417"/>
      <c r="M1606" s="415"/>
      <c r="N1606" s="422"/>
      <c r="O1606" s="75" t="str">
        <f t="shared" si="3"/>
        <v/>
      </c>
      <c r="P1606" s="403">
        <v>0.0</v>
      </c>
      <c r="Q1606" s="403">
        <v>0.0</v>
      </c>
      <c r="R1606" s="403"/>
      <c r="S1606" s="403"/>
      <c r="T1606" s="403"/>
      <c r="U1606" s="403"/>
      <c r="V1606" s="403"/>
      <c r="W1606" s="403"/>
      <c r="X1606" s="403"/>
      <c r="Y1606" s="403"/>
      <c r="Z1606" s="403"/>
    </row>
    <row r="1607">
      <c r="A1607" s="403"/>
      <c r="B1607" s="417"/>
      <c r="C1607" s="415"/>
      <c r="D1607" s="417"/>
      <c r="E1607" s="417"/>
      <c r="F1607" s="417"/>
      <c r="G1607" s="418"/>
      <c r="H1607" s="417"/>
      <c r="I1607" s="418"/>
      <c r="J1607" s="432"/>
      <c r="K1607" s="420"/>
      <c r="L1607" s="417"/>
      <c r="M1607" s="415"/>
      <c r="N1607" s="422"/>
      <c r="O1607" s="75" t="str">
        <f t="shared" si="3"/>
        <v/>
      </c>
      <c r="P1607" s="403">
        <v>0.0</v>
      </c>
      <c r="Q1607" s="403">
        <v>0.0</v>
      </c>
      <c r="R1607" s="403"/>
      <c r="S1607" s="403"/>
      <c r="T1607" s="403"/>
      <c r="U1607" s="403"/>
      <c r="V1607" s="403"/>
      <c r="W1607" s="403"/>
      <c r="X1607" s="403"/>
      <c r="Y1607" s="403"/>
      <c r="Z1607" s="403"/>
    </row>
    <row r="1608">
      <c r="A1608" s="403"/>
      <c r="B1608" s="417"/>
      <c r="C1608" s="415"/>
      <c r="D1608" s="417"/>
      <c r="E1608" s="417"/>
      <c r="F1608" s="417"/>
      <c r="G1608" s="418"/>
      <c r="H1608" s="417"/>
      <c r="I1608" s="418"/>
      <c r="J1608" s="432"/>
      <c r="K1608" s="420"/>
      <c r="L1608" s="417"/>
      <c r="M1608" s="415"/>
      <c r="N1608" s="422"/>
      <c r="O1608" s="75" t="str">
        <f t="shared" si="3"/>
        <v/>
      </c>
      <c r="P1608" s="403">
        <v>0.0</v>
      </c>
      <c r="Q1608" s="403">
        <v>0.0</v>
      </c>
      <c r="R1608" s="403"/>
      <c r="S1608" s="403"/>
      <c r="T1608" s="403"/>
      <c r="U1608" s="403"/>
      <c r="V1608" s="403"/>
      <c r="W1608" s="403"/>
      <c r="X1608" s="403"/>
      <c r="Y1608" s="403"/>
      <c r="Z1608" s="403"/>
    </row>
    <row r="1609">
      <c r="A1609" s="403"/>
      <c r="B1609" s="417"/>
      <c r="C1609" s="415"/>
      <c r="D1609" s="417"/>
      <c r="E1609" s="417"/>
      <c r="F1609" s="417"/>
      <c r="G1609" s="418"/>
      <c r="H1609" s="417"/>
      <c r="I1609" s="418"/>
      <c r="J1609" s="432"/>
      <c r="K1609" s="420"/>
      <c r="L1609" s="417"/>
      <c r="M1609" s="415"/>
      <c r="N1609" s="422"/>
      <c r="O1609" s="75" t="str">
        <f t="shared" si="3"/>
        <v/>
      </c>
      <c r="P1609" s="403">
        <v>0.0</v>
      </c>
      <c r="Q1609" s="403">
        <v>0.0</v>
      </c>
      <c r="R1609" s="403"/>
      <c r="S1609" s="403"/>
      <c r="T1609" s="403"/>
      <c r="U1609" s="403"/>
      <c r="V1609" s="403"/>
      <c r="W1609" s="403"/>
      <c r="X1609" s="403"/>
      <c r="Y1609" s="403"/>
      <c r="Z1609" s="403"/>
    </row>
    <row r="1610">
      <c r="A1610" s="403"/>
      <c r="B1610" s="417"/>
      <c r="C1610" s="415"/>
      <c r="D1610" s="417"/>
      <c r="E1610" s="417"/>
      <c r="F1610" s="417"/>
      <c r="G1610" s="418"/>
      <c r="H1610" s="417"/>
      <c r="I1610" s="418"/>
      <c r="J1610" s="432"/>
      <c r="K1610" s="420"/>
      <c r="L1610" s="417"/>
      <c r="M1610" s="415"/>
      <c r="N1610" s="422"/>
      <c r="O1610" s="75" t="str">
        <f t="shared" si="3"/>
        <v/>
      </c>
      <c r="P1610" s="403">
        <v>0.0</v>
      </c>
      <c r="Q1610" s="403">
        <v>0.0</v>
      </c>
      <c r="R1610" s="403"/>
      <c r="S1610" s="403"/>
      <c r="T1610" s="403"/>
      <c r="U1610" s="403"/>
      <c r="V1610" s="403"/>
      <c r="W1610" s="403"/>
      <c r="X1610" s="403"/>
      <c r="Y1610" s="403"/>
      <c r="Z1610" s="403"/>
    </row>
    <row r="1611">
      <c r="A1611" s="403"/>
      <c r="B1611" s="417"/>
      <c r="C1611" s="415"/>
      <c r="D1611" s="417"/>
      <c r="E1611" s="417"/>
      <c r="F1611" s="417"/>
      <c r="G1611" s="418"/>
      <c r="H1611" s="417"/>
      <c r="I1611" s="418"/>
      <c r="J1611" s="432"/>
      <c r="K1611" s="420"/>
      <c r="L1611" s="417"/>
      <c r="M1611" s="415"/>
      <c r="N1611" s="422"/>
      <c r="O1611" s="75" t="str">
        <f t="shared" si="3"/>
        <v/>
      </c>
      <c r="P1611" s="403">
        <v>0.0</v>
      </c>
      <c r="Q1611" s="403">
        <v>0.0</v>
      </c>
      <c r="R1611" s="403"/>
      <c r="S1611" s="403"/>
      <c r="T1611" s="403"/>
      <c r="U1611" s="403"/>
      <c r="V1611" s="403"/>
      <c r="W1611" s="403"/>
      <c r="X1611" s="403"/>
      <c r="Y1611" s="403"/>
      <c r="Z1611" s="403"/>
    </row>
    <row r="1612">
      <c r="A1612" s="403"/>
      <c r="B1612" s="417"/>
      <c r="C1612" s="415"/>
      <c r="D1612" s="417"/>
      <c r="E1612" s="417"/>
      <c r="F1612" s="417"/>
      <c r="G1612" s="418"/>
      <c r="H1612" s="417"/>
      <c r="I1612" s="418"/>
      <c r="J1612" s="432"/>
      <c r="K1612" s="420"/>
      <c r="L1612" s="417"/>
      <c r="M1612" s="415"/>
      <c r="N1612" s="422"/>
      <c r="O1612" s="75" t="str">
        <f t="shared" si="3"/>
        <v/>
      </c>
      <c r="P1612" s="403">
        <v>0.0</v>
      </c>
      <c r="Q1612" s="403">
        <v>0.0</v>
      </c>
      <c r="R1612" s="403"/>
      <c r="S1612" s="403"/>
      <c r="T1612" s="403"/>
      <c r="U1612" s="403"/>
      <c r="V1612" s="403"/>
      <c r="W1612" s="403"/>
      <c r="X1612" s="403"/>
      <c r="Y1612" s="403"/>
      <c r="Z1612" s="403"/>
    </row>
    <row r="1613">
      <c r="A1613" s="403"/>
      <c r="B1613" s="417"/>
      <c r="C1613" s="415"/>
      <c r="D1613" s="417"/>
      <c r="E1613" s="417"/>
      <c r="F1613" s="417"/>
      <c r="G1613" s="418"/>
      <c r="H1613" s="417"/>
      <c r="I1613" s="418"/>
      <c r="J1613" s="432"/>
      <c r="K1613" s="420"/>
      <c r="L1613" s="417"/>
      <c r="M1613" s="415"/>
      <c r="N1613" s="422"/>
      <c r="O1613" s="75" t="str">
        <f t="shared" si="3"/>
        <v/>
      </c>
      <c r="P1613" s="403">
        <v>0.0</v>
      </c>
      <c r="Q1613" s="403">
        <v>0.0</v>
      </c>
      <c r="R1613" s="403"/>
      <c r="S1613" s="403"/>
      <c r="T1613" s="403"/>
      <c r="U1613" s="403"/>
      <c r="V1613" s="403"/>
      <c r="W1613" s="403"/>
      <c r="X1613" s="403"/>
      <c r="Y1613" s="403"/>
      <c r="Z1613" s="403"/>
    </row>
    <row r="1614">
      <c r="A1614" s="403"/>
      <c r="B1614" s="417"/>
      <c r="C1614" s="415"/>
      <c r="D1614" s="417"/>
      <c r="E1614" s="417"/>
      <c r="F1614" s="417"/>
      <c r="G1614" s="418"/>
      <c r="H1614" s="417"/>
      <c r="I1614" s="418"/>
      <c r="J1614" s="432"/>
      <c r="K1614" s="420"/>
      <c r="L1614" s="417"/>
      <c r="M1614" s="415"/>
      <c r="N1614" s="422"/>
      <c r="O1614" s="75" t="str">
        <f t="shared" si="3"/>
        <v/>
      </c>
      <c r="P1614" s="403">
        <v>0.0</v>
      </c>
      <c r="Q1614" s="403">
        <v>0.0</v>
      </c>
      <c r="R1614" s="403"/>
      <c r="S1614" s="403"/>
      <c r="T1614" s="403"/>
      <c r="U1614" s="403"/>
      <c r="V1614" s="403"/>
      <c r="W1614" s="403"/>
      <c r="X1614" s="403"/>
      <c r="Y1614" s="403"/>
      <c r="Z1614" s="403"/>
    </row>
    <row r="1615">
      <c r="A1615" s="403"/>
      <c r="B1615" s="417"/>
      <c r="C1615" s="415"/>
      <c r="D1615" s="417"/>
      <c r="E1615" s="417"/>
      <c r="F1615" s="417"/>
      <c r="G1615" s="418"/>
      <c r="H1615" s="417"/>
      <c r="I1615" s="418"/>
      <c r="J1615" s="432"/>
      <c r="K1615" s="420"/>
      <c r="L1615" s="417"/>
      <c r="M1615" s="415"/>
      <c r="N1615" s="422"/>
      <c r="O1615" s="75" t="str">
        <f t="shared" si="3"/>
        <v/>
      </c>
      <c r="P1615" s="403">
        <v>0.0</v>
      </c>
      <c r="Q1615" s="403">
        <v>0.0</v>
      </c>
      <c r="R1615" s="403"/>
      <c r="S1615" s="403"/>
      <c r="T1615" s="403"/>
      <c r="U1615" s="403"/>
      <c r="V1615" s="403"/>
      <c r="W1615" s="403"/>
      <c r="X1615" s="403"/>
      <c r="Y1615" s="403"/>
      <c r="Z1615" s="403"/>
    </row>
    <row r="1616">
      <c r="A1616" s="403"/>
      <c r="B1616" s="417"/>
      <c r="C1616" s="415"/>
      <c r="D1616" s="417"/>
      <c r="E1616" s="417"/>
      <c r="F1616" s="417"/>
      <c r="G1616" s="418"/>
      <c r="H1616" s="417"/>
      <c r="I1616" s="418"/>
      <c r="J1616" s="432"/>
      <c r="K1616" s="420"/>
      <c r="L1616" s="417"/>
      <c r="M1616" s="415"/>
      <c r="N1616" s="422"/>
      <c r="O1616" s="75" t="str">
        <f t="shared" si="3"/>
        <v/>
      </c>
      <c r="P1616" s="403">
        <v>0.0</v>
      </c>
      <c r="Q1616" s="403">
        <v>0.0</v>
      </c>
      <c r="R1616" s="403"/>
      <c r="S1616" s="403"/>
      <c r="T1616" s="403"/>
      <c r="U1616" s="403"/>
      <c r="V1616" s="403"/>
      <c r="W1616" s="403"/>
      <c r="X1616" s="403"/>
      <c r="Y1616" s="403"/>
      <c r="Z1616" s="403"/>
    </row>
    <row r="1617">
      <c r="A1617" s="403"/>
      <c r="B1617" s="417"/>
      <c r="C1617" s="415"/>
      <c r="D1617" s="417"/>
      <c r="E1617" s="417"/>
      <c r="F1617" s="417"/>
      <c r="G1617" s="418"/>
      <c r="H1617" s="417"/>
      <c r="I1617" s="418"/>
      <c r="J1617" s="432"/>
      <c r="K1617" s="420"/>
      <c r="L1617" s="417"/>
      <c r="M1617" s="415"/>
      <c r="N1617" s="422"/>
      <c r="O1617" s="75" t="str">
        <f t="shared" si="3"/>
        <v/>
      </c>
      <c r="P1617" s="403">
        <v>0.0</v>
      </c>
      <c r="Q1617" s="403">
        <v>0.0</v>
      </c>
      <c r="R1617" s="403"/>
      <c r="S1617" s="403"/>
      <c r="T1617" s="403"/>
      <c r="U1617" s="403"/>
      <c r="V1617" s="403"/>
      <c r="W1617" s="403"/>
      <c r="X1617" s="403"/>
      <c r="Y1617" s="403"/>
      <c r="Z1617" s="403"/>
    </row>
    <row r="1618">
      <c r="A1618" s="403"/>
      <c r="B1618" s="417"/>
      <c r="C1618" s="415"/>
      <c r="D1618" s="417"/>
      <c r="E1618" s="417"/>
      <c r="F1618" s="417"/>
      <c r="G1618" s="418"/>
      <c r="H1618" s="417"/>
      <c r="I1618" s="418"/>
      <c r="J1618" s="432"/>
      <c r="K1618" s="420"/>
      <c r="L1618" s="417"/>
      <c r="M1618" s="415"/>
      <c r="N1618" s="422"/>
      <c r="O1618" s="75" t="str">
        <f t="shared" si="3"/>
        <v/>
      </c>
      <c r="P1618" s="403">
        <v>0.0</v>
      </c>
      <c r="Q1618" s="403">
        <v>0.0</v>
      </c>
      <c r="R1618" s="403"/>
      <c r="S1618" s="403"/>
      <c r="T1618" s="403"/>
      <c r="U1618" s="403"/>
      <c r="V1618" s="403"/>
      <c r="W1618" s="403"/>
      <c r="X1618" s="403"/>
      <c r="Y1618" s="403"/>
      <c r="Z1618" s="403"/>
    </row>
    <row r="1619">
      <c r="A1619" s="403"/>
      <c r="B1619" s="417"/>
      <c r="C1619" s="415"/>
      <c r="D1619" s="417"/>
      <c r="E1619" s="417"/>
      <c r="F1619" s="417"/>
      <c r="G1619" s="418"/>
      <c r="H1619" s="417"/>
      <c r="I1619" s="418"/>
      <c r="J1619" s="432"/>
      <c r="K1619" s="420"/>
      <c r="L1619" s="417"/>
      <c r="M1619" s="415"/>
      <c r="N1619" s="422"/>
      <c r="O1619" s="75" t="str">
        <f t="shared" si="3"/>
        <v/>
      </c>
      <c r="P1619" s="403">
        <v>0.0</v>
      </c>
      <c r="Q1619" s="403">
        <v>0.0</v>
      </c>
      <c r="R1619" s="403"/>
      <c r="S1619" s="403"/>
      <c r="T1619" s="403"/>
      <c r="U1619" s="403"/>
      <c r="V1619" s="403"/>
      <c r="W1619" s="403"/>
      <c r="X1619" s="403"/>
      <c r="Y1619" s="403"/>
      <c r="Z1619" s="403"/>
    </row>
    <row r="1620">
      <c r="A1620" s="403"/>
      <c r="B1620" s="417"/>
      <c r="C1620" s="415"/>
      <c r="D1620" s="417"/>
      <c r="E1620" s="417"/>
      <c r="F1620" s="417"/>
      <c r="G1620" s="418"/>
      <c r="H1620" s="417"/>
      <c r="I1620" s="418"/>
      <c r="J1620" s="432"/>
      <c r="K1620" s="420"/>
      <c r="L1620" s="417"/>
      <c r="M1620" s="415"/>
      <c r="N1620" s="422"/>
      <c r="O1620" s="75" t="str">
        <f t="shared" si="3"/>
        <v/>
      </c>
      <c r="P1620" s="403">
        <v>0.0</v>
      </c>
      <c r="Q1620" s="403">
        <v>0.0</v>
      </c>
      <c r="R1620" s="403"/>
      <c r="S1620" s="403"/>
      <c r="T1620" s="403"/>
      <c r="U1620" s="403"/>
      <c r="V1620" s="403"/>
      <c r="W1620" s="403"/>
      <c r="X1620" s="403"/>
      <c r="Y1620" s="403"/>
      <c r="Z1620" s="403"/>
    </row>
    <row r="1621">
      <c r="A1621" s="403"/>
      <c r="B1621" s="417"/>
      <c r="C1621" s="415"/>
      <c r="D1621" s="417"/>
      <c r="E1621" s="417"/>
      <c r="F1621" s="417"/>
      <c r="G1621" s="418"/>
      <c r="H1621" s="417"/>
      <c r="I1621" s="418"/>
      <c r="J1621" s="432"/>
      <c r="K1621" s="420"/>
      <c r="L1621" s="417"/>
      <c r="M1621" s="415"/>
      <c r="N1621" s="422"/>
      <c r="O1621" s="75" t="str">
        <f t="shared" si="3"/>
        <v/>
      </c>
      <c r="P1621" s="403">
        <v>0.0</v>
      </c>
      <c r="Q1621" s="403">
        <v>0.0</v>
      </c>
      <c r="R1621" s="403"/>
      <c r="S1621" s="403"/>
      <c r="T1621" s="403"/>
      <c r="U1621" s="403"/>
      <c r="V1621" s="403"/>
      <c r="W1621" s="403"/>
      <c r="X1621" s="403"/>
      <c r="Y1621" s="403"/>
      <c r="Z1621" s="403"/>
    </row>
    <row r="1622">
      <c r="A1622" s="403"/>
      <c r="B1622" s="417"/>
      <c r="C1622" s="415"/>
      <c r="D1622" s="417"/>
      <c r="E1622" s="417"/>
      <c r="F1622" s="417"/>
      <c r="G1622" s="418"/>
      <c r="H1622" s="417"/>
      <c r="I1622" s="418"/>
      <c r="J1622" s="432"/>
      <c r="K1622" s="420"/>
      <c r="L1622" s="417"/>
      <c r="M1622" s="415"/>
      <c r="N1622" s="422"/>
      <c r="O1622" s="75" t="str">
        <f t="shared" si="3"/>
        <v/>
      </c>
      <c r="P1622" s="403">
        <v>0.0</v>
      </c>
      <c r="Q1622" s="403">
        <v>0.0</v>
      </c>
      <c r="R1622" s="403"/>
      <c r="S1622" s="403"/>
      <c r="T1622" s="403"/>
      <c r="U1622" s="403"/>
      <c r="V1622" s="403"/>
      <c r="W1622" s="403"/>
      <c r="X1622" s="403"/>
      <c r="Y1622" s="403"/>
      <c r="Z1622" s="403"/>
    </row>
    <row r="1623">
      <c r="A1623" s="403"/>
      <c r="B1623" s="417"/>
      <c r="C1623" s="415"/>
      <c r="D1623" s="417"/>
      <c r="E1623" s="417"/>
      <c r="F1623" s="417"/>
      <c r="G1623" s="418"/>
      <c r="H1623" s="417"/>
      <c r="I1623" s="418"/>
      <c r="J1623" s="432"/>
      <c r="K1623" s="420"/>
      <c r="L1623" s="417"/>
      <c r="M1623" s="415"/>
      <c r="N1623" s="422"/>
      <c r="O1623" s="75" t="str">
        <f t="shared" si="3"/>
        <v/>
      </c>
      <c r="P1623" s="403">
        <v>0.0</v>
      </c>
      <c r="Q1623" s="403">
        <v>0.0</v>
      </c>
      <c r="R1623" s="403"/>
      <c r="S1623" s="403"/>
      <c r="T1623" s="403"/>
      <c r="U1623" s="403"/>
      <c r="V1623" s="403"/>
      <c r="W1623" s="403"/>
      <c r="X1623" s="403"/>
      <c r="Y1623" s="403"/>
      <c r="Z1623" s="403"/>
    </row>
    <row r="1624">
      <c r="A1624" s="403"/>
      <c r="B1624" s="417"/>
      <c r="C1624" s="415"/>
      <c r="D1624" s="417"/>
      <c r="E1624" s="417"/>
      <c r="F1624" s="417"/>
      <c r="G1624" s="418"/>
      <c r="H1624" s="417"/>
      <c r="I1624" s="418"/>
      <c r="J1624" s="432"/>
      <c r="K1624" s="420"/>
      <c r="L1624" s="417"/>
      <c r="M1624" s="415"/>
      <c r="N1624" s="422"/>
      <c r="O1624" s="75" t="str">
        <f t="shared" si="3"/>
        <v/>
      </c>
      <c r="P1624" s="403">
        <v>0.0</v>
      </c>
      <c r="Q1624" s="403">
        <v>0.0</v>
      </c>
      <c r="R1624" s="403"/>
      <c r="S1624" s="403"/>
      <c r="T1624" s="403"/>
      <c r="U1624" s="403"/>
      <c r="V1624" s="403"/>
      <c r="W1624" s="403"/>
      <c r="X1624" s="403"/>
      <c r="Y1624" s="403"/>
      <c r="Z1624" s="403"/>
    </row>
    <row r="1625">
      <c r="A1625" s="403"/>
      <c r="B1625" s="417"/>
      <c r="C1625" s="415"/>
      <c r="D1625" s="417"/>
      <c r="E1625" s="417"/>
      <c r="F1625" s="417"/>
      <c r="G1625" s="418"/>
      <c r="H1625" s="417"/>
      <c r="I1625" s="418"/>
      <c r="J1625" s="432"/>
      <c r="K1625" s="420"/>
      <c r="L1625" s="417"/>
      <c r="M1625" s="415"/>
      <c r="N1625" s="422"/>
      <c r="O1625" s="75" t="str">
        <f t="shared" si="3"/>
        <v/>
      </c>
      <c r="P1625" s="403">
        <v>0.0</v>
      </c>
      <c r="Q1625" s="403">
        <v>0.0</v>
      </c>
      <c r="R1625" s="403"/>
      <c r="S1625" s="403"/>
      <c r="T1625" s="403"/>
      <c r="U1625" s="403"/>
      <c r="V1625" s="403"/>
      <c r="W1625" s="403"/>
      <c r="X1625" s="403"/>
      <c r="Y1625" s="403"/>
      <c r="Z1625" s="403"/>
    </row>
    <row r="1626">
      <c r="A1626" s="403"/>
      <c r="B1626" s="417"/>
      <c r="C1626" s="415"/>
      <c r="D1626" s="417"/>
      <c r="E1626" s="417"/>
      <c r="F1626" s="417"/>
      <c r="G1626" s="418"/>
      <c r="H1626" s="417"/>
      <c r="I1626" s="418"/>
      <c r="J1626" s="432"/>
      <c r="K1626" s="420"/>
      <c r="L1626" s="417"/>
      <c r="M1626" s="415"/>
      <c r="N1626" s="422"/>
      <c r="O1626" s="75" t="str">
        <f t="shared" si="3"/>
        <v/>
      </c>
      <c r="P1626" s="403">
        <v>0.0</v>
      </c>
      <c r="Q1626" s="403">
        <v>0.0</v>
      </c>
      <c r="R1626" s="403"/>
      <c r="S1626" s="403"/>
      <c r="T1626" s="403"/>
      <c r="U1626" s="403"/>
      <c r="V1626" s="403"/>
      <c r="W1626" s="403"/>
      <c r="X1626" s="403"/>
      <c r="Y1626" s="403"/>
      <c r="Z1626" s="403"/>
    </row>
    <row r="1627">
      <c r="A1627" s="403"/>
      <c r="B1627" s="417"/>
      <c r="C1627" s="415"/>
      <c r="D1627" s="417"/>
      <c r="E1627" s="417"/>
      <c r="F1627" s="417"/>
      <c r="G1627" s="418"/>
      <c r="H1627" s="417"/>
      <c r="I1627" s="418"/>
      <c r="J1627" s="432"/>
      <c r="K1627" s="420"/>
      <c r="L1627" s="417"/>
      <c r="M1627" s="415"/>
      <c r="N1627" s="422"/>
      <c r="O1627" s="75" t="str">
        <f t="shared" si="3"/>
        <v/>
      </c>
      <c r="P1627" s="403">
        <v>0.0</v>
      </c>
      <c r="Q1627" s="403">
        <v>0.0</v>
      </c>
      <c r="R1627" s="403"/>
      <c r="S1627" s="403"/>
      <c r="T1627" s="403"/>
      <c r="U1627" s="403"/>
      <c r="V1627" s="403"/>
      <c r="W1627" s="403"/>
      <c r="X1627" s="403"/>
      <c r="Y1627" s="403"/>
      <c r="Z1627" s="403"/>
    </row>
    <row r="1628">
      <c r="A1628" s="403"/>
      <c r="B1628" s="417"/>
      <c r="C1628" s="415"/>
      <c r="D1628" s="417"/>
      <c r="E1628" s="417"/>
      <c r="F1628" s="417"/>
      <c r="G1628" s="418"/>
      <c r="H1628" s="417"/>
      <c r="I1628" s="418"/>
      <c r="J1628" s="432"/>
      <c r="K1628" s="420"/>
      <c r="L1628" s="417"/>
      <c r="M1628" s="415"/>
      <c r="N1628" s="422"/>
      <c r="O1628" s="75" t="str">
        <f t="shared" si="3"/>
        <v/>
      </c>
      <c r="P1628" s="403">
        <v>0.0</v>
      </c>
      <c r="Q1628" s="403">
        <v>0.0</v>
      </c>
      <c r="R1628" s="403"/>
      <c r="S1628" s="403"/>
      <c r="T1628" s="403"/>
      <c r="U1628" s="403"/>
      <c r="V1628" s="403"/>
      <c r="W1628" s="403"/>
      <c r="X1628" s="403"/>
      <c r="Y1628" s="403"/>
      <c r="Z1628" s="403"/>
    </row>
    <row r="1629">
      <c r="A1629" s="403"/>
      <c r="B1629" s="417"/>
      <c r="C1629" s="415"/>
      <c r="D1629" s="417"/>
      <c r="E1629" s="417"/>
      <c r="F1629" s="417"/>
      <c r="G1629" s="418"/>
      <c r="H1629" s="417"/>
      <c r="I1629" s="418"/>
      <c r="J1629" s="432"/>
      <c r="K1629" s="420"/>
      <c r="L1629" s="417"/>
      <c r="M1629" s="415"/>
      <c r="N1629" s="422"/>
      <c r="O1629" s="75" t="str">
        <f t="shared" si="3"/>
        <v/>
      </c>
      <c r="P1629" s="403">
        <v>0.0</v>
      </c>
      <c r="Q1629" s="403">
        <v>0.0</v>
      </c>
      <c r="R1629" s="403"/>
      <c r="S1629" s="403"/>
      <c r="T1629" s="403"/>
      <c r="U1629" s="403"/>
      <c r="V1629" s="403"/>
      <c r="W1629" s="403"/>
      <c r="X1629" s="403"/>
      <c r="Y1629" s="403"/>
      <c r="Z1629" s="403"/>
    </row>
    <row r="1630">
      <c r="A1630" s="403"/>
      <c r="B1630" s="417"/>
      <c r="C1630" s="415"/>
      <c r="D1630" s="417"/>
      <c r="E1630" s="417"/>
      <c r="F1630" s="417"/>
      <c r="G1630" s="418"/>
      <c r="H1630" s="417"/>
      <c r="I1630" s="418"/>
      <c r="J1630" s="432"/>
      <c r="K1630" s="420"/>
      <c r="L1630" s="417"/>
      <c r="M1630" s="415"/>
      <c r="N1630" s="422"/>
      <c r="O1630" s="75" t="str">
        <f t="shared" si="3"/>
        <v/>
      </c>
      <c r="P1630" s="403">
        <v>0.0</v>
      </c>
      <c r="Q1630" s="403">
        <v>0.0</v>
      </c>
      <c r="R1630" s="403"/>
      <c r="S1630" s="403"/>
      <c r="T1630" s="403"/>
      <c r="U1630" s="403"/>
      <c r="V1630" s="403"/>
      <c r="W1630" s="403"/>
      <c r="X1630" s="403"/>
      <c r="Y1630" s="403"/>
      <c r="Z1630" s="403"/>
    </row>
    <row r="1631">
      <c r="A1631" s="403"/>
      <c r="B1631" s="417"/>
      <c r="C1631" s="415"/>
      <c r="D1631" s="417"/>
      <c r="E1631" s="417"/>
      <c r="F1631" s="417"/>
      <c r="G1631" s="418"/>
      <c r="H1631" s="417"/>
      <c r="I1631" s="418"/>
      <c r="J1631" s="432"/>
      <c r="K1631" s="420"/>
      <c r="L1631" s="417"/>
      <c r="M1631" s="415"/>
      <c r="N1631" s="422"/>
      <c r="O1631" s="75" t="str">
        <f t="shared" si="3"/>
        <v/>
      </c>
      <c r="P1631" s="403">
        <v>0.0</v>
      </c>
      <c r="Q1631" s="403">
        <v>0.0</v>
      </c>
      <c r="R1631" s="403"/>
      <c r="S1631" s="403"/>
      <c r="T1631" s="403"/>
      <c r="U1631" s="403"/>
      <c r="V1631" s="403"/>
      <c r="W1631" s="403"/>
      <c r="X1631" s="403"/>
      <c r="Y1631" s="403"/>
      <c r="Z1631" s="403"/>
    </row>
    <row r="1632">
      <c r="A1632" s="403"/>
      <c r="B1632" s="417"/>
      <c r="C1632" s="415"/>
      <c r="D1632" s="417"/>
      <c r="E1632" s="417"/>
      <c r="F1632" s="417"/>
      <c r="G1632" s="418"/>
      <c r="H1632" s="417"/>
      <c r="I1632" s="418"/>
      <c r="J1632" s="432"/>
      <c r="K1632" s="420"/>
      <c r="L1632" s="417"/>
      <c r="M1632" s="415"/>
      <c r="N1632" s="422"/>
      <c r="O1632" s="75" t="str">
        <f t="shared" si="3"/>
        <v/>
      </c>
      <c r="P1632" s="403">
        <v>0.0</v>
      </c>
      <c r="Q1632" s="403">
        <v>0.0</v>
      </c>
      <c r="R1632" s="403"/>
      <c r="S1632" s="403"/>
      <c r="T1632" s="403"/>
      <c r="U1632" s="403"/>
      <c r="V1632" s="403"/>
      <c r="W1632" s="403"/>
      <c r="X1632" s="403"/>
      <c r="Y1632" s="403"/>
      <c r="Z1632" s="403"/>
    </row>
    <row r="1633">
      <c r="A1633" s="403"/>
      <c r="B1633" s="417"/>
      <c r="C1633" s="415"/>
      <c r="D1633" s="417"/>
      <c r="E1633" s="417"/>
      <c r="F1633" s="417"/>
      <c r="G1633" s="418"/>
      <c r="H1633" s="417"/>
      <c r="I1633" s="418"/>
      <c r="J1633" s="432"/>
      <c r="K1633" s="420"/>
      <c r="L1633" s="417"/>
      <c r="M1633" s="415"/>
      <c r="N1633" s="422"/>
      <c r="O1633" s="75" t="str">
        <f t="shared" si="3"/>
        <v/>
      </c>
      <c r="P1633" s="403">
        <v>0.0</v>
      </c>
      <c r="Q1633" s="403">
        <v>0.0</v>
      </c>
      <c r="R1633" s="403"/>
      <c r="S1633" s="403"/>
      <c r="T1633" s="403"/>
      <c r="U1633" s="403"/>
      <c r="V1633" s="403"/>
      <c r="W1633" s="403"/>
      <c r="X1633" s="403"/>
      <c r="Y1633" s="403"/>
      <c r="Z1633" s="403"/>
    </row>
    <row r="1634">
      <c r="A1634" s="403"/>
      <c r="B1634" s="417"/>
      <c r="C1634" s="415"/>
      <c r="D1634" s="417"/>
      <c r="E1634" s="417"/>
      <c r="F1634" s="417"/>
      <c r="G1634" s="418"/>
      <c r="H1634" s="417"/>
      <c r="I1634" s="418"/>
      <c r="J1634" s="432"/>
      <c r="K1634" s="420"/>
      <c r="L1634" s="417"/>
      <c r="M1634" s="415"/>
      <c r="N1634" s="422"/>
      <c r="O1634" s="75" t="str">
        <f t="shared" si="3"/>
        <v/>
      </c>
      <c r="P1634" s="403">
        <v>0.0</v>
      </c>
      <c r="Q1634" s="403">
        <v>0.0</v>
      </c>
      <c r="R1634" s="403"/>
      <c r="S1634" s="403"/>
      <c r="T1634" s="403"/>
      <c r="U1634" s="403"/>
      <c r="V1634" s="403"/>
      <c r="W1634" s="403"/>
      <c r="X1634" s="403"/>
      <c r="Y1634" s="403"/>
      <c r="Z1634" s="403"/>
    </row>
    <row r="1635">
      <c r="A1635" s="403"/>
      <c r="B1635" s="417"/>
      <c r="C1635" s="415"/>
      <c r="D1635" s="417"/>
      <c r="E1635" s="417"/>
      <c r="F1635" s="417"/>
      <c r="G1635" s="418"/>
      <c r="H1635" s="417"/>
      <c r="I1635" s="418"/>
      <c r="J1635" s="432"/>
      <c r="K1635" s="420"/>
      <c r="L1635" s="417"/>
      <c r="M1635" s="415"/>
      <c r="N1635" s="422"/>
      <c r="O1635" s="75" t="str">
        <f t="shared" si="3"/>
        <v/>
      </c>
      <c r="P1635" s="403">
        <v>0.0</v>
      </c>
      <c r="Q1635" s="403">
        <v>0.0</v>
      </c>
      <c r="R1635" s="403"/>
      <c r="S1635" s="403"/>
      <c r="T1635" s="403"/>
      <c r="U1635" s="403"/>
      <c r="V1635" s="403"/>
      <c r="W1635" s="403"/>
      <c r="X1635" s="403"/>
      <c r="Y1635" s="403"/>
      <c r="Z1635" s="403"/>
    </row>
    <row r="1636">
      <c r="A1636" s="403"/>
      <c r="B1636" s="417"/>
      <c r="C1636" s="415"/>
      <c r="D1636" s="417"/>
      <c r="E1636" s="417"/>
      <c r="F1636" s="417"/>
      <c r="G1636" s="418"/>
      <c r="H1636" s="417"/>
      <c r="I1636" s="418"/>
      <c r="J1636" s="432"/>
      <c r="K1636" s="420"/>
      <c r="L1636" s="417"/>
      <c r="M1636" s="415"/>
      <c r="N1636" s="422"/>
      <c r="O1636" s="75" t="str">
        <f t="shared" si="3"/>
        <v/>
      </c>
      <c r="P1636" s="403">
        <v>0.0</v>
      </c>
      <c r="Q1636" s="403">
        <v>0.0</v>
      </c>
      <c r="R1636" s="403"/>
      <c r="S1636" s="403"/>
      <c r="T1636" s="403"/>
      <c r="U1636" s="403"/>
      <c r="V1636" s="403"/>
      <c r="W1636" s="403"/>
      <c r="X1636" s="403"/>
      <c r="Y1636" s="403"/>
      <c r="Z1636" s="403"/>
    </row>
    <row r="1637">
      <c r="A1637" s="403"/>
      <c r="B1637" s="417"/>
      <c r="C1637" s="415"/>
      <c r="D1637" s="417"/>
      <c r="E1637" s="417"/>
      <c r="F1637" s="417"/>
      <c r="G1637" s="418"/>
      <c r="H1637" s="417"/>
      <c r="I1637" s="418"/>
      <c r="J1637" s="432"/>
      <c r="K1637" s="420"/>
      <c r="L1637" s="417"/>
      <c r="M1637" s="415"/>
      <c r="N1637" s="422"/>
      <c r="O1637" s="75" t="str">
        <f t="shared" si="3"/>
        <v/>
      </c>
      <c r="P1637" s="403">
        <v>0.0</v>
      </c>
      <c r="Q1637" s="403">
        <v>0.0</v>
      </c>
      <c r="R1637" s="403"/>
      <c r="S1637" s="403"/>
      <c r="T1637" s="403"/>
      <c r="U1637" s="403"/>
      <c r="V1637" s="403"/>
      <c r="W1637" s="403"/>
      <c r="X1637" s="403"/>
      <c r="Y1637" s="403"/>
      <c r="Z1637" s="403"/>
    </row>
    <row r="1638">
      <c r="A1638" s="403"/>
      <c r="B1638" s="417"/>
      <c r="C1638" s="415"/>
      <c r="D1638" s="417"/>
      <c r="E1638" s="417"/>
      <c r="F1638" s="417"/>
      <c r="G1638" s="418"/>
      <c r="H1638" s="417"/>
      <c r="I1638" s="418"/>
      <c r="J1638" s="432"/>
      <c r="K1638" s="420"/>
      <c r="L1638" s="417"/>
      <c r="M1638" s="415"/>
      <c r="N1638" s="422"/>
      <c r="O1638" s="75" t="str">
        <f t="shared" si="3"/>
        <v/>
      </c>
      <c r="P1638" s="403">
        <v>0.0</v>
      </c>
      <c r="Q1638" s="403">
        <v>0.0</v>
      </c>
      <c r="R1638" s="403"/>
      <c r="S1638" s="403"/>
      <c r="T1638" s="403"/>
      <c r="U1638" s="403"/>
      <c r="V1638" s="403"/>
      <c r="W1638" s="403"/>
      <c r="X1638" s="403"/>
      <c r="Y1638" s="403"/>
      <c r="Z1638" s="403"/>
    </row>
    <row r="1639">
      <c r="A1639" s="403"/>
      <c r="B1639" s="417"/>
      <c r="C1639" s="415"/>
      <c r="D1639" s="417"/>
      <c r="E1639" s="417"/>
      <c r="F1639" s="417"/>
      <c r="G1639" s="418"/>
      <c r="H1639" s="417"/>
      <c r="I1639" s="418"/>
      <c r="J1639" s="432"/>
      <c r="K1639" s="420"/>
      <c r="L1639" s="417"/>
      <c r="M1639" s="415"/>
      <c r="N1639" s="422"/>
      <c r="O1639" s="75" t="str">
        <f t="shared" si="3"/>
        <v/>
      </c>
      <c r="P1639" s="403">
        <v>0.0</v>
      </c>
      <c r="Q1639" s="403">
        <v>0.0</v>
      </c>
      <c r="R1639" s="403"/>
      <c r="S1639" s="403"/>
      <c r="T1639" s="403"/>
      <c r="U1639" s="403"/>
      <c r="V1639" s="403"/>
      <c r="W1639" s="403"/>
      <c r="X1639" s="403"/>
      <c r="Y1639" s="403"/>
      <c r="Z1639" s="403"/>
    </row>
    <row r="1640">
      <c r="A1640" s="403"/>
      <c r="B1640" s="417"/>
      <c r="C1640" s="415"/>
      <c r="D1640" s="417"/>
      <c r="E1640" s="417"/>
      <c r="F1640" s="417"/>
      <c r="G1640" s="418"/>
      <c r="H1640" s="417"/>
      <c r="I1640" s="418"/>
      <c r="J1640" s="432"/>
      <c r="K1640" s="420"/>
      <c r="L1640" s="417"/>
      <c r="M1640" s="415"/>
      <c r="N1640" s="422"/>
      <c r="O1640" s="75" t="str">
        <f t="shared" si="3"/>
        <v/>
      </c>
      <c r="P1640" s="403">
        <v>0.0</v>
      </c>
      <c r="Q1640" s="403">
        <v>0.0</v>
      </c>
      <c r="R1640" s="403"/>
      <c r="S1640" s="403"/>
      <c r="T1640" s="403"/>
      <c r="U1640" s="403"/>
      <c r="V1640" s="403"/>
      <c r="W1640" s="403"/>
      <c r="X1640" s="403"/>
      <c r="Y1640" s="403"/>
      <c r="Z1640" s="403"/>
    </row>
    <row r="1641">
      <c r="A1641" s="403"/>
      <c r="B1641" s="417"/>
      <c r="C1641" s="415"/>
      <c r="D1641" s="417"/>
      <c r="E1641" s="417"/>
      <c r="F1641" s="417"/>
      <c r="G1641" s="418"/>
      <c r="H1641" s="417"/>
      <c r="I1641" s="418"/>
      <c r="J1641" s="432"/>
      <c r="K1641" s="420"/>
      <c r="L1641" s="417"/>
      <c r="M1641" s="415"/>
      <c r="N1641" s="422"/>
      <c r="O1641" s="75" t="str">
        <f t="shared" si="3"/>
        <v/>
      </c>
      <c r="P1641" s="403">
        <v>0.0</v>
      </c>
      <c r="Q1641" s="403">
        <v>0.0</v>
      </c>
      <c r="R1641" s="403"/>
      <c r="S1641" s="403"/>
      <c r="T1641" s="403"/>
      <c r="U1641" s="403"/>
      <c r="V1641" s="403"/>
      <c r="W1641" s="403"/>
      <c r="X1641" s="403"/>
      <c r="Y1641" s="403"/>
      <c r="Z1641" s="403"/>
    </row>
    <row r="1642">
      <c r="A1642" s="403"/>
      <c r="B1642" s="417"/>
      <c r="C1642" s="415"/>
      <c r="D1642" s="417"/>
      <c r="E1642" s="417"/>
      <c r="F1642" s="417"/>
      <c r="G1642" s="418"/>
      <c r="H1642" s="417"/>
      <c r="I1642" s="418"/>
      <c r="J1642" s="432"/>
      <c r="K1642" s="420"/>
      <c r="L1642" s="417"/>
      <c r="M1642" s="415"/>
      <c r="N1642" s="422"/>
      <c r="O1642" s="75" t="str">
        <f t="shared" si="3"/>
        <v/>
      </c>
      <c r="P1642" s="403">
        <v>0.0</v>
      </c>
      <c r="Q1642" s="403">
        <v>0.0</v>
      </c>
      <c r="R1642" s="403"/>
      <c r="S1642" s="403"/>
      <c r="T1642" s="403"/>
      <c r="U1642" s="403"/>
      <c r="V1642" s="403"/>
      <c r="W1642" s="403"/>
      <c r="X1642" s="403"/>
      <c r="Y1642" s="403"/>
      <c r="Z1642" s="403"/>
    </row>
    <row r="1643">
      <c r="A1643" s="403"/>
      <c r="B1643" s="417"/>
      <c r="C1643" s="415"/>
      <c r="D1643" s="417"/>
      <c r="E1643" s="417"/>
      <c r="F1643" s="417"/>
      <c r="G1643" s="418"/>
      <c r="H1643" s="417"/>
      <c r="I1643" s="418"/>
      <c r="J1643" s="432"/>
      <c r="K1643" s="420"/>
      <c r="L1643" s="417"/>
      <c r="M1643" s="415"/>
      <c r="N1643" s="422"/>
      <c r="O1643" s="75" t="str">
        <f t="shared" si="3"/>
        <v/>
      </c>
      <c r="P1643" s="403">
        <v>0.0</v>
      </c>
      <c r="Q1643" s="403">
        <v>0.0</v>
      </c>
      <c r="R1643" s="403"/>
      <c r="S1643" s="403"/>
      <c r="T1643" s="403"/>
      <c r="U1643" s="403"/>
      <c r="V1643" s="403"/>
      <c r="W1643" s="403"/>
      <c r="X1643" s="403"/>
      <c r="Y1643" s="403"/>
      <c r="Z1643" s="403"/>
    </row>
    <row r="1644">
      <c r="A1644" s="403"/>
      <c r="B1644" s="417"/>
      <c r="C1644" s="415"/>
      <c r="D1644" s="417"/>
      <c r="E1644" s="417"/>
      <c r="F1644" s="417"/>
      <c r="G1644" s="418"/>
      <c r="H1644" s="417"/>
      <c r="I1644" s="418"/>
      <c r="J1644" s="432"/>
      <c r="K1644" s="420"/>
      <c r="L1644" s="417"/>
      <c r="M1644" s="415"/>
      <c r="N1644" s="422"/>
      <c r="O1644" s="75" t="str">
        <f t="shared" si="3"/>
        <v/>
      </c>
      <c r="P1644" s="403">
        <v>0.0</v>
      </c>
      <c r="Q1644" s="403">
        <v>0.0</v>
      </c>
      <c r="R1644" s="403"/>
      <c r="S1644" s="403"/>
      <c r="T1644" s="403"/>
      <c r="U1644" s="403"/>
      <c r="V1644" s="403"/>
      <c r="W1644" s="403"/>
      <c r="X1644" s="403"/>
      <c r="Y1644" s="403"/>
      <c r="Z1644" s="403"/>
    </row>
    <row r="1645">
      <c r="A1645" s="403"/>
      <c r="B1645" s="417"/>
      <c r="C1645" s="415"/>
      <c r="D1645" s="417"/>
      <c r="E1645" s="417"/>
      <c r="F1645" s="417"/>
      <c r="G1645" s="418"/>
      <c r="H1645" s="417"/>
      <c r="I1645" s="418"/>
      <c r="J1645" s="432"/>
      <c r="K1645" s="420"/>
      <c r="L1645" s="417"/>
      <c r="M1645" s="415"/>
      <c r="N1645" s="422"/>
      <c r="O1645" s="75" t="str">
        <f t="shared" si="3"/>
        <v/>
      </c>
      <c r="P1645" s="403">
        <v>0.0</v>
      </c>
      <c r="Q1645" s="403">
        <v>0.0</v>
      </c>
      <c r="R1645" s="403"/>
      <c r="S1645" s="403"/>
      <c r="T1645" s="403"/>
      <c r="U1645" s="403"/>
      <c r="V1645" s="403"/>
      <c r="W1645" s="403"/>
      <c r="X1645" s="403"/>
      <c r="Y1645" s="403"/>
      <c r="Z1645" s="403"/>
    </row>
    <row r="1646">
      <c r="A1646" s="403"/>
      <c r="B1646" s="417"/>
      <c r="C1646" s="415"/>
      <c r="D1646" s="417"/>
      <c r="E1646" s="417"/>
      <c r="F1646" s="417"/>
      <c r="G1646" s="418"/>
      <c r="H1646" s="417"/>
      <c r="I1646" s="418"/>
      <c r="J1646" s="432"/>
      <c r="K1646" s="420"/>
      <c r="L1646" s="417"/>
      <c r="M1646" s="415"/>
      <c r="N1646" s="422"/>
      <c r="O1646" s="75" t="str">
        <f t="shared" si="3"/>
        <v/>
      </c>
      <c r="P1646" s="403">
        <v>0.0</v>
      </c>
      <c r="Q1646" s="403">
        <v>0.0</v>
      </c>
      <c r="R1646" s="403"/>
      <c r="S1646" s="403"/>
      <c r="T1646" s="403"/>
      <c r="U1646" s="403"/>
      <c r="V1646" s="403"/>
      <c r="W1646" s="403"/>
      <c r="X1646" s="403"/>
      <c r="Y1646" s="403"/>
      <c r="Z1646" s="403"/>
    </row>
    <row r="1647">
      <c r="A1647" s="403"/>
      <c r="B1647" s="417"/>
      <c r="C1647" s="415"/>
      <c r="D1647" s="417"/>
      <c r="E1647" s="417"/>
      <c r="F1647" s="417"/>
      <c r="G1647" s="418"/>
      <c r="H1647" s="417"/>
      <c r="I1647" s="418"/>
      <c r="J1647" s="432"/>
      <c r="K1647" s="420"/>
      <c r="L1647" s="417"/>
      <c r="M1647" s="415"/>
      <c r="N1647" s="422"/>
      <c r="O1647" s="75" t="str">
        <f t="shared" si="3"/>
        <v/>
      </c>
      <c r="P1647" s="403">
        <v>0.0</v>
      </c>
      <c r="Q1647" s="403">
        <v>0.0</v>
      </c>
      <c r="R1647" s="403"/>
      <c r="S1647" s="403"/>
      <c r="T1647" s="403"/>
      <c r="U1647" s="403"/>
      <c r="V1647" s="403"/>
      <c r="W1647" s="403"/>
      <c r="X1647" s="403"/>
      <c r="Y1647" s="403"/>
      <c r="Z1647" s="403"/>
    </row>
    <row r="1648">
      <c r="A1648" s="403"/>
      <c r="B1648" s="417"/>
      <c r="C1648" s="415"/>
      <c r="D1648" s="417"/>
      <c r="E1648" s="417"/>
      <c r="F1648" s="417"/>
      <c r="G1648" s="418"/>
      <c r="H1648" s="417"/>
      <c r="I1648" s="418"/>
      <c r="J1648" s="432"/>
      <c r="K1648" s="420"/>
      <c r="L1648" s="417"/>
      <c r="M1648" s="415"/>
      <c r="N1648" s="422"/>
      <c r="O1648" s="75" t="str">
        <f t="shared" si="3"/>
        <v/>
      </c>
      <c r="P1648" s="403">
        <v>0.0</v>
      </c>
      <c r="Q1648" s="403">
        <v>0.0</v>
      </c>
      <c r="R1648" s="403"/>
      <c r="S1648" s="403"/>
      <c r="T1648" s="403"/>
      <c r="U1648" s="403"/>
      <c r="V1648" s="403"/>
      <c r="W1648" s="403"/>
      <c r="X1648" s="403"/>
      <c r="Y1648" s="403"/>
      <c r="Z1648" s="403"/>
    </row>
    <row r="1649">
      <c r="A1649" s="403"/>
      <c r="B1649" s="417"/>
      <c r="C1649" s="415"/>
      <c r="D1649" s="417"/>
      <c r="E1649" s="417"/>
      <c r="F1649" s="417"/>
      <c r="G1649" s="418"/>
      <c r="H1649" s="417"/>
      <c r="I1649" s="418"/>
      <c r="J1649" s="432"/>
      <c r="K1649" s="420"/>
      <c r="L1649" s="417"/>
      <c r="M1649" s="415"/>
      <c r="N1649" s="422"/>
      <c r="O1649" s="75" t="str">
        <f t="shared" si="3"/>
        <v/>
      </c>
      <c r="P1649" s="403">
        <v>0.0</v>
      </c>
      <c r="Q1649" s="403">
        <v>0.0</v>
      </c>
      <c r="R1649" s="403"/>
      <c r="S1649" s="403"/>
      <c r="T1649" s="403"/>
      <c r="U1649" s="403"/>
      <c r="V1649" s="403"/>
      <c r="W1649" s="403"/>
      <c r="X1649" s="403"/>
      <c r="Y1649" s="403"/>
      <c r="Z1649" s="403"/>
    </row>
    <row r="1650">
      <c r="A1650" s="403"/>
      <c r="B1650" s="417"/>
      <c r="C1650" s="415"/>
      <c r="D1650" s="417"/>
      <c r="E1650" s="417"/>
      <c r="F1650" s="417"/>
      <c r="G1650" s="418"/>
      <c r="H1650" s="417"/>
      <c r="I1650" s="418"/>
      <c r="J1650" s="432"/>
      <c r="K1650" s="420"/>
      <c r="L1650" s="417"/>
      <c r="M1650" s="415"/>
      <c r="N1650" s="422"/>
      <c r="O1650" s="75" t="str">
        <f t="shared" si="3"/>
        <v/>
      </c>
      <c r="P1650" s="403">
        <v>0.0</v>
      </c>
      <c r="Q1650" s="403">
        <v>0.0</v>
      </c>
      <c r="R1650" s="403"/>
      <c r="S1650" s="403"/>
      <c r="T1650" s="403"/>
      <c r="U1650" s="403"/>
      <c r="V1650" s="403"/>
      <c r="W1650" s="403"/>
      <c r="X1650" s="403"/>
      <c r="Y1650" s="403"/>
      <c r="Z1650" s="403"/>
    </row>
    <row r="1651">
      <c r="A1651" s="403"/>
      <c r="B1651" s="417"/>
      <c r="C1651" s="415"/>
      <c r="D1651" s="417"/>
      <c r="E1651" s="417"/>
      <c r="F1651" s="417"/>
      <c r="G1651" s="418"/>
      <c r="H1651" s="417"/>
      <c r="I1651" s="418"/>
      <c r="J1651" s="432"/>
      <c r="K1651" s="420"/>
      <c r="L1651" s="417"/>
      <c r="M1651" s="415"/>
      <c r="N1651" s="422"/>
      <c r="O1651" s="75" t="str">
        <f t="shared" si="3"/>
        <v/>
      </c>
      <c r="P1651" s="403">
        <v>0.0</v>
      </c>
      <c r="Q1651" s="403">
        <v>0.0</v>
      </c>
      <c r="R1651" s="403"/>
      <c r="S1651" s="403"/>
      <c r="T1651" s="403"/>
      <c r="U1651" s="403"/>
      <c r="V1651" s="403"/>
      <c r="W1651" s="403"/>
      <c r="X1651" s="403"/>
      <c r="Y1651" s="403"/>
      <c r="Z1651" s="403"/>
    </row>
    <row r="1652">
      <c r="A1652" s="403"/>
      <c r="B1652" s="417"/>
      <c r="C1652" s="415"/>
      <c r="D1652" s="417"/>
      <c r="E1652" s="417"/>
      <c r="F1652" s="417"/>
      <c r="G1652" s="418"/>
      <c r="H1652" s="417"/>
      <c r="I1652" s="418"/>
      <c r="J1652" s="432"/>
      <c r="K1652" s="420"/>
      <c r="L1652" s="417"/>
      <c r="M1652" s="415"/>
      <c r="N1652" s="422"/>
      <c r="O1652" s="75" t="str">
        <f t="shared" si="3"/>
        <v/>
      </c>
      <c r="P1652" s="403">
        <v>0.0</v>
      </c>
      <c r="Q1652" s="403">
        <v>0.0</v>
      </c>
      <c r="R1652" s="403"/>
      <c r="S1652" s="403"/>
      <c r="T1652" s="403"/>
      <c r="U1652" s="403"/>
      <c r="V1652" s="403"/>
      <c r="W1652" s="403"/>
      <c r="X1652" s="403"/>
      <c r="Y1652" s="403"/>
      <c r="Z1652" s="403"/>
    </row>
    <row r="1653">
      <c r="A1653" s="403"/>
      <c r="B1653" s="417"/>
      <c r="C1653" s="415"/>
      <c r="D1653" s="417"/>
      <c r="E1653" s="417"/>
      <c r="F1653" s="417"/>
      <c r="G1653" s="418"/>
      <c r="H1653" s="417"/>
      <c r="I1653" s="418"/>
      <c r="J1653" s="432"/>
      <c r="K1653" s="420"/>
      <c r="L1653" s="417"/>
      <c r="M1653" s="415"/>
      <c r="N1653" s="422"/>
      <c r="O1653" s="75" t="str">
        <f t="shared" si="3"/>
        <v/>
      </c>
      <c r="P1653" s="403">
        <v>0.0</v>
      </c>
      <c r="Q1653" s="403">
        <v>0.0</v>
      </c>
      <c r="R1653" s="403"/>
      <c r="S1653" s="403"/>
      <c r="T1653" s="403"/>
      <c r="U1653" s="403"/>
      <c r="V1653" s="403"/>
      <c r="W1653" s="403"/>
      <c r="X1653" s="403"/>
      <c r="Y1653" s="403"/>
      <c r="Z1653" s="403"/>
    </row>
    <row r="1654">
      <c r="A1654" s="403"/>
      <c r="B1654" s="417"/>
      <c r="C1654" s="415"/>
      <c r="D1654" s="417"/>
      <c r="E1654" s="417"/>
      <c r="F1654" s="417"/>
      <c r="G1654" s="418"/>
      <c r="H1654" s="417"/>
      <c r="I1654" s="418"/>
      <c r="J1654" s="432"/>
      <c r="K1654" s="420"/>
      <c r="L1654" s="417"/>
      <c r="M1654" s="415"/>
      <c r="N1654" s="422"/>
      <c r="O1654" s="75" t="str">
        <f t="shared" si="3"/>
        <v/>
      </c>
      <c r="P1654" s="403">
        <v>0.0</v>
      </c>
      <c r="Q1654" s="403">
        <v>0.0</v>
      </c>
      <c r="R1654" s="403"/>
      <c r="S1654" s="403"/>
      <c r="T1654" s="403"/>
      <c r="U1654" s="403"/>
      <c r="V1654" s="403"/>
      <c r="W1654" s="403"/>
      <c r="X1654" s="403"/>
      <c r="Y1654" s="403"/>
      <c r="Z1654" s="403"/>
    </row>
    <row r="1655">
      <c r="A1655" s="403"/>
      <c r="B1655" s="417"/>
      <c r="C1655" s="415"/>
      <c r="D1655" s="417"/>
      <c r="E1655" s="417"/>
      <c r="F1655" s="417"/>
      <c r="G1655" s="418"/>
      <c r="H1655" s="417"/>
      <c r="I1655" s="418"/>
      <c r="J1655" s="432"/>
      <c r="K1655" s="420"/>
      <c r="L1655" s="417"/>
      <c r="M1655" s="415"/>
      <c r="N1655" s="422"/>
      <c r="O1655" s="75" t="str">
        <f t="shared" si="3"/>
        <v/>
      </c>
      <c r="P1655" s="403">
        <v>0.0</v>
      </c>
      <c r="Q1655" s="403">
        <v>0.0</v>
      </c>
      <c r="R1655" s="403"/>
      <c r="S1655" s="403"/>
      <c r="T1655" s="403"/>
      <c r="U1655" s="403"/>
      <c r="V1655" s="403"/>
      <c r="W1655" s="403"/>
      <c r="X1655" s="403"/>
      <c r="Y1655" s="403"/>
      <c r="Z1655" s="403"/>
    </row>
    <row r="1656">
      <c r="A1656" s="403"/>
      <c r="B1656" s="417"/>
      <c r="C1656" s="415"/>
      <c r="D1656" s="417"/>
      <c r="E1656" s="417"/>
      <c r="F1656" s="417"/>
      <c r="G1656" s="418"/>
      <c r="H1656" s="417"/>
      <c r="I1656" s="418"/>
      <c r="J1656" s="432"/>
      <c r="K1656" s="420"/>
      <c r="L1656" s="417"/>
      <c r="M1656" s="415"/>
      <c r="N1656" s="422"/>
      <c r="O1656" s="75" t="str">
        <f t="shared" si="3"/>
        <v/>
      </c>
      <c r="P1656" s="403">
        <v>0.0</v>
      </c>
      <c r="Q1656" s="403">
        <v>0.0</v>
      </c>
      <c r="R1656" s="403"/>
      <c r="S1656" s="403"/>
      <c r="T1656" s="403"/>
      <c r="U1656" s="403"/>
      <c r="V1656" s="403"/>
      <c r="W1656" s="403"/>
      <c r="X1656" s="403"/>
      <c r="Y1656" s="403"/>
      <c r="Z1656" s="403"/>
    </row>
    <row r="1657">
      <c r="A1657" s="403"/>
      <c r="B1657" s="417"/>
      <c r="C1657" s="415"/>
      <c r="D1657" s="417"/>
      <c r="E1657" s="417"/>
      <c r="F1657" s="417"/>
      <c r="G1657" s="418"/>
      <c r="H1657" s="417"/>
      <c r="I1657" s="418"/>
      <c r="J1657" s="432"/>
      <c r="K1657" s="420"/>
      <c r="L1657" s="417"/>
      <c r="M1657" s="415"/>
      <c r="N1657" s="422"/>
      <c r="O1657" s="75" t="str">
        <f t="shared" si="3"/>
        <v/>
      </c>
      <c r="P1657" s="403">
        <v>0.0</v>
      </c>
      <c r="Q1657" s="403">
        <v>0.0</v>
      </c>
      <c r="R1657" s="403"/>
      <c r="S1657" s="403"/>
      <c r="T1657" s="403"/>
      <c r="U1657" s="403"/>
      <c r="V1657" s="403"/>
      <c r="W1657" s="403"/>
      <c r="X1657" s="403"/>
      <c r="Y1657" s="403"/>
      <c r="Z1657" s="403"/>
    </row>
    <row r="1658">
      <c r="A1658" s="403"/>
      <c r="B1658" s="417"/>
      <c r="C1658" s="415"/>
      <c r="D1658" s="417"/>
      <c r="E1658" s="417"/>
      <c r="F1658" s="417"/>
      <c r="G1658" s="418"/>
      <c r="H1658" s="417"/>
      <c r="I1658" s="418"/>
      <c r="J1658" s="432"/>
      <c r="K1658" s="420"/>
      <c r="L1658" s="417"/>
      <c r="M1658" s="415"/>
      <c r="N1658" s="422"/>
      <c r="O1658" s="75" t="str">
        <f t="shared" si="3"/>
        <v/>
      </c>
      <c r="P1658" s="403">
        <v>0.0</v>
      </c>
      <c r="Q1658" s="403">
        <v>0.0</v>
      </c>
      <c r="R1658" s="403"/>
      <c r="S1658" s="403"/>
      <c r="T1658" s="403"/>
      <c r="U1658" s="403"/>
      <c r="V1658" s="403"/>
      <c r="W1658" s="403"/>
      <c r="X1658" s="403"/>
      <c r="Y1658" s="403"/>
      <c r="Z1658" s="403"/>
    </row>
    <row r="1659">
      <c r="A1659" s="403"/>
      <c r="B1659" s="417"/>
      <c r="C1659" s="415"/>
      <c r="D1659" s="417"/>
      <c r="E1659" s="417"/>
      <c r="F1659" s="417"/>
      <c r="G1659" s="418"/>
      <c r="H1659" s="417"/>
      <c r="I1659" s="418"/>
      <c r="J1659" s="432"/>
      <c r="K1659" s="420"/>
      <c r="L1659" s="417"/>
      <c r="M1659" s="415"/>
      <c r="N1659" s="422"/>
      <c r="O1659" s="75" t="str">
        <f t="shared" si="3"/>
        <v/>
      </c>
      <c r="P1659" s="403">
        <v>0.0</v>
      </c>
      <c r="Q1659" s="403">
        <v>0.0</v>
      </c>
      <c r="R1659" s="403"/>
      <c r="S1659" s="403"/>
      <c r="T1659" s="403"/>
      <c r="U1659" s="403"/>
      <c r="V1659" s="403"/>
      <c r="W1659" s="403"/>
      <c r="X1659" s="403"/>
      <c r="Y1659" s="403"/>
      <c r="Z1659" s="403"/>
    </row>
    <row r="1660">
      <c r="A1660" s="403"/>
      <c r="B1660" s="417"/>
      <c r="C1660" s="415"/>
      <c r="D1660" s="417"/>
      <c r="E1660" s="417"/>
      <c r="F1660" s="417"/>
      <c r="G1660" s="418"/>
      <c r="H1660" s="417"/>
      <c r="I1660" s="418"/>
      <c r="J1660" s="432"/>
      <c r="K1660" s="420"/>
      <c r="L1660" s="417"/>
      <c r="M1660" s="415"/>
      <c r="N1660" s="422"/>
      <c r="O1660" s="75" t="str">
        <f t="shared" si="3"/>
        <v/>
      </c>
      <c r="P1660" s="403">
        <v>0.0</v>
      </c>
      <c r="Q1660" s="403">
        <v>0.0</v>
      </c>
      <c r="R1660" s="403"/>
      <c r="S1660" s="403"/>
      <c r="T1660" s="403"/>
      <c r="U1660" s="403"/>
      <c r="V1660" s="403"/>
      <c r="W1660" s="403"/>
      <c r="X1660" s="403"/>
      <c r="Y1660" s="403"/>
      <c r="Z1660" s="403"/>
    </row>
    <row r="1661">
      <c r="A1661" s="403"/>
      <c r="B1661" s="417"/>
      <c r="C1661" s="415"/>
      <c r="D1661" s="417"/>
      <c r="E1661" s="417"/>
      <c r="F1661" s="417"/>
      <c r="G1661" s="418"/>
      <c r="H1661" s="417"/>
      <c r="I1661" s="418"/>
      <c r="J1661" s="432"/>
      <c r="K1661" s="420"/>
      <c r="L1661" s="417"/>
      <c r="M1661" s="415"/>
      <c r="N1661" s="422"/>
      <c r="O1661" s="75" t="str">
        <f t="shared" si="3"/>
        <v/>
      </c>
      <c r="P1661" s="403">
        <v>0.0</v>
      </c>
      <c r="Q1661" s="403">
        <v>0.0</v>
      </c>
      <c r="R1661" s="403"/>
      <c r="S1661" s="403"/>
      <c r="T1661" s="403"/>
      <c r="U1661" s="403"/>
      <c r="V1661" s="403"/>
      <c r="W1661" s="403"/>
      <c r="X1661" s="403"/>
      <c r="Y1661" s="403"/>
      <c r="Z1661" s="403"/>
    </row>
    <row r="1662">
      <c r="A1662" s="403"/>
      <c r="B1662" s="417"/>
      <c r="C1662" s="415"/>
      <c r="D1662" s="417"/>
      <c r="E1662" s="417"/>
      <c r="F1662" s="417"/>
      <c r="G1662" s="418"/>
      <c r="H1662" s="417"/>
      <c r="I1662" s="418"/>
      <c r="J1662" s="432"/>
      <c r="K1662" s="420"/>
      <c r="L1662" s="417"/>
      <c r="M1662" s="415"/>
      <c r="N1662" s="422"/>
      <c r="O1662" s="75" t="str">
        <f t="shared" si="3"/>
        <v/>
      </c>
      <c r="P1662" s="403">
        <v>0.0</v>
      </c>
      <c r="Q1662" s="403">
        <v>0.0</v>
      </c>
      <c r="R1662" s="403"/>
      <c r="S1662" s="403"/>
      <c r="T1662" s="403"/>
      <c r="U1662" s="403"/>
      <c r="V1662" s="403"/>
      <c r="W1662" s="403"/>
      <c r="X1662" s="403"/>
      <c r="Y1662" s="403"/>
      <c r="Z1662" s="403"/>
    </row>
    <row r="1663">
      <c r="A1663" s="403"/>
      <c r="B1663" s="417"/>
      <c r="C1663" s="415"/>
      <c r="D1663" s="417"/>
      <c r="E1663" s="417"/>
      <c r="F1663" s="417"/>
      <c r="G1663" s="418"/>
      <c r="H1663" s="417"/>
      <c r="I1663" s="418"/>
      <c r="J1663" s="432"/>
      <c r="K1663" s="420"/>
      <c r="L1663" s="417"/>
      <c r="M1663" s="415"/>
      <c r="N1663" s="422"/>
      <c r="O1663" s="75" t="str">
        <f t="shared" si="3"/>
        <v/>
      </c>
      <c r="P1663" s="403">
        <v>0.0</v>
      </c>
      <c r="Q1663" s="403">
        <v>0.0</v>
      </c>
      <c r="R1663" s="403"/>
      <c r="S1663" s="403"/>
      <c r="T1663" s="403"/>
      <c r="U1663" s="403"/>
      <c r="V1663" s="403"/>
      <c r="W1663" s="403"/>
      <c r="X1663" s="403"/>
      <c r="Y1663" s="403"/>
      <c r="Z1663" s="403"/>
    </row>
    <row r="1664">
      <c r="A1664" s="403"/>
      <c r="B1664" s="417"/>
      <c r="C1664" s="415"/>
      <c r="D1664" s="417"/>
      <c r="E1664" s="417"/>
      <c r="F1664" s="417"/>
      <c r="G1664" s="418"/>
      <c r="H1664" s="417"/>
      <c r="I1664" s="418"/>
      <c r="J1664" s="432"/>
      <c r="K1664" s="420"/>
      <c r="L1664" s="417"/>
      <c r="M1664" s="415"/>
      <c r="N1664" s="422"/>
      <c r="O1664" s="75" t="str">
        <f t="shared" si="3"/>
        <v/>
      </c>
      <c r="P1664" s="403">
        <v>0.0</v>
      </c>
      <c r="Q1664" s="403">
        <v>0.0</v>
      </c>
      <c r="R1664" s="403"/>
      <c r="S1664" s="403"/>
      <c r="T1664" s="403"/>
      <c r="U1664" s="403"/>
      <c r="V1664" s="403"/>
      <c r="W1664" s="403"/>
      <c r="X1664" s="403"/>
      <c r="Y1664" s="403"/>
      <c r="Z1664" s="403"/>
    </row>
    <row r="1665">
      <c r="A1665" s="403"/>
      <c r="B1665" s="417"/>
      <c r="C1665" s="415"/>
      <c r="D1665" s="417"/>
      <c r="E1665" s="417"/>
      <c r="F1665" s="417"/>
      <c r="G1665" s="418"/>
      <c r="H1665" s="417"/>
      <c r="I1665" s="418"/>
      <c r="J1665" s="432"/>
      <c r="K1665" s="420"/>
      <c r="L1665" s="417"/>
      <c r="M1665" s="415"/>
      <c r="N1665" s="422"/>
      <c r="O1665" s="75" t="str">
        <f t="shared" si="3"/>
        <v/>
      </c>
      <c r="P1665" s="403">
        <v>0.0</v>
      </c>
      <c r="Q1665" s="403">
        <v>0.0</v>
      </c>
      <c r="R1665" s="403"/>
      <c r="S1665" s="403"/>
      <c r="T1665" s="403"/>
      <c r="U1665" s="403"/>
      <c r="V1665" s="403"/>
      <c r="W1665" s="403"/>
      <c r="X1665" s="403"/>
      <c r="Y1665" s="403"/>
      <c r="Z1665" s="403"/>
    </row>
    <row r="1666">
      <c r="A1666" s="403"/>
      <c r="B1666" s="417"/>
      <c r="C1666" s="415"/>
      <c r="D1666" s="417"/>
      <c r="E1666" s="417"/>
      <c r="F1666" s="417"/>
      <c r="G1666" s="418"/>
      <c r="H1666" s="417"/>
      <c r="I1666" s="418"/>
      <c r="J1666" s="432"/>
      <c r="K1666" s="420"/>
      <c r="L1666" s="417"/>
      <c r="M1666" s="415"/>
      <c r="N1666" s="422"/>
      <c r="O1666" s="75" t="str">
        <f t="shared" si="3"/>
        <v/>
      </c>
      <c r="P1666" s="403">
        <v>0.0</v>
      </c>
      <c r="Q1666" s="403">
        <v>0.0</v>
      </c>
      <c r="R1666" s="403"/>
      <c r="S1666" s="403"/>
      <c r="T1666" s="403"/>
      <c r="U1666" s="403"/>
      <c r="V1666" s="403"/>
      <c r="W1666" s="403"/>
      <c r="X1666" s="403"/>
      <c r="Y1666" s="403"/>
      <c r="Z1666" s="403"/>
    </row>
    <row r="1667">
      <c r="A1667" s="403"/>
      <c r="B1667" s="417"/>
      <c r="C1667" s="415"/>
      <c r="D1667" s="417"/>
      <c r="E1667" s="417"/>
      <c r="F1667" s="417"/>
      <c r="G1667" s="418"/>
      <c r="H1667" s="417"/>
      <c r="I1667" s="418"/>
      <c r="J1667" s="432"/>
      <c r="K1667" s="420"/>
      <c r="L1667" s="417"/>
      <c r="M1667" s="415"/>
      <c r="N1667" s="422"/>
      <c r="O1667" s="75" t="str">
        <f t="shared" si="3"/>
        <v/>
      </c>
      <c r="P1667" s="403">
        <v>0.0</v>
      </c>
      <c r="Q1667" s="403">
        <v>0.0</v>
      </c>
      <c r="R1667" s="403"/>
      <c r="S1667" s="403"/>
      <c r="T1667" s="403"/>
      <c r="U1667" s="403"/>
      <c r="V1667" s="403"/>
      <c r="W1667" s="403"/>
      <c r="X1667" s="403"/>
      <c r="Y1667" s="403"/>
      <c r="Z1667" s="403"/>
    </row>
    <row r="1668">
      <c r="A1668" s="403"/>
      <c r="B1668" s="417"/>
      <c r="C1668" s="415"/>
      <c r="D1668" s="417"/>
      <c r="E1668" s="417"/>
      <c r="F1668" s="417"/>
      <c r="G1668" s="418"/>
      <c r="H1668" s="417"/>
      <c r="I1668" s="418"/>
      <c r="J1668" s="432"/>
      <c r="K1668" s="420"/>
      <c r="L1668" s="417"/>
      <c r="M1668" s="415"/>
      <c r="N1668" s="422"/>
      <c r="O1668" s="75" t="str">
        <f t="shared" si="3"/>
        <v/>
      </c>
      <c r="P1668" s="403">
        <v>0.0</v>
      </c>
      <c r="Q1668" s="403">
        <v>0.0</v>
      </c>
      <c r="R1668" s="403"/>
      <c r="S1668" s="403"/>
      <c r="T1668" s="403"/>
      <c r="U1668" s="403"/>
      <c r="V1668" s="403"/>
      <c r="W1668" s="403"/>
      <c r="X1668" s="403"/>
      <c r="Y1668" s="403"/>
      <c r="Z1668" s="403"/>
    </row>
    <row r="1669">
      <c r="A1669" s="403"/>
      <c r="B1669" s="417"/>
      <c r="C1669" s="415"/>
      <c r="D1669" s="417"/>
      <c r="E1669" s="417"/>
      <c r="F1669" s="417"/>
      <c r="G1669" s="418"/>
      <c r="H1669" s="417"/>
      <c r="I1669" s="418"/>
      <c r="J1669" s="432"/>
      <c r="K1669" s="420"/>
      <c r="L1669" s="417"/>
      <c r="M1669" s="415"/>
      <c r="N1669" s="422"/>
      <c r="O1669" s="75" t="str">
        <f t="shared" si="3"/>
        <v/>
      </c>
      <c r="P1669" s="403">
        <v>0.0</v>
      </c>
      <c r="Q1669" s="403">
        <v>0.0</v>
      </c>
      <c r="R1669" s="403"/>
      <c r="S1669" s="403"/>
      <c r="T1669" s="403"/>
      <c r="U1669" s="403"/>
      <c r="V1669" s="403"/>
      <c r="W1669" s="403"/>
      <c r="X1669" s="403"/>
      <c r="Y1669" s="403"/>
      <c r="Z1669" s="403"/>
    </row>
    <row r="1670">
      <c r="A1670" s="403"/>
      <c r="B1670" s="417"/>
      <c r="C1670" s="415"/>
      <c r="D1670" s="417"/>
      <c r="E1670" s="417"/>
      <c r="F1670" s="417"/>
      <c r="G1670" s="418"/>
      <c r="H1670" s="417"/>
      <c r="I1670" s="418"/>
      <c r="J1670" s="432"/>
      <c r="K1670" s="420"/>
      <c r="L1670" s="417"/>
      <c r="M1670" s="415"/>
      <c r="N1670" s="422"/>
      <c r="O1670" s="75" t="str">
        <f t="shared" si="3"/>
        <v/>
      </c>
      <c r="P1670" s="403">
        <v>0.0</v>
      </c>
      <c r="Q1670" s="403">
        <v>0.0</v>
      </c>
      <c r="R1670" s="403"/>
      <c r="S1670" s="403"/>
      <c r="T1670" s="403"/>
      <c r="U1670" s="403"/>
      <c r="V1670" s="403"/>
      <c r="W1670" s="403"/>
      <c r="X1670" s="403"/>
      <c r="Y1670" s="403"/>
      <c r="Z1670" s="403"/>
    </row>
    <row r="1671">
      <c r="A1671" s="403"/>
      <c r="B1671" s="417"/>
      <c r="C1671" s="415"/>
      <c r="D1671" s="417"/>
      <c r="E1671" s="417"/>
      <c r="F1671" s="417"/>
      <c r="G1671" s="418"/>
      <c r="H1671" s="417"/>
      <c r="I1671" s="418"/>
      <c r="J1671" s="432"/>
      <c r="K1671" s="420"/>
      <c r="L1671" s="417"/>
      <c r="M1671" s="415"/>
      <c r="N1671" s="422"/>
      <c r="O1671" s="75" t="str">
        <f t="shared" si="3"/>
        <v/>
      </c>
      <c r="P1671" s="403">
        <v>0.0</v>
      </c>
      <c r="Q1671" s="403">
        <v>0.0</v>
      </c>
      <c r="R1671" s="403"/>
      <c r="S1671" s="403"/>
      <c r="T1671" s="403"/>
      <c r="U1671" s="403"/>
      <c r="V1671" s="403"/>
      <c r="W1671" s="403"/>
      <c r="X1671" s="403"/>
      <c r="Y1671" s="403"/>
      <c r="Z1671" s="403"/>
    </row>
    <row r="1672">
      <c r="A1672" s="403"/>
      <c r="B1672" s="417"/>
      <c r="C1672" s="415"/>
      <c r="D1672" s="417"/>
      <c r="E1672" s="417"/>
      <c r="F1672" s="417"/>
      <c r="G1672" s="418"/>
      <c r="H1672" s="417"/>
      <c r="I1672" s="418"/>
      <c r="J1672" s="432"/>
      <c r="K1672" s="420"/>
      <c r="L1672" s="417"/>
      <c r="M1672" s="415"/>
      <c r="N1672" s="422"/>
      <c r="O1672" s="75" t="str">
        <f t="shared" si="3"/>
        <v/>
      </c>
      <c r="P1672" s="403">
        <v>0.0</v>
      </c>
      <c r="Q1672" s="403">
        <v>0.0</v>
      </c>
      <c r="R1672" s="403"/>
      <c r="S1672" s="403"/>
      <c r="T1672" s="403"/>
      <c r="U1672" s="403"/>
      <c r="V1672" s="403"/>
      <c r="W1672" s="403"/>
      <c r="X1672" s="403"/>
      <c r="Y1672" s="403"/>
      <c r="Z1672" s="403"/>
    </row>
    <row r="1673">
      <c r="A1673" s="403"/>
      <c r="B1673" s="417"/>
      <c r="C1673" s="415"/>
      <c r="D1673" s="417"/>
      <c r="E1673" s="417"/>
      <c r="F1673" s="417"/>
      <c r="G1673" s="418"/>
      <c r="H1673" s="417"/>
      <c r="I1673" s="418"/>
      <c r="J1673" s="432"/>
      <c r="K1673" s="420"/>
      <c r="L1673" s="417"/>
      <c r="M1673" s="415"/>
      <c r="N1673" s="422"/>
      <c r="O1673" s="75" t="str">
        <f t="shared" si="3"/>
        <v/>
      </c>
      <c r="P1673" s="403">
        <v>0.0</v>
      </c>
      <c r="Q1673" s="403">
        <v>0.0</v>
      </c>
      <c r="R1673" s="403"/>
      <c r="S1673" s="403"/>
      <c r="T1673" s="403"/>
      <c r="U1673" s="403"/>
      <c r="V1673" s="403"/>
      <c r="W1673" s="403"/>
      <c r="X1673" s="403"/>
      <c r="Y1673" s="403"/>
      <c r="Z1673" s="403"/>
    </row>
    <row r="1674">
      <c r="A1674" s="403"/>
      <c r="B1674" s="417"/>
      <c r="C1674" s="415"/>
      <c r="D1674" s="417"/>
      <c r="E1674" s="417"/>
      <c r="F1674" s="417"/>
      <c r="G1674" s="418"/>
      <c r="H1674" s="417"/>
      <c r="I1674" s="418"/>
      <c r="J1674" s="432"/>
      <c r="K1674" s="420"/>
      <c r="L1674" s="417"/>
      <c r="M1674" s="415"/>
      <c r="N1674" s="422"/>
      <c r="O1674" s="75" t="str">
        <f t="shared" si="3"/>
        <v/>
      </c>
      <c r="P1674" s="403">
        <v>0.0</v>
      </c>
      <c r="Q1674" s="403">
        <v>0.0</v>
      </c>
      <c r="R1674" s="403"/>
      <c r="S1674" s="403"/>
      <c r="T1674" s="403"/>
      <c r="U1674" s="403"/>
      <c r="V1674" s="403"/>
      <c r="W1674" s="403"/>
      <c r="X1674" s="403"/>
      <c r="Y1674" s="403"/>
      <c r="Z1674" s="403"/>
    </row>
    <row r="1675">
      <c r="A1675" s="403"/>
      <c r="B1675" s="417"/>
      <c r="C1675" s="415"/>
      <c r="D1675" s="417"/>
      <c r="E1675" s="417"/>
      <c r="F1675" s="417"/>
      <c r="G1675" s="418"/>
      <c r="H1675" s="417"/>
      <c r="I1675" s="418"/>
      <c r="J1675" s="432"/>
      <c r="K1675" s="420"/>
      <c r="L1675" s="417"/>
      <c r="M1675" s="415"/>
      <c r="N1675" s="422"/>
      <c r="O1675" s="75" t="str">
        <f t="shared" si="3"/>
        <v/>
      </c>
      <c r="P1675" s="403">
        <v>0.0</v>
      </c>
      <c r="Q1675" s="403">
        <v>0.0</v>
      </c>
      <c r="R1675" s="403"/>
      <c r="S1675" s="403"/>
      <c r="T1675" s="403"/>
      <c r="U1675" s="403"/>
      <c r="V1675" s="403"/>
      <c r="W1675" s="403"/>
      <c r="X1675" s="403"/>
      <c r="Y1675" s="403"/>
      <c r="Z1675" s="403"/>
    </row>
    <row r="1676">
      <c r="A1676" s="403"/>
      <c r="B1676" s="417"/>
      <c r="C1676" s="415"/>
      <c r="D1676" s="417"/>
      <c r="E1676" s="417"/>
      <c r="F1676" s="417"/>
      <c r="G1676" s="418"/>
      <c r="H1676" s="417"/>
      <c r="I1676" s="418"/>
      <c r="J1676" s="432"/>
      <c r="K1676" s="420"/>
      <c r="L1676" s="417"/>
      <c r="M1676" s="415"/>
      <c r="N1676" s="422"/>
      <c r="O1676" s="75" t="str">
        <f t="shared" si="3"/>
        <v/>
      </c>
      <c r="P1676" s="403">
        <v>0.0</v>
      </c>
      <c r="Q1676" s="403">
        <v>0.0</v>
      </c>
      <c r="R1676" s="403"/>
      <c r="S1676" s="403"/>
      <c r="T1676" s="403"/>
      <c r="U1676" s="403"/>
      <c r="V1676" s="403"/>
      <c r="W1676" s="403"/>
      <c r="X1676" s="403"/>
      <c r="Y1676" s="403"/>
      <c r="Z1676" s="403"/>
    </row>
    <row r="1677">
      <c r="A1677" s="403"/>
      <c r="B1677" s="417"/>
      <c r="C1677" s="415"/>
      <c r="D1677" s="417"/>
      <c r="E1677" s="417"/>
      <c r="F1677" s="417"/>
      <c r="G1677" s="418"/>
      <c r="H1677" s="417"/>
      <c r="I1677" s="418"/>
      <c r="J1677" s="432"/>
      <c r="K1677" s="420"/>
      <c r="L1677" s="417"/>
      <c r="M1677" s="415"/>
      <c r="N1677" s="422"/>
      <c r="O1677" s="75" t="str">
        <f t="shared" si="3"/>
        <v/>
      </c>
      <c r="P1677" s="403">
        <v>0.0</v>
      </c>
      <c r="Q1677" s="403">
        <v>0.0</v>
      </c>
      <c r="R1677" s="403"/>
      <c r="S1677" s="403"/>
      <c r="T1677" s="403"/>
      <c r="U1677" s="403"/>
      <c r="V1677" s="403"/>
      <c r="W1677" s="403"/>
      <c r="X1677" s="403"/>
      <c r="Y1677" s="403"/>
      <c r="Z1677" s="403"/>
    </row>
    <row r="1678">
      <c r="A1678" s="403"/>
      <c r="B1678" s="417"/>
      <c r="C1678" s="415"/>
      <c r="D1678" s="417"/>
      <c r="E1678" s="417"/>
      <c r="F1678" s="417"/>
      <c r="G1678" s="418"/>
      <c r="H1678" s="417"/>
      <c r="I1678" s="418"/>
      <c r="J1678" s="432"/>
      <c r="K1678" s="420"/>
      <c r="L1678" s="417"/>
      <c r="M1678" s="415"/>
      <c r="N1678" s="422"/>
      <c r="O1678" s="75" t="str">
        <f t="shared" si="3"/>
        <v/>
      </c>
      <c r="P1678" s="403">
        <v>0.0</v>
      </c>
      <c r="Q1678" s="403">
        <v>0.0</v>
      </c>
      <c r="R1678" s="403"/>
      <c r="S1678" s="403"/>
      <c r="T1678" s="403"/>
      <c r="U1678" s="403"/>
      <c r="V1678" s="403"/>
      <c r="W1678" s="403"/>
      <c r="X1678" s="403"/>
      <c r="Y1678" s="403"/>
      <c r="Z1678" s="403"/>
    </row>
    <row r="1679">
      <c r="A1679" s="403"/>
      <c r="B1679" s="417"/>
      <c r="C1679" s="415"/>
      <c r="D1679" s="417"/>
      <c r="E1679" s="417"/>
      <c r="F1679" s="417"/>
      <c r="G1679" s="418"/>
      <c r="H1679" s="417"/>
      <c r="I1679" s="418"/>
      <c r="J1679" s="432"/>
      <c r="K1679" s="420"/>
      <c r="L1679" s="417"/>
      <c r="M1679" s="415"/>
      <c r="N1679" s="422"/>
      <c r="O1679" s="75" t="str">
        <f t="shared" si="3"/>
        <v/>
      </c>
      <c r="P1679" s="403">
        <v>0.0</v>
      </c>
      <c r="Q1679" s="403">
        <v>0.0</v>
      </c>
      <c r="R1679" s="403"/>
      <c r="S1679" s="403"/>
      <c r="T1679" s="403"/>
      <c r="U1679" s="403"/>
      <c r="V1679" s="403"/>
      <c r="W1679" s="403"/>
      <c r="X1679" s="403"/>
      <c r="Y1679" s="403"/>
      <c r="Z1679" s="403"/>
    </row>
    <row r="1680">
      <c r="A1680" s="403"/>
      <c r="B1680" s="417"/>
      <c r="C1680" s="415"/>
      <c r="D1680" s="417"/>
      <c r="E1680" s="417"/>
      <c r="F1680" s="417"/>
      <c r="G1680" s="418"/>
      <c r="H1680" s="417"/>
      <c r="I1680" s="418"/>
      <c r="J1680" s="432"/>
      <c r="K1680" s="420"/>
      <c r="L1680" s="417"/>
      <c r="M1680" s="415"/>
      <c r="N1680" s="422"/>
      <c r="O1680" s="75" t="str">
        <f t="shared" si="3"/>
        <v/>
      </c>
      <c r="P1680" s="403">
        <v>0.0</v>
      </c>
      <c r="Q1680" s="403">
        <v>0.0</v>
      </c>
      <c r="R1680" s="403"/>
      <c r="S1680" s="403"/>
      <c r="T1680" s="403"/>
      <c r="U1680" s="403"/>
      <c r="V1680" s="403"/>
      <c r="W1680" s="403"/>
      <c r="X1680" s="403"/>
      <c r="Y1680" s="403"/>
      <c r="Z1680" s="403"/>
    </row>
    <row r="1681">
      <c r="A1681" s="403"/>
      <c r="B1681" s="417"/>
      <c r="C1681" s="415"/>
      <c r="D1681" s="417"/>
      <c r="E1681" s="417"/>
      <c r="F1681" s="417"/>
      <c r="G1681" s="418"/>
      <c r="H1681" s="417"/>
      <c r="I1681" s="418"/>
      <c r="J1681" s="432"/>
      <c r="K1681" s="420"/>
      <c r="L1681" s="417"/>
      <c r="M1681" s="415"/>
      <c r="N1681" s="422"/>
      <c r="O1681" s="75" t="str">
        <f t="shared" si="3"/>
        <v/>
      </c>
      <c r="P1681" s="403">
        <v>0.0</v>
      </c>
      <c r="Q1681" s="403">
        <v>0.0</v>
      </c>
      <c r="R1681" s="403"/>
      <c r="S1681" s="403"/>
      <c r="T1681" s="403"/>
      <c r="U1681" s="403"/>
      <c r="V1681" s="403"/>
      <c r="W1681" s="403"/>
      <c r="X1681" s="403"/>
      <c r="Y1681" s="403"/>
      <c r="Z1681" s="403"/>
    </row>
    <row r="1682">
      <c r="A1682" s="403"/>
      <c r="B1682" s="417"/>
      <c r="C1682" s="415"/>
      <c r="D1682" s="417"/>
      <c r="E1682" s="417"/>
      <c r="F1682" s="417"/>
      <c r="G1682" s="418"/>
      <c r="H1682" s="417"/>
      <c r="I1682" s="418"/>
      <c r="J1682" s="432"/>
      <c r="K1682" s="420"/>
      <c r="L1682" s="417"/>
      <c r="M1682" s="415"/>
      <c r="N1682" s="422"/>
      <c r="O1682" s="75" t="str">
        <f t="shared" si="3"/>
        <v/>
      </c>
      <c r="P1682" s="403">
        <v>0.0</v>
      </c>
      <c r="Q1682" s="403">
        <v>0.0</v>
      </c>
      <c r="R1682" s="403"/>
      <c r="S1682" s="403"/>
      <c r="T1682" s="403"/>
      <c r="U1682" s="403"/>
      <c r="V1682" s="403"/>
      <c r="W1682" s="403"/>
      <c r="X1682" s="403"/>
      <c r="Y1682" s="403"/>
      <c r="Z1682" s="403"/>
    </row>
    <row r="1683">
      <c r="A1683" s="403"/>
      <c r="B1683" s="417"/>
      <c r="C1683" s="415"/>
      <c r="D1683" s="417"/>
      <c r="E1683" s="417"/>
      <c r="F1683" s="417"/>
      <c r="G1683" s="418"/>
      <c r="H1683" s="417"/>
      <c r="I1683" s="418"/>
      <c r="J1683" s="432"/>
      <c r="K1683" s="420"/>
      <c r="L1683" s="417"/>
      <c r="M1683" s="415"/>
      <c r="N1683" s="422"/>
      <c r="O1683" s="75" t="str">
        <f t="shared" si="3"/>
        <v/>
      </c>
      <c r="P1683" s="403">
        <v>0.0</v>
      </c>
      <c r="Q1683" s="403">
        <v>0.0</v>
      </c>
      <c r="R1683" s="403"/>
      <c r="S1683" s="403"/>
      <c r="T1683" s="403"/>
      <c r="U1683" s="403"/>
      <c r="V1683" s="403"/>
      <c r="W1683" s="403"/>
      <c r="X1683" s="403"/>
      <c r="Y1683" s="403"/>
      <c r="Z1683" s="403"/>
    </row>
    <row r="1684">
      <c r="A1684" s="403"/>
      <c r="B1684" s="417"/>
      <c r="C1684" s="415"/>
      <c r="D1684" s="417"/>
      <c r="E1684" s="417"/>
      <c r="F1684" s="417"/>
      <c r="G1684" s="418"/>
      <c r="H1684" s="417"/>
      <c r="I1684" s="418"/>
      <c r="J1684" s="432"/>
      <c r="K1684" s="420"/>
      <c r="L1684" s="417"/>
      <c r="M1684" s="415"/>
      <c r="N1684" s="422"/>
      <c r="O1684" s="75" t="str">
        <f t="shared" si="3"/>
        <v/>
      </c>
      <c r="P1684" s="403">
        <v>0.0</v>
      </c>
      <c r="Q1684" s="403">
        <v>0.0</v>
      </c>
      <c r="R1684" s="403"/>
      <c r="S1684" s="403"/>
      <c r="T1684" s="403"/>
      <c r="U1684" s="403"/>
      <c r="V1684" s="403"/>
      <c r="W1684" s="403"/>
      <c r="X1684" s="403"/>
      <c r="Y1684" s="403"/>
      <c r="Z1684" s="403"/>
    </row>
    <row r="1685">
      <c r="A1685" s="403"/>
      <c r="B1685" s="417"/>
      <c r="C1685" s="415"/>
      <c r="D1685" s="417"/>
      <c r="E1685" s="417"/>
      <c r="F1685" s="417"/>
      <c r="G1685" s="418"/>
      <c r="H1685" s="417"/>
      <c r="I1685" s="418"/>
      <c r="J1685" s="432"/>
      <c r="K1685" s="420"/>
      <c r="L1685" s="417"/>
      <c r="M1685" s="415"/>
      <c r="N1685" s="422"/>
      <c r="O1685" s="75" t="str">
        <f t="shared" si="3"/>
        <v/>
      </c>
      <c r="P1685" s="403">
        <v>0.0</v>
      </c>
      <c r="Q1685" s="403">
        <v>0.0</v>
      </c>
      <c r="R1685" s="403"/>
      <c r="S1685" s="403"/>
      <c r="T1685" s="403"/>
      <c r="U1685" s="403"/>
      <c r="V1685" s="403"/>
      <c r="W1685" s="403"/>
      <c r="X1685" s="403"/>
      <c r="Y1685" s="403"/>
      <c r="Z1685" s="403"/>
    </row>
    <row r="1686">
      <c r="A1686" s="403"/>
      <c r="B1686" s="417"/>
      <c r="C1686" s="415"/>
      <c r="D1686" s="417"/>
      <c r="E1686" s="417"/>
      <c r="F1686" s="417"/>
      <c r="G1686" s="418"/>
      <c r="H1686" s="417"/>
      <c r="I1686" s="418"/>
      <c r="J1686" s="432"/>
      <c r="K1686" s="420"/>
      <c r="L1686" s="417"/>
      <c r="M1686" s="415"/>
      <c r="N1686" s="422"/>
      <c r="O1686" s="75" t="str">
        <f t="shared" si="3"/>
        <v/>
      </c>
      <c r="P1686" s="403">
        <v>0.0</v>
      </c>
      <c r="Q1686" s="403">
        <v>0.0</v>
      </c>
      <c r="R1686" s="403"/>
      <c r="S1686" s="403"/>
      <c r="T1686" s="403"/>
      <c r="U1686" s="403"/>
      <c r="V1686" s="403"/>
      <c r="W1686" s="403"/>
      <c r="X1686" s="403"/>
      <c r="Y1686" s="403"/>
      <c r="Z1686" s="403"/>
    </row>
    <row r="1687">
      <c r="A1687" s="403"/>
      <c r="B1687" s="417"/>
      <c r="C1687" s="415"/>
      <c r="D1687" s="417"/>
      <c r="E1687" s="417"/>
      <c r="F1687" s="417"/>
      <c r="G1687" s="418"/>
      <c r="H1687" s="417"/>
      <c r="I1687" s="418"/>
      <c r="J1687" s="432"/>
      <c r="K1687" s="420"/>
      <c r="L1687" s="417"/>
      <c r="M1687" s="415"/>
      <c r="N1687" s="422"/>
      <c r="O1687" s="75" t="str">
        <f t="shared" si="3"/>
        <v/>
      </c>
      <c r="P1687" s="403">
        <v>0.0</v>
      </c>
      <c r="Q1687" s="403">
        <v>0.0</v>
      </c>
      <c r="R1687" s="403"/>
      <c r="S1687" s="403"/>
      <c r="T1687" s="403"/>
      <c r="U1687" s="403"/>
      <c r="V1687" s="403"/>
      <c r="W1687" s="403"/>
      <c r="X1687" s="403"/>
      <c r="Y1687" s="403"/>
      <c r="Z1687" s="403"/>
    </row>
    <row r="1688">
      <c r="A1688" s="403"/>
      <c r="B1688" s="417"/>
      <c r="C1688" s="415"/>
      <c r="D1688" s="417"/>
      <c r="E1688" s="417"/>
      <c r="F1688" s="417"/>
      <c r="G1688" s="418"/>
      <c r="H1688" s="417"/>
      <c r="I1688" s="418"/>
      <c r="J1688" s="432"/>
      <c r="K1688" s="420"/>
      <c r="L1688" s="417"/>
      <c r="M1688" s="415"/>
      <c r="N1688" s="422"/>
      <c r="O1688" s="75" t="str">
        <f t="shared" si="3"/>
        <v/>
      </c>
      <c r="P1688" s="403">
        <v>0.0</v>
      </c>
      <c r="Q1688" s="403">
        <v>0.0</v>
      </c>
      <c r="R1688" s="403"/>
      <c r="S1688" s="403"/>
      <c r="T1688" s="403"/>
      <c r="U1688" s="403"/>
      <c r="V1688" s="403"/>
      <c r="W1688" s="403"/>
      <c r="X1688" s="403"/>
      <c r="Y1688" s="403"/>
      <c r="Z1688" s="403"/>
    </row>
    <row r="1689">
      <c r="A1689" s="403"/>
      <c r="B1689" s="417"/>
      <c r="C1689" s="415"/>
      <c r="D1689" s="417"/>
      <c r="E1689" s="417"/>
      <c r="F1689" s="417"/>
      <c r="G1689" s="418"/>
      <c r="H1689" s="417"/>
      <c r="I1689" s="418"/>
      <c r="J1689" s="432"/>
      <c r="K1689" s="420"/>
      <c r="L1689" s="417"/>
      <c r="M1689" s="415"/>
      <c r="N1689" s="422"/>
      <c r="O1689" s="75" t="str">
        <f t="shared" si="3"/>
        <v/>
      </c>
      <c r="P1689" s="403">
        <v>0.0</v>
      </c>
      <c r="Q1689" s="403">
        <v>0.0</v>
      </c>
      <c r="R1689" s="403"/>
      <c r="S1689" s="403"/>
      <c r="T1689" s="403"/>
      <c r="U1689" s="403"/>
      <c r="V1689" s="403"/>
      <c r="W1689" s="403"/>
      <c r="X1689" s="403"/>
      <c r="Y1689" s="403"/>
      <c r="Z1689" s="403"/>
    </row>
    <row r="1690">
      <c r="A1690" s="403"/>
      <c r="B1690" s="417"/>
      <c r="C1690" s="415"/>
      <c r="D1690" s="417"/>
      <c r="E1690" s="417"/>
      <c r="F1690" s="417"/>
      <c r="G1690" s="418"/>
      <c r="H1690" s="417"/>
      <c r="I1690" s="418"/>
      <c r="J1690" s="432"/>
      <c r="K1690" s="420"/>
      <c r="L1690" s="417"/>
      <c r="M1690" s="415"/>
      <c r="N1690" s="422"/>
      <c r="O1690" s="75" t="str">
        <f t="shared" si="3"/>
        <v/>
      </c>
      <c r="P1690" s="403">
        <v>0.0</v>
      </c>
      <c r="Q1690" s="403">
        <v>0.0</v>
      </c>
      <c r="R1690" s="403"/>
      <c r="S1690" s="403"/>
      <c r="T1690" s="403"/>
      <c r="U1690" s="403"/>
      <c r="V1690" s="403"/>
      <c r="W1690" s="403"/>
      <c r="X1690" s="403"/>
      <c r="Y1690" s="403"/>
      <c r="Z1690" s="403"/>
    </row>
    <row r="1691">
      <c r="A1691" s="403"/>
      <c r="B1691" s="417"/>
      <c r="C1691" s="415"/>
      <c r="D1691" s="417"/>
      <c r="E1691" s="417"/>
      <c r="F1691" s="417"/>
      <c r="G1691" s="418"/>
      <c r="H1691" s="417"/>
      <c r="I1691" s="418"/>
      <c r="J1691" s="432"/>
      <c r="K1691" s="420"/>
      <c r="L1691" s="417"/>
      <c r="M1691" s="415"/>
      <c r="N1691" s="422"/>
      <c r="O1691" s="75" t="str">
        <f t="shared" si="3"/>
        <v/>
      </c>
      <c r="P1691" s="403">
        <v>0.0</v>
      </c>
      <c r="Q1691" s="403">
        <v>0.0</v>
      </c>
      <c r="R1691" s="403"/>
      <c r="S1691" s="403"/>
      <c r="T1691" s="403"/>
      <c r="U1691" s="403"/>
      <c r="V1691" s="403"/>
      <c r="W1691" s="403"/>
      <c r="X1691" s="403"/>
      <c r="Y1691" s="403"/>
      <c r="Z1691" s="403"/>
    </row>
    <row r="1692">
      <c r="A1692" s="403"/>
      <c r="B1692" s="417"/>
      <c r="C1692" s="415"/>
      <c r="D1692" s="417"/>
      <c r="E1692" s="417"/>
      <c r="F1692" s="417"/>
      <c r="G1692" s="418"/>
      <c r="H1692" s="417"/>
      <c r="I1692" s="418"/>
      <c r="J1692" s="432"/>
      <c r="K1692" s="420"/>
      <c r="L1692" s="417"/>
      <c r="M1692" s="415"/>
      <c r="N1692" s="422"/>
      <c r="O1692" s="75" t="str">
        <f t="shared" si="3"/>
        <v/>
      </c>
      <c r="P1692" s="403">
        <v>0.0</v>
      </c>
      <c r="Q1692" s="403">
        <v>0.0</v>
      </c>
      <c r="R1692" s="403"/>
      <c r="S1692" s="403"/>
      <c r="T1692" s="403"/>
      <c r="U1692" s="403"/>
      <c r="V1692" s="403"/>
      <c r="W1692" s="403"/>
      <c r="X1692" s="403"/>
      <c r="Y1692" s="403"/>
      <c r="Z1692" s="403"/>
    </row>
    <row r="1693">
      <c r="A1693" s="403"/>
      <c r="B1693" s="417"/>
      <c r="C1693" s="415"/>
      <c r="D1693" s="417"/>
      <c r="E1693" s="417"/>
      <c r="F1693" s="417"/>
      <c r="G1693" s="418"/>
      <c r="H1693" s="417"/>
      <c r="I1693" s="418"/>
      <c r="J1693" s="432"/>
      <c r="K1693" s="420"/>
      <c r="L1693" s="417"/>
      <c r="M1693" s="415"/>
      <c r="N1693" s="422"/>
      <c r="O1693" s="75" t="str">
        <f t="shared" si="3"/>
        <v/>
      </c>
      <c r="P1693" s="403">
        <v>0.0</v>
      </c>
      <c r="Q1693" s="403">
        <v>0.0</v>
      </c>
      <c r="R1693" s="403"/>
      <c r="S1693" s="403"/>
      <c r="T1693" s="403"/>
      <c r="U1693" s="403"/>
      <c r="V1693" s="403"/>
      <c r="W1693" s="403"/>
      <c r="X1693" s="403"/>
      <c r="Y1693" s="403"/>
      <c r="Z1693" s="403"/>
    </row>
    <row r="1694">
      <c r="A1694" s="403"/>
      <c r="B1694" s="417"/>
      <c r="C1694" s="415"/>
      <c r="D1694" s="417"/>
      <c r="E1694" s="417"/>
      <c r="F1694" s="417"/>
      <c r="G1694" s="418"/>
      <c r="H1694" s="417"/>
      <c r="I1694" s="418"/>
      <c r="J1694" s="432"/>
      <c r="K1694" s="420"/>
      <c r="L1694" s="417"/>
      <c r="M1694" s="415"/>
      <c r="N1694" s="422"/>
      <c r="O1694" s="75" t="str">
        <f t="shared" si="3"/>
        <v/>
      </c>
      <c r="P1694" s="403">
        <v>0.0</v>
      </c>
      <c r="Q1694" s="403">
        <v>0.0</v>
      </c>
      <c r="R1694" s="403"/>
      <c r="S1694" s="403"/>
      <c r="T1694" s="403"/>
      <c r="U1694" s="403"/>
      <c r="V1694" s="403"/>
      <c r="W1694" s="403"/>
      <c r="X1694" s="403"/>
      <c r="Y1694" s="403"/>
      <c r="Z1694" s="403"/>
    </row>
    <row r="1695">
      <c r="A1695" s="403"/>
      <c r="B1695" s="417"/>
      <c r="C1695" s="415"/>
      <c r="D1695" s="417"/>
      <c r="E1695" s="417"/>
      <c r="F1695" s="417"/>
      <c r="G1695" s="418"/>
      <c r="H1695" s="417"/>
      <c r="I1695" s="418"/>
      <c r="J1695" s="432"/>
      <c r="K1695" s="420"/>
      <c r="L1695" s="417"/>
      <c r="M1695" s="415"/>
      <c r="N1695" s="422"/>
      <c r="O1695" s="75" t="str">
        <f t="shared" si="3"/>
        <v/>
      </c>
      <c r="P1695" s="403">
        <v>0.0</v>
      </c>
      <c r="Q1695" s="403">
        <v>0.0</v>
      </c>
      <c r="R1695" s="403"/>
      <c r="S1695" s="403"/>
      <c r="T1695" s="403"/>
      <c r="U1695" s="403"/>
      <c r="V1695" s="403"/>
      <c r="W1695" s="403"/>
      <c r="X1695" s="403"/>
      <c r="Y1695" s="403"/>
      <c r="Z1695" s="403"/>
    </row>
    <row r="1696">
      <c r="A1696" s="403"/>
      <c r="B1696" s="417"/>
      <c r="C1696" s="415"/>
      <c r="D1696" s="417"/>
      <c r="E1696" s="417"/>
      <c r="F1696" s="417"/>
      <c r="G1696" s="418"/>
      <c r="H1696" s="417"/>
      <c r="I1696" s="418"/>
      <c r="J1696" s="432"/>
      <c r="K1696" s="420"/>
      <c r="L1696" s="417"/>
      <c r="M1696" s="415"/>
      <c r="N1696" s="422"/>
      <c r="O1696" s="75" t="str">
        <f t="shared" si="3"/>
        <v/>
      </c>
      <c r="P1696" s="403">
        <v>0.0</v>
      </c>
      <c r="Q1696" s="403">
        <v>0.0</v>
      </c>
      <c r="R1696" s="403"/>
      <c r="S1696" s="403"/>
      <c r="T1696" s="403"/>
      <c r="U1696" s="403"/>
      <c r="V1696" s="403"/>
      <c r="W1696" s="403"/>
      <c r="X1696" s="403"/>
      <c r="Y1696" s="403"/>
      <c r="Z1696" s="403"/>
    </row>
    <row r="1697">
      <c r="A1697" s="403"/>
      <c r="B1697" s="417"/>
      <c r="C1697" s="415"/>
      <c r="D1697" s="417"/>
      <c r="E1697" s="417"/>
      <c r="F1697" s="417"/>
      <c r="G1697" s="418"/>
      <c r="H1697" s="417"/>
      <c r="I1697" s="418"/>
      <c r="J1697" s="432"/>
      <c r="K1697" s="420"/>
      <c r="L1697" s="417"/>
      <c r="M1697" s="415"/>
      <c r="N1697" s="422"/>
      <c r="O1697" s="75" t="str">
        <f t="shared" si="3"/>
        <v/>
      </c>
      <c r="P1697" s="403">
        <v>0.0</v>
      </c>
      <c r="Q1697" s="403">
        <v>0.0</v>
      </c>
      <c r="R1697" s="403"/>
      <c r="S1697" s="403"/>
      <c r="T1697" s="403"/>
      <c r="U1697" s="403"/>
      <c r="V1697" s="403"/>
      <c r="W1697" s="403"/>
      <c r="X1697" s="403"/>
      <c r="Y1697" s="403"/>
      <c r="Z1697" s="403"/>
    </row>
    <row r="1698">
      <c r="A1698" s="403"/>
      <c r="B1698" s="417"/>
      <c r="C1698" s="415"/>
      <c r="D1698" s="417"/>
      <c r="E1698" s="417"/>
      <c r="F1698" s="417"/>
      <c r="G1698" s="418"/>
      <c r="H1698" s="417"/>
      <c r="I1698" s="418"/>
      <c r="J1698" s="432"/>
      <c r="K1698" s="420"/>
      <c r="L1698" s="417"/>
      <c r="M1698" s="415"/>
      <c r="N1698" s="422"/>
      <c r="O1698" s="75" t="str">
        <f t="shared" si="3"/>
        <v/>
      </c>
      <c r="P1698" s="403">
        <v>0.0</v>
      </c>
      <c r="Q1698" s="403">
        <v>0.0</v>
      </c>
      <c r="R1698" s="403"/>
      <c r="S1698" s="403"/>
      <c r="T1698" s="403"/>
      <c r="U1698" s="403"/>
      <c r="V1698" s="403"/>
      <c r="W1698" s="403"/>
      <c r="X1698" s="403"/>
      <c r="Y1698" s="403"/>
      <c r="Z1698" s="403"/>
    </row>
    <row r="1699">
      <c r="A1699" s="403"/>
      <c r="B1699" s="417"/>
      <c r="C1699" s="415"/>
      <c r="D1699" s="417"/>
      <c r="E1699" s="417"/>
      <c r="F1699" s="417"/>
      <c r="G1699" s="418"/>
      <c r="H1699" s="417"/>
      <c r="I1699" s="418"/>
      <c r="J1699" s="432"/>
      <c r="K1699" s="420"/>
      <c r="L1699" s="417"/>
      <c r="M1699" s="415"/>
      <c r="N1699" s="422"/>
      <c r="O1699" s="75" t="str">
        <f t="shared" si="3"/>
        <v/>
      </c>
      <c r="P1699" s="403">
        <v>0.0</v>
      </c>
      <c r="Q1699" s="403">
        <v>0.0</v>
      </c>
      <c r="R1699" s="403"/>
      <c r="S1699" s="403"/>
      <c r="T1699" s="403"/>
      <c r="U1699" s="403"/>
      <c r="V1699" s="403"/>
      <c r="W1699" s="403"/>
      <c r="X1699" s="403"/>
      <c r="Y1699" s="403"/>
      <c r="Z1699" s="403"/>
    </row>
    <row r="1700">
      <c r="A1700" s="403"/>
      <c r="B1700" s="417"/>
      <c r="C1700" s="415"/>
      <c r="D1700" s="417"/>
      <c r="E1700" s="417"/>
      <c r="F1700" s="417"/>
      <c r="G1700" s="418"/>
      <c r="H1700" s="417"/>
      <c r="I1700" s="418"/>
      <c r="J1700" s="432"/>
      <c r="K1700" s="420"/>
      <c r="L1700" s="417"/>
      <c r="M1700" s="415"/>
      <c r="N1700" s="422"/>
      <c r="O1700" s="75" t="str">
        <f t="shared" si="3"/>
        <v/>
      </c>
      <c r="P1700" s="403">
        <v>0.0</v>
      </c>
      <c r="Q1700" s="403">
        <v>0.0</v>
      </c>
      <c r="R1700" s="403"/>
      <c r="S1700" s="403"/>
      <c r="T1700" s="403"/>
      <c r="U1700" s="403"/>
      <c r="V1700" s="403"/>
      <c r="W1700" s="403"/>
      <c r="X1700" s="403"/>
      <c r="Y1700" s="403"/>
      <c r="Z1700" s="403"/>
    </row>
    <row r="1701">
      <c r="A1701" s="403"/>
      <c r="B1701" s="417"/>
      <c r="C1701" s="415"/>
      <c r="D1701" s="417"/>
      <c r="E1701" s="417"/>
      <c r="F1701" s="417"/>
      <c r="G1701" s="418"/>
      <c r="H1701" s="417"/>
      <c r="I1701" s="418"/>
      <c r="J1701" s="432"/>
      <c r="K1701" s="420"/>
      <c r="L1701" s="417"/>
      <c r="M1701" s="415"/>
      <c r="N1701" s="422"/>
      <c r="O1701" s="75" t="str">
        <f t="shared" si="3"/>
        <v/>
      </c>
      <c r="P1701" s="403">
        <v>0.0</v>
      </c>
      <c r="Q1701" s="403">
        <v>0.0</v>
      </c>
      <c r="R1701" s="403"/>
      <c r="S1701" s="403"/>
      <c r="T1701" s="403"/>
      <c r="U1701" s="403"/>
      <c r="V1701" s="403"/>
      <c r="W1701" s="403"/>
      <c r="X1701" s="403"/>
      <c r="Y1701" s="403"/>
      <c r="Z1701" s="403"/>
    </row>
    <row r="1702">
      <c r="A1702" s="403"/>
      <c r="B1702" s="417"/>
      <c r="C1702" s="415"/>
      <c r="D1702" s="417"/>
      <c r="E1702" s="417"/>
      <c r="F1702" s="417"/>
      <c r="G1702" s="418"/>
      <c r="H1702" s="417"/>
      <c r="I1702" s="418"/>
      <c r="J1702" s="432"/>
      <c r="K1702" s="420"/>
      <c r="L1702" s="417"/>
      <c r="M1702" s="415"/>
      <c r="N1702" s="422"/>
      <c r="O1702" s="75" t="str">
        <f t="shared" si="3"/>
        <v/>
      </c>
      <c r="P1702" s="403">
        <v>0.0</v>
      </c>
      <c r="Q1702" s="403">
        <v>0.0</v>
      </c>
      <c r="R1702" s="403"/>
      <c r="S1702" s="403"/>
      <c r="T1702" s="403"/>
      <c r="U1702" s="403"/>
      <c r="V1702" s="403"/>
      <c r="W1702" s="403"/>
      <c r="X1702" s="403"/>
      <c r="Y1702" s="403"/>
      <c r="Z1702" s="403"/>
    </row>
    <row r="1703">
      <c r="A1703" s="403"/>
      <c r="B1703" s="417"/>
      <c r="C1703" s="415"/>
      <c r="D1703" s="417"/>
      <c r="E1703" s="417"/>
      <c r="F1703" s="417"/>
      <c r="G1703" s="418"/>
      <c r="H1703" s="417"/>
      <c r="I1703" s="418"/>
      <c r="J1703" s="432"/>
      <c r="K1703" s="420"/>
      <c r="L1703" s="417"/>
      <c r="M1703" s="415"/>
      <c r="N1703" s="422"/>
      <c r="O1703" s="75" t="str">
        <f t="shared" si="3"/>
        <v/>
      </c>
      <c r="P1703" s="403">
        <v>0.0</v>
      </c>
      <c r="Q1703" s="403">
        <v>0.0</v>
      </c>
      <c r="R1703" s="403"/>
      <c r="S1703" s="403"/>
      <c r="T1703" s="403"/>
      <c r="U1703" s="403"/>
      <c r="V1703" s="403"/>
      <c r="W1703" s="403"/>
      <c r="X1703" s="403"/>
      <c r="Y1703" s="403"/>
      <c r="Z1703" s="403"/>
    </row>
    <row r="1704">
      <c r="A1704" s="403"/>
      <c r="B1704" s="417"/>
      <c r="C1704" s="415"/>
      <c r="D1704" s="417"/>
      <c r="E1704" s="417"/>
      <c r="F1704" s="417"/>
      <c r="G1704" s="418"/>
      <c r="H1704" s="417"/>
      <c r="I1704" s="418"/>
      <c r="J1704" s="432"/>
      <c r="K1704" s="420"/>
      <c r="L1704" s="417"/>
      <c r="M1704" s="415"/>
      <c r="N1704" s="422"/>
      <c r="O1704" s="75" t="str">
        <f t="shared" si="3"/>
        <v/>
      </c>
      <c r="P1704" s="403">
        <v>0.0</v>
      </c>
      <c r="Q1704" s="403">
        <v>0.0</v>
      </c>
      <c r="R1704" s="403"/>
      <c r="S1704" s="403"/>
      <c r="T1704" s="403"/>
      <c r="U1704" s="403"/>
      <c r="V1704" s="403"/>
      <c r="W1704" s="403"/>
      <c r="X1704" s="403"/>
      <c r="Y1704" s="403"/>
      <c r="Z1704" s="403"/>
    </row>
    <row r="1705">
      <c r="A1705" s="403"/>
      <c r="B1705" s="417"/>
      <c r="C1705" s="415"/>
      <c r="D1705" s="417"/>
      <c r="E1705" s="417"/>
      <c r="F1705" s="417"/>
      <c r="G1705" s="418"/>
      <c r="H1705" s="417"/>
      <c r="I1705" s="418"/>
      <c r="J1705" s="432"/>
      <c r="K1705" s="420"/>
      <c r="L1705" s="417"/>
      <c r="M1705" s="415"/>
      <c r="N1705" s="422"/>
      <c r="O1705" s="75" t="str">
        <f t="shared" si="3"/>
        <v/>
      </c>
      <c r="P1705" s="403">
        <v>0.0</v>
      </c>
      <c r="Q1705" s="403">
        <v>0.0</v>
      </c>
      <c r="R1705" s="403"/>
      <c r="S1705" s="403"/>
      <c r="T1705" s="403"/>
      <c r="U1705" s="403"/>
      <c r="V1705" s="403"/>
      <c r="W1705" s="403"/>
      <c r="X1705" s="403"/>
      <c r="Y1705" s="403"/>
      <c r="Z1705" s="403"/>
    </row>
    <row r="1706">
      <c r="A1706" s="403"/>
      <c r="B1706" s="417"/>
      <c r="C1706" s="415"/>
      <c r="D1706" s="417"/>
      <c r="E1706" s="417"/>
      <c r="F1706" s="417"/>
      <c r="G1706" s="418"/>
      <c r="H1706" s="417"/>
      <c r="I1706" s="418"/>
      <c r="J1706" s="432"/>
      <c r="K1706" s="420"/>
      <c r="L1706" s="417"/>
      <c r="M1706" s="415"/>
      <c r="N1706" s="422"/>
      <c r="O1706" s="75" t="str">
        <f t="shared" si="3"/>
        <v/>
      </c>
      <c r="P1706" s="403">
        <v>0.0</v>
      </c>
      <c r="Q1706" s="403">
        <v>0.0</v>
      </c>
      <c r="R1706" s="403"/>
      <c r="S1706" s="403"/>
      <c r="T1706" s="403"/>
      <c r="U1706" s="403"/>
      <c r="V1706" s="403"/>
      <c r="W1706" s="403"/>
      <c r="X1706" s="403"/>
      <c r="Y1706" s="403"/>
      <c r="Z1706" s="403"/>
    </row>
    <row r="1707">
      <c r="A1707" s="403"/>
      <c r="B1707" s="417"/>
      <c r="C1707" s="415"/>
      <c r="D1707" s="417"/>
      <c r="E1707" s="417"/>
      <c r="F1707" s="417"/>
      <c r="G1707" s="418"/>
      <c r="H1707" s="417"/>
      <c r="I1707" s="418"/>
      <c r="J1707" s="432"/>
      <c r="K1707" s="420"/>
      <c r="L1707" s="417"/>
      <c r="M1707" s="415"/>
      <c r="N1707" s="422"/>
      <c r="O1707" s="75" t="str">
        <f t="shared" si="3"/>
        <v/>
      </c>
      <c r="P1707" s="403">
        <v>0.0</v>
      </c>
      <c r="Q1707" s="403">
        <v>0.0</v>
      </c>
      <c r="R1707" s="403"/>
      <c r="S1707" s="403"/>
      <c r="T1707" s="403"/>
      <c r="U1707" s="403"/>
      <c r="V1707" s="403"/>
      <c r="W1707" s="403"/>
      <c r="X1707" s="403"/>
      <c r="Y1707" s="403"/>
      <c r="Z1707" s="403"/>
    </row>
    <row r="1708">
      <c r="A1708" s="403"/>
      <c r="B1708" s="417"/>
      <c r="C1708" s="415"/>
      <c r="D1708" s="417"/>
      <c r="E1708" s="417"/>
      <c r="F1708" s="417"/>
      <c r="G1708" s="418"/>
      <c r="H1708" s="417"/>
      <c r="I1708" s="418"/>
      <c r="J1708" s="432"/>
      <c r="K1708" s="420"/>
      <c r="L1708" s="417"/>
      <c r="M1708" s="415"/>
      <c r="N1708" s="422"/>
      <c r="O1708" s="75" t="str">
        <f t="shared" si="3"/>
        <v/>
      </c>
      <c r="P1708" s="403">
        <v>0.0</v>
      </c>
      <c r="Q1708" s="403">
        <v>0.0</v>
      </c>
      <c r="R1708" s="403"/>
      <c r="S1708" s="403"/>
      <c r="T1708" s="403"/>
      <c r="U1708" s="403"/>
      <c r="V1708" s="403"/>
      <c r="W1708" s="403"/>
      <c r="X1708" s="403"/>
      <c r="Y1708" s="403"/>
      <c r="Z1708" s="403"/>
    </row>
    <row r="1709">
      <c r="A1709" s="403"/>
      <c r="B1709" s="417"/>
      <c r="C1709" s="415"/>
      <c r="D1709" s="417"/>
      <c r="E1709" s="417"/>
      <c r="F1709" s="417"/>
      <c r="G1709" s="418"/>
      <c r="H1709" s="417"/>
      <c r="I1709" s="418"/>
      <c r="J1709" s="432"/>
      <c r="K1709" s="420"/>
      <c r="L1709" s="417"/>
      <c r="M1709" s="415"/>
      <c r="N1709" s="422"/>
      <c r="O1709" s="75" t="str">
        <f t="shared" si="3"/>
        <v/>
      </c>
      <c r="P1709" s="403">
        <v>0.0</v>
      </c>
      <c r="Q1709" s="403">
        <v>0.0</v>
      </c>
      <c r="R1709" s="403"/>
      <c r="S1709" s="403"/>
      <c r="T1709" s="403"/>
      <c r="U1709" s="403"/>
      <c r="V1709" s="403"/>
      <c r="W1709" s="403"/>
      <c r="X1709" s="403"/>
      <c r="Y1709" s="403"/>
      <c r="Z1709" s="403"/>
    </row>
    <row r="1710">
      <c r="A1710" s="403"/>
      <c r="B1710" s="417"/>
      <c r="C1710" s="415"/>
      <c r="D1710" s="417"/>
      <c r="E1710" s="417"/>
      <c r="F1710" s="417"/>
      <c r="G1710" s="418"/>
      <c r="H1710" s="417"/>
      <c r="I1710" s="418"/>
      <c r="J1710" s="432"/>
      <c r="K1710" s="420"/>
      <c r="L1710" s="417"/>
      <c r="M1710" s="415"/>
      <c r="N1710" s="422"/>
      <c r="O1710" s="75" t="str">
        <f t="shared" si="3"/>
        <v/>
      </c>
      <c r="P1710" s="403">
        <v>0.0</v>
      </c>
      <c r="Q1710" s="403">
        <v>0.0</v>
      </c>
      <c r="R1710" s="403"/>
      <c r="S1710" s="403"/>
      <c r="T1710" s="403"/>
      <c r="U1710" s="403"/>
      <c r="V1710" s="403"/>
      <c r="W1710" s="403"/>
      <c r="X1710" s="403"/>
      <c r="Y1710" s="403"/>
      <c r="Z1710" s="403"/>
    </row>
    <row r="1711">
      <c r="A1711" s="403"/>
      <c r="B1711" s="417"/>
      <c r="C1711" s="415"/>
      <c r="D1711" s="417"/>
      <c r="E1711" s="417"/>
      <c r="F1711" s="417"/>
      <c r="G1711" s="418"/>
      <c r="H1711" s="417"/>
      <c r="I1711" s="418"/>
      <c r="J1711" s="432"/>
      <c r="K1711" s="420"/>
      <c r="L1711" s="417"/>
      <c r="M1711" s="415"/>
      <c r="N1711" s="422"/>
      <c r="O1711" s="75" t="str">
        <f t="shared" si="3"/>
        <v/>
      </c>
      <c r="P1711" s="403">
        <v>0.0</v>
      </c>
      <c r="Q1711" s="403">
        <v>0.0</v>
      </c>
      <c r="R1711" s="403"/>
      <c r="S1711" s="403"/>
      <c r="T1711" s="403"/>
      <c r="U1711" s="403"/>
      <c r="V1711" s="403"/>
      <c r="W1711" s="403"/>
      <c r="X1711" s="403"/>
      <c r="Y1711" s="403"/>
      <c r="Z1711" s="403"/>
    </row>
    <row r="1712">
      <c r="A1712" s="403"/>
      <c r="B1712" s="417"/>
      <c r="C1712" s="415"/>
      <c r="D1712" s="417"/>
      <c r="E1712" s="417"/>
      <c r="F1712" s="417"/>
      <c r="G1712" s="418"/>
      <c r="H1712" s="417"/>
      <c r="I1712" s="418"/>
      <c r="J1712" s="432"/>
      <c r="K1712" s="420"/>
      <c r="L1712" s="417"/>
      <c r="M1712" s="415"/>
      <c r="N1712" s="422"/>
      <c r="O1712" s="75" t="str">
        <f t="shared" si="3"/>
        <v/>
      </c>
      <c r="P1712" s="403">
        <v>0.0</v>
      </c>
      <c r="Q1712" s="403">
        <v>0.0</v>
      </c>
      <c r="R1712" s="403"/>
      <c r="S1712" s="403"/>
      <c r="T1712" s="403"/>
      <c r="U1712" s="403"/>
      <c r="V1712" s="403"/>
      <c r="W1712" s="403"/>
      <c r="X1712" s="403"/>
      <c r="Y1712" s="403"/>
      <c r="Z1712" s="403"/>
    </row>
    <row r="1713">
      <c r="A1713" s="403"/>
      <c r="B1713" s="417"/>
      <c r="C1713" s="415"/>
      <c r="D1713" s="417"/>
      <c r="E1713" s="417"/>
      <c r="F1713" s="417"/>
      <c r="G1713" s="418"/>
      <c r="H1713" s="417"/>
      <c r="I1713" s="418"/>
      <c r="J1713" s="432"/>
      <c r="K1713" s="420"/>
      <c r="L1713" s="417"/>
      <c r="M1713" s="415"/>
      <c r="N1713" s="422"/>
      <c r="O1713" s="75" t="str">
        <f t="shared" si="3"/>
        <v/>
      </c>
      <c r="P1713" s="403">
        <v>0.0</v>
      </c>
      <c r="Q1713" s="403">
        <v>0.0</v>
      </c>
      <c r="R1713" s="403"/>
      <c r="S1713" s="403"/>
      <c r="T1713" s="403"/>
      <c r="U1713" s="403"/>
      <c r="V1713" s="403"/>
      <c r="W1713" s="403"/>
      <c r="X1713" s="403"/>
      <c r="Y1713" s="403"/>
      <c r="Z1713" s="403"/>
    </row>
    <row r="1714">
      <c r="A1714" s="403"/>
      <c r="B1714" s="417"/>
      <c r="C1714" s="415"/>
      <c r="D1714" s="417"/>
      <c r="E1714" s="417"/>
      <c r="F1714" s="417"/>
      <c r="G1714" s="418"/>
      <c r="H1714" s="417"/>
      <c r="I1714" s="418"/>
      <c r="J1714" s="432"/>
      <c r="K1714" s="420"/>
      <c r="L1714" s="417"/>
      <c r="M1714" s="415"/>
      <c r="N1714" s="422"/>
      <c r="O1714" s="75" t="str">
        <f t="shared" si="3"/>
        <v/>
      </c>
      <c r="P1714" s="403">
        <v>0.0</v>
      </c>
      <c r="Q1714" s="403">
        <v>0.0</v>
      </c>
      <c r="R1714" s="403"/>
      <c r="S1714" s="403"/>
      <c r="T1714" s="403"/>
      <c r="U1714" s="403"/>
      <c r="V1714" s="403"/>
      <c r="W1714" s="403"/>
      <c r="X1714" s="403"/>
      <c r="Y1714" s="403"/>
      <c r="Z1714" s="403"/>
    </row>
    <row r="1715">
      <c r="A1715" s="403"/>
      <c r="B1715" s="417"/>
      <c r="C1715" s="415"/>
      <c r="D1715" s="417"/>
      <c r="E1715" s="417"/>
      <c r="F1715" s="417"/>
      <c r="G1715" s="418"/>
      <c r="H1715" s="417"/>
      <c r="I1715" s="418"/>
      <c r="J1715" s="432"/>
      <c r="K1715" s="420"/>
      <c r="L1715" s="417"/>
      <c r="M1715" s="415"/>
      <c r="N1715" s="422"/>
      <c r="O1715" s="75" t="str">
        <f t="shared" si="3"/>
        <v/>
      </c>
      <c r="P1715" s="403">
        <v>0.0</v>
      </c>
      <c r="Q1715" s="403">
        <v>0.0</v>
      </c>
      <c r="R1715" s="403"/>
      <c r="S1715" s="403"/>
      <c r="T1715" s="403"/>
      <c r="U1715" s="403"/>
      <c r="V1715" s="403"/>
      <c r="W1715" s="403"/>
      <c r="X1715" s="403"/>
      <c r="Y1715" s="403"/>
      <c r="Z1715" s="403"/>
    </row>
    <row r="1716">
      <c r="A1716" s="403"/>
      <c r="B1716" s="417"/>
      <c r="C1716" s="415"/>
      <c r="D1716" s="417"/>
      <c r="E1716" s="417"/>
      <c r="F1716" s="417"/>
      <c r="G1716" s="418"/>
      <c r="H1716" s="417"/>
      <c r="I1716" s="418"/>
      <c r="J1716" s="432"/>
      <c r="K1716" s="420"/>
      <c r="L1716" s="417"/>
      <c r="M1716" s="415"/>
      <c r="N1716" s="422"/>
      <c r="O1716" s="75" t="str">
        <f t="shared" si="3"/>
        <v/>
      </c>
      <c r="P1716" s="403">
        <v>0.0</v>
      </c>
      <c r="Q1716" s="403">
        <v>0.0</v>
      </c>
      <c r="R1716" s="403"/>
      <c r="S1716" s="403"/>
      <c r="T1716" s="403"/>
      <c r="U1716" s="403"/>
      <c r="V1716" s="403"/>
      <c r="W1716" s="403"/>
      <c r="X1716" s="403"/>
      <c r="Y1716" s="403"/>
      <c r="Z1716" s="403"/>
    </row>
    <row r="1717">
      <c r="A1717" s="403"/>
      <c r="B1717" s="417"/>
      <c r="C1717" s="415"/>
      <c r="D1717" s="417"/>
      <c r="E1717" s="417"/>
      <c r="F1717" s="417"/>
      <c r="G1717" s="418"/>
      <c r="H1717" s="417"/>
      <c r="I1717" s="418"/>
      <c r="J1717" s="432"/>
      <c r="K1717" s="420"/>
      <c r="L1717" s="417"/>
      <c r="M1717" s="415"/>
      <c r="N1717" s="422"/>
      <c r="O1717" s="75" t="str">
        <f t="shared" si="3"/>
        <v/>
      </c>
      <c r="P1717" s="403">
        <v>0.0</v>
      </c>
      <c r="Q1717" s="403">
        <v>0.0</v>
      </c>
      <c r="R1717" s="403"/>
      <c r="S1717" s="403"/>
      <c r="T1717" s="403"/>
      <c r="U1717" s="403"/>
      <c r="V1717" s="403"/>
      <c r="W1717" s="403"/>
      <c r="X1717" s="403"/>
      <c r="Y1717" s="403"/>
      <c r="Z1717" s="403"/>
    </row>
    <row r="1718">
      <c r="A1718" s="403"/>
      <c r="B1718" s="417"/>
      <c r="C1718" s="415"/>
      <c r="D1718" s="417"/>
      <c r="E1718" s="417"/>
      <c r="F1718" s="417"/>
      <c r="G1718" s="418"/>
      <c r="H1718" s="417"/>
      <c r="I1718" s="418"/>
      <c r="J1718" s="432"/>
      <c r="K1718" s="420"/>
      <c r="L1718" s="417"/>
      <c r="M1718" s="415"/>
      <c r="N1718" s="422"/>
      <c r="O1718" s="75" t="str">
        <f t="shared" si="3"/>
        <v/>
      </c>
      <c r="P1718" s="403">
        <v>0.0</v>
      </c>
      <c r="Q1718" s="403">
        <v>0.0</v>
      </c>
      <c r="R1718" s="403"/>
      <c r="S1718" s="403"/>
      <c r="T1718" s="403"/>
      <c r="U1718" s="403"/>
      <c r="V1718" s="403"/>
      <c r="W1718" s="403"/>
      <c r="X1718" s="403"/>
      <c r="Y1718" s="403"/>
      <c r="Z1718" s="403"/>
    </row>
    <row r="1719">
      <c r="A1719" s="403"/>
      <c r="B1719" s="417"/>
      <c r="C1719" s="415"/>
      <c r="D1719" s="417"/>
      <c r="E1719" s="417"/>
      <c r="F1719" s="417"/>
      <c r="G1719" s="418"/>
      <c r="H1719" s="417"/>
      <c r="I1719" s="418"/>
      <c r="J1719" s="432"/>
      <c r="K1719" s="420"/>
      <c r="L1719" s="417"/>
      <c r="M1719" s="415"/>
      <c r="N1719" s="422"/>
      <c r="O1719" s="75" t="str">
        <f t="shared" si="3"/>
        <v/>
      </c>
      <c r="P1719" s="403">
        <v>0.0</v>
      </c>
      <c r="Q1719" s="403">
        <v>0.0</v>
      </c>
      <c r="R1719" s="403"/>
      <c r="S1719" s="403"/>
      <c r="T1719" s="403"/>
      <c r="U1719" s="403"/>
      <c r="V1719" s="403"/>
      <c r="W1719" s="403"/>
      <c r="X1719" s="403"/>
      <c r="Y1719" s="403"/>
      <c r="Z1719" s="403"/>
    </row>
    <row r="1720">
      <c r="A1720" s="403"/>
      <c r="B1720" s="417"/>
      <c r="C1720" s="415"/>
      <c r="D1720" s="417"/>
      <c r="E1720" s="417"/>
      <c r="F1720" s="417"/>
      <c r="G1720" s="418"/>
      <c r="H1720" s="417"/>
      <c r="I1720" s="418"/>
      <c r="J1720" s="432"/>
      <c r="K1720" s="420"/>
      <c r="L1720" s="417"/>
      <c r="M1720" s="415"/>
      <c r="N1720" s="422"/>
      <c r="O1720" s="75" t="str">
        <f t="shared" si="3"/>
        <v/>
      </c>
      <c r="P1720" s="403">
        <v>0.0</v>
      </c>
      <c r="Q1720" s="403">
        <v>0.0</v>
      </c>
      <c r="R1720" s="403"/>
      <c r="S1720" s="403"/>
      <c r="T1720" s="403"/>
      <c r="U1720" s="403"/>
      <c r="V1720" s="403"/>
      <c r="W1720" s="403"/>
      <c r="X1720" s="403"/>
      <c r="Y1720" s="403"/>
      <c r="Z1720" s="403"/>
    </row>
    <row r="1721">
      <c r="A1721" s="403"/>
      <c r="B1721" s="417"/>
      <c r="C1721" s="415"/>
      <c r="D1721" s="417"/>
      <c r="E1721" s="417"/>
      <c r="F1721" s="417"/>
      <c r="G1721" s="418"/>
      <c r="H1721" s="417"/>
      <c r="I1721" s="418"/>
      <c r="J1721" s="432"/>
      <c r="K1721" s="420"/>
      <c r="L1721" s="417"/>
      <c r="M1721" s="415"/>
      <c r="N1721" s="422"/>
      <c r="O1721" s="75" t="str">
        <f t="shared" si="3"/>
        <v/>
      </c>
      <c r="P1721" s="403">
        <v>0.0</v>
      </c>
      <c r="Q1721" s="403">
        <v>0.0</v>
      </c>
      <c r="R1721" s="403"/>
      <c r="S1721" s="403"/>
      <c r="T1721" s="403"/>
      <c r="U1721" s="403"/>
      <c r="V1721" s="403"/>
      <c r="W1721" s="403"/>
      <c r="X1721" s="403"/>
      <c r="Y1721" s="403"/>
      <c r="Z1721" s="403"/>
    </row>
    <row r="1722">
      <c r="A1722" s="403"/>
      <c r="B1722" s="417"/>
      <c r="C1722" s="415"/>
      <c r="D1722" s="417"/>
      <c r="E1722" s="417"/>
      <c r="F1722" s="417"/>
      <c r="G1722" s="418"/>
      <c r="H1722" s="417"/>
      <c r="I1722" s="418"/>
      <c r="J1722" s="432"/>
      <c r="K1722" s="420"/>
      <c r="L1722" s="417"/>
      <c r="M1722" s="415"/>
      <c r="N1722" s="422"/>
      <c r="O1722" s="75" t="str">
        <f t="shared" si="3"/>
        <v/>
      </c>
      <c r="P1722" s="403">
        <v>0.0</v>
      </c>
      <c r="Q1722" s="403">
        <v>0.0</v>
      </c>
      <c r="R1722" s="403"/>
      <c r="S1722" s="403"/>
      <c r="T1722" s="403"/>
      <c r="U1722" s="403"/>
      <c r="V1722" s="403"/>
      <c r="W1722" s="403"/>
      <c r="X1722" s="403"/>
      <c r="Y1722" s="403"/>
      <c r="Z1722" s="403"/>
    </row>
    <row r="1723">
      <c r="A1723" s="403"/>
      <c r="B1723" s="417"/>
      <c r="C1723" s="415"/>
      <c r="D1723" s="417"/>
      <c r="E1723" s="417"/>
      <c r="F1723" s="417"/>
      <c r="G1723" s="418"/>
      <c r="H1723" s="417"/>
      <c r="I1723" s="418"/>
      <c r="J1723" s="432"/>
      <c r="K1723" s="420"/>
      <c r="L1723" s="417"/>
      <c r="M1723" s="415"/>
      <c r="N1723" s="422"/>
      <c r="O1723" s="75" t="str">
        <f t="shared" si="3"/>
        <v/>
      </c>
      <c r="P1723" s="403">
        <v>0.0</v>
      </c>
      <c r="Q1723" s="403">
        <v>0.0</v>
      </c>
      <c r="R1723" s="403"/>
      <c r="S1723" s="403"/>
      <c r="T1723" s="403"/>
      <c r="U1723" s="403"/>
      <c r="V1723" s="403"/>
      <c r="W1723" s="403"/>
      <c r="X1723" s="403"/>
      <c r="Y1723" s="403"/>
      <c r="Z1723" s="403"/>
    </row>
    <row r="1724">
      <c r="A1724" s="403"/>
      <c r="B1724" s="417"/>
      <c r="C1724" s="415"/>
      <c r="D1724" s="417"/>
      <c r="E1724" s="417"/>
      <c r="F1724" s="417"/>
      <c r="G1724" s="418"/>
      <c r="H1724" s="417"/>
      <c r="I1724" s="418"/>
      <c r="J1724" s="432"/>
      <c r="K1724" s="420"/>
      <c r="L1724" s="417"/>
      <c r="M1724" s="415"/>
      <c r="N1724" s="422"/>
      <c r="O1724" s="75" t="str">
        <f t="shared" si="3"/>
        <v/>
      </c>
      <c r="P1724" s="403">
        <v>0.0</v>
      </c>
      <c r="Q1724" s="403">
        <v>0.0</v>
      </c>
      <c r="R1724" s="403"/>
      <c r="S1724" s="403"/>
      <c r="T1724" s="403"/>
      <c r="U1724" s="403"/>
      <c r="V1724" s="403"/>
      <c r="W1724" s="403"/>
      <c r="X1724" s="403"/>
      <c r="Y1724" s="403"/>
      <c r="Z1724" s="403"/>
    </row>
    <row r="1725">
      <c r="A1725" s="403"/>
      <c r="B1725" s="417"/>
      <c r="C1725" s="415"/>
      <c r="D1725" s="417"/>
      <c r="E1725" s="417"/>
      <c r="F1725" s="417"/>
      <c r="G1725" s="418"/>
      <c r="H1725" s="417"/>
      <c r="I1725" s="418"/>
      <c r="J1725" s="432"/>
      <c r="K1725" s="420"/>
      <c r="L1725" s="417"/>
      <c r="M1725" s="415"/>
      <c r="N1725" s="422"/>
      <c r="O1725" s="75" t="str">
        <f t="shared" si="3"/>
        <v/>
      </c>
      <c r="P1725" s="403">
        <v>0.0</v>
      </c>
      <c r="Q1725" s="403">
        <v>0.0</v>
      </c>
      <c r="R1725" s="403"/>
      <c r="S1725" s="403"/>
      <c r="T1725" s="403"/>
      <c r="U1725" s="403"/>
      <c r="V1725" s="403"/>
      <c r="W1725" s="403"/>
      <c r="X1725" s="403"/>
      <c r="Y1725" s="403"/>
      <c r="Z1725" s="403"/>
    </row>
    <row r="1726">
      <c r="A1726" s="403"/>
      <c r="B1726" s="417"/>
      <c r="C1726" s="415"/>
      <c r="D1726" s="417"/>
      <c r="E1726" s="417"/>
      <c r="F1726" s="417"/>
      <c r="G1726" s="418"/>
      <c r="H1726" s="417"/>
      <c r="I1726" s="418"/>
      <c r="J1726" s="432"/>
      <c r="K1726" s="420"/>
      <c r="L1726" s="417"/>
      <c r="M1726" s="415"/>
      <c r="N1726" s="422"/>
      <c r="O1726" s="75" t="str">
        <f t="shared" si="3"/>
        <v/>
      </c>
      <c r="P1726" s="403">
        <v>0.0</v>
      </c>
      <c r="Q1726" s="403">
        <v>0.0</v>
      </c>
      <c r="R1726" s="403"/>
      <c r="S1726" s="403"/>
      <c r="T1726" s="403"/>
      <c r="U1726" s="403"/>
      <c r="V1726" s="403"/>
      <c r="W1726" s="403"/>
      <c r="X1726" s="403"/>
      <c r="Y1726" s="403"/>
      <c r="Z1726" s="403"/>
    </row>
    <row r="1727">
      <c r="A1727" s="403"/>
      <c r="B1727" s="417"/>
      <c r="C1727" s="415"/>
      <c r="D1727" s="417"/>
      <c r="E1727" s="417"/>
      <c r="F1727" s="417"/>
      <c r="G1727" s="418"/>
      <c r="H1727" s="417"/>
      <c r="I1727" s="418"/>
      <c r="J1727" s="432"/>
      <c r="K1727" s="420"/>
      <c r="L1727" s="417"/>
      <c r="M1727" s="415"/>
      <c r="N1727" s="422"/>
      <c r="O1727" s="75" t="str">
        <f t="shared" si="3"/>
        <v/>
      </c>
      <c r="P1727" s="403">
        <v>0.0</v>
      </c>
      <c r="Q1727" s="403">
        <v>0.0</v>
      </c>
      <c r="R1727" s="403"/>
      <c r="S1727" s="403"/>
      <c r="T1727" s="403"/>
      <c r="U1727" s="403"/>
      <c r="V1727" s="403"/>
      <c r="W1727" s="403"/>
      <c r="X1727" s="403"/>
      <c r="Y1727" s="403"/>
      <c r="Z1727" s="403"/>
    </row>
    <row r="1728">
      <c r="A1728" s="403"/>
      <c r="B1728" s="417"/>
      <c r="C1728" s="415"/>
      <c r="D1728" s="417"/>
      <c r="E1728" s="417"/>
      <c r="F1728" s="417"/>
      <c r="G1728" s="418"/>
      <c r="H1728" s="417"/>
      <c r="I1728" s="418"/>
      <c r="J1728" s="432"/>
      <c r="K1728" s="420"/>
      <c r="L1728" s="417"/>
      <c r="M1728" s="415"/>
      <c r="N1728" s="422"/>
      <c r="O1728" s="75" t="str">
        <f t="shared" si="3"/>
        <v/>
      </c>
      <c r="P1728" s="403">
        <v>0.0</v>
      </c>
      <c r="Q1728" s="403">
        <v>0.0</v>
      </c>
      <c r="R1728" s="403"/>
      <c r="S1728" s="403"/>
      <c r="T1728" s="403"/>
      <c r="U1728" s="403"/>
      <c r="V1728" s="403"/>
      <c r="W1728" s="403"/>
      <c r="X1728" s="403"/>
      <c r="Y1728" s="403"/>
      <c r="Z1728" s="403"/>
    </row>
    <row r="1729">
      <c r="A1729" s="403"/>
      <c r="B1729" s="417"/>
      <c r="C1729" s="415"/>
      <c r="D1729" s="417"/>
      <c r="E1729" s="417"/>
      <c r="F1729" s="417"/>
      <c r="G1729" s="418"/>
      <c r="H1729" s="417"/>
      <c r="I1729" s="418"/>
      <c r="J1729" s="432"/>
      <c r="K1729" s="420"/>
      <c r="L1729" s="417"/>
      <c r="M1729" s="415"/>
      <c r="N1729" s="422"/>
      <c r="O1729" s="75" t="str">
        <f t="shared" si="3"/>
        <v/>
      </c>
      <c r="P1729" s="403">
        <v>0.0</v>
      </c>
      <c r="Q1729" s="403">
        <v>0.0</v>
      </c>
      <c r="R1729" s="403"/>
      <c r="S1729" s="403"/>
      <c r="T1729" s="403"/>
      <c r="U1729" s="403"/>
      <c r="V1729" s="403"/>
      <c r="W1729" s="403"/>
      <c r="X1729" s="403"/>
      <c r="Y1729" s="403"/>
      <c r="Z1729" s="403"/>
    </row>
    <row r="1730">
      <c r="A1730" s="403"/>
      <c r="B1730" s="417"/>
      <c r="C1730" s="415"/>
      <c r="D1730" s="417"/>
      <c r="E1730" s="417"/>
      <c r="F1730" s="417"/>
      <c r="G1730" s="418"/>
      <c r="H1730" s="417"/>
      <c r="I1730" s="418"/>
      <c r="J1730" s="432"/>
      <c r="K1730" s="420"/>
      <c r="L1730" s="417"/>
      <c r="M1730" s="415"/>
      <c r="N1730" s="422"/>
      <c r="O1730" s="75" t="str">
        <f t="shared" si="3"/>
        <v/>
      </c>
      <c r="P1730" s="403">
        <v>0.0</v>
      </c>
      <c r="Q1730" s="403">
        <v>0.0</v>
      </c>
      <c r="R1730" s="403"/>
      <c r="S1730" s="403"/>
      <c r="T1730" s="403"/>
      <c r="U1730" s="403"/>
      <c r="V1730" s="403"/>
      <c r="W1730" s="403"/>
      <c r="X1730" s="403"/>
      <c r="Y1730" s="403"/>
      <c r="Z1730" s="403"/>
    </row>
    <row r="1731">
      <c r="A1731" s="403"/>
      <c r="B1731" s="417"/>
      <c r="C1731" s="415"/>
      <c r="D1731" s="417"/>
      <c r="E1731" s="417"/>
      <c r="F1731" s="417"/>
      <c r="G1731" s="418"/>
      <c r="H1731" s="417"/>
      <c r="I1731" s="418"/>
      <c r="J1731" s="432"/>
      <c r="K1731" s="420"/>
      <c r="L1731" s="417"/>
      <c r="M1731" s="415"/>
      <c r="N1731" s="422"/>
      <c r="O1731" s="75" t="str">
        <f t="shared" si="3"/>
        <v/>
      </c>
      <c r="P1731" s="403">
        <v>0.0</v>
      </c>
      <c r="Q1731" s="403">
        <v>0.0</v>
      </c>
      <c r="R1731" s="403"/>
      <c r="S1731" s="403"/>
      <c r="T1731" s="403"/>
      <c r="U1731" s="403"/>
      <c r="V1731" s="403"/>
      <c r="W1731" s="403"/>
      <c r="X1731" s="403"/>
      <c r="Y1731" s="403"/>
      <c r="Z1731" s="403"/>
    </row>
    <row r="1732">
      <c r="A1732" s="403"/>
      <c r="B1732" s="417"/>
      <c r="C1732" s="415"/>
      <c r="D1732" s="417"/>
      <c r="E1732" s="417"/>
      <c r="F1732" s="417"/>
      <c r="G1732" s="418"/>
      <c r="H1732" s="417"/>
      <c r="I1732" s="418"/>
      <c r="J1732" s="432"/>
      <c r="K1732" s="420"/>
      <c r="L1732" s="417"/>
      <c r="M1732" s="415"/>
      <c r="N1732" s="422"/>
      <c r="O1732" s="75" t="str">
        <f t="shared" si="3"/>
        <v/>
      </c>
      <c r="P1732" s="403">
        <v>0.0</v>
      </c>
      <c r="Q1732" s="403">
        <v>0.0</v>
      </c>
      <c r="R1732" s="403"/>
      <c r="S1732" s="403"/>
      <c r="T1732" s="403"/>
      <c r="U1732" s="403"/>
      <c r="V1732" s="403"/>
      <c r="W1732" s="403"/>
      <c r="X1732" s="403"/>
      <c r="Y1732" s="403"/>
      <c r="Z1732" s="403"/>
    </row>
    <row r="1733">
      <c r="A1733" s="403"/>
      <c r="B1733" s="417"/>
      <c r="C1733" s="415"/>
      <c r="D1733" s="417"/>
      <c r="E1733" s="417"/>
      <c r="F1733" s="417"/>
      <c r="G1733" s="418"/>
      <c r="H1733" s="417"/>
      <c r="I1733" s="418"/>
      <c r="J1733" s="432"/>
      <c r="K1733" s="420"/>
      <c r="L1733" s="417"/>
      <c r="M1733" s="415"/>
      <c r="N1733" s="422"/>
      <c r="O1733" s="75" t="str">
        <f t="shared" si="3"/>
        <v/>
      </c>
      <c r="P1733" s="403">
        <v>0.0</v>
      </c>
      <c r="Q1733" s="403">
        <v>0.0</v>
      </c>
      <c r="R1733" s="403"/>
      <c r="S1733" s="403"/>
      <c r="T1733" s="403"/>
      <c r="U1733" s="403"/>
      <c r="V1733" s="403"/>
      <c r="W1733" s="403"/>
      <c r="X1733" s="403"/>
      <c r="Y1733" s="403"/>
      <c r="Z1733" s="403"/>
    </row>
    <row r="1734">
      <c r="A1734" s="403"/>
      <c r="B1734" s="417"/>
      <c r="C1734" s="415"/>
      <c r="D1734" s="417"/>
      <c r="E1734" s="417"/>
      <c r="F1734" s="417"/>
      <c r="G1734" s="418"/>
      <c r="H1734" s="417"/>
      <c r="I1734" s="418"/>
      <c r="J1734" s="432"/>
      <c r="K1734" s="420"/>
      <c r="L1734" s="417"/>
      <c r="M1734" s="415"/>
      <c r="N1734" s="422"/>
      <c r="O1734" s="75" t="str">
        <f t="shared" si="3"/>
        <v/>
      </c>
      <c r="P1734" s="403">
        <v>0.0</v>
      </c>
      <c r="Q1734" s="403">
        <v>0.0</v>
      </c>
      <c r="R1734" s="403"/>
      <c r="S1734" s="403"/>
      <c r="T1734" s="403"/>
      <c r="U1734" s="403"/>
      <c r="V1734" s="403"/>
      <c r="W1734" s="403"/>
      <c r="X1734" s="403"/>
      <c r="Y1734" s="403"/>
      <c r="Z1734" s="403"/>
    </row>
    <row r="1735">
      <c r="A1735" s="403"/>
      <c r="B1735" s="417"/>
      <c r="C1735" s="415"/>
      <c r="D1735" s="417"/>
      <c r="E1735" s="417"/>
      <c r="F1735" s="417"/>
      <c r="G1735" s="418"/>
      <c r="H1735" s="417"/>
      <c r="I1735" s="418"/>
      <c r="J1735" s="432"/>
      <c r="K1735" s="420"/>
      <c r="L1735" s="417"/>
      <c r="M1735" s="415"/>
      <c r="N1735" s="422"/>
      <c r="O1735" s="75" t="str">
        <f t="shared" si="3"/>
        <v/>
      </c>
      <c r="P1735" s="403">
        <v>0.0</v>
      </c>
      <c r="Q1735" s="403">
        <v>0.0</v>
      </c>
      <c r="R1735" s="403"/>
      <c r="S1735" s="403"/>
      <c r="T1735" s="403"/>
      <c r="U1735" s="403"/>
      <c r="V1735" s="403"/>
      <c r="W1735" s="403"/>
      <c r="X1735" s="403"/>
      <c r="Y1735" s="403"/>
      <c r="Z1735" s="403"/>
    </row>
    <row r="1736">
      <c r="A1736" s="403"/>
      <c r="B1736" s="417"/>
      <c r="C1736" s="415"/>
      <c r="D1736" s="417"/>
      <c r="E1736" s="417"/>
      <c r="F1736" s="417"/>
      <c r="G1736" s="418"/>
      <c r="H1736" s="417"/>
      <c r="I1736" s="418"/>
      <c r="J1736" s="432"/>
      <c r="K1736" s="420"/>
      <c r="L1736" s="417"/>
      <c r="M1736" s="415"/>
      <c r="N1736" s="422"/>
      <c r="O1736" s="75" t="str">
        <f t="shared" si="3"/>
        <v/>
      </c>
      <c r="P1736" s="403">
        <v>0.0</v>
      </c>
      <c r="Q1736" s="403">
        <v>0.0</v>
      </c>
      <c r="R1736" s="403"/>
      <c r="S1736" s="403"/>
      <c r="T1736" s="403"/>
      <c r="U1736" s="403"/>
      <c r="V1736" s="403"/>
      <c r="W1736" s="403"/>
      <c r="X1736" s="403"/>
      <c r="Y1736" s="403"/>
      <c r="Z1736" s="403"/>
    </row>
    <row r="1737">
      <c r="A1737" s="403"/>
      <c r="B1737" s="417"/>
      <c r="C1737" s="415"/>
      <c r="D1737" s="417"/>
      <c r="E1737" s="417"/>
      <c r="F1737" s="417"/>
      <c r="G1737" s="418"/>
      <c r="H1737" s="417"/>
      <c r="I1737" s="418"/>
      <c r="J1737" s="432"/>
      <c r="K1737" s="420"/>
      <c r="L1737" s="417"/>
      <c r="M1737" s="415"/>
      <c r="N1737" s="422"/>
      <c r="O1737" s="75" t="str">
        <f t="shared" si="3"/>
        <v/>
      </c>
      <c r="P1737" s="403">
        <v>0.0</v>
      </c>
      <c r="Q1737" s="403">
        <v>0.0</v>
      </c>
      <c r="R1737" s="403"/>
      <c r="S1737" s="403"/>
      <c r="T1737" s="403"/>
      <c r="U1737" s="403"/>
      <c r="V1737" s="403"/>
      <c r="W1737" s="403"/>
      <c r="X1737" s="403"/>
      <c r="Y1737" s="403"/>
      <c r="Z1737" s="403"/>
    </row>
    <row r="1738">
      <c r="A1738" s="403"/>
      <c r="B1738" s="417"/>
      <c r="C1738" s="415"/>
      <c r="D1738" s="417"/>
      <c r="E1738" s="417"/>
      <c r="F1738" s="417"/>
      <c r="G1738" s="418"/>
      <c r="H1738" s="417"/>
      <c r="I1738" s="418"/>
      <c r="J1738" s="432"/>
      <c r="K1738" s="420"/>
      <c r="L1738" s="417"/>
      <c r="M1738" s="415"/>
      <c r="N1738" s="422"/>
      <c r="O1738" s="75" t="str">
        <f t="shared" si="3"/>
        <v/>
      </c>
      <c r="P1738" s="403">
        <v>0.0</v>
      </c>
      <c r="Q1738" s="403">
        <v>0.0</v>
      </c>
      <c r="R1738" s="403"/>
      <c r="S1738" s="403"/>
      <c r="T1738" s="403"/>
      <c r="U1738" s="403"/>
      <c r="V1738" s="403"/>
      <c r="W1738" s="403"/>
      <c r="X1738" s="403"/>
      <c r="Y1738" s="403"/>
      <c r="Z1738" s="403"/>
    </row>
    <row r="1739">
      <c r="A1739" s="403"/>
      <c r="B1739" s="417"/>
      <c r="C1739" s="415"/>
      <c r="D1739" s="417"/>
      <c r="E1739" s="417"/>
      <c r="F1739" s="417"/>
      <c r="G1739" s="418"/>
      <c r="H1739" s="417"/>
      <c r="I1739" s="418"/>
      <c r="J1739" s="432"/>
      <c r="K1739" s="420"/>
      <c r="L1739" s="417"/>
      <c r="M1739" s="415"/>
      <c r="N1739" s="422"/>
      <c r="O1739" s="75" t="str">
        <f t="shared" si="3"/>
        <v/>
      </c>
      <c r="P1739" s="403">
        <v>0.0</v>
      </c>
      <c r="Q1739" s="403">
        <v>0.0</v>
      </c>
      <c r="R1739" s="403"/>
      <c r="S1739" s="403"/>
      <c r="T1739" s="403"/>
      <c r="U1739" s="403"/>
      <c r="V1739" s="403"/>
      <c r="W1739" s="403"/>
      <c r="X1739" s="403"/>
      <c r="Y1739" s="403"/>
      <c r="Z1739" s="403"/>
    </row>
    <row r="1740">
      <c r="A1740" s="403"/>
      <c r="B1740" s="417"/>
      <c r="C1740" s="415"/>
      <c r="D1740" s="417"/>
      <c r="E1740" s="417"/>
      <c r="F1740" s="417"/>
      <c r="G1740" s="418"/>
      <c r="H1740" s="417"/>
      <c r="I1740" s="418"/>
      <c r="J1740" s="432"/>
      <c r="K1740" s="420"/>
      <c r="L1740" s="417"/>
      <c r="M1740" s="415"/>
      <c r="N1740" s="422"/>
      <c r="O1740" s="75" t="str">
        <f t="shared" si="3"/>
        <v/>
      </c>
      <c r="P1740" s="403">
        <v>0.0</v>
      </c>
      <c r="Q1740" s="403">
        <v>0.0</v>
      </c>
      <c r="R1740" s="403"/>
      <c r="S1740" s="403"/>
      <c r="T1740" s="403"/>
      <c r="U1740" s="403"/>
      <c r="V1740" s="403"/>
      <c r="W1740" s="403"/>
      <c r="X1740" s="403"/>
      <c r="Y1740" s="403"/>
      <c r="Z1740" s="403"/>
    </row>
    <row r="1741">
      <c r="A1741" s="403"/>
      <c r="B1741" s="417"/>
      <c r="C1741" s="415"/>
      <c r="D1741" s="417"/>
      <c r="E1741" s="417"/>
      <c r="F1741" s="417"/>
      <c r="G1741" s="418"/>
      <c r="H1741" s="417"/>
      <c r="I1741" s="418"/>
      <c r="J1741" s="432"/>
      <c r="K1741" s="420"/>
      <c r="L1741" s="417"/>
      <c r="M1741" s="415"/>
      <c r="N1741" s="422"/>
      <c r="O1741" s="75" t="str">
        <f t="shared" si="3"/>
        <v/>
      </c>
      <c r="P1741" s="403">
        <v>0.0</v>
      </c>
      <c r="Q1741" s="403">
        <v>0.0</v>
      </c>
      <c r="R1741" s="403"/>
      <c r="S1741" s="403"/>
      <c r="T1741" s="403"/>
      <c r="U1741" s="403"/>
      <c r="V1741" s="403"/>
      <c r="W1741" s="403"/>
      <c r="X1741" s="403"/>
      <c r="Y1741" s="403"/>
      <c r="Z1741" s="403"/>
    </row>
    <row r="1742">
      <c r="A1742" s="403"/>
      <c r="B1742" s="417"/>
      <c r="C1742" s="415"/>
      <c r="D1742" s="417"/>
      <c r="E1742" s="417"/>
      <c r="F1742" s="417"/>
      <c r="G1742" s="418"/>
      <c r="H1742" s="417"/>
      <c r="I1742" s="418"/>
      <c r="J1742" s="432"/>
      <c r="K1742" s="420"/>
      <c r="L1742" s="417"/>
      <c r="M1742" s="415"/>
      <c r="N1742" s="422"/>
      <c r="O1742" s="75" t="str">
        <f t="shared" si="3"/>
        <v/>
      </c>
      <c r="P1742" s="403">
        <v>0.0</v>
      </c>
      <c r="Q1742" s="403">
        <v>0.0</v>
      </c>
      <c r="R1742" s="403"/>
      <c r="S1742" s="403"/>
      <c r="T1742" s="403"/>
      <c r="U1742" s="403"/>
      <c r="V1742" s="403"/>
      <c r="W1742" s="403"/>
      <c r="X1742" s="403"/>
      <c r="Y1742" s="403"/>
      <c r="Z1742" s="403"/>
    </row>
    <row r="1743">
      <c r="A1743" s="403"/>
      <c r="B1743" s="417"/>
      <c r="C1743" s="415"/>
      <c r="D1743" s="417"/>
      <c r="E1743" s="417"/>
      <c r="F1743" s="417"/>
      <c r="G1743" s="418"/>
      <c r="H1743" s="417"/>
      <c r="I1743" s="418"/>
      <c r="J1743" s="432"/>
      <c r="K1743" s="420"/>
      <c r="L1743" s="417"/>
      <c r="M1743" s="415"/>
      <c r="N1743" s="422"/>
      <c r="O1743" s="75" t="str">
        <f t="shared" si="3"/>
        <v/>
      </c>
      <c r="P1743" s="403">
        <v>0.0</v>
      </c>
      <c r="Q1743" s="403">
        <v>0.0</v>
      </c>
      <c r="R1743" s="403"/>
      <c r="S1743" s="403"/>
      <c r="T1743" s="403"/>
      <c r="U1743" s="403"/>
      <c r="V1743" s="403"/>
      <c r="W1743" s="403"/>
      <c r="X1743" s="403"/>
      <c r="Y1743" s="403"/>
      <c r="Z1743" s="403"/>
    </row>
    <row r="1744">
      <c r="A1744" s="403"/>
      <c r="B1744" s="417"/>
      <c r="C1744" s="415"/>
      <c r="D1744" s="417"/>
      <c r="E1744" s="417"/>
      <c r="F1744" s="417"/>
      <c r="G1744" s="418"/>
      <c r="H1744" s="417"/>
      <c r="I1744" s="418"/>
      <c r="J1744" s="432"/>
      <c r="K1744" s="420"/>
      <c r="L1744" s="417"/>
      <c r="M1744" s="415"/>
      <c r="N1744" s="422"/>
      <c r="O1744" s="75" t="str">
        <f t="shared" si="3"/>
        <v/>
      </c>
      <c r="P1744" s="403">
        <v>0.0</v>
      </c>
      <c r="Q1744" s="403">
        <v>0.0</v>
      </c>
      <c r="R1744" s="403"/>
      <c r="S1744" s="403"/>
      <c r="T1744" s="403"/>
      <c r="U1744" s="403"/>
      <c r="V1744" s="403"/>
      <c r="W1744" s="403"/>
      <c r="X1744" s="403"/>
      <c r="Y1744" s="403"/>
      <c r="Z1744" s="403"/>
    </row>
    <row r="1745">
      <c r="A1745" s="403"/>
      <c r="B1745" s="417"/>
      <c r="C1745" s="415"/>
      <c r="D1745" s="417"/>
      <c r="E1745" s="417"/>
      <c r="F1745" s="417"/>
      <c r="G1745" s="418"/>
      <c r="H1745" s="417"/>
      <c r="I1745" s="418"/>
      <c r="J1745" s="432"/>
      <c r="K1745" s="420"/>
      <c r="L1745" s="417"/>
      <c r="M1745" s="415"/>
      <c r="N1745" s="422"/>
      <c r="O1745" s="75" t="str">
        <f t="shared" si="3"/>
        <v/>
      </c>
      <c r="P1745" s="403">
        <v>0.0</v>
      </c>
      <c r="Q1745" s="403">
        <v>0.0</v>
      </c>
      <c r="R1745" s="403"/>
      <c r="S1745" s="403"/>
      <c r="T1745" s="403"/>
      <c r="U1745" s="403"/>
      <c r="V1745" s="403"/>
      <c r="W1745" s="403"/>
      <c r="X1745" s="403"/>
      <c r="Y1745" s="403"/>
      <c r="Z1745" s="403"/>
    </row>
    <row r="1746">
      <c r="A1746" s="403"/>
      <c r="B1746" s="417"/>
      <c r="C1746" s="415"/>
      <c r="D1746" s="417"/>
      <c r="E1746" s="417"/>
      <c r="F1746" s="417"/>
      <c r="G1746" s="418"/>
      <c r="H1746" s="417"/>
      <c r="I1746" s="418"/>
      <c r="J1746" s="432"/>
      <c r="K1746" s="420"/>
      <c r="L1746" s="417"/>
      <c r="M1746" s="415"/>
      <c r="N1746" s="422"/>
      <c r="O1746" s="75" t="str">
        <f t="shared" si="3"/>
        <v/>
      </c>
      <c r="P1746" s="403">
        <v>0.0</v>
      </c>
      <c r="Q1746" s="403">
        <v>0.0</v>
      </c>
      <c r="R1746" s="403"/>
      <c r="S1746" s="403"/>
      <c r="T1746" s="403"/>
      <c r="U1746" s="403"/>
      <c r="V1746" s="403"/>
      <c r="W1746" s="403"/>
      <c r="X1746" s="403"/>
      <c r="Y1746" s="403"/>
      <c r="Z1746" s="403"/>
    </row>
    <row r="1747">
      <c r="A1747" s="403"/>
      <c r="B1747" s="417"/>
      <c r="C1747" s="415"/>
      <c r="D1747" s="417"/>
      <c r="E1747" s="417"/>
      <c r="F1747" s="417"/>
      <c r="G1747" s="418"/>
      <c r="H1747" s="417"/>
      <c r="I1747" s="418"/>
      <c r="J1747" s="432"/>
      <c r="K1747" s="420"/>
      <c r="L1747" s="417"/>
      <c r="M1747" s="415"/>
      <c r="N1747" s="422"/>
      <c r="O1747" s="75" t="str">
        <f t="shared" si="3"/>
        <v/>
      </c>
      <c r="P1747" s="403">
        <v>0.0</v>
      </c>
      <c r="Q1747" s="403">
        <v>0.0</v>
      </c>
      <c r="R1747" s="403"/>
      <c r="S1747" s="403"/>
      <c r="T1747" s="403"/>
      <c r="U1747" s="403"/>
      <c r="V1747" s="403"/>
      <c r="W1747" s="403"/>
      <c r="X1747" s="403"/>
      <c r="Y1747" s="403"/>
      <c r="Z1747" s="403"/>
    </row>
    <row r="1748">
      <c r="A1748" s="403"/>
      <c r="B1748" s="417"/>
      <c r="C1748" s="415"/>
      <c r="D1748" s="417"/>
      <c r="E1748" s="417"/>
      <c r="F1748" s="417"/>
      <c r="G1748" s="418"/>
      <c r="H1748" s="417"/>
      <c r="I1748" s="418"/>
      <c r="J1748" s="432"/>
      <c r="K1748" s="420"/>
      <c r="L1748" s="417"/>
      <c r="M1748" s="415"/>
      <c r="N1748" s="422"/>
      <c r="O1748" s="75" t="str">
        <f t="shared" si="3"/>
        <v/>
      </c>
      <c r="P1748" s="403">
        <v>0.0</v>
      </c>
      <c r="Q1748" s="403">
        <v>0.0</v>
      </c>
      <c r="R1748" s="403"/>
      <c r="S1748" s="403"/>
      <c r="T1748" s="403"/>
      <c r="U1748" s="403"/>
      <c r="V1748" s="403"/>
      <c r="W1748" s="403"/>
      <c r="X1748" s="403"/>
      <c r="Y1748" s="403"/>
      <c r="Z1748" s="403"/>
    </row>
    <row r="1749">
      <c r="A1749" s="403"/>
      <c r="B1749" s="417"/>
      <c r="C1749" s="415"/>
      <c r="D1749" s="417"/>
      <c r="E1749" s="417"/>
      <c r="F1749" s="417"/>
      <c r="G1749" s="418"/>
      <c r="H1749" s="417"/>
      <c r="I1749" s="418"/>
      <c r="J1749" s="432"/>
      <c r="K1749" s="420"/>
      <c r="L1749" s="417"/>
      <c r="M1749" s="415"/>
      <c r="N1749" s="422"/>
      <c r="O1749" s="75" t="str">
        <f t="shared" si="3"/>
        <v/>
      </c>
      <c r="P1749" s="403">
        <v>0.0</v>
      </c>
      <c r="Q1749" s="403">
        <v>0.0</v>
      </c>
      <c r="R1749" s="403"/>
      <c r="S1749" s="403"/>
      <c r="T1749" s="403"/>
      <c r="U1749" s="403"/>
      <c r="V1749" s="403"/>
      <c r="W1749" s="403"/>
      <c r="X1749" s="403"/>
      <c r="Y1749" s="403"/>
      <c r="Z1749" s="403"/>
    </row>
    <row r="1750">
      <c r="A1750" s="403"/>
      <c r="B1750" s="417"/>
      <c r="C1750" s="415"/>
      <c r="D1750" s="417"/>
      <c r="E1750" s="417"/>
      <c r="F1750" s="417"/>
      <c r="G1750" s="418"/>
      <c r="H1750" s="417"/>
      <c r="I1750" s="418"/>
      <c r="J1750" s="432"/>
      <c r="K1750" s="420"/>
      <c r="L1750" s="417"/>
      <c r="M1750" s="415"/>
      <c r="N1750" s="422"/>
      <c r="O1750" s="75" t="str">
        <f t="shared" si="3"/>
        <v/>
      </c>
      <c r="P1750" s="403">
        <v>0.0</v>
      </c>
      <c r="Q1750" s="403">
        <v>0.0</v>
      </c>
      <c r="R1750" s="403"/>
      <c r="S1750" s="403"/>
      <c r="T1750" s="403"/>
      <c r="U1750" s="403"/>
      <c r="V1750" s="403"/>
      <c r="W1750" s="403"/>
      <c r="X1750" s="403"/>
      <c r="Y1750" s="403"/>
      <c r="Z1750" s="403"/>
    </row>
    <row r="1751">
      <c r="A1751" s="403"/>
      <c r="B1751" s="417"/>
      <c r="C1751" s="415"/>
      <c r="D1751" s="417"/>
      <c r="E1751" s="417"/>
      <c r="F1751" s="417"/>
      <c r="G1751" s="418"/>
      <c r="H1751" s="417"/>
      <c r="I1751" s="418"/>
      <c r="J1751" s="432"/>
      <c r="K1751" s="420"/>
      <c r="L1751" s="417"/>
      <c r="M1751" s="415"/>
      <c r="N1751" s="422"/>
      <c r="O1751" s="75" t="str">
        <f t="shared" si="3"/>
        <v/>
      </c>
      <c r="P1751" s="403">
        <v>0.0</v>
      </c>
      <c r="Q1751" s="403">
        <v>0.0</v>
      </c>
      <c r="R1751" s="403"/>
      <c r="S1751" s="403"/>
      <c r="T1751" s="403"/>
      <c r="U1751" s="403"/>
      <c r="V1751" s="403"/>
      <c r="W1751" s="403"/>
      <c r="X1751" s="403"/>
      <c r="Y1751" s="403"/>
      <c r="Z1751" s="403"/>
    </row>
    <row r="1752">
      <c r="A1752" s="403"/>
      <c r="B1752" s="417"/>
      <c r="C1752" s="415"/>
      <c r="D1752" s="417"/>
      <c r="E1752" s="417"/>
      <c r="F1752" s="417"/>
      <c r="G1752" s="418"/>
      <c r="H1752" s="417"/>
      <c r="I1752" s="418"/>
      <c r="J1752" s="432"/>
      <c r="K1752" s="420"/>
      <c r="L1752" s="417"/>
      <c r="M1752" s="415"/>
      <c r="N1752" s="422"/>
      <c r="O1752" s="75" t="str">
        <f t="shared" si="3"/>
        <v/>
      </c>
      <c r="P1752" s="403">
        <v>0.0</v>
      </c>
      <c r="Q1752" s="403">
        <v>0.0</v>
      </c>
      <c r="R1752" s="403"/>
      <c r="S1752" s="403"/>
      <c r="T1752" s="403"/>
      <c r="U1752" s="403"/>
      <c r="V1752" s="403"/>
      <c r="W1752" s="403"/>
      <c r="X1752" s="403"/>
      <c r="Y1752" s="403"/>
      <c r="Z1752" s="403"/>
    </row>
    <row r="1753">
      <c r="A1753" s="403"/>
      <c r="B1753" s="417"/>
      <c r="C1753" s="415"/>
      <c r="D1753" s="417"/>
      <c r="E1753" s="417"/>
      <c r="F1753" s="417"/>
      <c r="G1753" s="418"/>
      <c r="H1753" s="417"/>
      <c r="I1753" s="418"/>
      <c r="J1753" s="432"/>
      <c r="K1753" s="420"/>
      <c r="L1753" s="417"/>
      <c r="M1753" s="415"/>
      <c r="N1753" s="422"/>
      <c r="O1753" s="75" t="str">
        <f t="shared" si="3"/>
        <v/>
      </c>
      <c r="P1753" s="403">
        <v>0.0</v>
      </c>
      <c r="Q1753" s="403">
        <v>0.0</v>
      </c>
      <c r="R1753" s="403"/>
      <c r="S1753" s="403"/>
      <c r="T1753" s="403"/>
      <c r="U1753" s="403"/>
      <c r="V1753" s="403"/>
      <c r="W1753" s="403"/>
      <c r="X1753" s="403"/>
      <c r="Y1753" s="403"/>
      <c r="Z1753" s="403"/>
    </row>
    <row r="1754">
      <c r="A1754" s="403"/>
      <c r="B1754" s="417"/>
      <c r="C1754" s="415"/>
      <c r="D1754" s="417"/>
      <c r="E1754" s="417"/>
      <c r="F1754" s="417"/>
      <c r="G1754" s="418"/>
      <c r="H1754" s="417"/>
      <c r="I1754" s="418"/>
      <c r="J1754" s="432"/>
      <c r="K1754" s="420"/>
      <c r="L1754" s="417"/>
      <c r="M1754" s="415"/>
      <c r="N1754" s="422"/>
      <c r="O1754" s="75" t="str">
        <f t="shared" si="3"/>
        <v/>
      </c>
      <c r="P1754" s="403">
        <v>0.0</v>
      </c>
      <c r="Q1754" s="403">
        <v>0.0</v>
      </c>
      <c r="R1754" s="403"/>
      <c r="S1754" s="403"/>
      <c r="T1754" s="403"/>
      <c r="U1754" s="403"/>
      <c r="V1754" s="403"/>
      <c r="W1754" s="403"/>
      <c r="X1754" s="403"/>
      <c r="Y1754" s="403"/>
      <c r="Z1754" s="403"/>
    </row>
    <row r="1755">
      <c r="A1755" s="403"/>
      <c r="B1755" s="417"/>
      <c r="C1755" s="415"/>
      <c r="D1755" s="417"/>
      <c r="E1755" s="417"/>
      <c r="F1755" s="417"/>
      <c r="G1755" s="418"/>
      <c r="H1755" s="417"/>
      <c r="I1755" s="418"/>
      <c r="J1755" s="432"/>
      <c r="K1755" s="420"/>
      <c r="L1755" s="417"/>
      <c r="M1755" s="415"/>
      <c r="N1755" s="422"/>
      <c r="O1755" s="75" t="str">
        <f t="shared" si="3"/>
        <v/>
      </c>
      <c r="P1755" s="403">
        <v>0.0</v>
      </c>
      <c r="Q1755" s="403">
        <v>0.0</v>
      </c>
      <c r="R1755" s="403"/>
      <c r="S1755" s="403"/>
      <c r="T1755" s="403"/>
      <c r="U1755" s="403"/>
      <c r="V1755" s="403"/>
      <c r="W1755" s="403"/>
      <c r="X1755" s="403"/>
      <c r="Y1755" s="403"/>
      <c r="Z1755" s="403"/>
    </row>
    <row r="1756">
      <c r="A1756" s="403"/>
      <c r="B1756" s="417"/>
      <c r="C1756" s="415"/>
      <c r="D1756" s="417"/>
      <c r="E1756" s="417"/>
      <c r="F1756" s="417"/>
      <c r="G1756" s="418"/>
      <c r="H1756" s="417"/>
      <c r="I1756" s="418"/>
      <c r="J1756" s="432"/>
      <c r="K1756" s="420"/>
      <c r="L1756" s="417"/>
      <c r="M1756" s="415"/>
      <c r="N1756" s="422"/>
      <c r="O1756" s="75" t="str">
        <f t="shared" si="3"/>
        <v/>
      </c>
      <c r="P1756" s="403">
        <v>0.0</v>
      </c>
      <c r="Q1756" s="403">
        <v>0.0</v>
      </c>
      <c r="R1756" s="403"/>
      <c r="S1756" s="403"/>
      <c r="T1756" s="403"/>
      <c r="U1756" s="403"/>
      <c r="V1756" s="403"/>
      <c r="W1756" s="403"/>
      <c r="X1756" s="403"/>
      <c r="Y1756" s="403"/>
      <c r="Z1756" s="403"/>
    </row>
    <row r="1757">
      <c r="A1757" s="403"/>
      <c r="B1757" s="417"/>
      <c r="C1757" s="415"/>
      <c r="D1757" s="417"/>
      <c r="E1757" s="417"/>
      <c r="F1757" s="417"/>
      <c r="G1757" s="418"/>
      <c r="H1757" s="417"/>
      <c r="I1757" s="418"/>
      <c r="J1757" s="432"/>
      <c r="K1757" s="420"/>
      <c r="L1757" s="417"/>
      <c r="M1757" s="415"/>
      <c r="N1757" s="422"/>
      <c r="O1757" s="75" t="str">
        <f t="shared" si="3"/>
        <v/>
      </c>
      <c r="P1757" s="403">
        <v>0.0</v>
      </c>
      <c r="Q1757" s="403">
        <v>0.0</v>
      </c>
      <c r="R1757" s="403"/>
      <c r="S1757" s="403"/>
      <c r="T1757" s="403"/>
      <c r="U1757" s="403"/>
      <c r="V1757" s="403"/>
      <c r="W1757" s="403"/>
      <c r="X1757" s="403"/>
      <c r="Y1757" s="403"/>
      <c r="Z1757" s="403"/>
    </row>
    <row r="1758">
      <c r="A1758" s="403"/>
      <c r="B1758" s="417"/>
      <c r="C1758" s="415"/>
      <c r="D1758" s="417"/>
      <c r="E1758" s="417"/>
      <c r="F1758" s="417"/>
      <c r="G1758" s="418"/>
      <c r="H1758" s="417"/>
      <c r="I1758" s="418"/>
      <c r="J1758" s="432"/>
      <c r="K1758" s="420"/>
      <c r="L1758" s="417"/>
      <c r="M1758" s="415"/>
      <c r="N1758" s="422"/>
      <c r="O1758" s="75" t="str">
        <f t="shared" si="3"/>
        <v/>
      </c>
      <c r="P1758" s="403">
        <v>0.0</v>
      </c>
      <c r="Q1758" s="403">
        <v>0.0</v>
      </c>
      <c r="R1758" s="403"/>
      <c r="S1758" s="403"/>
      <c r="T1758" s="403"/>
      <c r="U1758" s="403"/>
      <c r="V1758" s="403"/>
      <c r="W1758" s="403"/>
      <c r="X1758" s="403"/>
      <c r="Y1758" s="403"/>
      <c r="Z1758" s="403"/>
    </row>
    <row r="1759">
      <c r="A1759" s="403"/>
      <c r="B1759" s="417"/>
      <c r="C1759" s="415"/>
      <c r="D1759" s="417"/>
      <c r="E1759" s="417"/>
      <c r="F1759" s="417"/>
      <c r="G1759" s="418"/>
      <c r="H1759" s="417"/>
      <c r="I1759" s="418"/>
      <c r="J1759" s="432"/>
      <c r="K1759" s="420"/>
      <c r="L1759" s="417"/>
      <c r="M1759" s="415"/>
      <c r="N1759" s="422"/>
      <c r="O1759" s="75" t="str">
        <f t="shared" si="3"/>
        <v/>
      </c>
      <c r="P1759" s="403">
        <v>0.0</v>
      </c>
      <c r="Q1759" s="403">
        <v>0.0</v>
      </c>
      <c r="R1759" s="403"/>
      <c r="S1759" s="403"/>
      <c r="T1759" s="403"/>
      <c r="U1759" s="403"/>
      <c r="V1759" s="403"/>
      <c r="W1759" s="403"/>
      <c r="X1759" s="403"/>
      <c r="Y1759" s="403"/>
      <c r="Z1759" s="403"/>
    </row>
    <row r="1760">
      <c r="A1760" s="403"/>
      <c r="B1760" s="417"/>
      <c r="C1760" s="415"/>
      <c r="D1760" s="417"/>
      <c r="E1760" s="417"/>
      <c r="F1760" s="417"/>
      <c r="G1760" s="418"/>
      <c r="H1760" s="417"/>
      <c r="I1760" s="418"/>
      <c r="J1760" s="432"/>
      <c r="K1760" s="420"/>
      <c r="L1760" s="417"/>
      <c r="M1760" s="415"/>
      <c r="N1760" s="422"/>
      <c r="O1760" s="75" t="str">
        <f t="shared" si="3"/>
        <v/>
      </c>
      <c r="P1760" s="403">
        <v>0.0</v>
      </c>
      <c r="Q1760" s="403">
        <v>0.0</v>
      </c>
      <c r="R1760" s="403"/>
      <c r="S1760" s="403"/>
      <c r="T1760" s="403"/>
      <c r="U1760" s="403"/>
      <c r="V1760" s="403"/>
      <c r="W1760" s="403"/>
      <c r="X1760" s="403"/>
      <c r="Y1760" s="403"/>
      <c r="Z1760" s="403"/>
    </row>
    <row r="1761">
      <c r="A1761" s="403"/>
      <c r="B1761" s="417"/>
      <c r="C1761" s="415"/>
      <c r="D1761" s="417"/>
      <c r="E1761" s="417"/>
      <c r="F1761" s="417"/>
      <c r="G1761" s="418"/>
      <c r="H1761" s="417"/>
      <c r="I1761" s="418"/>
      <c r="J1761" s="432"/>
      <c r="K1761" s="420"/>
      <c r="L1761" s="417"/>
      <c r="M1761" s="415"/>
      <c r="N1761" s="422"/>
      <c r="O1761" s="75" t="str">
        <f t="shared" si="3"/>
        <v/>
      </c>
      <c r="P1761" s="403">
        <v>0.0</v>
      </c>
      <c r="Q1761" s="403">
        <v>0.0</v>
      </c>
      <c r="R1761" s="403"/>
      <c r="S1761" s="403"/>
      <c r="T1761" s="403"/>
      <c r="U1761" s="403"/>
      <c r="V1761" s="403"/>
      <c r="W1761" s="403"/>
      <c r="X1761" s="403"/>
      <c r="Y1761" s="403"/>
      <c r="Z1761" s="403"/>
    </row>
    <row r="1762">
      <c r="A1762" s="403"/>
      <c r="B1762" s="417"/>
      <c r="C1762" s="415"/>
      <c r="D1762" s="417"/>
      <c r="E1762" s="417"/>
      <c r="F1762" s="417"/>
      <c r="G1762" s="418"/>
      <c r="H1762" s="417"/>
      <c r="I1762" s="418"/>
      <c r="J1762" s="432"/>
      <c r="K1762" s="420"/>
      <c r="L1762" s="417"/>
      <c r="M1762" s="415"/>
      <c r="N1762" s="422"/>
      <c r="O1762" s="75" t="str">
        <f t="shared" si="3"/>
        <v/>
      </c>
      <c r="P1762" s="403">
        <v>0.0</v>
      </c>
      <c r="Q1762" s="403">
        <v>0.0</v>
      </c>
      <c r="R1762" s="403"/>
      <c r="S1762" s="403"/>
      <c r="T1762" s="403"/>
      <c r="U1762" s="403"/>
      <c r="V1762" s="403"/>
      <c r="W1762" s="403"/>
      <c r="X1762" s="403"/>
      <c r="Y1762" s="403"/>
      <c r="Z1762" s="403"/>
    </row>
    <row r="1763">
      <c r="A1763" s="403"/>
      <c r="B1763" s="417"/>
      <c r="C1763" s="415"/>
      <c r="D1763" s="417"/>
      <c r="E1763" s="417"/>
      <c r="F1763" s="417"/>
      <c r="G1763" s="418"/>
      <c r="H1763" s="417"/>
      <c r="I1763" s="418"/>
      <c r="J1763" s="432"/>
      <c r="K1763" s="420"/>
      <c r="L1763" s="417"/>
      <c r="M1763" s="415"/>
      <c r="N1763" s="422"/>
      <c r="O1763" s="75" t="str">
        <f t="shared" si="3"/>
        <v/>
      </c>
      <c r="P1763" s="403">
        <v>0.0</v>
      </c>
      <c r="Q1763" s="403">
        <v>0.0</v>
      </c>
      <c r="R1763" s="403"/>
      <c r="S1763" s="403"/>
      <c r="T1763" s="403"/>
      <c r="U1763" s="403"/>
      <c r="V1763" s="403"/>
      <c r="W1763" s="403"/>
      <c r="X1763" s="403"/>
      <c r="Y1763" s="403"/>
      <c r="Z1763" s="403"/>
    </row>
  </sheetData>
  <autoFilter ref="$A$1:$Z$1763"/>
  <customSheetViews>
    <customSheetView guid="{F4AA5936-F383-4048-BB5C-9534A96624B6}" filter="1" showAutoFilter="1">
      <autoFilter ref="$A$1:$Q$640">
        <filterColumn colId="5">
          <filters>
            <filter val="진필"/>
            <filter val="AI상상력대장"/>
          </filters>
        </filterColumn>
      </autoFilter>
    </customSheetView>
    <customSheetView guid="{8C4F6C98-7E4B-4390-AE18-FD21F90CA0FB}" filter="1" showAutoFilter="1">
      <autoFilter ref="$A$1:$Q$757">
        <filterColumn colId="1">
          <filters/>
        </filterColumn>
      </autoFilter>
    </customSheetView>
  </customSheetViews>
  <mergeCells count="9">
    <mergeCell ref="H30:H31"/>
    <mergeCell ref="I30:I31"/>
    <mergeCell ref="D7:D8"/>
    <mergeCell ref="E7:E8"/>
    <mergeCell ref="F7:F8"/>
    <mergeCell ref="H7:H8"/>
    <mergeCell ref="D30:D31"/>
    <mergeCell ref="E30:E31"/>
    <mergeCell ref="F30:F31"/>
  </mergeCells>
  <conditionalFormatting sqref="F794:F801">
    <cfRule type="containsBlanks" dxfId="0" priority="1">
      <formula>LEN(TRIM(F794))=0</formula>
    </cfRule>
  </conditionalFormatting>
  <conditionalFormatting sqref="F794:F801">
    <cfRule type="notContainsBlanks" dxfId="0" priority="2">
      <formula>LEN(TRIM(F794))&gt;0</formula>
    </cfRule>
  </conditionalFormatting>
  <conditionalFormatting sqref="F2:F806 F808:F1763">
    <cfRule type="expression" dxfId="1" priority="3">
      <formula>countif(F:F, F:F) &gt; 1</formula>
    </cfRule>
  </conditionalFormatting>
  <conditionalFormatting sqref="B2:M1763">
    <cfRule type="expression" dxfId="2" priority="4">
      <formula>$B2="컨펌 필요"</formula>
    </cfRule>
  </conditionalFormatting>
  <conditionalFormatting sqref="B2:M1763">
    <cfRule type="expression" dxfId="3" priority="5">
      <formula>$B2="발송 예정"</formula>
    </cfRule>
  </conditionalFormatting>
  <conditionalFormatting sqref="B2:M1763">
    <cfRule type="expression" dxfId="4" priority="6">
      <formula>$B2="진행 중"</formula>
    </cfRule>
  </conditionalFormatting>
  <conditionalFormatting sqref="B2:M1763">
    <cfRule type="expression" dxfId="5" priority="7">
      <formula>$B2="계약 완료"</formula>
    </cfRule>
  </conditionalFormatting>
  <conditionalFormatting sqref="B2:M1763">
    <cfRule type="expression" dxfId="6" priority="8">
      <formula>$B2="제외"</formula>
    </cfRule>
  </conditionalFormatting>
  <conditionalFormatting sqref="B2:M1763">
    <cfRule type="expression" dxfId="7" priority="9">
      <formula>$B2="보류"</formula>
    </cfRule>
  </conditionalFormatting>
  <conditionalFormatting sqref="B2:M1763">
    <cfRule type="expression" dxfId="6" priority="10">
      <formula>$B2="거절"</formula>
    </cfRule>
  </conditionalFormatting>
  <dataValidations>
    <dataValidation type="list" allowBlank="1" showErrorMessage="1" sqref="B2:B1763">
      <formula1>"미검토,컨펌 필요,발송 예정,진행 중,계약 완료,제외,보류,거절"</formula1>
    </dataValidation>
    <dataValidation type="list" allowBlank="1" showErrorMessage="1" sqref="X2:X1763">
      <formula1>"진행 중,미팅 완료,계약 완료,보류,거절"</formula1>
    </dataValidation>
    <dataValidation type="list" allowBlank="1" sqref="H291">
      <formula1>"O,X"</formula1>
    </dataValidation>
    <dataValidation type="list" allowBlank="1" showErrorMessage="1" sqref="S2:S1763 U2:U1763 W2:W1763">
      <formula1>"무응답,읽씹,응답,거절"</formula1>
    </dataValidation>
    <dataValidation type="list" allowBlank="1" sqref="C2:C10 C14:C19 C21:C24 C26:C124">
      <formula1>"타이탄/앤잡/코주부 강사,타 플랫폼 현역,거절 의사,비활성 6개월+,수익화 불가,중복,연락처 없음,시기상조"</formula1>
    </dataValidation>
    <dataValidation type="list" allowBlank="1" sqref="H2:H7 H9:H30 H32:H290 H292:H353 H355:H521 H694:H756 H778:H789">
      <formula1>"O,X"</formula1>
    </dataValidation>
  </dataValidations>
  <hyperlinks>
    <hyperlink r:id="rId2" ref="G2"/>
    <hyperlink r:id="rId3" ref="J2"/>
    <hyperlink r:id="rId4" ref="K2"/>
    <hyperlink r:id="rId5" ref="G3"/>
    <hyperlink r:id="rId6" ref="J3"/>
    <hyperlink r:id="rId7" ref="K3"/>
    <hyperlink r:id="rId8" ref="G4"/>
    <hyperlink r:id="rId9" ref="J4"/>
    <hyperlink r:id="rId10" ref="K4"/>
    <hyperlink r:id="rId11" ref="G6"/>
    <hyperlink r:id="rId12" ref="J6"/>
    <hyperlink r:id="rId13" ref="G7"/>
    <hyperlink r:id="rId14" ref="J7"/>
    <hyperlink r:id="rId15" ref="K7"/>
    <hyperlink r:id="rId16" ref="G8"/>
    <hyperlink r:id="rId17" ref="G9"/>
    <hyperlink r:id="rId18" ref="M9"/>
    <hyperlink r:id="rId19" ref="G10"/>
    <hyperlink r:id="rId20" ref="J10"/>
    <hyperlink r:id="rId21" ref="M10"/>
    <hyperlink r:id="rId22" ref="G11"/>
    <hyperlink r:id="rId23" ref="J11"/>
    <hyperlink r:id="rId24" ref="K11"/>
    <hyperlink r:id="rId25" ref="L11"/>
    <hyperlink r:id="rId26" ref="G12"/>
    <hyperlink r:id="rId27" ref="I12"/>
    <hyperlink r:id="rId28" ref="K12"/>
    <hyperlink r:id="rId29" ref="G13"/>
    <hyperlink r:id="rId30" ref="I13"/>
    <hyperlink r:id="rId31" ref="J13"/>
    <hyperlink r:id="rId32" ref="K13"/>
    <hyperlink r:id="rId33" ref="G14"/>
    <hyperlink r:id="rId34" ref="J14"/>
    <hyperlink r:id="rId35" ref="K14"/>
    <hyperlink r:id="rId36" ref="G15"/>
    <hyperlink r:id="rId37" ref="J15"/>
    <hyperlink r:id="rId38" ref="K15"/>
    <hyperlink r:id="rId39" ref="G16"/>
    <hyperlink r:id="rId40" ref="G19"/>
    <hyperlink r:id="rId41" ref="J19"/>
    <hyperlink r:id="rId42" ref="K19"/>
    <hyperlink r:id="rId43" ref="G20"/>
    <hyperlink r:id="rId44" ref="J20"/>
    <hyperlink r:id="rId45" ref="K20"/>
    <hyperlink r:id="rId46" ref="G21"/>
    <hyperlink r:id="rId47" ref="J21"/>
    <hyperlink r:id="rId48" ref="G22"/>
    <hyperlink r:id="rId49" ref="J22"/>
    <hyperlink r:id="rId50" ref="J23"/>
    <hyperlink r:id="rId51" ref="K23"/>
    <hyperlink r:id="rId52" ref="G24"/>
    <hyperlink r:id="rId53" ref="I24"/>
    <hyperlink r:id="rId54" ref="J24"/>
    <hyperlink r:id="rId55" ref="K24"/>
    <hyperlink r:id="rId56" ref="G25"/>
    <hyperlink r:id="rId57" ref="I25"/>
    <hyperlink r:id="rId58" ref="J25"/>
    <hyperlink r:id="rId59" ref="G26"/>
    <hyperlink r:id="rId60" ref="I26"/>
    <hyperlink r:id="rId61" ref="J26"/>
    <hyperlink r:id="rId62" ref="G27"/>
    <hyperlink r:id="rId63" ref="I27"/>
    <hyperlink r:id="rId64" ref="J27"/>
    <hyperlink r:id="rId65" ref="G28"/>
    <hyperlink r:id="rId66" ref="I28"/>
    <hyperlink r:id="rId67" ref="J28"/>
    <hyperlink r:id="rId68" ref="G29"/>
    <hyperlink r:id="rId69" ref="J29"/>
    <hyperlink r:id="rId70" ref="K29"/>
    <hyperlink r:id="rId71" ref="G30"/>
    <hyperlink r:id="rId72" ref="K30"/>
    <hyperlink r:id="rId73" ref="G31"/>
    <hyperlink r:id="rId74" ref="K31"/>
    <hyperlink r:id="rId75" ref="G32"/>
    <hyperlink r:id="rId76" ref="I32"/>
    <hyperlink r:id="rId77" ref="J32"/>
    <hyperlink r:id="rId78" ref="G33"/>
    <hyperlink r:id="rId79" ref="J33"/>
    <hyperlink r:id="rId80" ref="G34"/>
    <hyperlink r:id="rId81" ref="J34"/>
    <hyperlink r:id="rId82" ref="K34"/>
    <hyperlink r:id="rId83" ref="G35"/>
    <hyperlink r:id="rId84" ref="I35"/>
    <hyperlink r:id="rId85" ref="K35"/>
    <hyperlink r:id="rId86" ref="G36"/>
    <hyperlink r:id="rId87" ref="I36"/>
    <hyperlink r:id="rId88" ref="J36"/>
    <hyperlink r:id="rId89" ref="K36"/>
    <hyperlink r:id="rId90" ref="G37"/>
    <hyperlink r:id="rId91" ref="I37"/>
    <hyperlink r:id="rId92" ref="J37"/>
    <hyperlink r:id="rId93" ref="K37"/>
    <hyperlink r:id="rId94" ref="G38"/>
    <hyperlink r:id="rId95" ref="I38"/>
    <hyperlink r:id="rId96" ref="J38"/>
    <hyperlink r:id="rId97" ref="K38"/>
    <hyperlink r:id="rId98" ref="G39"/>
    <hyperlink r:id="rId99" ref="J39"/>
    <hyperlink r:id="rId100" ref="K39"/>
    <hyperlink r:id="rId101" ref="G40"/>
    <hyperlink r:id="rId102" ref="I40"/>
    <hyperlink r:id="rId103" ref="J40"/>
    <hyperlink r:id="rId104" ref="K40"/>
    <hyperlink r:id="rId105" ref="G41"/>
    <hyperlink r:id="rId106" ref="I41"/>
    <hyperlink r:id="rId107" ref="K41"/>
    <hyperlink r:id="rId108" ref="G42"/>
    <hyperlink r:id="rId109" ref="I42"/>
    <hyperlink r:id="rId110" ref="K42"/>
    <hyperlink r:id="rId111" ref="G43"/>
    <hyperlink r:id="rId112" ref="I43"/>
    <hyperlink r:id="rId113" ref="J43"/>
    <hyperlink r:id="rId114" ref="K43"/>
    <hyperlink r:id="rId115" ref="G44"/>
    <hyperlink r:id="rId116" ref="K44"/>
    <hyperlink r:id="rId117" ref="G45"/>
    <hyperlink r:id="rId118" ref="I45"/>
    <hyperlink r:id="rId119" ref="J45"/>
    <hyperlink r:id="rId120" ref="K45"/>
    <hyperlink r:id="rId121" ref="G46"/>
    <hyperlink r:id="rId122" ref="K46"/>
    <hyperlink r:id="rId123" ref="G47"/>
    <hyperlink r:id="rId124" ref="K47"/>
    <hyperlink r:id="rId125" ref="G48"/>
    <hyperlink r:id="rId126" ref="K48"/>
    <hyperlink r:id="rId127" ref="G49"/>
    <hyperlink r:id="rId128" ref="I49"/>
    <hyperlink r:id="rId129" ref="J49"/>
    <hyperlink r:id="rId130" ref="K49"/>
    <hyperlink r:id="rId131" ref="G50"/>
    <hyperlink r:id="rId132" ref="I50"/>
    <hyperlink r:id="rId133" ref="K50"/>
    <hyperlink r:id="rId134" ref="G51"/>
    <hyperlink r:id="rId135" ref="J51"/>
    <hyperlink r:id="rId136" ref="K51"/>
    <hyperlink r:id="rId137" ref="G52"/>
    <hyperlink r:id="rId138" ref="J52"/>
    <hyperlink r:id="rId139" ref="K52"/>
    <hyperlink r:id="rId140" ref="G53"/>
    <hyperlink r:id="rId141" ref="I53"/>
    <hyperlink r:id="rId142" ref="J53"/>
    <hyperlink r:id="rId143" ref="K53"/>
    <hyperlink r:id="rId144" ref="G54"/>
    <hyperlink r:id="rId145" ref="I54"/>
    <hyperlink r:id="rId146" ref="J54"/>
    <hyperlink r:id="rId147" ref="K54"/>
    <hyperlink r:id="rId148" ref="G55"/>
    <hyperlink r:id="rId149" ref="I55"/>
    <hyperlink r:id="rId150" ref="J55"/>
    <hyperlink r:id="rId151" ref="K55"/>
    <hyperlink r:id="rId152" ref="G56"/>
    <hyperlink r:id="rId153" ref="K56"/>
    <hyperlink r:id="rId154" ref="M56"/>
    <hyperlink r:id="rId155" ref="G57"/>
    <hyperlink r:id="rId156" ref="K57"/>
    <hyperlink r:id="rId157" ref="M57"/>
    <hyperlink r:id="rId158" ref="G58"/>
    <hyperlink r:id="rId159" ref="J58"/>
    <hyperlink r:id="rId160" ref="K58"/>
    <hyperlink r:id="rId161" ref="M58"/>
    <hyperlink r:id="rId162" ref="G59"/>
    <hyperlink r:id="rId163" ref="J59"/>
    <hyperlink r:id="rId164" ref="G60"/>
    <hyperlink r:id="rId165" ref="J60"/>
    <hyperlink r:id="rId166" ref="G61"/>
    <hyperlink r:id="rId167" ref="K61"/>
    <hyperlink r:id="rId168" ref="G62"/>
    <hyperlink r:id="rId169" ref="I62"/>
    <hyperlink r:id="rId170" ref="K62"/>
    <hyperlink r:id="rId171" ref="G63"/>
    <hyperlink r:id="rId172" ref="G64"/>
    <hyperlink r:id="rId173" ref="J64"/>
    <hyperlink r:id="rId174" ref="K65"/>
    <hyperlink r:id="rId175" ref="G66"/>
    <hyperlink r:id="rId176" ref="K66"/>
    <hyperlink r:id="rId177" ref="G67"/>
    <hyperlink r:id="rId178" ref="J67"/>
    <hyperlink r:id="rId179" ref="K67"/>
    <hyperlink r:id="rId180" ref="G68"/>
    <hyperlink r:id="rId181" ref="J68"/>
    <hyperlink r:id="rId182" ref="K68"/>
    <hyperlink r:id="rId183" ref="G69"/>
    <hyperlink r:id="rId184" ref="K69"/>
    <hyperlink r:id="rId185" ref="G70"/>
    <hyperlink r:id="rId186" ref="J70"/>
    <hyperlink r:id="rId187" ref="J71"/>
    <hyperlink r:id="rId188" ref="K71"/>
    <hyperlink r:id="rId189" ref="K72"/>
    <hyperlink r:id="rId190" ref="K73"/>
    <hyperlink r:id="rId191" ref="G74"/>
    <hyperlink r:id="rId192" ref="J74"/>
    <hyperlink r:id="rId193" ref="K74"/>
    <hyperlink r:id="rId194" ref="M74"/>
    <hyperlink r:id="rId195" ref="K75"/>
    <hyperlink r:id="rId196" ref="M75"/>
    <hyperlink r:id="rId197" ref="J76"/>
    <hyperlink r:id="rId198" ref="K76"/>
    <hyperlink r:id="rId199" ref="I77"/>
    <hyperlink r:id="rId200" ref="J77"/>
    <hyperlink r:id="rId201" ref="G78"/>
    <hyperlink r:id="rId202" ref="I78"/>
    <hyperlink r:id="rId203" ref="J78"/>
    <hyperlink r:id="rId204" ref="M78"/>
    <hyperlink r:id="rId205" ref="G79"/>
    <hyperlink r:id="rId206" ref="J79"/>
    <hyperlink r:id="rId207" ref="K79"/>
    <hyperlink r:id="rId208" ref="M79"/>
    <hyperlink r:id="rId209" ref="G80"/>
    <hyperlink r:id="rId210" ref="I80"/>
    <hyperlink r:id="rId211" ref="J80"/>
    <hyperlink r:id="rId212" ref="K80"/>
    <hyperlink r:id="rId213" ref="G81"/>
    <hyperlink r:id="rId214" ref="J81"/>
    <hyperlink r:id="rId215" ref="G82"/>
    <hyperlink r:id="rId216" ref="J82"/>
    <hyperlink r:id="rId217" ref="G83"/>
    <hyperlink r:id="rId218" ref="J83"/>
    <hyperlink r:id="rId219" ref="G84"/>
    <hyperlink r:id="rId220" location="course-view-182186" ref="I84"/>
    <hyperlink r:id="rId221" ref="J84"/>
    <hyperlink r:id="rId222" ref="G85"/>
    <hyperlink r:id="rId223" ref="I85"/>
    <hyperlink r:id="rId224" ref="J85"/>
    <hyperlink r:id="rId225" ref="J86"/>
    <hyperlink r:id="rId226" ref="G87"/>
    <hyperlink r:id="rId227" ref="J87"/>
    <hyperlink r:id="rId228" ref="K87"/>
    <hyperlink r:id="rId229" ref="G88"/>
    <hyperlink r:id="rId230" ref="J88"/>
    <hyperlink r:id="rId231" ref="M88"/>
    <hyperlink r:id="rId232" ref="G89"/>
    <hyperlink r:id="rId233" ref="J89"/>
    <hyperlink r:id="rId234" ref="K89"/>
    <hyperlink r:id="rId235" ref="G90"/>
    <hyperlink r:id="rId236" ref="J90"/>
    <hyperlink r:id="rId237" ref="K90"/>
    <hyperlink r:id="rId238" ref="J91"/>
    <hyperlink r:id="rId239" ref="K91"/>
    <hyperlink r:id="rId240" ref="G92"/>
    <hyperlink r:id="rId241" ref="J92"/>
    <hyperlink r:id="rId242" ref="G93"/>
    <hyperlink r:id="rId243" ref="J93"/>
    <hyperlink r:id="rId244" ref="K93"/>
    <hyperlink r:id="rId245" ref="G94"/>
    <hyperlink r:id="rId246" ref="J94"/>
    <hyperlink r:id="rId247" ref="G95"/>
    <hyperlink r:id="rId248" ref="J95"/>
    <hyperlink r:id="rId249" ref="G96"/>
    <hyperlink r:id="rId250" ref="J96"/>
    <hyperlink r:id="rId251" ref="G97"/>
    <hyperlink r:id="rId252" ref="J97"/>
    <hyperlink r:id="rId253" ref="K97"/>
    <hyperlink r:id="rId254" ref="G98"/>
    <hyperlink r:id="rId255" ref="J98"/>
    <hyperlink r:id="rId256" ref="G99"/>
    <hyperlink r:id="rId257" ref="J99"/>
    <hyperlink r:id="rId258" ref="G100"/>
    <hyperlink r:id="rId259" ref="K100"/>
    <hyperlink r:id="rId260" ref="G101"/>
    <hyperlink r:id="rId261" ref="J101"/>
    <hyperlink r:id="rId262" ref="G102"/>
    <hyperlink r:id="rId263" ref="J102"/>
    <hyperlink r:id="rId264" ref="K102"/>
    <hyperlink r:id="rId265" ref="G103"/>
    <hyperlink r:id="rId266" ref="J103"/>
    <hyperlink r:id="rId267" ref="K103"/>
    <hyperlink r:id="rId268" ref="G104"/>
    <hyperlink r:id="rId269" ref="J104"/>
    <hyperlink r:id="rId270" ref="K104"/>
    <hyperlink r:id="rId271" ref="G105"/>
    <hyperlink r:id="rId272" ref="J105"/>
    <hyperlink r:id="rId273" ref="K105"/>
    <hyperlink r:id="rId274" ref="G106"/>
    <hyperlink r:id="rId275" ref="J106"/>
    <hyperlink r:id="rId276" ref="K106"/>
    <hyperlink r:id="rId277" ref="G107"/>
    <hyperlink r:id="rId278" ref="J107"/>
    <hyperlink r:id="rId279" ref="K107"/>
    <hyperlink r:id="rId280" ref="K108"/>
    <hyperlink r:id="rId281" ref="G109"/>
    <hyperlink r:id="rId282" ref="I109"/>
    <hyperlink r:id="rId283" ref="J109"/>
    <hyperlink r:id="rId284" ref="G110"/>
    <hyperlink r:id="rId285" ref="I110"/>
    <hyperlink r:id="rId286" ref="J110"/>
    <hyperlink r:id="rId287" ref="G111"/>
    <hyperlink r:id="rId288" ref="K111"/>
    <hyperlink r:id="rId289" ref="G112"/>
    <hyperlink r:id="rId290" ref="I112"/>
    <hyperlink r:id="rId291" ref="J112"/>
    <hyperlink r:id="rId292" ref="K112"/>
    <hyperlink r:id="rId293" ref="G113"/>
    <hyperlink r:id="rId294" ref="I113"/>
    <hyperlink r:id="rId295" ref="J113"/>
    <hyperlink r:id="rId296" ref="G114"/>
    <hyperlink r:id="rId297" ref="J114"/>
    <hyperlink r:id="rId298" ref="K114"/>
    <hyperlink r:id="rId299" ref="M114"/>
    <hyperlink r:id="rId300" ref="G115"/>
    <hyperlink r:id="rId301" ref="I115"/>
    <hyperlink r:id="rId302" ref="J115"/>
    <hyperlink r:id="rId303" ref="M115"/>
    <hyperlink r:id="rId304" ref="G116"/>
    <hyperlink r:id="rId305" ref="I116"/>
    <hyperlink r:id="rId306" ref="J116"/>
    <hyperlink r:id="rId307" ref="K116"/>
    <hyperlink r:id="rId308" ref="G117"/>
    <hyperlink r:id="rId309" ref="J117"/>
    <hyperlink r:id="rId310" ref="K117"/>
    <hyperlink r:id="rId311" ref="J118"/>
    <hyperlink r:id="rId312" ref="J119"/>
    <hyperlink r:id="rId313" ref="K119"/>
    <hyperlink r:id="rId314" ref="G120"/>
    <hyperlink r:id="rId315" ref="I120"/>
    <hyperlink r:id="rId316" ref="J121"/>
    <hyperlink r:id="rId317" ref="G122"/>
    <hyperlink r:id="rId318" ref="J122"/>
    <hyperlink r:id="rId319" ref="G123"/>
    <hyperlink r:id="rId320" ref="I123"/>
    <hyperlink r:id="rId321" ref="J123"/>
    <hyperlink r:id="rId322" ref="K123"/>
    <hyperlink r:id="rId323" ref="G124"/>
    <hyperlink r:id="rId324" ref="I124"/>
    <hyperlink r:id="rId325" ref="J124"/>
    <hyperlink r:id="rId326" ref="G125"/>
    <hyperlink r:id="rId327" ref="J125"/>
    <hyperlink r:id="rId328" ref="M125"/>
    <hyperlink r:id="rId329" ref="G126"/>
    <hyperlink r:id="rId330" ref="I126"/>
    <hyperlink r:id="rId331" ref="J126"/>
    <hyperlink r:id="rId332" ref="G127"/>
    <hyperlink r:id="rId333" ref="J127"/>
    <hyperlink r:id="rId334" ref="M127"/>
    <hyperlink r:id="rId335" ref="G128"/>
    <hyperlink r:id="rId336" ref="I128"/>
    <hyperlink r:id="rId337" ref="J128"/>
    <hyperlink r:id="rId338" ref="K128"/>
    <hyperlink r:id="rId339" ref="L128"/>
    <hyperlink r:id="rId340" ref="M128"/>
    <hyperlink r:id="rId341" ref="G129"/>
    <hyperlink r:id="rId342" ref="J129"/>
    <hyperlink r:id="rId343" ref="K129"/>
    <hyperlink r:id="rId344" ref="G130"/>
    <hyperlink r:id="rId345" ref="K130"/>
    <hyperlink r:id="rId346" ref="G131"/>
    <hyperlink r:id="rId347" ref="J131"/>
    <hyperlink r:id="rId348" ref="K131"/>
    <hyperlink r:id="rId349" ref="L131"/>
    <hyperlink r:id="rId350" ref="G132"/>
    <hyperlink r:id="rId351" ref="I132"/>
    <hyperlink r:id="rId352" ref="K132"/>
    <hyperlink r:id="rId353" ref="G133"/>
    <hyperlink r:id="rId354" ref="I133"/>
    <hyperlink r:id="rId355" ref="K133"/>
    <hyperlink r:id="rId356" ref="M133"/>
    <hyperlink r:id="rId357" ref="G134"/>
    <hyperlink r:id="rId358" ref="I134"/>
    <hyperlink r:id="rId359" ref="J134"/>
    <hyperlink r:id="rId360" ref="K134"/>
    <hyperlink r:id="rId361" ref="G135"/>
    <hyperlink r:id="rId362" ref="I135"/>
    <hyperlink r:id="rId363" ref="K135"/>
    <hyperlink r:id="rId364" ref="G136"/>
    <hyperlink r:id="rId365" ref="J136"/>
    <hyperlink r:id="rId366" ref="G137"/>
    <hyperlink r:id="rId367" ref="I137"/>
    <hyperlink r:id="rId368" ref="J137"/>
    <hyperlink r:id="rId369" ref="K137"/>
    <hyperlink r:id="rId370" ref="G138"/>
    <hyperlink r:id="rId371" ref="I138"/>
    <hyperlink r:id="rId372" ref="J138"/>
    <hyperlink r:id="rId373" ref="K138"/>
    <hyperlink r:id="rId374" ref="G139"/>
    <hyperlink r:id="rId375" ref="I139"/>
    <hyperlink r:id="rId376" ref="J139"/>
    <hyperlink r:id="rId377" ref="K139"/>
    <hyperlink r:id="rId378" ref="G140"/>
    <hyperlink r:id="rId379" ref="I140"/>
    <hyperlink r:id="rId380" ref="J140"/>
    <hyperlink r:id="rId381" ref="K140"/>
    <hyperlink r:id="rId382" ref="G141"/>
    <hyperlink r:id="rId383" ref="I141"/>
    <hyperlink r:id="rId384" ref="J141"/>
    <hyperlink r:id="rId385" ref="K141"/>
    <hyperlink r:id="rId386" ref="I142"/>
    <hyperlink r:id="rId387" ref="J142"/>
    <hyperlink r:id="rId388" ref="K142"/>
    <hyperlink r:id="rId389" ref="G143"/>
    <hyperlink r:id="rId390" ref="J143"/>
    <hyperlink r:id="rId391" ref="K143"/>
    <hyperlink r:id="rId392" ref="G144"/>
    <hyperlink r:id="rId393" ref="I144"/>
    <hyperlink r:id="rId394" ref="K144"/>
    <hyperlink r:id="rId395" ref="G145"/>
    <hyperlink r:id="rId396" ref="J145"/>
    <hyperlink r:id="rId397" ref="K145"/>
    <hyperlink r:id="rId398" ref="M145"/>
    <hyperlink r:id="rId399" ref="G146"/>
    <hyperlink r:id="rId400" ref="I146"/>
    <hyperlink r:id="rId401" ref="J146"/>
    <hyperlink r:id="rId402" ref="G147"/>
    <hyperlink r:id="rId403" ref="I147"/>
    <hyperlink r:id="rId404" ref="J147"/>
    <hyperlink r:id="rId405" ref="K147"/>
    <hyperlink r:id="rId406" ref="G148"/>
    <hyperlink r:id="rId407" ref="I148"/>
    <hyperlink r:id="rId408" ref="K148"/>
    <hyperlink r:id="rId409" ref="G149"/>
    <hyperlink r:id="rId410" ref="I149"/>
    <hyperlink r:id="rId411" ref="J149"/>
    <hyperlink r:id="rId412" ref="K149"/>
    <hyperlink r:id="rId413" ref="G150"/>
    <hyperlink r:id="rId414" ref="I150"/>
    <hyperlink r:id="rId415" ref="K150"/>
    <hyperlink r:id="rId416" ref="G151"/>
    <hyperlink r:id="rId417" ref="I151"/>
    <hyperlink r:id="rId418" ref="K151"/>
    <hyperlink r:id="rId419" ref="G152"/>
    <hyperlink r:id="rId420" ref="I152"/>
    <hyperlink r:id="rId421" ref="K152"/>
    <hyperlink r:id="rId422" ref="G153"/>
    <hyperlink r:id="rId423" ref="I153"/>
    <hyperlink r:id="rId424" ref="K153"/>
    <hyperlink r:id="rId425" ref="G154"/>
    <hyperlink r:id="rId426" ref="K154"/>
    <hyperlink r:id="rId427" ref="G155"/>
    <hyperlink r:id="rId428" ref="I155"/>
    <hyperlink r:id="rId429" ref="J155"/>
    <hyperlink r:id="rId430" ref="K155"/>
    <hyperlink r:id="rId431" ref="G156"/>
    <hyperlink r:id="rId432" ref="K156"/>
    <hyperlink r:id="rId433" ref="G157"/>
    <hyperlink r:id="rId434" ref="K157"/>
    <hyperlink r:id="rId435" ref="I158"/>
    <hyperlink r:id="rId436" ref="J158"/>
    <hyperlink r:id="rId437" ref="L158"/>
    <hyperlink r:id="rId438" ref="G159"/>
    <hyperlink r:id="rId439" ref="I159"/>
    <hyperlink r:id="rId440" ref="K159"/>
    <hyperlink r:id="rId441" ref="G160"/>
    <hyperlink r:id="rId442" ref="I160"/>
    <hyperlink r:id="rId443" ref="K160"/>
    <hyperlink r:id="rId444" ref="G161"/>
    <hyperlink r:id="rId445" ref="I161"/>
    <hyperlink r:id="rId446" ref="K161"/>
    <hyperlink r:id="rId447" ref="G162"/>
    <hyperlink r:id="rId448" ref="I162"/>
    <hyperlink r:id="rId449" ref="K162"/>
    <hyperlink r:id="rId450" ref="G163"/>
    <hyperlink r:id="rId451" ref="I163"/>
    <hyperlink r:id="rId452" ref="K163"/>
    <hyperlink r:id="rId453" ref="G164"/>
    <hyperlink r:id="rId454" ref="I164"/>
    <hyperlink r:id="rId455" ref="K164"/>
    <hyperlink r:id="rId456" ref="G165"/>
    <hyperlink r:id="rId457" ref="I165"/>
    <hyperlink r:id="rId458" ref="J165"/>
    <hyperlink r:id="rId459" ref="G166"/>
    <hyperlink r:id="rId460" ref="I166"/>
    <hyperlink r:id="rId461" ref="M166"/>
    <hyperlink r:id="rId462" ref="G167"/>
    <hyperlink r:id="rId463" ref="J167"/>
    <hyperlink r:id="rId464" ref="G168"/>
    <hyperlink r:id="rId465" ref="K168"/>
    <hyperlink r:id="rId466" ref="G169"/>
    <hyperlink r:id="rId467" ref="I169"/>
    <hyperlink r:id="rId468" ref="J169"/>
    <hyperlink r:id="rId469" ref="K169"/>
    <hyperlink r:id="rId470" ref="G170"/>
    <hyperlink r:id="rId471" ref="J170"/>
    <hyperlink r:id="rId472" ref="M170"/>
    <hyperlink r:id="rId473" ref="G171"/>
    <hyperlink r:id="rId474" ref="J171"/>
    <hyperlink r:id="rId475" ref="K171"/>
    <hyperlink r:id="rId476" ref="M171"/>
    <hyperlink r:id="rId477" ref="G172"/>
    <hyperlink r:id="rId478" ref="M172"/>
    <hyperlink r:id="rId479" ref="G173"/>
    <hyperlink r:id="rId480" ref="I173"/>
    <hyperlink r:id="rId481" ref="J173"/>
    <hyperlink r:id="rId482" ref="G174"/>
    <hyperlink r:id="rId483" ref="I174"/>
    <hyperlink r:id="rId484" ref="M174"/>
    <hyperlink r:id="rId485" ref="G175"/>
    <hyperlink r:id="rId486" ref="I175"/>
    <hyperlink r:id="rId487" ref="J175"/>
    <hyperlink r:id="rId488" ref="K175"/>
    <hyperlink r:id="rId489" ref="M175"/>
    <hyperlink r:id="rId490" ref="G176"/>
    <hyperlink r:id="rId491" ref="G177"/>
    <hyperlink r:id="rId492" ref="I177"/>
    <hyperlink r:id="rId493" ref="J177"/>
    <hyperlink r:id="rId494" ref="M177"/>
    <hyperlink r:id="rId495" ref="G178"/>
    <hyperlink r:id="rId496" ref="K178"/>
    <hyperlink r:id="rId497" ref="G179"/>
    <hyperlink r:id="rId498" ref="K179"/>
    <hyperlink r:id="rId499" ref="G180"/>
    <hyperlink r:id="rId500" ref="J180"/>
    <hyperlink r:id="rId501" ref="K180"/>
    <hyperlink r:id="rId502" ref="M180"/>
    <hyperlink r:id="rId503" ref="G181"/>
    <hyperlink r:id="rId504" ref="I181"/>
    <hyperlink r:id="rId505" ref="J181"/>
    <hyperlink r:id="rId506" ref="K181"/>
    <hyperlink r:id="rId507" ref="G182"/>
    <hyperlink r:id="rId508" ref="I182"/>
    <hyperlink r:id="rId509" ref="K182"/>
    <hyperlink r:id="rId510" ref="G183"/>
    <hyperlink r:id="rId511" ref="I183"/>
    <hyperlink r:id="rId512" ref="J183"/>
    <hyperlink r:id="rId513" ref="K183"/>
    <hyperlink r:id="rId514" ref="G184"/>
    <hyperlink r:id="rId515" ref="K184"/>
    <hyperlink r:id="rId516" ref="G185"/>
    <hyperlink r:id="rId517" ref="J185"/>
    <hyperlink r:id="rId518" ref="G186"/>
    <hyperlink r:id="rId519" ref="I186"/>
    <hyperlink r:id="rId520" ref="K186"/>
    <hyperlink r:id="rId521" ref="G187"/>
    <hyperlink r:id="rId522" ref="J187"/>
    <hyperlink r:id="rId523" ref="K187"/>
    <hyperlink r:id="rId524" ref="G188"/>
    <hyperlink r:id="rId525" ref="I188"/>
    <hyperlink r:id="rId526" ref="J188"/>
    <hyperlink r:id="rId527" ref="K188"/>
    <hyperlink r:id="rId528" ref="G189"/>
    <hyperlink r:id="rId529" ref="I189"/>
    <hyperlink r:id="rId530" ref="J189"/>
    <hyperlink r:id="rId531" ref="K189"/>
    <hyperlink r:id="rId532" ref="G190"/>
    <hyperlink r:id="rId533" ref="J190"/>
    <hyperlink r:id="rId534" ref="K190"/>
    <hyperlink r:id="rId535" ref="G191"/>
    <hyperlink r:id="rId536" ref="I191"/>
    <hyperlink r:id="rId537" ref="J191"/>
    <hyperlink r:id="rId538" ref="K191"/>
    <hyperlink r:id="rId539" ref="G192"/>
    <hyperlink r:id="rId540" ref="K192"/>
    <hyperlink r:id="rId541" ref="M192"/>
    <hyperlink r:id="rId542" ref="G193"/>
    <hyperlink r:id="rId543" ref="I193"/>
    <hyperlink r:id="rId544" ref="K193"/>
    <hyperlink r:id="rId545" ref="M193"/>
    <hyperlink r:id="rId546" ref="G194"/>
    <hyperlink r:id="rId547" ref="I194"/>
    <hyperlink r:id="rId548" ref="K194"/>
    <hyperlink r:id="rId549" ref="G195"/>
    <hyperlink r:id="rId550" ref="I195"/>
    <hyperlink r:id="rId551" ref="J195"/>
    <hyperlink r:id="rId552" ref="M195"/>
    <hyperlink r:id="rId553" ref="G196"/>
    <hyperlink r:id="rId554" ref="I196"/>
    <hyperlink r:id="rId555" ref="J196"/>
    <hyperlink r:id="rId556" ref="G197"/>
    <hyperlink r:id="rId557" ref="I197"/>
    <hyperlink r:id="rId558" ref="J197"/>
    <hyperlink r:id="rId559" ref="K197"/>
    <hyperlink r:id="rId560" ref="G198"/>
    <hyperlink r:id="rId561" ref="I198"/>
    <hyperlink r:id="rId562" ref="J198"/>
    <hyperlink r:id="rId563" ref="K198"/>
    <hyperlink r:id="rId564" ref="M198"/>
    <hyperlink r:id="rId565" ref="G199"/>
    <hyperlink r:id="rId566" ref="I199"/>
    <hyperlink r:id="rId567" ref="K199"/>
    <hyperlink r:id="rId568" ref="G200"/>
    <hyperlink r:id="rId569" ref="I200"/>
    <hyperlink r:id="rId570" ref="K200"/>
    <hyperlink r:id="rId571" ref="G201"/>
    <hyperlink r:id="rId572" ref="I201"/>
    <hyperlink r:id="rId573" ref="J201"/>
    <hyperlink r:id="rId574" ref="G202"/>
    <hyperlink r:id="rId575" ref="I202"/>
    <hyperlink r:id="rId576" ref="G203"/>
    <hyperlink r:id="rId577" ref="I203"/>
    <hyperlink r:id="rId578" ref="M203"/>
    <hyperlink r:id="rId579" ref="G204"/>
    <hyperlink r:id="rId580" ref="I204"/>
    <hyperlink r:id="rId581" ref="J204"/>
    <hyperlink r:id="rId582" ref="M204"/>
    <hyperlink r:id="rId583" ref="G205"/>
    <hyperlink r:id="rId584" ref="I205"/>
    <hyperlink r:id="rId585" ref="J205"/>
    <hyperlink r:id="rId586" ref="G206"/>
    <hyperlink r:id="rId587" ref="J206"/>
    <hyperlink r:id="rId588" ref="G207"/>
    <hyperlink r:id="rId589" ref="J207"/>
    <hyperlink r:id="rId590" ref="G208"/>
    <hyperlink r:id="rId591" ref="I208"/>
    <hyperlink r:id="rId592" ref="G209"/>
    <hyperlink r:id="rId593" ref="I209"/>
    <hyperlink r:id="rId594" ref="G210"/>
    <hyperlink r:id="rId595" ref="K210"/>
    <hyperlink r:id="rId596" ref="G211"/>
    <hyperlink r:id="rId597" ref="K211"/>
    <hyperlink r:id="rId598" ref="G212"/>
    <hyperlink r:id="rId599" ref="K212"/>
    <hyperlink r:id="rId600" ref="G213"/>
    <hyperlink r:id="rId601" ref="I213"/>
    <hyperlink r:id="rId602" ref="J213"/>
    <hyperlink r:id="rId603" ref="K213"/>
    <hyperlink r:id="rId604" ref="G214"/>
    <hyperlink r:id="rId605" ref="K214"/>
    <hyperlink r:id="rId606" ref="G215"/>
    <hyperlink r:id="rId607" ref="J215"/>
    <hyperlink r:id="rId608" ref="G216"/>
    <hyperlink r:id="rId609" ref="I216"/>
    <hyperlink r:id="rId610" ref="J216"/>
    <hyperlink r:id="rId611" ref="G217"/>
    <hyperlink r:id="rId612" ref="I217"/>
    <hyperlink r:id="rId613" ref="J217"/>
    <hyperlink r:id="rId614" ref="G218"/>
    <hyperlink r:id="rId615" ref="I218"/>
    <hyperlink r:id="rId616" ref="J218"/>
    <hyperlink r:id="rId617" ref="G219"/>
    <hyperlink r:id="rId618" ref="J219"/>
    <hyperlink r:id="rId619" ref="G220"/>
    <hyperlink r:id="rId620" ref="I220"/>
    <hyperlink r:id="rId621" ref="J220"/>
    <hyperlink r:id="rId622" ref="G221"/>
    <hyperlink r:id="rId623" ref="I221"/>
    <hyperlink r:id="rId624" ref="K221"/>
    <hyperlink r:id="rId625" ref="G222"/>
    <hyperlink r:id="rId626" ref="J222"/>
    <hyperlink r:id="rId627" ref="G223"/>
    <hyperlink r:id="rId628" ref="I223"/>
    <hyperlink r:id="rId629" ref="J223"/>
    <hyperlink r:id="rId630" ref="G224"/>
    <hyperlink r:id="rId631" ref="I224"/>
    <hyperlink r:id="rId632" ref="J224"/>
    <hyperlink r:id="rId633" ref="M224"/>
    <hyperlink r:id="rId634" ref="G225"/>
    <hyperlink r:id="rId635" ref="J225"/>
    <hyperlink r:id="rId636" ref="K225"/>
    <hyperlink r:id="rId637" ref="G226"/>
    <hyperlink r:id="rId638" ref="I226"/>
    <hyperlink r:id="rId639" ref="G227"/>
    <hyperlink r:id="rId640" ref="I227"/>
    <hyperlink r:id="rId641" ref="J227"/>
    <hyperlink r:id="rId642" ref="G228"/>
    <hyperlink r:id="rId643" ref="J228"/>
    <hyperlink r:id="rId644" ref="K228"/>
    <hyperlink r:id="rId645" ref="G229"/>
    <hyperlink r:id="rId646" ref="I229"/>
    <hyperlink r:id="rId647" ref="J229"/>
    <hyperlink r:id="rId648" ref="G230"/>
    <hyperlink r:id="rId649" ref="I230"/>
    <hyperlink r:id="rId650" ref="K230"/>
    <hyperlink r:id="rId651" ref="G231"/>
    <hyperlink r:id="rId652" ref="K231"/>
    <hyperlink r:id="rId653" ref="G232"/>
    <hyperlink r:id="rId654" ref="I232"/>
    <hyperlink r:id="rId655" ref="J232"/>
    <hyperlink r:id="rId656" ref="G233"/>
    <hyperlink r:id="rId657" ref="J233"/>
    <hyperlink r:id="rId658" ref="G234"/>
    <hyperlink r:id="rId659" ref="J234"/>
    <hyperlink r:id="rId660" ref="M234"/>
    <hyperlink r:id="rId661" ref="G235"/>
    <hyperlink r:id="rId662" ref="I235"/>
    <hyperlink r:id="rId663" ref="J235"/>
    <hyperlink r:id="rId664" ref="G236"/>
    <hyperlink r:id="rId665" ref="J236"/>
    <hyperlink r:id="rId666" ref="G237"/>
    <hyperlink r:id="rId667" ref="I237"/>
    <hyperlink r:id="rId668" ref="J237"/>
    <hyperlink r:id="rId669" ref="K237"/>
    <hyperlink r:id="rId670" ref="M237"/>
    <hyperlink r:id="rId671" ref="G238"/>
    <hyperlink r:id="rId672" ref="J238"/>
    <hyperlink r:id="rId673" ref="K238"/>
    <hyperlink r:id="rId674" ref="G239"/>
    <hyperlink r:id="rId675" ref="J239"/>
    <hyperlink r:id="rId676" ref="G240"/>
    <hyperlink r:id="rId677" ref="J240"/>
    <hyperlink r:id="rId678" ref="G241"/>
    <hyperlink r:id="rId679" ref="K241"/>
    <hyperlink r:id="rId680" ref="G242"/>
    <hyperlink r:id="rId681" ref="J242"/>
    <hyperlink r:id="rId682" ref="G243"/>
    <hyperlink r:id="rId683" ref="K243"/>
    <hyperlink r:id="rId684" ref="G244"/>
    <hyperlink r:id="rId685" ref="G245"/>
    <hyperlink r:id="rId686" ref="I245"/>
    <hyperlink r:id="rId687" ref="G246"/>
    <hyperlink r:id="rId688" ref="K246"/>
    <hyperlink r:id="rId689" ref="G247"/>
    <hyperlink r:id="rId690" ref="J247"/>
    <hyperlink r:id="rId691" ref="G248"/>
    <hyperlink r:id="rId692" ref="J248"/>
    <hyperlink r:id="rId693" ref="K248"/>
    <hyperlink r:id="rId694" ref="G249"/>
    <hyperlink r:id="rId695" ref="K249"/>
    <hyperlink r:id="rId696" ref="G250"/>
    <hyperlink r:id="rId697" ref="J250"/>
    <hyperlink r:id="rId698" ref="G251"/>
    <hyperlink r:id="rId699" ref="J251"/>
    <hyperlink r:id="rId700" ref="G252"/>
    <hyperlink r:id="rId701" ref="J252"/>
    <hyperlink r:id="rId702" ref="G253"/>
    <hyperlink r:id="rId703" ref="J253"/>
    <hyperlink r:id="rId704" ref="F254"/>
    <hyperlink r:id="rId705" ref="G254"/>
    <hyperlink r:id="rId706" ref="J254"/>
    <hyperlink r:id="rId707" ref="G255"/>
    <hyperlink r:id="rId708" ref="J255"/>
    <hyperlink r:id="rId709" ref="G256"/>
    <hyperlink r:id="rId710" ref="I256"/>
    <hyperlink r:id="rId711" ref="J256"/>
    <hyperlink r:id="rId712" ref="G257"/>
    <hyperlink r:id="rId713" ref="I257"/>
    <hyperlink r:id="rId714" ref="J257"/>
    <hyperlink r:id="rId715" ref="G258"/>
    <hyperlink r:id="rId716" ref="I258"/>
    <hyperlink r:id="rId717" ref="J258"/>
    <hyperlink r:id="rId718" ref="I259"/>
    <hyperlink r:id="rId719" ref="J259"/>
    <hyperlink r:id="rId720" ref="K259"/>
    <hyperlink r:id="rId721" ref="G260"/>
    <hyperlink r:id="rId722" ref="I260"/>
    <hyperlink r:id="rId723" ref="K260"/>
    <hyperlink r:id="rId724" ref="G261"/>
    <hyperlink r:id="rId725" ref="I261"/>
    <hyperlink r:id="rId726" ref="J261"/>
    <hyperlink r:id="rId727" ref="G262"/>
    <hyperlink r:id="rId728" ref="G263"/>
    <hyperlink r:id="rId729" ref="I263"/>
    <hyperlink r:id="rId730" ref="K263"/>
    <hyperlink r:id="rId731" ref="G264"/>
    <hyperlink r:id="rId732" ref="I264"/>
    <hyperlink r:id="rId733" ref="J264"/>
    <hyperlink r:id="rId734" ref="K264"/>
    <hyperlink r:id="rId735" ref="G265"/>
    <hyperlink r:id="rId736" ref="I265"/>
    <hyperlink r:id="rId737" ref="J265"/>
    <hyperlink r:id="rId738" ref="K265"/>
    <hyperlink r:id="rId739" ref="G266"/>
    <hyperlink r:id="rId740" ref="K266"/>
    <hyperlink r:id="rId741" ref="G267"/>
    <hyperlink r:id="rId742" ref="J267"/>
    <hyperlink r:id="rId743" ref="G268"/>
    <hyperlink r:id="rId744" ref="J268"/>
    <hyperlink r:id="rId745" ref="G269"/>
    <hyperlink r:id="rId746" ref="I269"/>
    <hyperlink r:id="rId747" ref="J269"/>
    <hyperlink r:id="rId748" ref="K269"/>
    <hyperlink r:id="rId749" ref="G270"/>
    <hyperlink r:id="rId750" ref="I270"/>
    <hyperlink r:id="rId751" ref="J270"/>
    <hyperlink r:id="rId752" ref="K270"/>
    <hyperlink r:id="rId753" ref="G271"/>
    <hyperlink r:id="rId754" ref="K271"/>
    <hyperlink r:id="rId755" ref="G272"/>
    <hyperlink r:id="rId756" ref="I272"/>
    <hyperlink r:id="rId757" ref="J272"/>
    <hyperlink r:id="rId758" ref="G273"/>
    <hyperlink r:id="rId759" ref="I273"/>
    <hyperlink r:id="rId760" ref="J273"/>
    <hyperlink r:id="rId761" ref="K273"/>
    <hyperlink r:id="rId762" ref="G274"/>
    <hyperlink r:id="rId763" ref="I274"/>
    <hyperlink r:id="rId764" ref="J274"/>
    <hyperlink r:id="rId765" ref="K274"/>
    <hyperlink r:id="rId766" ref="G275"/>
    <hyperlink r:id="rId767" ref="K275"/>
    <hyperlink r:id="rId768" ref="G276"/>
    <hyperlink r:id="rId769" ref="I276"/>
    <hyperlink r:id="rId770" ref="J276"/>
    <hyperlink r:id="rId771" ref="G277"/>
    <hyperlink r:id="rId772" ref="I277"/>
    <hyperlink r:id="rId773" ref="K277"/>
    <hyperlink r:id="rId774" ref="G278"/>
    <hyperlink r:id="rId775" ref="I278"/>
    <hyperlink r:id="rId776" ref="J278"/>
    <hyperlink r:id="rId777" ref="K278"/>
    <hyperlink r:id="rId778" ref="G279"/>
    <hyperlink r:id="rId779" ref="I279"/>
    <hyperlink r:id="rId780" ref="J279"/>
    <hyperlink r:id="rId781" ref="M279"/>
    <hyperlink r:id="rId782" ref="G280"/>
    <hyperlink r:id="rId783" ref="J280"/>
    <hyperlink r:id="rId784" ref="K280"/>
    <hyperlink r:id="rId785" ref="G281"/>
    <hyperlink r:id="rId786" ref="J281"/>
    <hyperlink r:id="rId787" ref="G282"/>
    <hyperlink r:id="rId788" ref="I282"/>
    <hyperlink r:id="rId789" ref="J282"/>
    <hyperlink r:id="rId790" ref="K282"/>
    <hyperlink r:id="rId791" ref="G283"/>
    <hyperlink r:id="rId792" ref="I283"/>
    <hyperlink r:id="rId793" ref="J283"/>
    <hyperlink r:id="rId794" ref="G284"/>
    <hyperlink r:id="rId795" ref="I284"/>
    <hyperlink r:id="rId796" ref="J284"/>
    <hyperlink r:id="rId797" ref="G285"/>
    <hyperlink r:id="rId798" ref="I285"/>
    <hyperlink r:id="rId799" ref="J285"/>
    <hyperlink r:id="rId800" ref="K285"/>
    <hyperlink r:id="rId801" ref="G286"/>
    <hyperlink r:id="rId802" ref="I286"/>
    <hyperlink r:id="rId803" ref="J286"/>
    <hyperlink r:id="rId804" ref="G287"/>
    <hyperlink r:id="rId805" ref="I287"/>
    <hyperlink r:id="rId806" ref="J287"/>
    <hyperlink r:id="rId807" ref="G288"/>
    <hyperlink r:id="rId808" ref="I288"/>
    <hyperlink r:id="rId809" ref="J288"/>
    <hyperlink r:id="rId810" ref="K288"/>
    <hyperlink r:id="rId811" ref="G289"/>
    <hyperlink r:id="rId812" ref="J289"/>
    <hyperlink r:id="rId813" ref="G290"/>
    <hyperlink r:id="rId814" ref="J290"/>
    <hyperlink r:id="rId815" ref="G291"/>
    <hyperlink r:id="rId816" ref="I291"/>
    <hyperlink r:id="rId817" ref="J291"/>
    <hyperlink r:id="rId818" ref="G292"/>
    <hyperlink r:id="rId819" ref="I292"/>
    <hyperlink r:id="rId820" ref="K292"/>
    <hyperlink r:id="rId821" ref="G293"/>
    <hyperlink r:id="rId822" ref="I293"/>
    <hyperlink r:id="rId823" ref="J293"/>
    <hyperlink r:id="rId824" ref="K293"/>
    <hyperlink r:id="rId825" ref="G294"/>
    <hyperlink r:id="rId826" ref="I294"/>
    <hyperlink r:id="rId827" ref="J294"/>
    <hyperlink r:id="rId828" ref="G295"/>
    <hyperlink r:id="rId829" ref="I295"/>
    <hyperlink r:id="rId830" ref="J295"/>
    <hyperlink r:id="rId831" ref="G296"/>
    <hyperlink r:id="rId832" ref="J296"/>
    <hyperlink r:id="rId833" ref="G297"/>
    <hyperlink r:id="rId834" ref="I297"/>
    <hyperlink r:id="rId835" ref="K297"/>
    <hyperlink r:id="rId836" ref="G298"/>
    <hyperlink r:id="rId837" ref="I298"/>
    <hyperlink r:id="rId838" ref="J298"/>
    <hyperlink r:id="rId839" ref="K298"/>
    <hyperlink r:id="rId840" ref="G299"/>
    <hyperlink r:id="rId841" ref="J299"/>
    <hyperlink r:id="rId842" ref="G300"/>
    <hyperlink r:id="rId843" ref="I300"/>
    <hyperlink r:id="rId844" ref="J300"/>
    <hyperlink r:id="rId845" ref="M300"/>
    <hyperlink r:id="rId846" ref="G301"/>
    <hyperlink r:id="rId847" ref="I301"/>
    <hyperlink r:id="rId848" ref="J301"/>
    <hyperlink r:id="rId849" ref="G302"/>
    <hyperlink r:id="rId850" ref="I302"/>
    <hyperlink r:id="rId851" ref="J302"/>
    <hyperlink r:id="rId852" ref="G303"/>
    <hyperlink r:id="rId853" ref="I303"/>
    <hyperlink r:id="rId854" ref="J303"/>
    <hyperlink r:id="rId855" ref="K303"/>
    <hyperlink r:id="rId856" ref="G304"/>
    <hyperlink r:id="rId857" ref="I304"/>
    <hyperlink r:id="rId858" ref="J304"/>
    <hyperlink r:id="rId859" ref="G305"/>
    <hyperlink r:id="rId860" ref="G306"/>
    <hyperlink r:id="rId861" ref="I306"/>
    <hyperlink r:id="rId862" ref="K306"/>
    <hyperlink r:id="rId863" ref="G307"/>
    <hyperlink r:id="rId864" ref="I307"/>
    <hyperlink r:id="rId865" ref="K307"/>
    <hyperlink r:id="rId866" location="194" ref="G308"/>
    <hyperlink r:id="rId867" ref="I308"/>
    <hyperlink r:id="rId868" ref="G309"/>
    <hyperlink r:id="rId869" ref="I309"/>
    <hyperlink r:id="rId870" ref="G310"/>
    <hyperlink r:id="rId871" ref="I310"/>
    <hyperlink r:id="rId872" ref="G311"/>
    <hyperlink r:id="rId873" ref="I311"/>
    <hyperlink r:id="rId874" ref="G312"/>
    <hyperlink r:id="rId875" ref="I312"/>
    <hyperlink r:id="rId876" ref="G313"/>
    <hyperlink r:id="rId877" ref="I313"/>
    <hyperlink r:id="rId878" ref="G314"/>
    <hyperlink r:id="rId879" ref="I314"/>
    <hyperlink r:id="rId880" ref="G315"/>
    <hyperlink r:id="rId881" ref="I315"/>
    <hyperlink r:id="rId882" ref="G316"/>
    <hyperlink r:id="rId883" ref="J316"/>
    <hyperlink r:id="rId884" ref="K316"/>
    <hyperlink r:id="rId885" ref="G317"/>
    <hyperlink r:id="rId886" ref="I317"/>
    <hyperlink r:id="rId887" ref="J317"/>
    <hyperlink r:id="rId888" ref="K317"/>
    <hyperlink r:id="rId889" ref="G318"/>
    <hyperlink r:id="rId890" ref="J318"/>
    <hyperlink r:id="rId891" ref="G319"/>
    <hyperlink r:id="rId892" ref="I319"/>
    <hyperlink r:id="rId893" ref="J319"/>
    <hyperlink r:id="rId894" ref="G320"/>
    <hyperlink r:id="rId895" ref="I320"/>
    <hyperlink r:id="rId896" ref="J320"/>
    <hyperlink r:id="rId897" ref="K320"/>
    <hyperlink r:id="rId898" ref="G321"/>
    <hyperlink r:id="rId899" ref="J321"/>
    <hyperlink r:id="rId900" ref="K321"/>
    <hyperlink r:id="rId901" ref="M321"/>
    <hyperlink r:id="rId902" ref="G322"/>
    <hyperlink r:id="rId903" ref="I322"/>
    <hyperlink r:id="rId904" ref="J322"/>
    <hyperlink r:id="rId905" ref="G323"/>
    <hyperlink r:id="rId906" ref="I323"/>
    <hyperlink r:id="rId907" ref="J323"/>
    <hyperlink r:id="rId908" ref="G324"/>
    <hyperlink r:id="rId909" ref="J324"/>
    <hyperlink r:id="rId910" ref="K324"/>
    <hyperlink r:id="rId911" ref="G325"/>
    <hyperlink r:id="rId912" ref="I325"/>
    <hyperlink r:id="rId913" ref="J325"/>
    <hyperlink r:id="rId914" ref="G326"/>
    <hyperlink r:id="rId915" ref="J326"/>
    <hyperlink r:id="rId916" ref="K326"/>
    <hyperlink r:id="rId917" ref="G327"/>
    <hyperlink r:id="rId918" ref="I327"/>
    <hyperlink r:id="rId919" ref="J327"/>
    <hyperlink r:id="rId920" ref="K327"/>
    <hyperlink r:id="rId921" ref="G328"/>
    <hyperlink r:id="rId922" ref="I328"/>
    <hyperlink r:id="rId923" ref="G329"/>
    <hyperlink r:id="rId924" ref="I329"/>
    <hyperlink r:id="rId925" ref="J329"/>
    <hyperlink r:id="rId926" ref="K329"/>
    <hyperlink r:id="rId927" ref="G330"/>
    <hyperlink r:id="rId928" ref="I330"/>
    <hyperlink r:id="rId929" ref="J330"/>
    <hyperlink r:id="rId930" ref="G331"/>
    <hyperlink r:id="rId931" ref="I331"/>
    <hyperlink r:id="rId932" ref="J331"/>
    <hyperlink r:id="rId933" ref="G332"/>
    <hyperlink r:id="rId934" ref="J332"/>
    <hyperlink r:id="rId935" ref="G333"/>
    <hyperlink r:id="rId936" ref="J333"/>
    <hyperlink r:id="rId937" ref="G334"/>
    <hyperlink r:id="rId938" ref="I334"/>
    <hyperlink r:id="rId939" ref="J334"/>
    <hyperlink r:id="rId940" ref="K334"/>
    <hyperlink r:id="rId941" ref="M334"/>
    <hyperlink r:id="rId942" ref="G335"/>
    <hyperlink r:id="rId943" ref="K335"/>
    <hyperlink r:id="rId944" ref="G336"/>
    <hyperlink r:id="rId945" ref="K336"/>
    <hyperlink r:id="rId946" ref="G337"/>
    <hyperlink r:id="rId947" ref="J337"/>
    <hyperlink r:id="rId948" ref="K337"/>
    <hyperlink r:id="rId949" ref="M337"/>
    <hyperlink r:id="rId950" ref="G338"/>
    <hyperlink r:id="rId951" ref="I338"/>
    <hyperlink r:id="rId952" ref="J338"/>
    <hyperlink r:id="rId953" ref="K338"/>
    <hyperlink r:id="rId954" ref="G339"/>
    <hyperlink r:id="rId955" ref="I339"/>
    <hyperlink r:id="rId956" ref="J339"/>
    <hyperlink r:id="rId957" ref="K339"/>
    <hyperlink r:id="rId958" ref="G340"/>
    <hyperlink r:id="rId959" ref="I340"/>
    <hyperlink r:id="rId960" ref="J340"/>
    <hyperlink r:id="rId961" ref="K340"/>
    <hyperlink r:id="rId962" ref="G341"/>
    <hyperlink r:id="rId963" ref="I341"/>
    <hyperlink r:id="rId964" ref="J341"/>
    <hyperlink r:id="rId965" ref="G342"/>
    <hyperlink r:id="rId966" ref="J342"/>
    <hyperlink r:id="rId967" ref="G344"/>
    <hyperlink r:id="rId968" ref="J344"/>
    <hyperlink r:id="rId969" ref="K344"/>
    <hyperlink r:id="rId970" ref="G345"/>
    <hyperlink r:id="rId971" ref="J345"/>
    <hyperlink r:id="rId972" ref="K345"/>
    <hyperlink r:id="rId973" ref="G346"/>
    <hyperlink r:id="rId974" ref="I346"/>
    <hyperlink r:id="rId975" ref="J346"/>
    <hyperlink r:id="rId976" ref="K346"/>
    <hyperlink r:id="rId977" ref="M346"/>
    <hyperlink r:id="rId978" ref="G347"/>
    <hyperlink r:id="rId979" ref="K347"/>
    <hyperlink r:id="rId980" ref="G348"/>
    <hyperlink r:id="rId981" ref="J348"/>
    <hyperlink r:id="rId982" ref="K348"/>
    <hyperlink r:id="rId983" ref="G349"/>
    <hyperlink r:id="rId984" ref="I349"/>
    <hyperlink r:id="rId985" ref="K349"/>
    <hyperlink r:id="rId986" ref="G350"/>
    <hyperlink r:id="rId987" ref="I350"/>
    <hyperlink r:id="rId988" ref="K350"/>
    <hyperlink r:id="rId989" ref="G351"/>
    <hyperlink r:id="rId990" ref="J351"/>
    <hyperlink r:id="rId991" ref="K351"/>
    <hyperlink r:id="rId992" ref="G352"/>
    <hyperlink r:id="rId993" ref="I352"/>
    <hyperlink r:id="rId994" ref="G353"/>
    <hyperlink r:id="rId995" ref="K353"/>
    <hyperlink r:id="rId996" ref="G355"/>
    <hyperlink r:id="rId997" ref="I355"/>
    <hyperlink r:id="rId998" ref="G356"/>
    <hyperlink r:id="rId999" ref="I356"/>
    <hyperlink r:id="rId1000" ref="M356"/>
    <hyperlink r:id="rId1001" ref="G357"/>
    <hyperlink r:id="rId1002" ref="I357"/>
    <hyperlink r:id="rId1003" ref="K357"/>
    <hyperlink r:id="rId1004" ref="G358"/>
    <hyperlink r:id="rId1005" ref="J358"/>
    <hyperlink r:id="rId1006" ref="K358"/>
    <hyperlink r:id="rId1007" ref="G359"/>
    <hyperlink r:id="rId1008" ref="I359"/>
    <hyperlink r:id="rId1009" ref="K359"/>
    <hyperlink r:id="rId1010" ref="G360"/>
    <hyperlink r:id="rId1011" ref="I360"/>
    <hyperlink r:id="rId1012" ref="G361"/>
    <hyperlink r:id="rId1013" ref="I361"/>
    <hyperlink r:id="rId1014" ref="K361"/>
    <hyperlink r:id="rId1015" ref="G362"/>
    <hyperlink r:id="rId1016" ref="I362"/>
    <hyperlink r:id="rId1017" ref="K362"/>
    <hyperlink r:id="rId1018" ref="G363"/>
    <hyperlink r:id="rId1019" ref="I363"/>
    <hyperlink r:id="rId1020" ref="G364"/>
    <hyperlink r:id="rId1021" ref="J364"/>
    <hyperlink r:id="rId1022" ref="G365"/>
    <hyperlink r:id="rId1023" ref="J365"/>
    <hyperlink r:id="rId1024" ref="G366"/>
    <hyperlink r:id="rId1025" ref="J366"/>
    <hyperlink r:id="rId1026" ref="K366"/>
    <hyperlink r:id="rId1027" ref="G367"/>
    <hyperlink r:id="rId1028" ref="J367"/>
    <hyperlink r:id="rId1029" ref="G368"/>
    <hyperlink r:id="rId1030" ref="I368"/>
    <hyperlink r:id="rId1031" ref="J368"/>
    <hyperlink r:id="rId1032" ref="G369"/>
    <hyperlink r:id="rId1033" ref="I369"/>
    <hyperlink r:id="rId1034" ref="J369"/>
    <hyperlink r:id="rId1035" ref="K369"/>
    <hyperlink r:id="rId1036" ref="G370"/>
    <hyperlink r:id="rId1037" ref="I370"/>
    <hyperlink r:id="rId1038" ref="J370"/>
    <hyperlink r:id="rId1039" ref="G371"/>
    <hyperlink r:id="rId1040" ref="I371"/>
    <hyperlink r:id="rId1041" ref="J371"/>
    <hyperlink r:id="rId1042" ref="G372"/>
    <hyperlink r:id="rId1043" ref="I372"/>
    <hyperlink r:id="rId1044" ref="J372"/>
    <hyperlink r:id="rId1045" ref="K372"/>
    <hyperlink r:id="rId1046" ref="M372"/>
    <hyperlink r:id="rId1047" ref="G373"/>
    <hyperlink r:id="rId1048" ref="I373"/>
    <hyperlink r:id="rId1049" ref="J373"/>
    <hyperlink r:id="rId1050" ref="K373"/>
    <hyperlink r:id="rId1051" ref="F374"/>
    <hyperlink r:id="rId1052" ref="G374"/>
    <hyperlink r:id="rId1053" ref="I374"/>
    <hyperlink r:id="rId1054" ref="J374"/>
    <hyperlink r:id="rId1055" ref="K374"/>
    <hyperlink r:id="rId1056" ref="G375"/>
    <hyperlink r:id="rId1057" ref="I375"/>
    <hyperlink r:id="rId1058" ref="J375"/>
    <hyperlink r:id="rId1059" ref="G376"/>
    <hyperlink r:id="rId1060" ref="J376"/>
    <hyperlink r:id="rId1061" ref="G377"/>
    <hyperlink r:id="rId1062" ref="J377"/>
    <hyperlink r:id="rId1063" ref="G378"/>
    <hyperlink r:id="rId1064" ref="J378"/>
    <hyperlink r:id="rId1065" ref="G379"/>
    <hyperlink r:id="rId1066" ref="J379"/>
    <hyperlink r:id="rId1067" ref="G380"/>
    <hyperlink r:id="rId1068" ref="I380"/>
    <hyperlink r:id="rId1069" ref="J380"/>
    <hyperlink r:id="rId1070" ref="G381"/>
    <hyperlink r:id="rId1071" ref="I381"/>
    <hyperlink r:id="rId1072" ref="J381"/>
    <hyperlink r:id="rId1073" ref="K381"/>
    <hyperlink r:id="rId1074" ref="G382"/>
    <hyperlink r:id="rId1075" ref="J382"/>
    <hyperlink r:id="rId1076" ref="L382"/>
    <hyperlink r:id="rId1077" ref="G383"/>
    <hyperlink r:id="rId1078" ref="I383"/>
    <hyperlink r:id="rId1079" ref="J383"/>
    <hyperlink r:id="rId1080" ref="G384"/>
    <hyperlink r:id="rId1081" ref="J384"/>
    <hyperlink r:id="rId1082" ref="K384"/>
    <hyperlink r:id="rId1083" ref="G385"/>
    <hyperlink r:id="rId1084" ref="I385"/>
    <hyperlink r:id="rId1085" ref="J385"/>
    <hyperlink r:id="rId1086" ref="G386"/>
    <hyperlink r:id="rId1087" ref="I386"/>
    <hyperlink r:id="rId1088" ref="J386"/>
    <hyperlink r:id="rId1089" ref="G387"/>
    <hyperlink r:id="rId1090" ref="I387"/>
    <hyperlink r:id="rId1091" ref="J387"/>
    <hyperlink r:id="rId1092" ref="K387"/>
    <hyperlink r:id="rId1093" ref="G388"/>
    <hyperlink r:id="rId1094" ref="I388"/>
    <hyperlink r:id="rId1095" ref="J388"/>
    <hyperlink r:id="rId1096" ref="K388"/>
    <hyperlink r:id="rId1097" ref="G389"/>
    <hyperlink r:id="rId1098" ref="J389"/>
    <hyperlink r:id="rId1099" ref="K389"/>
    <hyperlink r:id="rId1100" ref="G390"/>
    <hyperlink r:id="rId1101" ref="I390"/>
    <hyperlink r:id="rId1102" ref="J390"/>
    <hyperlink r:id="rId1103" ref="K390"/>
    <hyperlink r:id="rId1104" ref="L390"/>
    <hyperlink r:id="rId1105" ref="G391"/>
    <hyperlink r:id="rId1106" ref="I391"/>
    <hyperlink r:id="rId1107" ref="K391"/>
    <hyperlink r:id="rId1108" ref="G392"/>
    <hyperlink r:id="rId1109" ref="I392"/>
    <hyperlink r:id="rId1110" ref="J392"/>
    <hyperlink r:id="rId1111" ref="K392"/>
    <hyperlink r:id="rId1112" ref="G393"/>
    <hyperlink r:id="rId1113" ref="I393"/>
    <hyperlink r:id="rId1114" ref="J393"/>
    <hyperlink r:id="rId1115" ref="K393"/>
    <hyperlink r:id="rId1116" ref="G394"/>
    <hyperlink r:id="rId1117" ref="I394"/>
    <hyperlink r:id="rId1118" ref="K394"/>
    <hyperlink r:id="rId1119" ref="G395"/>
    <hyperlink r:id="rId1120" ref="I395"/>
    <hyperlink r:id="rId1121" ref="J395"/>
    <hyperlink r:id="rId1122" ref="K395"/>
    <hyperlink r:id="rId1123" ref="G396"/>
    <hyperlink r:id="rId1124" ref="J396"/>
    <hyperlink r:id="rId1125" ref="G397"/>
    <hyperlink r:id="rId1126" ref="J397"/>
    <hyperlink r:id="rId1127" ref="G398"/>
    <hyperlink r:id="rId1128" ref="I398"/>
    <hyperlink r:id="rId1129" ref="J398"/>
    <hyperlink r:id="rId1130" ref="G399"/>
    <hyperlink r:id="rId1131" ref="I399"/>
    <hyperlink r:id="rId1132" ref="G400"/>
    <hyperlink r:id="rId1133" ref="J400"/>
    <hyperlink r:id="rId1134" ref="G401"/>
    <hyperlink r:id="rId1135" ref="J401"/>
    <hyperlink r:id="rId1136" ref="K401"/>
    <hyperlink r:id="rId1137" ref="G402"/>
    <hyperlink r:id="rId1138" ref="I402"/>
    <hyperlink r:id="rId1139" ref="J402"/>
    <hyperlink r:id="rId1140" ref="K402"/>
    <hyperlink r:id="rId1141" ref="G403"/>
    <hyperlink r:id="rId1142" ref="J403"/>
    <hyperlink r:id="rId1143" ref="L403"/>
    <hyperlink r:id="rId1144" ref="G404"/>
    <hyperlink r:id="rId1145" ref="J404"/>
    <hyperlink r:id="rId1146" ref="L404"/>
    <hyperlink r:id="rId1147" ref="G405"/>
    <hyperlink r:id="rId1148" location="course-view-55660" ref="I405"/>
    <hyperlink r:id="rId1149" ref="J405"/>
    <hyperlink r:id="rId1150" ref="K405"/>
    <hyperlink r:id="rId1151" ref="G406"/>
    <hyperlink r:id="rId1152" ref="K406"/>
    <hyperlink r:id="rId1153" ref="G407"/>
    <hyperlink r:id="rId1154" ref="I407"/>
    <hyperlink r:id="rId1155" ref="J407"/>
    <hyperlink r:id="rId1156" ref="K407"/>
    <hyperlink r:id="rId1157" ref="G408"/>
    <hyperlink r:id="rId1158" ref="J408"/>
    <hyperlink r:id="rId1159" ref="G409"/>
    <hyperlink r:id="rId1160" ref="J409"/>
    <hyperlink r:id="rId1161" ref="G410"/>
    <hyperlink r:id="rId1162" ref="J410"/>
    <hyperlink r:id="rId1163" ref="G411"/>
    <hyperlink r:id="rId1164" ref="I411"/>
    <hyperlink r:id="rId1165" ref="J411"/>
    <hyperlink r:id="rId1166" ref="G412"/>
    <hyperlink r:id="rId1167" ref="I412"/>
    <hyperlink r:id="rId1168" ref="J412"/>
    <hyperlink r:id="rId1169" ref="L412"/>
    <hyperlink r:id="rId1170" ref="G413"/>
    <hyperlink r:id="rId1171" ref="K413"/>
    <hyperlink r:id="rId1172" ref="M413"/>
    <hyperlink r:id="rId1173" location="194" ref="G414"/>
    <hyperlink r:id="rId1174" ref="G415"/>
    <hyperlink r:id="rId1175" ref="J415"/>
    <hyperlink r:id="rId1176" ref="G416"/>
    <hyperlink r:id="rId1177" ref="J416"/>
    <hyperlink r:id="rId1178" ref="G417"/>
    <hyperlink r:id="rId1179" ref="K417"/>
    <hyperlink r:id="rId1180" ref="G418"/>
    <hyperlink r:id="rId1181" ref="K418"/>
    <hyperlink r:id="rId1182" ref="G419"/>
    <hyperlink r:id="rId1183" ref="I419"/>
    <hyperlink r:id="rId1184" ref="J419"/>
    <hyperlink r:id="rId1185" ref="K419"/>
    <hyperlink r:id="rId1186" ref="G420"/>
    <hyperlink r:id="rId1187" ref="I420"/>
    <hyperlink r:id="rId1188" ref="J420"/>
    <hyperlink r:id="rId1189" ref="K420"/>
    <hyperlink r:id="rId1190" ref="J421"/>
    <hyperlink r:id="rId1191" ref="K421"/>
    <hyperlink r:id="rId1192" ref="G422"/>
    <hyperlink r:id="rId1193" ref="J422"/>
    <hyperlink r:id="rId1194" ref="G423"/>
    <hyperlink r:id="rId1195" ref="J423"/>
    <hyperlink r:id="rId1196" ref="G424"/>
    <hyperlink r:id="rId1197" ref="J424"/>
    <hyperlink r:id="rId1198" ref="L424"/>
    <hyperlink r:id="rId1199" ref="G425"/>
    <hyperlink r:id="rId1200" ref="I425"/>
    <hyperlink r:id="rId1201" ref="J425"/>
    <hyperlink r:id="rId1202" ref="G426"/>
    <hyperlink r:id="rId1203" ref="I426"/>
    <hyperlink r:id="rId1204" ref="J426"/>
    <hyperlink r:id="rId1205" ref="G427"/>
    <hyperlink r:id="rId1206" ref="G428"/>
    <hyperlink r:id="rId1207" ref="I428"/>
    <hyperlink r:id="rId1208" ref="J428"/>
    <hyperlink r:id="rId1209" ref="G429"/>
    <hyperlink r:id="rId1210" ref="J429"/>
    <hyperlink r:id="rId1211" ref="G430"/>
    <hyperlink r:id="rId1212" ref="I430"/>
    <hyperlink r:id="rId1213" ref="J430"/>
    <hyperlink r:id="rId1214" ref="K430"/>
    <hyperlink r:id="rId1215" ref="G431"/>
    <hyperlink r:id="rId1216" ref="J431"/>
    <hyperlink r:id="rId1217" ref="K431"/>
    <hyperlink r:id="rId1218" ref="G432"/>
    <hyperlink r:id="rId1219" ref="K432"/>
    <hyperlink r:id="rId1220" ref="G433"/>
    <hyperlink r:id="rId1221" ref="I433"/>
    <hyperlink r:id="rId1222" ref="K433"/>
    <hyperlink r:id="rId1223" ref="J434"/>
    <hyperlink r:id="rId1224" ref="K434"/>
    <hyperlink r:id="rId1225" ref="G435"/>
    <hyperlink r:id="rId1226" ref="I435"/>
    <hyperlink r:id="rId1227" ref="J435"/>
    <hyperlink r:id="rId1228" ref="I436"/>
    <hyperlink r:id="rId1229" ref="J436"/>
    <hyperlink r:id="rId1230" ref="G437"/>
    <hyperlink r:id="rId1231" ref="J437"/>
    <hyperlink r:id="rId1232" ref="K437"/>
    <hyperlink r:id="rId1233" ref="G438"/>
    <hyperlink r:id="rId1234" ref="I438"/>
    <hyperlink r:id="rId1235" ref="J438"/>
    <hyperlink r:id="rId1236" ref="K438"/>
    <hyperlink r:id="rId1237" ref="G439"/>
    <hyperlink r:id="rId1238" ref="J439"/>
    <hyperlink r:id="rId1239" ref="K439"/>
    <hyperlink r:id="rId1240" ref="G440"/>
    <hyperlink r:id="rId1241" ref="I440"/>
    <hyperlink r:id="rId1242" ref="J440"/>
    <hyperlink r:id="rId1243" ref="G441"/>
    <hyperlink r:id="rId1244" ref="I441"/>
    <hyperlink r:id="rId1245" ref="J441"/>
    <hyperlink r:id="rId1246" ref="K441"/>
    <hyperlink r:id="rId1247" ref="G442"/>
    <hyperlink r:id="rId1248" ref="I442"/>
    <hyperlink r:id="rId1249" ref="J442"/>
    <hyperlink r:id="rId1250" ref="G443"/>
    <hyperlink r:id="rId1251" ref="I443"/>
    <hyperlink r:id="rId1252" ref="M443"/>
    <hyperlink r:id="rId1253" ref="G444"/>
    <hyperlink r:id="rId1254" ref="J444"/>
    <hyperlink r:id="rId1255" ref="G445"/>
    <hyperlink r:id="rId1256" ref="I445"/>
    <hyperlink r:id="rId1257" ref="J445"/>
    <hyperlink r:id="rId1258" ref="G446"/>
    <hyperlink r:id="rId1259" ref="J446"/>
    <hyperlink r:id="rId1260" ref="G447"/>
    <hyperlink r:id="rId1261" ref="I447"/>
    <hyperlink r:id="rId1262" ref="K447"/>
    <hyperlink r:id="rId1263" ref="G448"/>
    <hyperlink r:id="rId1264" ref="I448"/>
    <hyperlink r:id="rId1265" ref="K448"/>
    <hyperlink r:id="rId1266" ref="G449"/>
    <hyperlink r:id="rId1267" ref="G450"/>
    <hyperlink r:id="rId1268" ref="K450"/>
    <hyperlink r:id="rId1269" ref="G451"/>
    <hyperlink r:id="rId1270" ref="I451"/>
    <hyperlink r:id="rId1271" ref="J451"/>
    <hyperlink r:id="rId1272" ref="G452"/>
    <hyperlink r:id="rId1273" ref="I452"/>
    <hyperlink r:id="rId1274" ref="J452"/>
    <hyperlink r:id="rId1275" ref="K452"/>
    <hyperlink r:id="rId1276" ref="G453"/>
    <hyperlink r:id="rId1277" ref="I453"/>
    <hyperlink r:id="rId1278" ref="J453"/>
    <hyperlink r:id="rId1279" ref="K453"/>
    <hyperlink r:id="rId1280" ref="G454"/>
    <hyperlink r:id="rId1281" ref="I454"/>
    <hyperlink r:id="rId1282" ref="J454"/>
    <hyperlink r:id="rId1283" ref="K454"/>
    <hyperlink r:id="rId1284" ref="G455"/>
    <hyperlink r:id="rId1285" ref="I455"/>
    <hyperlink r:id="rId1286" ref="J455"/>
    <hyperlink r:id="rId1287" ref="G456"/>
    <hyperlink r:id="rId1288" ref="I456"/>
    <hyperlink r:id="rId1289" ref="J456"/>
    <hyperlink r:id="rId1290" ref="G457"/>
    <hyperlink r:id="rId1291" ref="J457"/>
    <hyperlink r:id="rId1292" ref="K457"/>
    <hyperlink r:id="rId1293" ref="M457"/>
    <hyperlink r:id="rId1294" ref="G458"/>
    <hyperlink r:id="rId1295" ref="I458"/>
    <hyperlink r:id="rId1296" ref="J458"/>
    <hyperlink r:id="rId1297" ref="L458"/>
    <hyperlink r:id="rId1298" ref="G459"/>
    <hyperlink r:id="rId1299" ref="I459"/>
    <hyperlink r:id="rId1300" ref="J459"/>
    <hyperlink r:id="rId1301" ref="G460"/>
    <hyperlink r:id="rId1302" ref="I460"/>
    <hyperlink r:id="rId1303" ref="J460"/>
    <hyperlink r:id="rId1304" ref="G461"/>
    <hyperlink r:id="rId1305" ref="I461"/>
    <hyperlink r:id="rId1306" ref="J461"/>
    <hyperlink r:id="rId1307" ref="G462"/>
    <hyperlink r:id="rId1308" ref="J462"/>
    <hyperlink r:id="rId1309" ref="G463"/>
    <hyperlink r:id="rId1310" ref="J463"/>
    <hyperlink r:id="rId1311" ref="G464"/>
    <hyperlink r:id="rId1312" ref="J464"/>
    <hyperlink r:id="rId1313" ref="G465"/>
    <hyperlink r:id="rId1314" ref="I465"/>
    <hyperlink r:id="rId1315" ref="J465"/>
    <hyperlink r:id="rId1316" ref="G466"/>
    <hyperlink r:id="rId1317" ref="G467"/>
    <hyperlink r:id="rId1318" ref="I467"/>
    <hyperlink r:id="rId1319" ref="J467"/>
    <hyperlink r:id="rId1320" ref="G468"/>
    <hyperlink r:id="rId1321" ref="K468"/>
    <hyperlink r:id="rId1322" ref="G469"/>
    <hyperlink r:id="rId1323" ref="I469"/>
    <hyperlink r:id="rId1324" ref="J469"/>
    <hyperlink r:id="rId1325" ref="K469"/>
    <hyperlink r:id="rId1326" ref="G470"/>
    <hyperlink r:id="rId1327" ref="I470"/>
    <hyperlink r:id="rId1328" ref="J470"/>
    <hyperlink r:id="rId1329" ref="K470"/>
    <hyperlink r:id="rId1330" ref="G471"/>
    <hyperlink r:id="rId1331" ref="I471"/>
    <hyperlink r:id="rId1332" ref="J471"/>
    <hyperlink r:id="rId1333" ref="K471"/>
    <hyperlink r:id="rId1334" ref="G472"/>
    <hyperlink r:id="rId1335" ref="I472"/>
    <hyperlink r:id="rId1336" ref="J472"/>
    <hyperlink r:id="rId1337" ref="G473"/>
    <hyperlink r:id="rId1338" ref="J473"/>
    <hyperlink r:id="rId1339" ref="K473"/>
    <hyperlink r:id="rId1340" ref="G474"/>
    <hyperlink r:id="rId1341" ref="J474"/>
    <hyperlink r:id="rId1342" ref="G475"/>
    <hyperlink r:id="rId1343" ref="I475"/>
    <hyperlink r:id="rId1344" ref="J475"/>
    <hyperlink r:id="rId1345" ref="G476"/>
    <hyperlink r:id="rId1346" ref="I476"/>
    <hyperlink r:id="rId1347" ref="J476"/>
    <hyperlink r:id="rId1348" ref="K476"/>
    <hyperlink r:id="rId1349" ref="G477"/>
    <hyperlink r:id="rId1350" ref="I477"/>
    <hyperlink r:id="rId1351" ref="J477"/>
    <hyperlink r:id="rId1352" ref="G478"/>
    <hyperlink r:id="rId1353" ref="K478"/>
    <hyperlink r:id="rId1354" ref="G479"/>
    <hyperlink r:id="rId1355" ref="J479"/>
    <hyperlink r:id="rId1356" ref="G480"/>
    <hyperlink r:id="rId1357" ref="J480"/>
    <hyperlink r:id="rId1358" ref="G481"/>
    <hyperlink r:id="rId1359" ref="J481"/>
    <hyperlink r:id="rId1360" ref="G482"/>
    <hyperlink r:id="rId1361" ref="J482"/>
    <hyperlink r:id="rId1362" ref="K482"/>
    <hyperlink r:id="rId1363" ref="G483"/>
    <hyperlink r:id="rId1364" ref="K483"/>
    <hyperlink r:id="rId1365" ref="G484"/>
    <hyperlink r:id="rId1366" ref="I484"/>
    <hyperlink r:id="rId1367" ref="J484"/>
    <hyperlink r:id="rId1368" ref="K484"/>
    <hyperlink r:id="rId1369" ref="G485"/>
    <hyperlink r:id="rId1370" ref="J485"/>
    <hyperlink r:id="rId1371" ref="K485"/>
    <hyperlink r:id="rId1372" ref="G486"/>
    <hyperlink r:id="rId1373" ref="I486"/>
    <hyperlink r:id="rId1374" ref="J486"/>
    <hyperlink r:id="rId1375" ref="G487"/>
    <hyperlink r:id="rId1376" ref="I487"/>
    <hyperlink r:id="rId1377" ref="J487"/>
    <hyperlink r:id="rId1378" ref="G488"/>
    <hyperlink r:id="rId1379" ref="I488"/>
    <hyperlink r:id="rId1380" ref="J488"/>
    <hyperlink r:id="rId1381" ref="K488"/>
    <hyperlink r:id="rId1382" ref="G489"/>
    <hyperlink r:id="rId1383" ref="I489"/>
    <hyperlink r:id="rId1384" ref="J489"/>
    <hyperlink r:id="rId1385" ref="G490"/>
    <hyperlink r:id="rId1386" ref="I490"/>
    <hyperlink r:id="rId1387" ref="J490"/>
    <hyperlink r:id="rId1388" ref="K490"/>
    <hyperlink r:id="rId1389" ref="G491"/>
    <hyperlink r:id="rId1390" ref="I491"/>
    <hyperlink r:id="rId1391" ref="K491"/>
    <hyperlink r:id="rId1392" ref="G492"/>
    <hyperlink r:id="rId1393" ref="I492"/>
    <hyperlink r:id="rId1394" ref="J492"/>
    <hyperlink r:id="rId1395" ref="G493"/>
    <hyperlink r:id="rId1396" ref="J493"/>
    <hyperlink r:id="rId1397" ref="G494"/>
    <hyperlink r:id="rId1398" ref="I494"/>
    <hyperlink r:id="rId1399" ref="J494"/>
    <hyperlink r:id="rId1400" ref="G495"/>
    <hyperlink r:id="rId1401" ref="I495"/>
    <hyperlink r:id="rId1402" ref="J495"/>
    <hyperlink r:id="rId1403" ref="K495"/>
    <hyperlink r:id="rId1404" ref="G496"/>
    <hyperlink r:id="rId1405" ref="G497"/>
    <hyperlink r:id="rId1406" ref="G498"/>
    <hyperlink r:id="rId1407" ref="I498"/>
    <hyperlink r:id="rId1408" ref="J498"/>
    <hyperlink r:id="rId1409" ref="G499"/>
    <hyperlink r:id="rId1410" ref="I499"/>
    <hyperlink r:id="rId1411" ref="J499"/>
    <hyperlink r:id="rId1412" ref="G500"/>
    <hyperlink r:id="rId1413" ref="I500"/>
    <hyperlink r:id="rId1414" ref="J500"/>
    <hyperlink r:id="rId1415" ref="K500"/>
    <hyperlink r:id="rId1416" ref="G501"/>
    <hyperlink r:id="rId1417" ref="I501"/>
    <hyperlink r:id="rId1418" ref="J501"/>
    <hyperlink r:id="rId1419" ref="G502"/>
    <hyperlink r:id="rId1420" ref="I502"/>
    <hyperlink r:id="rId1421" ref="J502"/>
    <hyperlink r:id="rId1422" ref="G503"/>
    <hyperlink r:id="rId1423" ref="J503"/>
    <hyperlink r:id="rId1424" ref="G504"/>
    <hyperlink r:id="rId1425" ref="J504"/>
    <hyperlink r:id="rId1426" ref="G505"/>
    <hyperlink r:id="rId1427" ref="I505"/>
    <hyperlink r:id="rId1428" ref="G506"/>
    <hyperlink r:id="rId1429" ref="I506"/>
    <hyperlink r:id="rId1430" ref="J506"/>
    <hyperlink r:id="rId1431" ref="G507"/>
    <hyperlink r:id="rId1432" ref="I507"/>
    <hyperlink r:id="rId1433" ref="J507"/>
    <hyperlink r:id="rId1434" ref="K507"/>
    <hyperlink r:id="rId1435" ref="G508"/>
    <hyperlink r:id="rId1436" ref="J508"/>
    <hyperlink r:id="rId1437" ref="G509"/>
    <hyperlink r:id="rId1438" ref="G510"/>
    <hyperlink r:id="rId1439" ref="J510"/>
    <hyperlink r:id="rId1440" ref="G511"/>
    <hyperlink r:id="rId1441" ref="J511"/>
    <hyperlink r:id="rId1442" ref="L511"/>
    <hyperlink r:id="rId1443" ref="G512"/>
    <hyperlink r:id="rId1444" ref="I512"/>
    <hyperlink r:id="rId1445" ref="J512"/>
    <hyperlink r:id="rId1446" ref="K512"/>
    <hyperlink r:id="rId1447" ref="G513"/>
    <hyperlink r:id="rId1448" ref="I513"/>
    <hyperlink r:id="rId1449" ref="J513"/>
    <hyperlink r:id="rId1450" ref="G514"/>
    <hyperlink r:id="rId1451" ref="J514"/>
    <hyperlink r:id="rId1452" ref="G515"/>
    <hyperlink r:id="rId1453" ref="K515"/>
    <hyperlink r:id="rId1454" ref="G516"/>
    <hyperlink r:id="rId1455" ref="G517"/>
    <hyperlink r:id="rId1456" ref="I517"/>
    <hyperlink r:id="rId1457" ref="J517"/>
    <hyperlink r:id="rId1458" ref="G518"/>
    <hyperlink r:id="rId1459" ref="J518"/>
    <hyperlink r:id="rId1460" location="curriculum" ref="G519"/>
    <hyperlink r:id="rId1461" ref="I519"/>
    <hyperlink r:id="rId1462" ref="J519"/>
    <hyperlink r:id="rId1463" ref="G520"/>
    <hyperlink r:id="rId1464" ref="J520"/>
    <hyperlink r:id="rId1465" ref="G521"/>
    <hyperlink r:id="rId1466" ref="I521"/>
    <hyperlink r:id="rId1467" ref="J521"/>
    <hyperlink r:id="rId1468" ref="G522"/>
    <hyperlink r:id="rId1469" ref="J522"/>
    <hyperlink r:id="rId1470" ref="G523"/>
    <hyperlink r:id="rId1471" ref="J523"/>
    <hyperlink r:id="rId1472" ref="G524"/>
    <hyperlink r:id="rId1473" ref="I524"/>
    <hyperlink r:id="rId1474" ref="G525"/>
    <hyperlink r:id="rId1475" ref="I525"/>
    <hyperlink r:id="rId1476" ref="J525"/>
    <hyperlink r:id="rId1477" ref="G526"/>
    <hyperlink r:id="rId1478" ref="I526"/>
    <hyperlink r:id="rId1479" ref="J526"/>
    <hyperlink r:id="rId1480" ref="G527"/>
    <hyperlink r:id="rId1481" location="creator" ref="I527"/>
    <hyperlink r:id="rId1482" ref="K527"/>
    <hyperlink r:id="rId1483" ref="G528"/>
    <hyperlink r:id="rId1484" ref="I528"/>
    <hyperlink r:id="rId1485" ref="J528"/>
    <hyperlink r:id="rId1486" ref="G529"/>
    <hyperlink r:id="rId1487" location="class_description" ref="I529"/>
    <hyperlink r:id="rId1488" ref="J529"/>
    <hyperlink r:id="rId1489" ref="L529"/>
    <hyperlink r:id="rId1490" ref="M529"/>
    <hyperlink r:id="rId1491" ref="G530"/>
    <hyperlink r:id="rId1492" ref="I530"/>
    <hyperlink r:id="rId1493" ref="K530"/>
    <hyperlink r:id="rId1494" ref="J531"/>
    <hyperlink r:id="rId1495" ref="M531"/>
    <hyperlink r:id="rId1496" ref="G532"/>
    <hyperlink r:id="rId1497" ref="J532"/>
    <hyperlink r:id="rId1498" ref="G533"/>
    <hyperlink r:id="rId1499" ref="J533"/>
    <hyperlink r:id="rId1500" ref="G534"/>
    <hyperlink r:id="rId1501" ref="G535"/>
    <hyperlink r:id="rId1502" ref="I535"/>
    <hyperlink r:id="rId1503" ref="K535"/>
    <hyperlink r:id="rId1504" ref="L535"/>
    <hyperlink r:id="rId1505" ref="G536"/>
    <hyperlink r:id="rId1506" ref="J536"/>
    <hyperlink r:id="rId1507" ref="K536"/>
    <hyperlink r:id="rId1508" ref="J537"/>
    <hyperlink r:id="rId1509" ref="K537"/>
    <hyperlink r:id="rId1510" ref="J538"/>
    <hyperlink r:id="rId1511" ref="M538"/>
    <hyperlink r:id="rId1512" ref="G539"/>
    <hyperlink r:id="rId1513" ref="J539"/>
    <hyperlink r:id="rId1514" ref="K539"/>
    <hyperlink r:id="rId1515" ref="G540"/>
    <hyperlink r:id="rId1516" ref="I540"/>
    <hyperlink r:id="rId1517" ref="K540"/>
    <hyperlink r:id="rId1518" ref="G541"/>
    <hyperlink r:id="rId1519" ref="K541"/>
    <hyperlink r:id="rId1520" ref="G542"/>
    <hyperlink r:id="rId1521" ref="J542"/>
    <hyperlink r:id="rId1522" ref="G543"/>
    <hyperlink r:id="rId1523" ref="J543"/>
    <hyperlink r:id="rId1524" ref="G544"/>
    <hyperlink r:id="rId1525" ref="J544"/>
    <hyperlink r:id="rId1526" ref="G545"/>
    <hyperlink r:id="rId1527" ref="I545"/>
    <hyperlink r:id="rId1528" ref="J545"/>
    <hyperlink r:id="rId1529" ref="L545"/>
    <hyperlink r:id="rId1530" ref="G546"/>
    <hyperlink r:id="rId1531" ref="J546"/>
    <hyperlink r:id="rId1532" ref="G547"/>
    <hyperlink r:id="rId1533" ref="I547"/>
    <hyperlink r:id="rId1534" ref="G548"/>
    <hyperlink r:id="rId1535" ref="J548"/>
    <hyperlink r:id="rId1536" ref="G549"/>
    <hyperlink r:id="rId1537" ref="J549"/>
    <hyperlink r:id="rId1538" ref="G550"/>
    <hyperlink r:id="rId1539" ref="K550"/>
    <hyperlink r:id="rId1540" ref="G551"/>
    <hyperlink r:id="rId1541" ref="I551"/>
    <hyperlink r:id="rId1542" ref="K551"/>
    <hyperlink r:id="rId1543" ref="G552"/>
    <hyperlink r:id="rId1544" ref="I552"/>
    <hyperlink r:id="rId1545" ref="J552"/>
    <hyperlink r:id="rId1546" ref="K552"/>
    <hyperlink r:id="rId1547" ref="G553"/>
    <hyperlink r:id="rId1548" ref="I553"/>
    <hyperlink r:id="rId1549" ref="J553"/>
    <hyperlink r:id="rId1550" ref="K553"/>
    <hyperlink r:id="rId1551" ref="G554"/>
    <hyperlink r:id="rId1552" ref="J554"/>
    <hyperlink r:id="rId1553" ref="J555"/>
    <hyperlink r:id="rId1554" ref="G556"/>
    <hyperlink r:id="rId1555" ref="J556"/>
    <hyperlink r:id="rId1556" ref="G557"/>
    <hyperlink r:id="rId1557" ref="J557"/>
    <hyperlink r:id="rId1558" ref="K557"/>
    <hyperlink r:id="rId1559" ref="G558"/>
    <hyperlink r:id="rId1560" ref="I558"/>
    <hyperlink r:id="rId1561" ref="J558"/>
    <hyperlink r:id="rId1562" ref="G559"/>
    <hyperlink r:id="rId1563" ref="K559"/>
    <hyperlink r:id="rId1564" ref="G560"/>
    <hyperlink r:id="rId1565" ref="J560"/>
    <hyperlink r:id="rId1566" ref="G561"/>
    <hyperlink r:id="rId1567" ref="J561"/>
    <hyperlink r:id="rId1568" ref="G562"/>
    <hyperlink r:id="rId1569" ref="J562"/>
    <hyperlink r:id="rId1570" location="item-0" ref="G563"/>
    <hyperlink r:id="rId1571" ref="G564"/>
    <hyperlink r:id="rId1572" ref="I564"/>
    <hyperlink r:id="rId1573" ref="J564"/>
    <hyperlink r:id="rId1574" ref="K564"/>
    <hyperlink r:id="rId1575" ref="G565"/>
    <hyperlink r:id="rId1576" ref="I565"/>
    <hyperlink r:id="rId1577" ref="J565"/>
    <hyperlink r:id="rId1578" ref="K565"/>
    <hyperlink r:id="rId1579" ref="G566"/>
    <hyperlink r:id="rId1580" ref="J566"/>
    <hyperlink r:id="rId1581" ref="G567"/>
    <hyperlink r:id="rId1582" ref="J567"/>
    <hyperlink r:id="rId1583" ref="G568"/>
    <hyperlink r:id="rId1584" ref="I568"/>
    <hyperlink r:id="rId1585" ref="J568"/>
    <hyperlink r:id="rId1586" ref="K568"/>
    <hyperlink r:id="rId1587" ref="G569"/>
    <hyperlink r:id="rId1588" ref="J569"/>
    <hyperlink r:id="rId1589" ref="G570"/>
    <hyperlink r:id="rId1590" ref="J570"/>
    <hyperlink r:id="rId1591" ref="K570"/>
    <hyperlink r:id="rId1592" ref="G571"/>
    <hyperlink r:id="rId1593" ref="I571"/>
    <hyperlink r:id="rId1594" ref="K571"/>
    <hyperlink r:id="rId1595" ref="G572"/>
    <hyperlink r:id="rId1596" ref="J572"/>
    <hyperlink r:id="rId1597" ref="K572"/>
    <hyperlink r:id="rId1598" ref="G573"/>
    <hyperlink r:id="rId1599" ref="I573"/>
    <hyperlink r:id="rId1600" ref="K573"/>
    <hyperlink r:id="rId1601" location="creator" ref="G574"/>
    <hyperlink r:id="rId1602" location="creator" ref="I574"/>
    <hyperlink r:id="rId1603" ref="K574"/>
    <hyperlink r:id="rId1604" ref="G576"/>
    <hyperlink r:id="rId1605" ref="J576"/>
    <hyperlink r:id="rId1606" ref="K576"/>
    <hyperlink r:id="rId1607" ref="G577"/>
    <hyperlink r:id="rId1608" ref="J577"/>
    <hyperlink r:id="rId1609" ref="K577"/>
    <hyperlink r:id="rId1610" ref="G578"/>
    <hyperlink r:id="rId1611" ref="J578"/>
    <hyperlink r:id="rId1612" ref="K578"/>
    <hyperlink r:id="rId1613" ref="G579"/>
    <hyperlink r:id="rId1614" ref="K579"/>
    <hyperlink r:id="rId1615" ref="G580"/>
    <hyperlink r:id="rId1616" ref="I580"/>
    <hyperlink r:id="rId1617" ref="J580"/>
    <hyperlink r:id="rId1618" ref="G581"/>
    <hyperlink r:id="rId1619" ref="J581"/>
    <hyperlink r:id="rId1620" ref="K581"/>
    <hyperlink r:id="rId1621" ref="G582"/>
    <hyperlink r:id="rId1622" ref="J582"/>
    <hyperlink r:id="rId1623" ref="G583"/>
    <hyperlink r:id="rId1624" ref="J583"/>
    <hyperlink r:id="rId1625" ref="G584"/>
    <hyperlink r:id="rId1626" ref="J584"/>
    <hyperlink r:id="rId1627" ref="G585"/>
    <hyperlink r:id="rId1628" ref="J585"/>
    <hyperlink r:id="rId1629" ref="G586"/>
    <hyperlink r:id="rId1630" ref="I586"/>
    <hyperlink r:id="rId1631" ref="J586"/>
    <hyperlink r:id="rId1632" ref="K586"/>
    <hyperlink r:id="rId1633" ref="G587"/>
    <hyperlink r:id="rId1634" ref="J587"/>
    <hyperlink r:id="rId1635" ref="G588"/>
    <hyperlink r:id="rId1636" ref="I588"/>
    <hyperlink r:id="rId1637" ref="J588"/>
    <hyperlink r:id="rId1638" ref="G589"/>
    <hyperlink r:id="rId1639" ref="J589"/>
    <hyperlink r:id="rId1640" ref="G590"/>
    <hyperlink r:id="rId1641" ref="J590"/>
    <hyperlink r:id="rId1642" ref="G591"/>
    <hyperlink r:id="rId1643" ref="J591"/>
    <hyperlink r:id="rId1644" ref="G592"/>
    <hyperlink r:id="rId1645" ref="I592"/>
    <hyperlink r:id="rId1646" ref="J592"/>
    <hyperlink r:id="rId1647" ref="G593"/>
    <hyperlink r:id="rId1648" ref="I593"/>
    <hyperlink r:id="rId1649" ref="J593"/>
    <hyperlink r:id="rId1650" ref="G594"/>
    <hyperlink r:id="rId1651" ref="I594"/>
    <hyperlink r:id="rId1652" ref="J594"/>
    <hyperlink r:id="rId1653" ref="G595"/>
    <hyperlink r:id="rId1654" ref="I595"/>
    <hyperlink r:id="rId1655" ref="J595"/>
    <hyperlink r:id="rId1656" ref="K595"/>
    <hyperlink r:id="rId1657" ref="G596"/>
    <hyperlink r:id="rId1658" ref="I596"/>
    <hyperlink r:id="rId1659" ref="J596"/>
    <hyperlink r:id="rId1660" ref="G597"/>
    <hyperlink r:id="rId1661" ref="I597"/>
    <hyperlink r:id="rId1662" ref="K597"/>
    <hyperlink r:id="rId1663" ref="G598"/>
    <hyperlink r:id="rId1664" ref="K598"/>
    <hyperlink r:id="rId1665" ref="G599"/>
    <hyperlink r:id="rId1666" ref="J599"/>
    <hyperlink r:id="rId1667" ref="G600"/>
    <hyperlink r:id="rId1668" ref="J600"/>
    <hyperlink r:id="rId1669" ref="G601"/>
    <hyperlink r:id="rId1670" ref="I601"/>
    <hyperlink r:id="rId1671" ref="J601"/>
    <hyperlink r:id="rId1672" ref="K601"/>
    <hyperlink r:id="rId1673" ref="G602"/>
    <hyperlink r:id="rId1674" ref="I602"/>
    <hyperlink r:id="rId1675" ref="J602"/>
    <hyperlink r:id="rId1676" ref="G603"/>
    <hyperlink r:id="rId1677" ref="I603"/>
    <hyperlink r:id="rId1678" ref="G604"/>
    <hyperlink r:id="rId1679" ref="I604"/>
    <hyperlink r:id="rId1680" ref="J604"/>
    <hyperlink r:id="rId1681" ref="K604"/>
    <hyperlink r:id="rId1682" ref="G605"/>
    <hyperlink r:id="rId1683" ref="I605"/>
    <hyperlink r:id="rId1684" ref="J605"/>
    <hyperlink r:id="rId1685" ref="G606"/>
    <hyperlink r:id="rId1686" ref="J606"/>
    <hyperlink r:id="rId1687" ref="G607"/>
    <hyperlink r:id="rId1688" ref="J607"/>
    <hyperlink r:id="rId1689" ref="M607"/>
    <hyperlink r:id="rId1690" ref="G608"/>
    <hyperlink r:id="rId1691" ref="J608"/>
    <hyperlink r:id="rId1692" ref="K608"/>
    <hyperlink r:id="rId1693" ref="G609"/>
    <hyperlink r:id="rId1694" ref="G610"/>
    <hyperlink r:id="rId1695" ref="J610"/>
    <hyperlink r:id="rId1696" ref="M610"/>
    <hyperlink r:id="rId1697" ref="G611"/>
    <hyperlink r:id="rId1698" ref="I611"/>
    <hyperlink r:id="rId1699" ref="J611"/>
    <hyperlink r:id="rId1700" ref="K611"/>
    <hyperlink r:id="rId1701" ref="G612"/>
    <hyperlink r:id="rId1702" ref="I612"/>
    <hyperlink r:id="rId1703" ref="J612"/>
    <hyperlink r:id="rId1704" ref="G613"/>
    <hyperlink r:id="rId1705" ref="I613"/>
    <hyperlink r:id="rId1706" ref="J613"/>
    <hyperlink r:id="rId1707" ref="G614"/>
    <hyperlink r:id="rId1708" ref="I614"/>
    <hyperlink r:id="rId1709" ref="G615"/>
    <hyperlink r:id="rId1710" ref="J615"/>
    <hyperlink r:id="rId1711" ref="G616"/>
    <hyperlink r:id="rId1712" ref="J616"/>
    <hyperlink r:id="rId1713" ref="G617"/>
    <hyperlink r:id="rId1714" ref="I617"/>
    <hyperlink r:id="rId1715" ref="J617"/>
    <hyperlink r:id="rId1716" ref="G618"/>
    <hyperlink r:id="rId1717" ref="I618"/>
    <hyperlink r:id="rId1718" ref="J618"/>
    <hyperlink r:id="rId1719" ref="G619"/>
    <hyperlink r:id="rId1720" ref="I619"/>
    <hyperlink r:id="rId1721" ref="J619"/>
    <hyperlink r:id="rId1722" ref="G620"/>
    <hyperlink r:id="rId1723" ref="J620"/>
    <hyperlink r:id="rId1724" ref="G621"/>
    <hyperlink r:id="rId1725" ref="J621"/>
    <hyperlink r:id="rId1726" ref="G622"/>
    <hyperlink r:id="rId1727" ref="J622"/>
    <hyperlink r:id="rId1728" ref="G623"/>
    <hyperlink r:id="rId1729" ref="J623"/>
    <hyperlink r:id="rId1730" ref="G624"/>
    <hyperlink r:id="rId1731" ref="J624"/>
    <hyperlink r:id="rId1732" ref="G625"/>
    <hyperlink r:id="rId1733" ref="J625"/>
    <hyperlink r:id="rId1734" ref="K625"/>
    <hyperlink r:id="rId1735" ref="G626"/>
    <hyperlink r:id="rId1736" ref="J626"/>
    <hyperlink r:id="rId1737" ref="M626"/>
    <hyperlink r:id="rId1738" ref="G627"/>
    <hyperlink r:id="rId1739" ref="J627"/>
    <hyperlink r:id="rId1740" ref="K627"/>
    <hyperlink r:id="rId1741" ref="G628"/>
    <hyperlink r:id="rId1742" ref="I628"/>
    <hyperlink r:id="rId1743" ref="J628"/>
    <hyperlink r:id="rId1744" ref="G629"/>
    <hyperlink r:id="rId1745" ref="I629"/>
    <hyperlink r:id="rId1746" ref="J629"/>
    <hyperlink r:id="rId1747" ref="K629"/>
    <hyperlink r:id="rId1748" ref="G630"/>
    <hyperlink r:id="rId1749" ref="I630"/>
    <hyperlink r:id="rId1750" ref="J630"/>
    <hyperlink r:id="rId1751" ref="K630"/>
    <hyperlink r:id="rId1752" ref="G631"/>
    <hyperlink r:id="rId1753" ref="J631"/>
    <hyperlink r:id="rId1754" ref="K631"/>
    <hyperlink r:id="rId1755" ref="M631"/>
    <hyperlink r:id="rId1756" ref="G632"/>
    <hyperlink r:id="rId1757" ref="K632"/>
    <hyperlink r:id="rId1758" ref="M632"/>
    <hyperlink r:id="rId1759" ref="G633"/>
    <hyperlink r:id="rId1760" ref="J633"/>
    <hyperlink r:id="rId1761" ref="G634"/>
    <hyperlink r:id="rId1762" ref="J634"/>
    <hyperlink r:id="rId1763" location="responses" ref="M634"/>
    <hyperlink r:id="rId1764" ref="G635"/>
    <hyperlink r:id="rId1765" ref="K635"/>
    <hyperlink r:id="rId1766" ref="M635"/>
    <hyperlink r:id="rId1767" ref="G636"/>
    <hyperlink r:id="rId1768" ref="I636"/>
    <hyperlink r:id="rId1769" ref="G637"/>
    <hyperlink r:id="rId1770" ref="I637"/>
    <hyperlink r:id="rId1771" ref="J637"/>
    <hyperlink r:id="rId1772" ref="G638"/>
    <hyperlink r:id="rId1773" ref="I638"/>
    <hyperlink r:id="rId1774" ref="J638"/>
    <hyperlink r:id="rId1775" ref="K638"/>
    <hyperlink r:id="rId1776" ref="G639"/>
    <hyperlink r:id="rId1777" ref="I639"/>
    <hyperlink r:id="rId1778" ref="J639"/>
    <hyperlink r:id="rId1779" ref="M639"/>
    <hyperlink r:id="rId1780" ref="G640"/>
    <hyperlink r:id="rId1781" ref="I640"/>
    <hyperlink r:id="rId1782" ref="G641"/>
    <hyperlink r:id="rId1783" ref="I641"/>
    <hyperlink r:id="rId1784" ref="G642"/>
    <hyperlink r:id="rId1785" ref="I642"/>
    <hyperlink r:id="rId1786" ref="G643"/>
    <hyperlink r:id="rId1787" ref="M643"/>
    <hyperlink r:id="rId1788" ref="G644"/>
    <hyperlink r:id="rId1789" ref="I644"/>
    <hyperlink r:id="rId1790" ref="J644"/>
    <hyperlink r:id="rId1791" ref="G645"/>
    <hyperlink r:id="rId1792" ref="J645"/>
    <hyperlink r:id="rId1793" ref="G646"/>
    <hyperlink r:id="rId1794" ref="I646"/>
    <hyperlink r:id="rId1795" ref="G647"/>
    <hyperlink r:id="rId1796" ref="I647"/>
    <hyperlink r:id="rId1797" ref="G648"/>
    <hyperlink r:id="rId1798" ref="I648"/>
    <hyperlink r:id="rId1799" ref="J648"/>
    <hyperlink r:id="rId1800" ref="K648"/>
    <hyperlink r:id="rId1801" ref="G649"/>
    <hyperlink r:id="rId1802" ref="I649"/>
    <hyperlink r:id="rId1803" ref="J649"/>
    <hyperlink r:id="rId1804" ref="G650"/>
    <hyperlink r:id="rId1805" ref="I650"/>
    <hyperlink r:id="rId1806" ref="K650"/>
    <hyperlink r:id="rId1807" ref="M650"/>
    <hyperlink r:id="rId1808" ref="G651"/>
    <hyperlink r:id="rId1809" ref="I651"/>
    <hyperlink r:id="rId1810" ref="J651"/>
    <hyperlink r:id="rId1811" ref="G652"/>
    <hyperlink r:id="rId1812" ref="I652"/>
    <hyperlink r:id="rId1813" ref="J652"/>
    <hyperlink r:id="rId1814" ref="G653"/>
    <hyperlink r:id="rId1815" ref="J653"/>
    <hyperlink r:id="rId1816" ref="K653"/>
    <hyperlink r:id="rId1817" ref="G654"/>
    <hyperlink r:id="rId1818" ref="I654"/>
    <hyperlink r:id="rId1819" ref="J654"/>
    <hyperlink r:id="rId1820" ref="G655"/>
    <hyperlink r:id="rId1821" ref="J655"/>
    <hyperlink r:id="rId1822" ref="G656"/>
    <hyperlink r:id="rId1823" ref="I656"/>
    <hyperlink r:id="rId1824" ref="J656"/>
    <hyperlink r:id="rId1825" ref="G657"/>
    <hyperlink r:id="rId1826" ref="I657"/>
    <hyperlink r:id="rId1827" ref="J657"/>
    <hyperlink r:id="rId1828" ref="G658"/>
    <hyperlink r:id="rId1829" ref="I658"/>
    <hyperlink r:id="rId1830" ref="J658"/>
    <hyperlink r:id="rId1831" ref="G659"/>
    <hyperlink r:id="rId1832" ref="J659"/>
    <hyperlink r:id="rId1833" ref="G660"/>
    <hyperlink r:id="rId1834" ref="J660"/>
    <hyperlink r:id="rId1835" ref="K660"/>
    <hyperlink r:id="rId1836" ref="G661"/>
    <hyperlink r:id="rId1837" ref="I661"/>
    <hyperlink r:id="rId1838" ref="J661"/>
    <hyperlink r:id="rId1839" ref="K661"/>
    <hyperlink r:id="rId1840" ref="G662"/>
    <hyperlink r:id="rId1841" ref="H662"/>
    <hyperlink r:id="rId1842" ref="J662"/>
    <hyperlink r:id="rId1843" ref="K662"/>
    <hyperlink r:id="rId1844" ref="G663"/>
    <hyperlink r:id="rId1845" ref="J663"/>
    <hyperlink r:id="rId1846" ref="K663"/>
    <hyperlink r:id="rId1847" ref="G664"/>
    <hyperlink r:id="rId1848" ref="I664"/>
    <hyperlink r:id="rId1849" ref="J664"/>
    <hyperlink r:id="rId1850" ref="K664"/>
    <hyperlink r:id="rId1851" ref="G665"/>
    <hyperlink r:id="rId1852" ref="I665"/>
    <hyperlink r:id="rId1853" ref="J665"/>
    <hyperlink r:id="rId1854" ref="G666"/>
    <hyperlink r:id="rId1855" ref="J666"/>
    <hyperlink r:id="rId1856" ref="G667"/>
    <hyperlink r:id="rId1857" ref="J667"/>
    <hyperlink r:id="rId1858" ref="K667"/>
    <hyperlink r:id="rId1859" ref="G668"/>
    <hyperlink r:id="rId1860" ref="J668"/>
    <hyperlink r:id="rId1861" ref="G669"/>
    <hyperlink r:id="rId1862" ref="I669"/>
    <hyperlink r:id="rId1863" ref="J669"/>
    <hyperlink r:id="rId1864" ref="K669"/>
    <hyperlink r:id="rId1865" ref="G670"/>
    <hyperlink r:id="rId1866" ref="K670"/>
    <hyperlink r:id="rId1867" ref="G671"/>
    <hyperlink r:id="rId1868" ref="J671"/>
    <hyperlink r:id="rId1869" ref="L671"/>
    <hyperlink r:id="rId1870" ref="G672"/>
    <hyperlink r:id="rId1871" ref="J672"/>
    <hyperlink r:id="rId1872" ref="L672"/>
    <hyperlink r:id="rId1873" ref="G673"/>
    <hyperlink r:id="rId1874" ref="J673"/>
    <hyperlink r:id="rId1875" ref="G674"/>
    <hyperlink r:id="rId1876" ref="I674"/>
    <hyperlink r:id="rId1877" ref="J674"/>
    <hyperlink r:id="rId1878" ref="G675"/>
    <hyperlink r:id="rId1879" ref="I675"/>
    <hyperlink r:id="rId1880" ref="K675"/>
    <hyperlink r:id="rId1881" ref="G676"/>
    <hyperlink r:id="rId1882" ref="I676"/>
    <hyperlink r:id="rId1883" ref="J676"/>
    <hyperlink r:id="rId1884" ref="K676"/>
    <hyperlink r:id="rId1885" ref="G677"/>
    <hyperlink r:id="rId1886" ref="J677"/>
    <hyperlink r:id="rId1887" ref="G678"/>
    <hyperlink r:id="rId1888" ref="J678"/>
    <hyperlink r:id="rId1889" ref="G679"/>
    <hyperlink r:id="rId1890" ref="G680"/>
    <hyperlink r:id="rId1891" ref="J680"/>
    <hyperlink r:id="rId1892" ref="G681"/>
    <hyperlink r:id="rId1893" ref="I681"/>
    <hyperlink r:id="rId1894" ref="K681"/>
    <hyperlink r:id="rId1895" ref="M681"/>
    <hyperlink r:id="rId1896" ref="G682"/>
    <hyperlink r:id="rId1897" ref="I682"/>
    <hyperlink r:id="rId1898" ref="J682"/>
    <hyperlink r:id="rId1899" ref="G683"/>
    <hyperlink r:id="rId1900" ref="J683"/>
    <hyperlink r:id="rId1901" ref="G684"/>
    <hyperlink r:id="rId1902" ref="J684"/>
    <hyperlink r:id="rId1903" ref="K684"/>
    <hyperlink r:id="rId1904" ref="G685"/>
    <hyperlink r:id="rId1905" ref="I685"/>
    <hyperlink r:id="rId1906" ref="L685"/>
    <hyperlink r:id="rId1907" ref="G686"/>
    <hyperlink r:id="rId1908" ref="J686"/>
    <hyperlink r:id="rId1909" ref="G687"/>
    <hyperlink r:id="rId1910" ref="I687"/>
    <hyperlink r:id="rId1911" ref="J687"/>
    <hyperlink r:id="rId1912" ref="G688"/>
    <hyperlink r:id="rId1913" ref="I688"/>
    <hyperlink r:id="rId1914" ref="J688"/>
    <hyperlink r:id="rId1915" ref="K688"/>
    <hyperlink r:id="rId1916" ref="G689"/>
    <hyperlink r:id="rId1917" ref="I689"/>
    <hyperlink r:id="rId1918" ref="K689"/>
    <hyperlink r:id="rId1919" ref="G690"/>
    <hyperlink r:id="rId1920" ref="J690"/>
    <hyperlink r:id="rId1921" ref="G691"/>
    <hyperlink r:id="rId1922" ref="I691"/>
    <hyperlink r:id="rId1923" ref="J691"/>
    <hyperlink r:id="rId1924" ref="K691"/>
    <hyperlink r:id="rId1925" location="/" ref="G692"/>
    <hyperlink r:id="rId1926" ref="G693"/>
    <hyperlink r:id="rId1927" ref="K693"/>
    <hyperlink r:id="rId1928" ref="G694"/>
    <hyperlink r:id="rId1929" ref="K694"/>
    <hyperlink r:id="rId1930" ref="G695"/>
    <hyperlink r:id="rId1931" ref="I695"/>
    <hyperlink r:id="rId1932" ref="J695"/>
    <hyperlink r:id="rId1933" ref="K695"/>
    <hyperlink r:id="rId1934" ref="M695"/>
    <hyperlink r:id="rId1935" ref="G696"/>
    <hyperlink r:id="rId1936" ref="J696"/>
    <hyperlink r:id="rId1937" ref="M696"/>
    <hyperlink r:id="rId1938" ref="G697"/>
    <hyperlink r:id="rId1939" ref="I697"/>
    <hyperlink r:id="rId1940" ref="J697"/>
    <hyperlink r:id="rId1941" ref="G698"/>
    <hyperlink r:id="rId1942" ref="I698"/>
    <hyperlink r:id="rId1943" ref="J698"/>
    <hyperlink r:id="rId1944" ref="K698"/>
    <hyperlink r:id="rId1945" ref="L698"/>
    <hyperlink r:id="rId1946" ref="G699"/>
    <hyperlink r:id="rId1947" ref="I699"/>
    <hyperlink r:id="rId1948" ref="J699"/>
    <hyperlink r:id="rId1949" ref="M699"/>
    <hyperlink r:id="rId1950" ref="G700"/>
    <hyperlink r:id="rId1951" ref="I700"/>
    <hyperlink r:id="rId1952" ref="J700"/>
    <hyperlink r:id="rId1953" ref="M700"/>
    <hyperlink r:id="rId1954" ref="G701"/>
    <hyperlink r:id="rId1955" ref="I701"/>
    <hyperlink r:id="rId1956" ref="J701"/>
    <hyperlink r:id="rId1957" ref="G702"/>
    <hyperlink r:id="rId1958" ref="I702"/>
    <hyperlink r:id="rId1959" ref="J702"/>
    <hyperlink r:id="rId1960" ref="G703"/>
    <hyperlink r:id="rId1961" ref="J703"/>
    <hyperlink r:id="rId1962" ref="G704"/>
    <hyperlink r:id="rId1963" ref="I704"/>
    <hyperlink r:id="rId1964" ref="J704"/>
    <hyperlink r:id="rId1965" ref="K704"/>
    <hyperlink r:id="rId1966" ref="G705"/>
    <hyperlink r:id="rId1967" ref="I705"/>
    <hyperlink r:id="rId1968" ref="J705"/>
    <hyperlink r:id="rId1969" ref="K705"/>
    <hyperlink r:id="rId1970" ref="G706"/>
    <hyperlink r:id="rId1971" ref="J706"/>
    <hyperlink r:id="rId1972" ref="K706"/>
    <hyperlink r:id="rId1973" ref="G707"/>
    <hyperlink r:id="rId1974" ref="I707"/>
    <hyperlink r:id="rId1975" ref="J707"/>
    <hyperlink r:id="rId1976" ref="G708"/>
    <hyperlink r:id="rId1977" ref="I708"/>
    <hyperlink r:id="rId1978" ref="M708"/>
    <hyperlink r:id="rId1979" ref="G709"/>
    <hyperlink r:id="rId1980" ref="G710"/>
    <hyperlink r:id="rId1981" ref="J710"/>
    <hyperlink r:id="rId1982" ref="G711"/>
    <hyperlink r:id="rId1983" ref="G712"/>
    <hyperlink r:id="rId1984" ref="I712"/>
    <hyperlink r:id="rId1985" ref="J712"/>
    <hyperlink r:id="rId1986" ref="G713"/>
    <hyperlink r:id="rId1987" ref="I713"/>
    <hyperlink r:id="rId1988" ref="J713"/>
    <hyperlink r:id="rId1989" ref="K713"/>
    <hyperlink r:id="rId1990" ref="G714"/>
    <hyperlink r:id="rId1991" ref="J714"/>
    <hyperlink r:id="rId1992" ref="K714"/>
    <hyperlink r:id="rId1993" ref="G715"/>
    <hyperlink r:id="rId1994" ref="I715"/>
    <hyperlink r:id="rId1995" ref="J715"/>
    <hyperlink r:id="rId1996" ref="K715"/>
    <hyperlink r:id="rId1997" ref="G716"/>
    <hyperlink r:id="rId1998" ref="I716"/>
    <hyperlink r:id="rId1999" ref="J716"/>
    <hyperlink r:id="rId2000" ref="K716"/>
    <hyperlink r:id="rId2001" ref="G717"/>
    <hyperlink r:id="rId2002" ref="K717"/>
    <hyperlink r:id="rId2003" ref="G718"/>
    <hyperlink r:id="rId2004" ref="K718"/>
    <hyperlink r:id="rId2005" ref="G719"/>
    <hyperlink r:id="rId2006" ref="G720"/>
    <hyperlink r:id="rId2007" ref="I720"/>
    <hyperlink r:id="rId2008" ref="J720"/>
    <hyperlink r:id="rId2009" ref="I721"/>
    <hyperlink r:id="rId2010" ref="K721"/>
    <hyperlink r:id="rId2011" ref="G722"/>
    <hyperlink r:id="rId2012" ref="I722"/>
    <hyperlink r:id="rId2013" ref="J722"/>
    <hyperlink r:id="rId2014" ref="G723"/>
    <hyperlink r:id="rId2015" ref="I723"/>
    <hyperlink r:id="rId2016" ref="J723"/>
    <hyperlink r:id="rId2017" ref="K723"/>
    <hyperlink r:id="rId2018" ref="G724"/>
    <hyperlink r:id="rId2019" ref="I724"/>
    <hyperlink r:id="rId2020" ref="J724"/>
    <hyperlink r:id="rId2021" ref="K724"/>
    <hyperlink r:id="rId2022" ref="G725"/>
    <hyperlink r:id="rId2023" ref="I725"/>
    <hyperlink r:id="rId2024" ref="K725"/>
    <hyperlink r:id="rId2025" ref="G726"/>
    <hyperlink r:id="rId2026" ref="K726"/>
    <hyperlink r:id="rId2027" ref="G727"/>
    <hyperlink r:id="rId2028" ref="K727"/>
    <hyperlink r:id="rId2029" ref="G728"/>
    <hyperlink r:id="rId2030" ref="I728"/>
    <hyperlink r:id="rId2031" ref="J728"/>
    <hyperlink r:id="rId2032" ref="K728"/>
    <hyperlink r:id="rId2033" ref="G729"/>
    <hyperlink r:id="rId2034" ref="K729"/>
    <hyperlink r:id="rId2035" ref="G730"/>
    <hyperlink r:id="rId2036" ref="I730"/>
    <hyperlink r:id="rId2037" ref="J730"/>
    <hyperlink r:id="rId2038" ref="G731"/>
    <hyperlink r:id="rId2039" ref="J731"/>
    <hyperlink r:id="rId2040" ref="G732"/>
    <hyperlink r:id="rId2041" ref="J732"/>
    <hyperlink r:id="rId2042" ref="G733"/>
    <hyperlink r:id="rId2043" ref="I733"/>
    <hyperlink r:id="rId2044" ref="J733"/>
    <hyperlink r:id="rId2045" ref="G734"/>
    <hyperlink r:id="rId2046" ref="J734"/>
    <hyperlink r:id="rId2047" ref="G735"/>
    <hyperlink r:id="rId2048" ref="I735"/>
    <hyperlink r:id="rId2049" ref="K735"/>
    <hyperlink r:id="rId2050" ref="G736"/>
    <hyperlink r:id="rId2051" ref="I736"/>
    <hyperlink r:id="rId2052" ref="K736"/>
    <hyperlink r:id="rId2053" ref="G737"/>
    <hyperlink r:id="rId2054" ref="I737"/>
    <hyperlink r:id="rId2055" ref="K737"/>
    <hyperlink r:id="rId2056" ref="G738"/>
    <hyperlink r:id="rId2057" ref="I738"/>
    <hyperlink r:id="rId2058" ref="J738"/>
    <hyperlink r:id="rId2059" ref="G739"/>
    <hyperlink r:id="rId2060" ref="K739"/>
    <hyperlink r:id="rId2061" ref="G740"/>
    <hyperlink r:id="rId2062" ref="K740"/>
    <hyperlink r:id="rId2063" ref="G741"/>
    <hyperlink r:id="rId2064" ref="I741"/>
    <hyperlink r:id="rId2065" ref="G742"/>
    <hyperlink r:id="rId2066" ref="I742"/>
    <hyperlink r:id="rId2067" ref="J742"/>
    <hyperlink r:id="rId2068" ref="K742"/>
    <hyperlink r:id="rId2069" ref="G743"/>
    <hyperlink r:id="rId2070" ref="I743"/>
    <hyperlink r:id="rId2071" ref="J743"/>
    <hyperlink r:id="rId2072" ref="G744"/>
    <hyperlink r:id="rId2073" ref="J744"/>
    <hyperlink r:id="rId2074" ref="K744"/>
    <hyperlink r:id="rId2075" ref="G745"/>
    <hyperlink r:id="rId2076" ref="I745"/>
    <hyperlink r:id="rId2077" ref="J745"/>
    <hyperlink r:id="rId2078" ref="K745"/>
    <hyperlink r:id="rId2079" ref="G746"/>
    <hyperlink r:id="rId2080" ref="I746"/>
    <hyperlink r:id="rId2081" ref="J746"/>
    <hyperlink r:id="rId2082" ref="K746"/>
    <hyperlink r:id="rId2083" ref="G747"/>
    <hyperlink r:id="rId2084" ref="I747"/>
    <hyperlink r:id="rId2085" ref="J747"/>
    <hyperlink r:id="rId2086" ref="G748"/>
    <hyperlink r:id="rId2087" ref="I748"/>
    <hyperlink r:id="rId2088" ref="K748"/>
    <hyperlink r:id="rId2089" ref="G749"/>
    <hyperlink r:id="rId2090" ref="J749"/>
    <hyperlink r:id="rId2091" ref="K749"/>
    <hyperlink r:id="rId2092" ref="G750"/>
    <hyperlink r:id="rId2093" ref="I750"/>
    <hyperlink r:id="rId2094" ref="J750"/>
    <hyperlink r:id="rId2095" ref="L750"/>
    <hyperlink r:id="rId2096" ref="G751"/>
    <hyperlink r:id="rId2097" ref="I751"/>
    <hyperlink r:id="rId2098" ref="J751"/>
    <hyperlink r:id="rId2099" ref="K751"/>
    <hyperlink r:id="rId2100" ref="J752"/>
    <hyperlink r:id="rId2101" ref="G753"/>
    <hyperlink r:id="rId2102" ref="J753"/>
    <hyperlink r:id="rId2103" ref="G754"/>
    <hyperlink r:id="rId2104" ref="K754"/>
    <hyperlink r:id="rId2105" ref="G755"/>
    <hyperlink r:id="rId2106" ref="I755"/>
    <hyperlink r:id="rId2107" ref="K755"/>
    <hyperlink r:id="rId2108" ref="G756"/>
    <hyperlink r:id="rId2109" ref="I756"/>
    <hyperlink r:id="rId2110" ref="J756"/>
    <hyperlink r:id="rId2111" ref="G757"/>
    <hyperlink r:id="rId2112" ref="K757"/>
    <hyperlink r:id="rId2113" ref="M757"/>
    <hyperlink r:id="rId2114" ref="G758"/>
    <hyperlink r:id="rId2115" ref="I758"/>
    <hyperlink r:id="rId2116" ref="J758"/>
    <hyperlink r:id="rId2117" ref="G759"/>
    <hyperlink r:id="rId2118" ref="I759"/>
    <hyperlink r:id="rId2119" ref="J759"/>
    <hyperlink r:id="rId2120" ref="G760"/>
    <hyperlink r:id="rId2121" ref="J760"/>
    <hyperlink r:id="rId2122" ref="G761"/>
    <hyperlink r:id="rId2123" ref="I761"/>
    <hyperlink r:id="rId2124" ref="J761"/>
    <hyperlink r:id="rId2125" ref="G762"/>
    <hyperlink r:id="rId2126" ref="G763"/>
    <hyperlink r:id="rId2127" ref="I763"/>
    <hyperlink r:id="rId2128" ref="K763"/>
    <hyperlink r:id="rId2129" ref="I764"/>
    <hyperlink r:id="rId2130" ref="G765"/>
    <hyperlink r:id="rId2131" ref="J765"/>
    <hyperlink r:id="rId2132" ref="K765"/>
    <hyperlink r:id="rId2133" ref="G766"/>
    <hyperlink r:id="rId2134" ref="I766"/>
    <hyperlink r:id="rId2135" ref="J766"/>
    <hyperlink r:id="rId2136" ref="G767"/>
    <hyperlink r:id="rId2137" ref="J767"/>
    <hyperlink r:id="rId2138" location="214" ref="G768"/>
    <hyperlink r:id="rId2139" ref="M768"/>
    <hyperlink r:id="rId2140" ref="G769"/>
    <hyperlink r:id="rId2141" ref="I769"/>
    <hyperlink r:id="rId2142" ref="J769"/>
    <hyperlink r:id="rId2143" ref="G770"/>
    <hyperlink r:id="rId2144" ref="I771"/>
    <hyperlink r:id="rId2145" ref="K771"/>
    <hyperlink r:id="rId2146" ref="G772"/>
    <hyperlink r:id="rId2147" ref="I772"/>
    <hyperlink r:id="rId2148" ref="J772"/>
    <hyperlink r:id="rId2149" ref="K772"/>
    <hyperlink r:id="rId2150" ref="G773"/>
    <hyperlink r:id="rId2151" ref="I773"/>
    <hyperlink r:id="rId2152" ref="J773"/>
    <hyperlink r:id="rId2153" ref="G774"/>
    <hyperlink r:id="rId2154" ref="I774"/>
    <hyperlink r:id="rId2155" ref="J774"/>
    <hyperlink r:id="rId2156" ref="K774"/>
    <hyperlink r:id="rId2157" ref="G775"/>
    <hyperlink r:id="rId2158" ref="I775"/>
    <hyperlink r:id="rId2159" ref="J775"/>
    <hyperlink r:id="rId2160" ref="G776"/>
    <hyperlink r:id="rId2161" ref="J776"/>
    <hyperlink r:id="rId2162" ref="K776"/>
    <hyperlink r:id="rId2163" ref="G777"/>
    <hyperlink r:id="rId2164" ref="K777"/>
    <hyperlink r:id="rId2165" ref="G778"/>
    <hyperlink r:id="rId2166" ref="I778"/>
    <hyperlink r:id="rId2167" ref="K778"/>
    <hyperlink r:id="rId2168" ref="G779"/>
    <hyperlink r:id="rId2169" ref="I779"/>
    <hyperlink r:id="rId2170" ref="J779"/>
    <hyperlink r:id="rId2171" ref="G780"/>
    <hyperlink r:id="rId2172" ref="J780"/>
    <hyperlink r:id="rId2173" ref="G781"/>
    <hyperlink r:id="rId2174" ref="I781"/>
    <hyperlink r:id="rId2175" ref="J781"/>
    <hyperlink r:id="rId2176" ref="L781"/>
    <hyperlink r:id="rId2177" ref="G782"/>
    <hyperlink r:id="rId2178" ref="J782"/>
    <hyperlink r:id="rId2179" ref="G783"/>
    <hyperlink r:id="rId2180" ref="J783"/>
    <hyperlink r:id="rId2181" ref="G784"/>
    <hyperlink r:id="rId2182" ref="J784"/>
    <hyperlink r:id="rId2183" ref="K784"/>
    <hyperlink r:id="rId2184" ref="M784"/>
    <hyperlink r:id="rId2185" ref="G785"/>
    <hyperlink r:id="rId2186" ref="I785"/>
    <hyperlink r:id="rId2187" ref="J785"/>
    <hyperlink r:id="rId2188" ref="K785"/>
    <hyperlink r:id="rId2189" ref="G786"/>
    <hyperlink r:id="rId2190" ref="I786"/>
    <hyperlink r:id="rId2191" ref="J786"/>
    <hyperlink r:id="rId2192" ref="K786"/>
    <hyperlink r:id="rId2193" ref="G787"/>
    <hyperlink r:id="rId2194" ref="I787"/>
    <hyperlink r:id="rId2195" ref="J787"/>
    <hyperlink r:id="rId2196" ref="K787"/>
    <hyperlink r:id="rId2197" ref="L787"/>
    <hyperlink r:id="rId2198" ref="G788"/>
    <hyperlink r:id="rId2199" ref="I788"/>
    <hyperlink r:id="rId2200" ref="J788"/>
    <hyperlink r:id="rId2201" ref="K788"/>
    <hyperlink r:id="rId2202" ref="G789"/>
    <hyperlink r:id="rId2203" ref="I789"/>
    <hyperlink r:id="rId2204" ref="J789"/>
    <hyperlink r:id="rId2205" ref="K789"/>
    <hyperlink r:id="rId2206" ref="G790"/>
    <hyperlink r:id="rId2207" ref="G791"/>
    <hyperlink r:id="rId2208" ref="G792"/>
    <hyperlink r:id="rId2209" ref="J792"/>
    <hyperlink r:id="rId2210" ref="G803"/>
    <hyperlink r:id="rId2211" ref="I803"/>
    <hyperlink r:id="rId2212" ref="J803"/>
    <hyperlink r:id="rId2213" ref="K803"/>
    <hyperlink r:id="rId2214" ref="M803"/>
    <hyperlink r:id="rId2215" ref="G804"/>
    <hyperlink r:id="rId2216" ref="I804"/>
    <hyperlink r:id="rId2217" ref="J804"/>
    <hyperlink r:id="rId2218" ref="K804"/>
    <hyperlink r:id="rId2219" ref="G805"/>
    <hyperlink r:id="rId2220" ref="I805"/>
    <hyperlink r:id="rId2221" ref="J805"/>
    <hyperlink r:id="rId2222" ref="K805"/>
    <hyperlink r:id="rId2223" ref="G806"/>
    <hyperlink r:id="rId2224" ref="K806"/>
    <hyperlink r:id="rId2225" ref="G807"/>
    <hyperlink r:id="rId2226" ref="J807"/>
    <hyperlink r:id="rId2227" ref="M807"/>
    <hyperlink r:id="rId2228" ref="I808"/>
    <hyperlink r:id="rId2229" ref="J808"/>
    <hyperlink r:id="rId2230" ref="G809"/>
    <hyperlink r:id="rId2231" ref="J809"/>
    <hyperlink r:id="rId2232" ref="K809"/>
    <hyperlink r:id="rId2233" ref="G810"/>
    <hyperlink r:id="rId2234" ref="J810"/>
    <hyperlink r:id="rId2235" ref="G811"/>
    <hyperlink r:id="rId2236" ref="I811"/>
    <hyperlink r:id="rId2237" ref="J811"/>
    <hyperlink r:id="rId2238" ref="G812"/>
    <hyperlink r:id="rId2239" ref="I812"/>
    <hyperlink r:id="rId2240" ref="J812"/>
    <hyperlink r:id="rId2241" ref="G813"/>
    <hyperlink r:id="rId2242" ref="J813"/>
    <hyperlink r:id="rId2243" ref="G814"/>
    <hyperlink r:id="rId2244" ref="I814"/>
    <hyperlink r:id="rId2245" ref="J814"/>
    <hyperlink r:id="rId2246" ref="L814"/>
    <hyperlink r:id="rId2247" ref="M814"/>
    <hyperlink r:id="rId2248" ref="G815"/>
    <hyperlink r:id="rId2249" ref="I815"/>
    <hyperlink r:id="rId2250" ref="J815"/>
  </hyperlinks>
  <drawing r:id="rId2251"/>
  <legacyDrawing r:id="rId225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0E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2.63"/>
    <col customWidth="1" min="3" max="3" width="20.88"/>
    <col hidden="1" min="4" max="4" width="12.63"/>
    <col customWidth="1" min="5" max="5" width="31.25"/>
    <col customWidth="1" min="6" max="7" width="22.13"/>
    <col customWidth="1" min="8" max="8" width="31.5"/>
    <col hidden="1" min="9" max="9" width="12.63"/>
    <col customWidth="1" min="11" max="12" width="5.88"/>
  </cols>
  <sheetData>
    <row r="1" ht="30.0" customHeight="1">
      <c r="A1" s="51" t="s">
        <v>2821</v>
      </c>
      <c r="B1" s="53" t="s">
        <v>11</v>
      </c>
      <c r="C1" s="53" t="s">
        <v>38</v>
      </c>
      <c r="D1" s="460"/>
      <c r="E1" s="53" t="s">
        <v>2822</v>
      </c>
      <c r="F1" s="461" t="s">
        <v>44</v>
      </c>
      <c r="G1" s="51" t="s">
        <v>45</v>
      </c>
      <c r="H1" s="51" t="s">
        <v>111</v>
      </c>
      <c r="I1" s="460"/>
      <c r="J1" s="51" t="s">
        <v>48</v>
      </c>
      <c r="K1" s="51" t="s">
        <v>49</v>
      </c>
      <c r="L1" s="51" t="s">
        <v>111</v>
      </c>
      <c r="M1" s="462" t="s">
        <v>2823</v>
      </c>
      <c r="N1" s="462" t="s">
        <v>52</v>
      </c>
      <c r="O1" s="462" t="s">
        <v>53</v>
      </c>
      <c r="P1" s="462" t="s">
        <v>54</v>
      </c>
      <c r="Q1" s="462" t="s">
        <v>55</v>
      </c>
      <c r="R1" s="462" t="s">
        <v>56</v>
      </c>
      <c r="S1" s="463" t="s">
        <v>2824</v>
      </c>
      <c r="T1" s="463" t="s">
        <v>2825</v>
      </c>
      <c r="U1" s="463" t="s">
        <v>47</v>
      </c>
    </row>
    <row r="2">
      <c r="A2" s="464">
        <f t="array" ref="A2:A988">IF(B2:B988&lt;&gt;"", ROW(B2:B988)-1, "")</f>
        <v>1</v>
      </c>
      <c r="B2" s="465" t="s">
        <v>20</v>
      </c>
      <c r="C2" s="466" t="s">
        <v>2826</v>
      </c>
      <c r="D2" s="467" t="s">
        <v>89</v>
      </c>
      <c r="E2" s="468" t="s">
        <v>2827</v>
      </c>
      <c r="F2" s="469" t="s">
        <v>2828</v>
      </c>
      <c r="G2" s="470"/>
      <c r="H2" s="471" t="s">
        <v>2829</v>
      </c>
      <c r="I2" s="472" t="s">
        <v>93</v>
      </c>
      <c r="J2" s="112"/>
      <c r="K2" s="473">
        <v>0.0</v>
      </c>
      <c r="L2" s="473">
        <v>1.0</v>
      </c>
      <c r="M2" s="474">
        <v>46108.0</v>
      </c>
      <c r="N2" s="67" t="s">
        <v>139</v>
      </c>
      <c r="O2" s="352" t="s">
        <v>218</v>
      </c>
      <c r="P2" s="320"/>
      <c r="Q2" s="112"/>
      <c r="R2" s="475"/>
      <c r="S2" s="476"/>
      <c r="T2" s="112"/>
      <c r="U2" s="477"/>
      <c r="W2" s="403"/>
      <c r="X2" s="403"/>
    </row>
    <row r="3">
      <c r="A3" s="464">
        <v>2.0</v>
      </c>
      <c r="B3" s="465" t="s">
        <v>20</v>
      </c>
      <c r="C3" s="466" t="s">
        <v>2826</v>
      </c>
      <c r="D3" s="478" t="s">
        <v>77</v>
      </c>
      <c r="E3" s="468" t="s">
        <v>2830</v>
      </c>
      <c r="F3" s="469" t="s">
        <v>2831</v>
      </c>
      <c r="G3" s="479"/>
      <c r="H3" s="471" t="s">
        <v>2832</v>
      </c>
      <c r="I3" s="472" t="s">
        <v>93</v>
      </c>
      <c r="J3" s="320"/>
      <c r="K3" s="473">
        <v>0.0</v>
      </c>
      <c r="L3" s="473">
        <v>1.0</v>
      </c>
      <c r="M3" s="474">
        <v>46108.0</v>
      </c>
      <c r="N3" s="67" t="s">
        <v>139</v>
      </c>
      <c r="O3" s="352" t="s">
        <v>218</v>
      </c>
      <c r="P3" s="320"/>
      <c r="Q3" s="112"/>
      <c r="R3" s="475"/>
      <c r="S3" s="476"/>
      <c r="T3" s="112"/>
      <c r="U3" s="477"/>
      <c r="W3" s="403"/>
      <c r="X3" s="403"/>
    </row>
    <row r="4">
      <c r="A4" s="464">
        <v>3.0</v>
      </c>
      <c r="B4" s="465" t="s">
        <v>20</v>
      </c>
      <c r="C4" s="466" t="s">
        <v>2826</v>
      </c>
      <c r="E4" s="468" t="s">
        <v>2833</v>
      </c>
      <c r="F4" s="469" t="s">
        <v>2834</v>
      </c>
      <c r="G4" s="470"/>
      <c r="H4" s="471" t="s">
        <v>2835</v>
      </c>
      <c r="I4" s="480"/>
      <c r="J4" s="320"/>
      <c r="K4" s="473">
        <v>0.0</v>
      </c>
      <c r="L4" s="473">
        <v>1.0</v>
      </c>
      <c r="M4" s="474">
        <v>46108.0</v>
      </c>
      <c r="N4" s="67" t="s">
        <v>139</v>
      </c>
      <c r="O4" s="352" t="s">
        <v>218</v>
      </c>
      <c r="P4" s="320"/>
      <c r="Q4" s="112"/>
      <c r="R4" s="475"/>
      <c r="S4" s="476"/>
      <c r="T4" s="112"/>
      <c r="U4" s="477"/>
      <c r="W4" s="403"/>
      <c r="X4" s="403"/>
    </row>
    <row r="5">
      <c r="A5" s="464">
        <v>4.0</v>
      </c>
      <c r="B5" s="465" t="s">
        <v>20</v>
      </c>
      <c r="C5" s="466" t="s">
        <v>2826</v>
      </c>
      <c r="D5" s="467" t="s">
        <v>61</v>
      </c>
      <c r="E5" s="468" t="s">
        <v>2836</v>
      </c>
      <c r="F5" s="469" t="s">
        <v>2837</v>
      </c>
      <c r="G5" s="470"/>
      <c r="H5" s="471" t="s">
        <v>2838</v>
      </c>
      <c r="I5" s="481" t="s">
        <v>107</v>
      </c>
      <c r="J5" s="320"/>
      <c r="K5" s="473">
        <v>0.0</v>
      </c>
      <c r="L5" s="473">
        <v>1.0</v>
      </c>
      <c r="M5" s="474">
        <v>46108.0</v>
      </c>
      <c r="N5" s="67" t="s">
        <v>139</v>
      </c>
      <c r="O5" s="352" t="s">
        <v>218</v>
      </c>
      <c r="P5" s="320"/>
      <c r="Q5" s="112"/>
      <c r="R5" s="475"/>
      <c r="S5" s="476"/>
      <c r="T5" s="112"/>
      <c r="U5" s="477"/>
      <c r="W5" s="403"/>
      <c r="X5" s="403"/>
    </row>
    <row r="6">
      <c r="A6" s="464">
        <v>5.0</v>
      </c>
      <c r="B6" s="465" t="s">
        <v>20</v>
      </c>
      <c r="C6" s="466" t="s">
        <v>2826</v>
      </c>
      <c r="D6" s="467" t="s">
        <v>109</v>
      </c>
      <c r="E6" s="468" t="s">
        <v>2839</v>
      </c>
      <c r="F6" s="469" t="s">
        <v>2840</v>
      </c>
      <c r="G6" s="482"/>
      <c r="H6" s="471" t="s">
        <v>2841</v>
      </c>
      <c r="I6" s="481" t="s">
        <v>111</v>
      </c>
      <c r="J6" s="320"/>
      <c r="K6" s="473">
        <v>0.0</v>
      </c>
      <c r="L6" s="473">
        <v>1.0</v>
      </c>
      <c r="M6" s="474">
        <v>46108.0</v>
      </c>
      <c r="N6" s="67" t="s">
        <v>139</v>
      </c>
      <c r="O6" s="352" t="s">
        <v>218</v>
      </c>
      <c r="P6" s="320"/>
      <c r="Q6" s="112"/>
      <c r="R6" s="475"/>
      <c r="S6" s="476"/>
      <c r="T6" s="112"/>
      <c r="U6" s="477"/>
      <c r="W6" s="403"/>
      <c r="X6" s="403"/>
    </row>
    <row r="7">
      <c r="A7" s="464">
        <v>6.0</v>
      </c>
      <c r="B7" s="465" t="s">
        <v>20</v>
      </c>
      <c r="C7" s="466" t="s">
        <v>2826</v>
      </c>
      <c r="D7" s="467" t="s">
        <v>113</v>
      </c>
      <c r="E7" s="468" t="s">
        <v>2842</v>
      </c>
      <c r="F7" s="469" t="s">
        <v>2843</v>
      </c>
      <c r="G7" s="479"/>
      <c r="H7" s="471" t="s">
        <v>2844</v>
      </c>
      <c r="I7" s="480"/>
      <c r="J7" s="320"/>
      <c r="K7" s="473">
        <v>0.0</v>
      </c>
      <c r="L7" s="473">
        <v>1.0</v>
      </c>
      <c r="M7" s="474">
        <v>46108.0</v>
      </c>
      <c r="N7" s="67" t="s">
        <v>139</v>
      </c>
      <c r="O7" s="352" t="s">
        <v>218</v>
      </c>
      <c r="P7" s="320"/>
      <c r="Q7" s="112"/>
      <c r="R7" s="475"/>
      <c r="S7" s="476"/>
      <c r="T7" s="112"/>
      <c r="U7" s="477"/>
      <c r="W7" s="403"/>
      <c r="X7" s="403"/>
    </row>
    <row r="8">
      <c r="A8" s="464">
        <v>7.0</v>
      </c>
      <c r="B8" s="465" t="s">
        <v>20</v>
      </c>
      <c r="C8" s="466" t="s">
        <v>2826</v>
      </c>
      <c r="D8" s="467" t="s">
        <v>122</v>
      </c>
      <c r="E8" s="468" t="s">
        <v>2845</v>
      </c>
      <c r="F8" s="469" t="s">
        <v>2846</v>
      </c>
      <c r="G8" s="479"/>
      <c r="H8" s="471" t="s">
        <v>2847</v>
      </c>
      <c r="I8" s="480"/>
      <c r="J8" s="320"/>
      <c r="K8" s="473">
        <v>0.0</v>
      </c>
      <c r="L8" s="473">
        <v>1.0</v>
      </c>
      <c r="M8" s="474">
        <v>46108.0</v>
      </c>
      <c r="N8" s="67" t="s">
        <v>139</v>
      </c>
      <c r="O8" s="352" t="s">
        <v>218</v>
      </c>
      <c r="P8" s="320"/>
      <c r="Q8" s="112"/>
      <c r="R8" s="475"/>
      <c r="S8" s="476"/>
      <c r="T8" s="112"/>
      <c r="U8" s="477"/>
      <c r="W8" s="403"/>
      <c r="X8" s="403"/>
    </row>
    <row r="9">
      <c r="A9" s="464">
        <v>8.0</v>
      </c>
      <c r="B9" s="465" t="s">
        <v>23</v>
      </c>
      <c r="C9" s="466" t="s">
        <v>2826</v>
      </c>
      <c r="D9" s="467" t="s">
        <v>109</v>
      </c>
      <c r="E9" s="468" t="s">
        <v>2848</v>
      </c>
      <c r="F9" s="469" t="s">
        <v>2849</v>
      </c>
      <c r="G9" s="479"/>
      <c r="H9" s="471"/>
      <c r="I9" s="472" t="s">
        <v>132</v>
      </c>
      <c r="J9" s="483"/>
      <c r="K9" s="484">
        <v>0.0</v>
      </c>
      <c r="L9" s="484">
        <v>1.0</v>
      </c>
      <c r="M9" s="485">
        <v>46108.0</v>
      </c>
      <c r="N9" s="486"/>
      <c r="O9" s="487"/>
      <c r="P9" s="483"/>
      <c r="Q9" s="487"/>
      <c r="R9" s="488"/>
      <c r="S9" s="489"/>
      <c r="T9" s="487"/>
      <c r="U9" s="490"/>
      <c r="W9" s="403"/>
      <c r="X9" s="403"/>
    </row>
    <row r="10">
      <c r="A10" s="491">
        <v>9.0</v>
      </c>
      <c r="B10" s="465" t="s">
        <v>20</v>
      </c>
      <c r="C10" s="466" t="s">
        <v>2826</v>
      </c>
      <c r="D10" s="492" t="s">
        <v>77</v>
      </c>
      <c r="E10" s="468" t="s">
        <v>2850</v>
      </c>
      <c r="F10" s="469" t="s">
        <v>2851</v>
      </c>
      <c r="G10" s="493"/>
      <c r="H10" s="471" t="s">
        <v>2852</v>
      </c>
      <c r="I10" s="494"/>
      <c r="J10" s="495"/>
      <c r="K10" s="473">
        <v>0.0</v>
      </c>
      <c r="L10" s="473">
        <v>1.0</v>
      </c>
      <c r="M10" s="474">
        <v>46108.0</v>
      </c>
      <c r="N10" s="67" t="s">
        <v>139</v>
      </c>
      <c r="O10" s="352" t="s">
        <v>218</v>
      </c>
      <c r="P10" s="476"/>
      <c r="Q10" s="476"/>
      <c r="R10" s="476"/>
      <c r="S10" s="476"/>
      <c r="T10" s="476"/>
      <c r="U10" s="496"/>
    </row>
    <row r="11">
      <c r="A11" s="491">
        <v>10.0</v>
      </c>
      <c r="B11" s="465" t="s">
        <v>20</v>
      </c>
      <c r="C11" s="466" t="s">
        <v>2826</v>
      </c>
      <c r="D11" s="492" t="s">
        <v>69</v>
      </c>
      <c r="E11" s="468" t="s">
        <v>2853</v>
      </c>
      <c r="F11" s="469" t="s">
        <v>2854</v>
      </c>
      <c r="G11" s="493"/>
      <c r="H11" s="471" t="s">
        <v>2855</v>
      </c>
      <c r="I11" s="497" t="s">
        <v>182</v>
      </c>
      <c r="J11" s="495"/>
      <c r="K11" s="473">
        <v>0.0</v>
      </c>
      <c r="L11" s="473">
        <v>1.0</v>
      </c>
      <c r="M11" s="474">
        <v>46108.0</v>
      </c>
      <c r="N11" s="67" t="s">
        <v>139</v>
      </c>
      <c r="O11" s="352" t="s">
        <v>218</v>
      </c>
      <c r="P11" s="476"/>
      <c r="Q11" s="476"/>
      <c r="R11" s="476"/>
      <c r="S11" s="476"/>
      <c r="T11" s="476"/>
      <c r="U11" s="496"/>
    </row>
    <row r="12">
      <c r="A12" s="491">
        <v>11.0</v>
      </c>
      <c r="B12" s="465" t="s">
        <v>20</v>
      </c>
      <c r="C12" s="466" t="s">
        <v>2826</v>
      </c>
      <c r="D12" s="492" t="s">
        <v>89</v>
      </c>
      <c r="E12" s="468" t="s">
        <v>2856</v>
      </c>
      <c r="F12" s="469" t="s">
        <v>2857</v>
      </c>
      <c r="G12" s="493"/>
      <c r="H12" s="471" t="s">
        <v>2858</v>
      </c>
      <c r="I12" s="494"/>
      <c r="J12" s="495"/>
      <c r="K12" s="473">
        <v>0.0</v>
      </c>
      <c r="L12" s="473">
        <v>1.0</v>
      </c>
      <c r="M12" s="474">
        <v>46108.0</v>
      </c>
      <c r="N12" s="67" t="s">
        <v>139</v>
      </c>
      <c r="O12" s="352" t="s">
        <v>218</v>
      </c>
      <c r="P12" s="476"/>
      <c r="Q12" s="476"/>
      <c r="R12" s="476"/>
      <c r="S12" s="476"/>
      <c r="T12" s="476"/>
      <c r="U12" s="496"/>
    </row>
    <row r="13">
      <c r="A13" s="491">
        <v>12.0</v>
      </c>
      <c r="B13" s="465" t="s">
        <v>20</v>
      </c>
      <c r="C13" s="466" t="s">
        <v>2826</v>
      </c>
      <c r="D13" s="492" t="s">
        <v>69</v>
      </c>
      <c r="E13" s="468" t="s">
        <v>2859</v>
      </c>
      <c r="F13" s="469" t="s">
        <v>2860</v>
      </c>
      <c r="G13" s="493"/>
      <c r="H13" s="471" t="s">
        <v>2861</v>
      </c>
      <c r="I13" s="494"/>
      <c r="J13" s="495"/>
      <c r="K13" s="473">
        <v>0.0</v>
      </c>
      <c r="L13" s="473">
        <v>1.0</v>
      </c>
      <c r="M13" s="474">
        <v>46108.0</v>
      </c>
      <c r="N13" s="67" t="s">
        <v>139</v>
      </c>
      <c r="O13" s="352" t="s">
        <v>218</v>
      </c>
      <c r="P13" s="476"/>
      <c r="Q13" s="476"/>
      <c r="R13" s="476"/>
      <c r="S13" s="476"/>
      <c r="T13" s="476"/>
      <c r="U13" s="496"/>
    </row>
    <row r="14">
      <c r="A14" s="491">
        <v>13.0</v>
      </c>
      <c r="B14" s="465" t="s">
        <v>20</v>
      </c>
      <c r="C14" s="466" t="s">
        <v>2826</v>
      </c>
      <c r="D14" s="492" t="s">
        <v>69</v>
      </c>
      <c r="E14" s="468" t="s">
        <v>2862</v>
      </c>
      <c r="F14" s="469" t="s">
        <v>2863</v>
      </c>
      <c r="G14" s="493"/>
      <c r="H14" s="471" t="s">
        <v>2864</v>
      </c>
      <c r="I14" s="494"/>
      <c r="J14" s="495"/>
      <c r="K14" s="473">
        <v>0.0</v>
      </c>
      <c r="L14" s="473">
        <v>1.0</v>
      </c>
      <c r="M14" s="474">
        <v>46108.0</v>
      </c>
      <c r="N14" s="67" t="s">
        <v>139</v>
      </c>
      <c r="O14" s="352" t="s">
        <v>218</v>
      </c>
      <c r="P14" s="476"/>
      <c r="Q14" s="476"/>
      <c r="R14" s="476"/>
      <c r="S14" s="476"/>
      <c r="T14" s="476"/>
      <c r="U14" s="496"/>
    </row>
    <row r="15">
      <c r="A15" s="491">
        <v>14.0</v>
      </c>
      <c r="B15" s="465" t="s">
        <v>20</v>
      </c>
      <c r="C15" s="466" t="s">
        <v>2826</v>
      </c>
      <c r="D15" s="492" t="s">
        <v>69</v>
      </c>
      <c r="E15" s="468" t="s">
        <v>2865</v>
      </c>
      <c r="F15" s="469" t="s">
        <v>2866</v>
      </c>
      <c r="G15" s="493"/>
      <c r="H15" s="471" t="s">
        <v>2867</v>
      </c>
      <c r="I15" s="494"/>
      <c r="J15" s="495"/>
      <c r="K15" s="473">
        <v>0.0</v>
      </c>
      <c r="L15" s="473">
        <v>1.0</v>
      </c>
      <c r="M15" s="474">
        <v>46108.0</v>
      </c>
      <c r="N15" s="67" t="s">
        <v>139</v>
      </c>
      <c r="O15" s="352" t="s">
        <v>218</v>
      </c>
      <c r="P15" s="476"/>
      <c r="Q15" s="476"/>
      <c r="R15" s="476"/>
      <c r="S15" s="476"/>
      <c r="T15" s="476"/>
      <c r="U15" s="496"/>
    </row>
    <row r="16">
      <c r="A16" s="491">
        <v>15.0</v>
      </c>
      <c r="B16" s="465" t="s">
        <v>20</v>
      </c>
      <c r="C16" s="466" t="s">
        <v>2826</v>
      </c>
      <c r="D16" s="492" t="s">
        <v>260</v>
      </c>
      <c r="E16" s="468" t="s">
        <v>2868</v>
      </c>
      <c r="F16" s="469" t="s">
        <v>2869</v>
      </c>
      <c r="G16" s="498"/>
      <c r="H16" s="471" t="s">
        <v>2870</v>
      </c>
      <c r="I16" s="494"/>
      <c r="J16" s="495"/>
      <c r="K16" s="473">
        <v>0.0</v>
      </c>
      <c r="L16" s="473">
        <v>1.0</v>
      </c>
      <c r="M16" s="474">
        <v>46108.0</v>
      </c>
      <c r="N16" s="67" t="s">
        <v>139</v>
      </c>
      <c r="O16" s="352" t="s">
        <v>218</v>
      </c>
      <c r="P16" s="476"/>
      <c r="Q16" s="476"/>
      <c r="R16" s="476"/>
      <c r="S16" s="476"/>
      <c r="T16" s="476"/>
      <c r="U16" s="496"/>
    </row>
    <row r="17">
      <c r="A17" s="491">
        <v>16.0</v>
      </c>
      <c r="B17" s="465" t="s">
        <v>20</v>
      </c>
      <c r="C17" s="466" t="s">
        <v>2826</v>
      </c>
      <c r="D17" s="492" t="s">
        <v>405</v>
      </c>
      <c r="E17" s="468" t="s">
        <v>2871</v>
      </c>
      <c r="F17" s="469" t="s">
        <v>2872</v>
      </c>
      <c r="G17" s="493"/>
      <c r="H17" s="471" t="s">
        <v>2873</v>
      </c>
      <c r="I17" s="497" t="s">
        <v>411</v>
      </c>
      <c r="J17" s="495"/>
      <c r="K17" s="473">
        <v>0.0</v>
      </c>
      <c r="L17" s="473">
        <v>1.0</v>
      </c>
      <c r="M17" s="474">
        <v>46108.0</v>
      </c>
      <c r="N17" s="67" t="s">
        <v>139</v>
      </c>
      <c r="O17" s="352" t="s">
        <v>218</v>
      </c>
      <c r="P17" s="476"/>
      <c r="Q17" s="476"/>
      <c r="R17" s="476"/>
      <c r="S17" s="476"/>
      <c r="T17" s="476"/>
      <c r="U17" s="496"/>
    </row>
    <row r="18">
      <c r="A18" s="491">
        <v>17.0</v>
      </c>
      <c r="B18" s="465" t="s">
        <v>20</v>
      </c>
      <c r="C18" s="466" t="s">
        <v>2826</v>
      </c>
      <c r="D18" s="492" t="s">
        <v>429</v>
      </c>
      <c r="E18" s="468" t="s">
        <v>2874</v>
      </c>
      <c r="F18" s="469" t="s">
        <v>2875</v>
      </c>
      <c r="G18" s="493"/>
      <c r="H18" s="471" t="s">
        <v>2876</v>
      </c>
      <c r="I18" s="494"/>
      <c r="J18" s="495"/>
      <c r="K18" s="473">
        <v>0.0</v>
      </c>
      <c r="L18" s="473">
        <v>1.0</v>
      </c>
      <c r="M18" s="474">
        <v>46108.0</v>
      </c>
      <c r="N18" s="67" t="s">
        <v>139</v>
      </c>
      <c r="O18" s="352" t="s">
        <v>218</v>
      </c>
      <c r="P18" s="476"/>
      <c r="Q18" s="476"/>
      <c r="R18" s="476"/>
      <c r="S18" s="476"/>
      <c r="T18" s="476"/>
      <c r="U18" s="496"/>
    </row>
    <row r="19">
      <c r="A19" s="491">
        <v>18.0</v>
      </c>
      <c r="B19" s="465" t="s">
        <v>20</v>
      </c>
      <c r="C19" s="466" t="s">
        <v>2826</v>
      </c>
      <c r="D19" s="492" t="s">
        <v>89</v>
      </c>
      <c r="E19" s="468" t="s">
        <v>2877</v>
      </c>
      <c r="F19" s="469" t="s">
        <v>2878</v>
      </c>
      <c r="G19" s="498"/>
      <c r="H19" s="471" t="s">
        <v>2879</v>
      </c>
      <c r="I19" s="494"/>
      <c r="J19" s="495"/>
      <c r="K19" s="473">
        <v>0.0</v>
      </c>
      <c r="L19" s="473">
        <v>1.0</v>
      </c>
      <c r="M19" s="474">
        <v>46108.0</v>
      </c>
      <c r="N19" s="67" t="s">
        <v>139</v>
      </c>
      <c r="O19" s="352" t="s">
        <v>218</v>
      </c>
      <c r="P19" s="476"/>
      <c r="Q19" s="476"/>
      <c r="R19" s="476"/>
      <c r="S19" s="476"/>
      <c r="T19" s="476"/>
      <c r="U19" s="496"/>
    </row>
    <row r="20">
      <c r="A20" s="491">
        <v>19.0</v>
      </c>
      <c r="B20" s="465" t="s">
        <v>20</v>
      </c>
      <c r="C20" s="466" t="s">
        <v>2826</v>
      </c>
      <c r="D20" s="492" t="s">
        <v>109</v>
      </c>
      <c r="E20" s="468" t="s">
        <v>2880</v>
      </c>
      <c r="F20" s="469" t="s">
        <v>2881</v>
      </c>
      <c r="G20" s="493"/>
      <c r="H20" s="471" t="s">
        <v>2882</v>
      </c>
      <c r="I20" s="494"/>
      <c r="J20" s="495"/>
      <c r="K20" s="473">
        <v>0.0</v>
      </c>
      <c r="L20" s="473">
        <v>1.0</v>
      </c>
      <c r="M20" s="474">
        <v>46108.0</v>
      </c>
      <c r="N20" s="67" t="s">
        <v>139</v>
      </c>
      <c r="O20" s="352" t="s">
        <v>218</v>
      </c>
      <c r="P20" s="476"/>
      <c r="Q20" s="476"/>
      <c r="R20" s="476"/>
      <c r="S20" s="476"/>
      <c r="T20" s="476"/>
      <c r="U20" s="496"/>
    </row>
    <row r="21">
      <c r="A21" s="491">
        <v>20.0</v>
      </c>
      <c r="B21" s="465" t="s">
        <v>20</v>
      </c>
      <c r="C21" s="466" t="s">
        <v>2826</v>
      </c>
      <c r="D21" s="492" t="s">
        <v>89</v>
      </c>
      <c r="E21" s="468" t="s">
        <v>2883</v>
      </c>
      <c r="F21" s="469" t="s">
        <v>2884</v>
      </c>
      <c r="G21" s="498"/>
      <c r="H21" s="471" t="s">
        <v>2885</v>
      </c>
      <c r="I21" s="494"/>
      <c r="J21" s="495"/>
      <c r="K21" s="473">
        <v>0.0</v>
      </c>
      <c r="L21" s="473">
        <v>1.0</v>
      </c>
      <c r="M21" s="474">
        <v>46108.0</v>
      </c>
      <c r="N21" s="67" t="s">
        <v>139</v>
      </c>
      <c r="O21" s="352" t="s">
        <v>218</v>
      </c>
      <c r="P21" s="476"/>
      <c r="Q21" s="476"/>
      <c r="R21" s="476"/>
      <c r="S21" s="476"/>
      <c r="T21" s="476"/>
      <c r="U21" s="496"/>
    </row>
    <row r="22">
      <c r="A22" s="491">
        <v>21.0</v>
      </c>
      <c r="B22" s="465" t="s">
        <v>20</v>
      </c>
      <c r="C22" s="466" t="s">
        <v>2826</v>
      </c>
      <c r="D22" s="492" t="s">
        <v>89</v>
      </c>
      <c r="E22" s="468" t="s">
        <v>2886</v>
      </c>
      <c r="F22" s="469" t="s">
        <v>2887</v>
      </c>
      <c r="G22" s="498"/>
      <c r="H22" s="471" t="s">
        <v>2888</v>
      </c>
      <c r="I22" s="494"/>
      <c r="J22" s="495"/>
      <c r="K22" s="473">
        <v>0.0</v>
      </c>
      <c r="L22" s="473">
        <v>1.0</v>
      </c>
      <c r="M22" s="474">
        <v>46108.0</v>
      </c>
      <c r="N22" s="67" t="s">
        <v>139</v>
      </c>
      <c r="O22" s="352" t="s">
        <v>218</v>
      </c>
      <c r="P22" s="476"/>
      <c r="Q22" s="476"/>
      <c r="R22" s="476"/>
      <c r="S22" s="476"/>
      <c r="T22" s="476"/>
      <c r="U22" s="496"/>
    </row>
    <row r="23">
      <c r="A23" s="491">
        <v>22.0</v>
      </c>
      <c r="B23" s="465" t="s">
        <v>20</v>
      </c>
      <c r="C23" s="466" t="s">
        <v>2826</v>
      </c>
      <c r="D23" s="492" t="s">
        <v>494</v>
      </c>
      <c r="E23" s="468" t="s">
        <v>2889</v>
      </c>
      <c r="F23" s="469" t="s">
        <v>2890</v>
      </c>
      <c r="G23" s="498"/>
      <c r="H23" s="471" t="s">
        <v>2891</v>
      </c>
      <c r="I23" s="497" t="s">
        <v>512</v>
      </c>
      <c r="J23" s="495"/>
      <c r="K23" s="473">
        <v>0.0</v>
      </c>
      <c r="L23" s="473">
        <v>1.0</v>
      </c>
      <c r="M23" s="474">
        <v>46108.0</v>
      </c>
      <c r="N23" s="67" t="s">
        <v>139</v>
      </c>
      <c r="O23" s="352" t="s">
        <v>218</v>
      </c>
      <c r="P23" s="476"/>
      <c r="Q23" s="476"/>
      <c r="R23" s="476"/>
      <c r="S23" s="476"/>
      <c r="T23" s="476"/>
      <c r="U23" s="496"/>
    </row>
    <row r="24">
      <c r="A24" s="491">
        <v>23.0</v>
      </c>
      <c r="B24" s="465" t="s">
        <v>20</v>
      </c>
      <c r="C24" s="466" t="s">
        <v>2826</v>
      </c>
      <c r="D24" s="492" t="s">
        <v>494</v>
      </c>
      <c r="E24" s="468" t="s">
        <v>2892</v>
      </c>
      <c r="F24" s="469" t="s">
        <v>2893</v>
      </c>
      <c r="G24" s="498"/>
      <c r="H24" s="471" t="s">
        <v>2894</v>
      </c>
      <c r="I24" s="497" t="s">
        <v>512</v>
      </c>
      <c r="J24" s="495"/>
      <c r="K24" s="473">
        <v>0.0</v>
      </c>
      <c r="L24" s="473">
        <v>1.0</v>
      </c>
      <c r="M24" s="474">
        <v>46108.0</v>
      </c>
      <c r="N24" s="67" t="s">
        <v>139</v>
      </c>
      <c r="O24" s="352" t="s">
        <v>218</v>
      </c>
      <c r="P24" s="476"/>
      <c r="Q24" s="476"/>
      <c r="R24" s="476"/>
      <c r="S24" s="476"/>
      <c r="T24" s="476"/>
      <c r="U24" s="496"/>
    </row>
    <row r="25">
      <c r="A25" s="491">
        <v>24.0</v>
      </c>
      <c r="B25" s="465" t="s">
        <v>20</v>
      </c>
      <c r="C25" s="466" t="s">
        <v>2826</v>
      </c>
      <c r="D25" s="492" t="s">
        <v>531</v>
      </c>
      <c r="E25" s="468" t="s">
        <v>2895</v>
      </c>
      <c r="F25" s="469" t="s">
        <v>2896</v>
      </c>
      <c r="G25" s="498"/>
      <c r="H25" s="471" t="s">
        <v>2897</v>
      </c>
      <c r="I25" s="497" t="s">
        <v>542</v>
      </c>
      <c r="J25" s="495"/>
      <c r="K25" s="473">
        <v>0.0</v>
      </c>
      <c r="L25" s="473">
        <v>1.0</v>
      </c>
      <c r="M25" s="474">
        <v>46108.0</v>
      </c>
      <c r="N25" s="67" t="s">
        <v>139</v>
      </c>
      <c r="O25" s="352" t="s">
        <v>218</v>
      </c>
      <c r="P25" s="476"/>
      <c r="Q25" s="476"/>
      <c r="R25" s="476"/>
      <c r="S25" s="476"/>
      <c r="T25" s="476"/>
      <c r="U25" s="496"/>
    </row>
    <row r="26">
      <c r="A26" s="491">
        <v>25.0</v>
      </c>
      <c r="B26" s="465" t="s">
        <v>20</v>
      </c>
      <c r="C26" s="466" t="s">
        <v>2826</v>
      </c>
      <c r="D26" s="492" t="s">
        <v>494</v>
      </c>
      <c r="E26" s="468" t="s">
        <v>2898</v>
      </c>
      <c r="F26" s="469" t="s">
        <v>2899</v>
      </c>
      <c r="G26" s="493"/>
      <c r="H26" s="471" t="s">
        <v>2900</v>
      </c>
      <c r="I26" s="497" t="s">
        <v>550</v>
      </c>
      <c r="J26" s="495"/>
      <c r="K26" s="473">
        <v>0.0</v>
      </c>
      <c r="L26" s="473">
        <v>1.0</v>
      </c>
      <c r="M26" s="474">
        <v>46108.0</v>
      </c>
      <c r="N26" s="67" t="s">
        <v>139</v>
      </c>
      <c r="O26" s="352" t="s">
        <v>218</v>
      </c>
      <c r="P26" s="476"/>
      <c r="Q26" s="476"/>
      <c r="R26" s="476"/>
      <c r="S26" s="476"/>
      <c r="T26" s="476"/>
      <c r="U26" s="496"/>
    </row>
    <row r="27">
      <c r="A27" s="491">
        <v>26.0</v>
      </c>
      <c r="B27" s="465" t="s">
        <v>20</v>
      </c>
      <c r="C27" s="466" t="s">
        <v>2826</v>
      </c>
      <c r="D27" s="492" t="s">
        <v>69</v>
      </c>
      <c r="E27" s="468" t="s">
        <v>2901</v>
      </c>
      <c r="F27" s="469" t="s">
        <v>2902</v>
      </c>
      <c r="G27" s="493"/>
      <c r="H27" s="471" t="s">
        <v>2903</v>
      </c>
      <c r="I27" s="494"/>
      <c r="J27" s="495"/>
      <c r="K27" s="473">
        <v>0.0</v>
      </c>
      <c r="L27" s="473">
        <v>1.0</v>
      </c>
      <c r="M27" s="474">
        <v>46108.0</v>
      </c>
      <c r="N27" s="67" t="s">
        <v>139</v>
      </c>
      <c r="O27" s="352" t="s">
        <v>218</v>
      </c>
      <c r="P27" s="476"/>
      <c r="Q27" s="476"/>
      <c r="R27" s="476"/>
      <c r="S27" s="476"/>
      <c r="T27" s="476"/>
      <c r="U27" s="496"/>
    </row>
    <row r="28">
      <c r="A28" s="491">
        <v>27.0</v>
      </c>
      <c r="B28" s="465" t="s">
        <v>20</v>
      </c>
      <c r="C28" s="466" t="s">
        <v>2826</v>
      </c>
      <c r="D28" s="492" t="s">
        <v>109</v>
      </c>
      <c r="E28" s="468" t="s">
        <v>2904</v>
      </c>
      <c r="F28" s="469" t="s">
        <v>2905</v>
      </c>
      <c r="G28" s="493"/>
      <c r="H28" s="471" t="s">
        <v>966</v>
      </c>
      <c r="I28" s="494"/>
      <c r="J28" s="495"/>
      <c r="K28" s="473">
        <v>0.0</v>
      </c>
      <c r="L28" s="473">
        <v>1.0</v>
      </c>
      <c r="M28" s="474">
        <v>46108.0</v>
      </c>
      <c r="N28" s="67" t="s">
        <v>139</v>
      </c>
      <c r="O28" s="352" t="s">
        <v>218</v>
      </c>
      <c r="P28" s="476"/>
      <c r="Q28" s="476"/>
      <c r="R28" s="476"/>
      <c r="S28" s="476"/>
      <c r="T28" s="476"/>
      <c r="U28" s="496"/>
    </row>
    <row r="29">
      <c r="A29" s="491">
        <v>28.0</v>
      </c>
      <c r="B29" s="465" t="s">
        <v>20</v>
      </c>
      <c r="C29" s="466" t="s">
        <v>2826</v>
      </c>
      <c r="D29" s="499" t="s">
        <v>260</v>
      </c>
      <c r="E29" s="468" t="s">
        <v>2906</v>
      </c>
      <c r="F29" s="469" t="s">
        <v>2907</v>
      </c>
      <c r="G29" s="498"/>
      <c r="H29" s="471" t="s">
        <v>2908</v>
      </c>
      <c r="I29" s="494"/>
      <c r="J29" s="495"/>
      <c r="K29" s="473">
        <v>0.0</v>
      </c>
      <c r="L29" s="473">
        <v>1.0</v>
      </c>
      <c r="M29" s="474">
        <v>46108.0</v>
      </c>
      <c r="N29" s="67" t="s">
        <v>139</v>
      </c>
      <c r="O29" s="352" t="s">
        <v>218</v>
      </c>
      <c r="P29" s="476"/>
      <c r="Q29" s="476"/>
      <c r="R29" s="476"/>
      <c r="S29" s="476"/>
      <c r="T29" s="476"/>
      <c r="U29" s="496"/>
    </row>
    <row r="30">
      <c r="A30" s="491">
        <v>29.0</v>
      </c>
      <c r="B30" s="465" t="s">
        <v>20</v>
      </c>
      <c r="C30" s="466" t="s">
        <v>2826</v>
      </c>
      <c r="D30" s="499" t="s">
        <v>260</v>
      </c>
      <c r="E30" s="468" t="s">
        <v>2909</v>
      </c>
      <c r="F30" s="469" t="s">
        <v>2910</v>
      </c>
      <c r="G30" s="493"/>
      <c r="H30" s="471" t="s">
        <v>2911</v>
      </c>
      <c r="I30" s="497" t="s">
        <v>628</v>
      </c>
      <c r="J30" s="495"/>
      <c r="K30" s="473">
        <v>0.0</v>
      </c>
      <c r="L30" s="473">
        <v>1.0</v>
      </c>
      <c r="M30" s="474">
        <v>46108.0</v>
      </c>
      <c r="N30" s="67" t="s">
        <v>139</v>
      </c>
      <c r="O30" s="352" t="s">
        <v>218</v>
      </c>
      <c r="P30" s="476"/>
      <c r="Q30" s="476"/>
      <c r="R30" s="476"/>
      <c r="S30" s="476"/>
      <c r="T30" s="476"/>
      <c r="U30" s="496"/>
    </row>
    <row r="31">
      <c r="A31" s="491">
        <v>30.0</v>
      </c>
      <c r="B31" s="465" t="s">
        <v>20</v>
      </c>
      <c r="C31" s="466" t="s">
        <v>2826</v>
      </c>
      <c r="D31" s="492" t="s">
        <v>89</v>
      </c>
      <c r="E31" s="468" t="s">
        <v>2912</v>
      </c>
      <c r="F31" s="469" t="s">
        <v>2913</v>
      </c>
      <c r="G31" s="498"/>
      <c r="H31" s="471" t="s">
        <v>2914</v>
      </c>
      <c r="I31" s="494"/>
      <c r="J31" s="495"/>
      <c r="K31" s="473">
        <v>0.0</v>
      </c>
      <c r="L31" s="473">
        <v>1.0</v>
      </c>
      <c r="M31" s="474">
        <v>46108.0</v>
      </c>
      <c r="N31" s="67" t="s">
        <v>139</v>
      </c>
      <c r="O31" s="352" t="s">
        <v>218</v>
      </c>
      <c r="P31" s="476"/>
      <c r="Q31" s="476"/>
      <c r="R31" s="476"/>
      <c r="S31" s="476"/>
      <c r="T31" s="476"/>
      <c r="U31" s="496"/>
    </row>
    <row r="32">
      <c r="A32" s="491">
        <v>31.0</v>
      </c>
      <c r="B32" s="465" t="s">
        <v>20</v>
      </c>
      <c r="C32" s="466" t="s">
        <v>2826</v>
      </c>
      <c r="D32" s="492" t="s">
        <v>405</v>
      </c>
      <c r="E32" s="468" t="s">
        <v>2915</v>
      </c>
      <c r="F32" s="469" t="s">
        <v>2916</v>
      </c>
      <c r="G32" s="493"/>
      <c r="H32" s="471" t="s">
        <v>2917</v>
      </c>
      <c r="I32" s="497" t="s">
        <v>644</v>
      </c>
      <c r="J32" s="495"/>
      <c r="K32" s="473">
        <v>0.0</v>
      </c>
      <c r="L32" s="473">
        <v>1.0</v>
      </c>
      <c r="M32" s="474">
        <v>46108.0</v>
      </c>
      <c r="N32" s="67" t="s">
        <v>139</v>
      </c>
      <c r="O32" s="352" t="s">
        <v>218</v>
      </c>
      <c r="P32" s="495"/>
      <c r="Q32" s="476"/>
      <c r="R32" s="476"/>
      <c r="S32" s="476"/>
      <c r="T32" s="495"/>
      <c r="U32" s="496"/>
    </row>
    <row r="33">
      <c r="A33" s="491">
        <v>32.0</v>
      </c>
      <c r="B33" s="465" t="s">
        <v>23</v>
      </c>
      <c r="C33" s="466" t="s">
        <v>2826</v>
      </c>
      <c r="D33" s="492" t="s">
        <v>61</v>
      </c>
      <c r="E33" s="468" t="s">
        <v>2918</v>
      </c>
      <c r="F33" s="469" t="s">
        <v>2919</v>
      </c>
      <c r="G33" s="498"/>
      <c r="H33" s="500"/>
      <c r="I33" s="483"/>
      <c r="J33" s="501"/>
      <c r="K33" s="484">
        <v>0.0</v>
      </c>
      <c r="L33" s="484">
        <v>1.0</v>
      </c>
      <c r="M33" s="485">
        <v>46108.0</v>
      </c>
      <c r="N33" s="489"/>
      <c r="O33" s="485"/>
      <c r="P33" s="489"/>
      <c r="Q33" s="489"/>
      <c r="R33" s="489"/>
      <c r="S33" s="489"/>
      <c r="T33" s="489"/>
      <c r="U33" s="502"/>
    </row>
    <row r="34">
      <c r="A34" s="491">
        <v>33.0</v>
      </c>
      <c r="B34" s="465" t="s">
        <v>20</v>
      </c>
      <c r="C34" s="466" t="s">
        <v>2826</v>
      </c>
      <c r="D34" s="503" t="s">
        <v>146</v>
      </c>
      <c r="E34" s="468" t="s">
        <v>2920</v>
      </c>
      <c r="F34" s="469" t="s">
        <v>2921</v>
      </c>
      <c r="G34" s="498"/>
      <c r="H34" s="471" t="s">
        <v>2922</v>
      </c>
      <c r="I34" s="504" t="s">
        <v>2923</v>
      </c>
      <c r="J34" s="495"/>
      <c r="K34" s="473">
        <v>0.0</v>
      </c>
      <c r="L34" s="473">
        <v>1.0</v>
      </c>
      <c r="M34" s="474">
        <v>46108.0</v>
      </c>
      <c r="N34" s="67" t="s">
        <v>139</v>
      </c>
      <c r="O34" s="352" t="s">
        <v>218</v>
      </c>
      <c r="P34" s="476"/>
      <c r="Q34" s="476"/>
      <c r="R34" s="476"/>
      <c r="S34" s="476"/>
      <c r="T34" s="476"/>
      <c r="U34" s="496"/>
    </row>
    <row r="35">
      <c r="A35" s="491">
        <v>34.0</v>
      </c>
      <c r="B35" s="465" t="s">
        <v>20</v>
      </c>
      <c r="C35" s="466" t="s">
        <v>2826</v>
      </c>
      <c r="D35" s="492" t="s">
        <v>513</v>
      </c>
      <c r="E35" s="468" t="s">
        <v>2924</v>
      </c>
      <c r="F35" s="469" t="s">
        <v>2925</v>
      </c>
      <c r="G35" s="498"/>
      <c r="H35" s="471" t="s">
        <v>2926</v>
      </c>
      <c r="I35" s="505" t="s">
        <v>663</v>
      </c>
      <c r="J35" s="495"/>
      <c r="K35" s="473">
        <v>0.0</v>
      </c>
      <c r="L35" s="473">
        <v>1.0</v>
      </c>
      <c r="M35" s="474">
        <v>46108.0</v>
      </c>
      <c r="N35" s="67" t="s">
        <v>139</v>
      </c>
      <c r="O35" s="352" t="s">
        <v>218</v>
      </c>
      <c r="P35" s="476"/>
      <c r="Q35" s="476"/>
      <c r="R35" s="476"/>
      <c r="S35" s="476"/>
      <c r="T35" s="476"/>
      <c r="U35" s="496"/>
    </row>
    <row r="36">
      <c r="A36" s="491">
        <v>35.0</v>
      </c>
      <c r="B36" s="465" t="s">
        <v>20</v>
      </c>
      <c r="C36" s="466" t="s">
        <v>2826</v>
      </c>
      <c r="D36" s="492" t="s">
        <v>146</v>
      </c>
      <c r="E36" s="468" t="s">
        <v>2927</v>
      </c>
      <c r="F36" s="469" t="s">
        <v>2928</v>
      </c>
      <c r="G36" s="493"/>
      <c r="H36" s="471" t="s">
        <v>2929</v>
      </c>
      <c r="I36" s="504" t="s">
        <v>668</v>
      </c>
      <c r="J36" s="495"/>
      <c r="K36" s="473">
        <v>0.0</v>
      </c>
      <c r="L36" s="473">
        <v>1.0</v>
      </c>
      <c r="M36" s="474">
        <v>46108.0</v>
      </c>
      <c r="N36" s="67" t="s">
        <v>139</v>
      </c>
      <c r="O36" s="352" t="s">
        <v>218</v>
      </c>
      <c r="P36" s="476"/>
      <c r="Q36" s="476"/>
      <c r="R36" s="476"/>
      <c r="S36" s="476"/>
      <c r="T36" s="476"/>
      <c r="U36" s="496"/>
    </row>
    <row r="37">
      <c r="A37" s="491">
        <v>36.0</v>
      </c>
      <c r="B37" s="465" t="s">
        <v>20</v>
      </c>
      <c r="C37" s="466" t="s">
        <v>2826</v>
      </c>
      <c r="D37" s="492" t="s">
        <v>513</v>
      </c>
      <c r="E37" s="468" t="s">
        <v>2930</v>
      </c>
      <c r="F37" s="469" t="s">
        <v>2931</v>
      </c>
      <c r="G37" s="493"/>
      <c r="H37" s="471" t="s">
        <v>2932</v>
      </c>
      <c r="I37" s="497" t="s">
        <v>672</v>
      </c>
      <c r="J37" s="495"/>
      <c r="K37" s="473">
        <v>0.0</v>
      </c>
      <c r="L37" s="473">
        <v>1.0</v>
      </c>
      <c r="M37" s="474">
        <v>46108.0</v>
      </c>
      <c r="N37" s="67" t="s">
        <v>139</v>
      </c>
      <c r="O37" s="352" t="s">
        <v>218</v>
      </c>
      <c r="P37" s="476"/>
      <c r="Q37" s="476"/>
      <c r="R37" s="476"/>
      <c r="S37" s="476"/>
      <c r="T37" s="476"/>
      <c r="U37" s="496"/>
    </row>
    <row r="38">
      <c r="A38" s="491">
        <v>37.0</v>
      </c>
      <c r="B38" s="465" t="s">
        <v>20</v>
      </c>
      <c r="C38" s="466" t="s">
        <v>2826</v>
      </c>
      <c r="D38" s="492" t="s">
        <v>260</v>
      </c>
      <c r="E38" s="468" t="s">
        <v>2933</v>
      </c>
      <c r="F38" s="469" t="s">
        <v>2934</v>
      </c>
      <c r="G38" s="493"/>
      <c r="H38" s="471" t="s">
        <v>2935</v>
      </c>
      <c r="I38" s="494"/>
      <c r="J38" s="495"/>
      <c r="K38" s="473">
        <v>0.0</v>
      </c>
      <c r="L38" s="473">
        <v>1.0</v>
      </c>
      <c r="M38" s="474">
        <v>46108.0</v>
      </c>
      <c r="N38" s="67" t="s">
        <v>139</v>
      </c>
      <c r="O38" s="352" t="s">
        <v>218</v>
      </c>
      <c r="P38" s="476"/>
      <c r="Q38" s="476"/>
      <c r="R38" s="476"/>
      <c r="S38" s="476"/>
      <c r="T38" s="476"/>
      <c r="U38" s="496"/>
    </row>
    <row r="39">
      <c r="A39" s="491">
        <v>38.0</v>
      </c>
      <c r="B39" s="465" t="s">
        <v>20</v>
      </c>
      <c r="C39" s="466" t="s">
        <v>2826</v>
      </c>
      <c r="D39" s="492" t="s">
        <v>109</v>
      </c>
      <c r="E39" s="468" t="s">
        <v>2936</v>
      </c>
      <c r="F39" s="469" t="s">
        <v>2937</v>
      </c>
      <c r="G39" s="493"/>
      <c r="H39" s="471" t="s">
        <v>2938</v>
      </c>
      <c r="I39" s="494"/>
      <c r="J39" s="495"/>
      <c r="K39" s="473">
        <v>0.0</v>
      </c>
      <c r="L39" s="473">
        <v>1.0</v>
      </c>
      <c r="M39" s="474">
        <v>46108.0</v>
      </c>
      <c r="N39" s="67" t="s">
        <v>139</v>
      </c>
      <c r="O39" s="352" t="s">
        <v>218</v>
      </c>
      <c r="P39" s="476"/>
      <c r="Q39" s="476"/>
      <c r="R39" s="476"/>
      <c r="S39" s="476"/>
      <c r="T39" s="476"/>
      <c r="U39" s="496"/>
    </row>
    <row r="40">
      <c r="A40" s="491">
        <v>39.0</v>
      </c>
      <c r="B40" s="465" t="s">
        <v>20</v>
      </c>
      <c r="C40" s="466" t="s">
        <v>2826</v>
      </c>
      <c r="D40" s="492" t="s">
        <v>69</v>
      </c>
      <c r="E40" s="468" t="s">
        <v>2939</v>
      </c>
      <c r="F40" s="469" t="s">
        <v>2940</v>
      </c>
      <c r="G40" s="493"/>
      <c r="H40" s="471" t="s">
        <v>2941</v>
      </c>
      <c r="I40" s="494"/>
      <c r="J40" s="495"/>
      <c r="K40" s="473">
        <v>0.0</v>
      </c>
      <c r="L40" s="473">
        <v>1.0</v>
      </c>
      <c r="M40" s="474">
        <v>46108.0</v>
      </c>
      <c r="N40" s="67" t="s">
        <v>139</v>
      </c>
      <c r="O40" s="352" t="s">
        <v>218</v>
      </c>
      <c r="P40" s="476"/>
      <c r="Q40" s="476"/>
      <c r="R40" s="476"/>
      <c r="S40" s="476"/>
      <c r="T40" s="476"/>
      <c r="U40" s="496"/>
    </row>
    <row r="41">
      <c r="A41" s="491">
        <v>40.0</v>
      </c>
      <c r="B41" s="465" t="s">
        <v>20</v>
      </c>
      <c r="C41" s="466" t="s">
        <v>2826</v>
      </c>
      <c r="D41" s="492" t="s">
        <v>69</v>
      </c>
      <c r="E41" s="468" t="s">
        <v>2451</v>
      </c>
      <c r="F41" s="469" t="s">
        <v>2942</v>
      </c>
      <c r="G41" s="493"/>
      <c r="H41" s="471" t="s">
        <v>2452</v>
      </c>
      <c r="I41" s="494"/>
      <c r="J41" s="495"/>
      <c r="K41" s="473">
        <v>0.0</v>
      </c>
      <c r="L41" s="473">
        <v>1.0</v>
      </c>
      <c r="M41" s="474">
        <v>46108.0</v>
      </c>
      <c r="N41" s="67" t="s">
        <v>139</v>
      </c>
      <c r="O41" s="352" t="s">
        <v>218</v>
      </c>
      <c r="P41" s="476"/>
      <c r="Q41" s="476"/>
      <c r="R41" s="476"/>
      <c r="S41" s="476"/>
      <c r="T41" s="476"/>
      <c r="U41" s="496"/>
    </row>
    <row r="42">
      <c r="A42" s="491">
        <v>41.0</v>
      </c>
      <c r="B42" s="465" t="s">
        <v>20</v>
      </c>
      <c r="C42" s="466" t="s">
        <v>2826</v>
      </c>
      <c r="D42" s="492" t="s">
        <v>122</v>
      </c>
      <c r="E42" s="468" t="s">
        <v>2943</v>
      </c>
      <c r="F42" s="469" t="s">
        <v>2944</v>
      </c>
      <c r="G42" s="493"/>
      <c r="H42" s="471" t="s">
        <v>2945</v>
      </c>
      <c r="I42" s="494"/>
      <c r="J42" s="495"/>
      <c r="K42" s="473">
        <v>0.0</v>
      </c>
      <c r="L42" s="473">
        <v>1.0</v>
      </c>
      <c r="M42" s="474">
        <v>46108.0</v>
      </c>
      <c r="N42" s="67" t="s">
        <v>139</v>
      </c>
      <c r="O42" s="352" t="s">
        <v>218</v>
      </c>
      <c r="P42" s="476"/>
      <c r="Q42" s="476"/>
      <c r="R42" s="476"/>
      <c r="S42" s="476"/>
      <c r="T42" s="476"/>
      <c r="U42" s="496"/>
    </row>
    <row r="43">
      <c r="A43" s="491">
        <v>42.0</v>
      </c>
      <c r="B43" s="465" t="s">
        <v>20</v>
      </c>
      <c r="C43" s="466" t="s">
        <v>2826</v>
      </c>
      <c r="D43" s="492" t="s">
        <v>506</v>
      </c>
      <c r="E43" s="468" t="s">
        <v>2946</v>
      </c>
      <c r="F43" s="469" t="s">
        <v>2947</v>
      </c>
      <c r="G43" s="493"/>
      <c r="H43" s="471" t="s">
        <v>2948</v>
      </c>
      <c r="I43" s="494"/>
      <c r="J43" s="495"/>
      <c r="K43" s="473">
        <v>0.0</v>
      </c>
      <c r="L43" s="473">
        <v>1.0</v>
      </c>
      <c r="M43" s="474">
        <v>46108.0</v>
      </c>
      <c r="N43" s="67" t="s">
        <v>139</v>
      </c>
      <c r="O43" s="352" t="s">
        <v>218</v>
      </c>
      <c r="P43" s="476"/>
      <c r="Q43" s="476"/>
      <c r="R43" s="476"/>
      <c r="S43" s="476"/>
      <c r="T43" s="476"/>
      <c r="U43" s="496"/>
    </row>
    <row r="44">
      <c r="A44" s="491">
        <v>43.0</v>
      </c>
      <c r="B44" s="465" t="s">
        <v>20</v>
      </c>
      <c r="C44" s="466" t="s">
        <v>2826</v>
      </c>
      <c r="D44" s="492" t="s">
        <v>69</v>
      </c>
      <c r="E44" s="468" t="s">
        <v>2949</v>
      </c>
      <c r="F44" s="469" t="s">
        <v>2950</v>
      </c>
      <c r="G44" s="493"/>
      <c r="H44" s="471" t="s">
        <v>2951</v>
      </c>
      <c r="I44" s="494"/>
      <c r="J44" s="495"/>
      <c r="K44" s="473">
        <v>0.0</v>
      </c>
      <c r="L44" s="473">
        <v>1.0</v>
      </c>
      <c r="M44" s="474">
        <v>46108.0</v>
      </c>
      <c r="N44" s="67" t="s">
        <v>139</v>
      </c>
      <c r="O44" s="352" t="s">
        <v>218</v>
      </c>
      <c r="P44" s="476"/>
      <c r="Q44" s="476"/>
      <c r="R44" s="476"/>
      <c r="S44" s="476"/>
      <c r="T44" s="476"/>
      <c r="U44" s="496"/>
    </row>
    <row r="45">
      <c r="A45" s="491">
        <v>44.0</v>
      </c>
      <c r="B45" s="465" t="s">
        <v>20</v>
      </c>
      <c r="C45" s="466" t="s">
        <v>2826</v>
      </c>
      <c r="D45" s="492" t="s">
        <v>531</v>
      </c>
      <c r="E45" s="468" t="s">
        <v>2952</v>
      </c>
      <c r="F45" s="469" t="s">
        <v>2953</v>
      </c>
      <c r="G45" s="498"/>
      <c r="H45" s="471" t="s">
        <v>2954</v>
      </c>
      <c r="I45" s="494"/>
      <c r="J45" s="495"/>
      <c r="K45" s="473">
        <v>0.0</v>
      </c>
      <c r="L45" s="473">
        <v>1.0</v>
      </c>
      <c r="M45" s="474">
        <v>46108.0</v>
      </c>
      <c r="N45" s="67" t="s">
        <v>139</v>
      </c>
      <c r="O45" s="352" t="s">
        <v>218</v>
      </c>
      <c r="P45" s="476"/>
      <c r="Q45" s="476"/>
      <c r="R45" s="476"/>
      <c r="S45" s="476"/>
      <c r="T45" s="476"/>
      <c r="U45" s="496"/>
    </row>
    <row r="46">
      <c r="A46" s="491">
        <v>45.0</v>
      </c>
      <c r="B46" s="465" t="s">
        <v>23</v>
      </c>
      <c r="C46" s="466" t="s">
        <v>2826</v>
      </c>
      <c r="D46" s="492" t="s">
        <v>69</v>
      </c>
      <c r="E46" s="468" t="s">
        <v>2955</v>
      </c>
      <c r="F46" s="469" t="s">
        <v>2956</v>
      </c>
      <c r="G46" s="493"/>
      <c r="H46" s="471"/>
      <c r="I46" s="494"/>
      <c r="J46" s="501"/>
      <c r="K46" s="484">
        <v>0.0</v>
      </c>
      <c r="L46" s="484">
        <v>1.0</v>
      </c>
      <c r="M46" s="485">
        <v>46108.0</v>
      </c>
      <c r="N46" s="489"/>
      <c r="O46" s="485"/>
      <c r="P46" s="489"/>
      <c r="Q46" s="489"/>
      <c r="R46" s="489"/>
      <c r="S46" s="489"/>
      <c r="T46" s="489"/>
      <c r="U46" s="502"/>
    </row>
    <row r="47">
      <c r="A47" s="491">
        <v>46.0</v>
      </c>
      <c r="B47" s="465" t="s">
        <v>23</v>
      </c>
      <c r="C47" s="506" t="s">
        <v>2826</v>
      </c>
      <c r="D47" s="507" t="s">
        <v>69</v>
      </c>
      <c r="E47" s="508" t="s">
        <v>2957</v>
      </c>
      <c r="F47" s="509" t="s">
        <v>2958</v>
      </c>
      <c r="G47" s="510"/>
      <c r="H47" s="500"/>
      <c r="I47" s="483"/>
      <c r="J47" s="501"/>
      <c r="K47" s="484">
        <v>0.0</v>
      </c>
      <c r="L47" s="484">
        <v>1.0</v>
      </c>
      <c r="M47" s="485">
        <v>46108.0</v>
      </c>
      <c r="N47" s="511" t="s">
        <v>25</v>
      </c>
      <c r="O47" s="485"/>
      <c r="P47" s="489"/>
      <c r="Q47" s="489"/>
      <c r="R47" s="489"/>
      <c r="S47" s="489"/>
      <c r="T47" s="489"/>
      <c r="U47" s="502"/>
    </row>
    <row r="48">
      <c r="A48" s="491">
        <v>47.0</v>
      </c>
      <c r="B48" s="465" t="s">
        <v>20</v>
      </c>
      <c r="C48" s="466" t="s">
        <v>2826</v>
      </c>
      <c r="D48" s="492" t="s">
        <v>69</v>
      </c>
      <c r="E48" s="468" t="s">
        <v>2959</v>
      </c>
      <c r="F48" s="469" t="s">
        <v>2960</v>
      </c>
      <c r="G48" s="493"/>
      <c r="H48" s="471" t="s">
        <v>2961</v>
      </c>
      <c r="I48" s="494"/>
      <c r="J48" s="495"/>
      <c r="K48" s="473">
        <v>0.0</v>
      </c>
      <c r="L48" s="473">
        <v>1.0</v>
      </c>
      <c r="M48" s="474">
        <v>46108.0</v>
      </c>
      <c r="N48" s="67" t="s">
        <v>139</v>
      </c>
      <c r="O48" s="352" t="s">
        <v>218</v>
      </c>
      <c r="P48" s="476"/>
      <c r="Q48" s="476"/>
      <c r="R48" s="476"/>
      <c r="S48" s="476"/>
      <c r="T48" s="476"/>
      <c r="U48" s="496"/>
    </row>
    <row r="49">
      <c r="A49" s="491">
        <v>48.0</v>
      </c>
      <c r="B49" s="465" t="s">
        <v>20</v>
      </c>
      <c r="C49" s="466" t="s">
        <v>2826</v>
      </c>
      <c r="D49" s="492" t="s">
        <v>69</v>
      </c>
      <c r="E49" s="468" t="s">
        <v>2962</v>
      </c>
      <c r="F49" s="469" t="s">
        <v>2963</v>
      </c>
      <c r="G49" s="493"/>
      <c r="H49" s="471" t="s">
        <v>2964</v>
      </c>
      <c r="I49" s="494"/>
      <c r="J49" s="495"/>
      <c r="K49" s="473">
        <v>0.0</v>
      </c>
      <c r="L49" s="473">
        <v>1.0</v>
      </c>
      <c r="M49" s="474">
        <v>46108.0</v>
      </c>
      <c r="N49" s="67" t="s">
        <v>139</v>
      </c>
      <c r="O49" s="352" t="s">
        <v>218</v>
      </c>
      <c r="P49" s="476"/>
      <c r="Q49" s="476"/>
      <c r="R49" s="476"/>
      <c r="S49" s="476"/>
      <c r="T49" s="476"/>
      <c r="U49" s="496"/>
    </row>
    <row r="50">
      <c r="A50" s="491">
        <v>49.0</v>
      </c>
      <c r="B50" s="465" t="s">
        <v>20</v>
      </c>
      <c r="C50" s="466" t="s">
        <v>2826</v>
      </c>
      <c r="D50" s="492" t="s">
        <v>353</v>
      </c>
      <c r="E50" s="468" t="s">
        <v>2965</v>
      </c>
      <c r="F50" s="469" t="s">
        <v>2966</v>
      </c>
      <c r="G50" s="498"/>
      <c r="H50" s="471" t="s">
        <v>2967</v>
      </c>
      <c r="I50" s="494"/>
      <c r="J50" s="495"/>
      <c r="K50" s="473">
        <v>0.0</v>
      </c>
      <c r="L50" s="473">
        <v>1.0</v>
      </c>
      <c r="M50" s="474">
        <v>46108.0</v>
      </c>
      <c r="N50" s="67" t="s">
        <v>139</v>
      </c>
      <c r="O50" s="352" t="s">
        <v>218</v>
      </c>
      <c r="P50" s="476"/>
      <c r="Q50" s="476"/>
      <c r="R50" s="476"/>
      <c r="S50" s="476"/>
      <c r="T50" s="476"/>
      <c r="U50" s="496"/>
    </row>
    <row r="51">
      <c r="A51" s="491">
        <v>50.0</v>
      </c>
      <c r="B51" s="465" t="s">
        <v>20</v>
      </c>
      <c r="C51" s="466" t="s">
        <v>2826</v>
      </c>
      <c r="D51" s="492" t="s">
        <v>513</v>
      </c>
      <c r="E51" s="468" t="s">
        <v>2968</v>
      </c>
      <c r="F51" s="469" t="s">
        <v>2969</v>
      </c>
      <c r="G51" s="498"/>
      <c r="H51" s="471" t="s">
        <v>2970</v>
      </c>
      <c r="I51" s="505" t="s">
        <v>663</v>
      </c>
      <c r="J51" s="495"/>
      <c r="K51" s="473">
        <v>0.0</v>
      </c>
      <c r="L51" s="473">
        <v>1.0</v>
      </c>
      <c r="M51" s="474">
        <v>46108.0</v>
      </c>
      <c r="N51" s="67" t="s">
        <v>139</v>
      </c>
      <c r="O51" s="352" t="s">
        <v>218</v>
      </c>
      <c r="P51" s="476"/>
      <c r="Q51" s="476"/>
      <c r="R51" s="476"/>
      <c r="S51" s="476"/>
      <c r="T51" s="476"/>
      <c r="U51" s="496"/>
    </row>
    <row r="52">
      <c r="A52" s="491">
        <v>51.0</v>
      </c>
      <c r="B52" s="465" t="s">
        <v>20</v>
      </c>
      <c r="C52" s="466" t="s">
        <v>2826</v>
      </c>
      <c r="D52" s="492" t="s">
        <v>513</v>
      </c>
      <c r="E52" s="468" t="s">
        <v>2971</v>
      </c>
      <c r="F52" s="469" t="s">
        <v>2972</v>
      </c>
      <c r="G52" s="493"/>
      <c r="H52" s="471" t="s">
        <v>2973</v>
      </c>
      <c r="I52" s="505" t="s">
        <v>663</v>
      </c>
      <c r="J52" s="495"/>
      <c r="K52" s="473">
        <v>0.0</v>
      </c>
      <c r="L52" s="473">
        <v>1.0</v>
      </c>
      <c r="M52" s="474">
        <v>46108.0</v>
      </c>
      <c r="N52" s="67" t="s">
        <v>139</v>
      </c>
      <c r="O52" s="352" t="s">
        <v>218</v>
      </c>
      <c r="P52" s="476"/>
      <c r="Q52" s="476"/>
      <c r="R52" s="476"/>
      <c r="S52" s="476"/>
      <c r="T52" s="476"/>
      <c r="U52" s="496"/>
    </row>
    <row r="53">
      <c r="A53" s="491">
        <v>52.0</v>
      </c>
      <c r="B53" s="465" t="s">
        <v>20</v>
      </c>
      <c r="C53" s="466" t="s">
        <v>2826</v>
      </c>
      <c r="D53" s="492" t="s">
        <v>353</v>
      </c>
      <c r="E53" s="468" t="s">
        <v>2974</v>
      </c>
      <c r="F53" s="469" t="s">
        <v>2975</v>
      </c>
      <c r="G53" s="498"/>
      <c r="H53" s="471" t="s">
        <v>2976</v>
      </c>
      <c r="I53" s="505" t="s">
        <v>798</v>
      </c>
      <c r="J53" s="495"/>
      <c r="K53" s="473">
        <v>0.0</v>
      </c>
      <c r="L53" s="473">
        <v>1.0</v>
      </c>
      <c r="M53" s="474">
        <v>46108.0</v>
      </c>
      <c r="N53" s="67" t="s">
        <v>139</v>
      </c>
      <c r="O53" s="352" t="s">
        <v>218</v>
      </c>
      <c r="P53" s="476"/>
      <c r="Q53" s="476"/>
      <c r="R53" s="476"/>
      <c r="S53" s="476"/>
      <c r="T53" s="476"/>
      <c r="U53" s="496"/>
    </row>
    <row r="54">
      <c r="A54" s="491">
        <v>53.0</v>
      </c>
      <c r="B54" s="465" t="s">
        <v>20</v>
      </c>
      <c r="C54" s="466" t="s">
        <v>2826</v>
      </c>
      <c r="D54" s="492" t="s">
        <v>429</v>
      </c>
      <c r="E54" s="468" t="s">
        <v>2977</v>
      </c>
      <c r="F54" s="469" t="s">
        <v>2978</v>
      </c>
      <c r="G54" s="498"/>
      <c r="H54" s="471" t="s">
        <v>2979</v>
      </c>
      <c r="I54" s="497" t="s">
        <v>803</v>
      </c>
      <c r="J54" s="495"/>
      <c r="K54" s="473">
        <v>0.0</v>
      </c>
      <c r="L54" s="473">
        <v>1.0</v>
      </c>
      <c r="M54" s="474">
        <v>46108.0</v>
      </c>
      <c r="N54" s="67" t="s">
        <v>139</v>
      </c>
      <c r="O54" s="352" t="s">
        <v>218</v>
      </c>
      <c r="P54" s="476"/>
      <c r="Q54" s="476"/>
      <c r="R54" s="476"/>
      <c r="S54" s="476"/>
      <c r="T54" s="476"/>
      <c r="U54" s="496"/>
    </row>
    <row r="55">
      <c r="A55" s="491">
        <v>54.0</v>
      </c>
      <c r="B55" s="465" t="s">
        <v>20</v>
      </c>
      <c r="C55" s="466" t="s">
        <v>2826</v>
      </c>
      <c r="D55" s="503" t="s">
        <v>260</v>
      </c>
      <c r="E55" s="468" t="s">
        <v>2980</v>
      </c>
      <c r="F55" s="469" t="s">
        <v>2981</v>
      </c>
      <c r="G55" s="498"/>
      <c r="H55" s="471" t="s">
        <v>2982</v>
      </c>
      <c r="I55" s="512" t="s">
        <v>807</v>
      </c>
      <c r="J55" s="495"/>
      <c r="K55" s="473">
        <v>0.0</v>
      </c>
      <c r="L55" s="473">
        <v>1.0</v>
      </c>
      <c r="M55" s="474">
        <v>46108.0</v>
      </c>
      <c r="N55" s="67" t="s">
        <v>139</v>
      </c>
      <c r="O55" s="352" t="s">
        <v>218</v>
      </c>
      <c r="P55" s="476"/>
      <c r="Q55" s="476"/>
      <c r="R55" s="476"/>
      <c r="S55" s="476"/>
      <c r="T55" s="476"/>
      <c r="U55" s="496"/>
    </row>
    <row r="56">
      <c r="A56" s="491">
        <v>55.0</v>
      </c>
      <c r="B56" s="465" t="s">
        <v>20</v>
      </c>
      <c r="C56" s="466" t="s">
        <v>2826</v>
      </c>
      <c r="D56" s="492" t="s">
        <v>109</v>
      </c>
      <c r="E56" s="468" t="s">
        <v>2983</v>
      </c>
      <c r="F56" s="469" t="s">
        <v>2984</v>
      </c>
      <c r="G56" s="493"/>
      <c r="H56" s="471" t="s">
        <v>2985</v>
      </c>
      <c r="I56" s="505" t="s">
        <v>813</v>
      </c>
      <c r="J56" s="495"/>
      <c r="K56" s="473">
        <v>0.0</v>
      </c>
      <c r="L56" s="473">
        <v>1.0</v>
      </c>
      <c r="M56" s="474">
        <v>46108.0</v>
      </c>
      <c r="N56" s="67" t="s">
        <v>139</v>
      </c>
      <c r="O56" s="352" t="s">
        <v>218</v>
      </c>
      <c r="P56" s="476"/>
      <c r="Q56" s="476"/>
      <c r="R56" s="476"/>
      <c r="S56" s="476"/>
      <c r="T56" s="476"/>
      <c r="U56" s="496"/>
    </row>
    <row r="57">
      <c r="A57" s="491">
        <v>56.0</v>
      </c>
      <c r="B57" s="465" t="s">
        <v>20</v>
      </c>
      <c r="C57" s="466" t="s">
        <v>2826</v>
      </c>
      <c r="D57" s="492" t="s">
        <v>109</v>
      </c>
      <c r="E57" s="468" t="s">
        <v>2986</v>
      </c>
      <c r="F57" s="469" t="s">
        <v>2987</v>
      </c>
      <c r="G57" s="498"/>
      <c r="H57" s="471" t="s">
        <v>2988</v>
      </c>
      <c r="I57" s="494"/>
      <c r="J57" s="495"/>
      <c r="K57" s="473">
        <v>0.0</v>
      </c>
      <c r="L57" s="473">
        <v>1.0</v>
      </c>
      <c r="M57" s="474">
        <v>46108.0</v>
      </c>
      <c r="N57" s="67" t="s">
        <v>139</v>
      </c>
      <c r="O57" s="352" t="s">
        <v>218</v>
      </c>
      <c r="P57" s="476"/>
      <c r="Q57" s="476"/>
      <c r="R57" s="476"/>
      <c r="S57" s="476"/>
      <c r="T57" s="476"/>
      <c r="U57" s="496"/>
    </row>
    <row r="58">
      <c r="A58" s="491">
        <v>57.0</v>
      </c>
      <c r="B58" s="465" t="s">
        <v>23</v>
      </c>
      <c r="C58" s="506" t="s">
        <v>2826</v>
      </c>
      <c r="D58" s="507" t="s">
        <v>353</v>
      </c>
      <c r="E58" s="508" t="s">
        <v>2989</v>
      </c>
      <c r="F58" s="509" t="s">
        <v>2990</v>
      </c>
      <c r="G58" s="513"/>
      <c r="H58" s="500"/>
      <c r="I58" s="514" t="s">
        <v>822</v>
      </c>
      <c r="J58" s="501"/>
      <c r="K58" s="484">
        <v>0.0</v>
      </c>
      <c r="L58" s="484">
        <v>1.0</v>
      </c>
      <c r="M58" s="485">
        <v>46108.0</v>
      </c>
      <c r="N58" s="511" t="s">
        <v>25</v>
      </c>
      <c r="O58" s="485"/>
      <c r="P58" s="489"/>
      <c r="Q58" s="489"/>
      <c r="R58" s="489"/>
      <c r="S58" s="489"/>
      <c r="T58" s="489"/>
      <c r="U58" s="502"/>
    </row>
    <row r="59">
      <c r="A59" s="491">
        <v>58.0</v>
      </c>
      <c r="B59" s="465" t="s">
        <v>20</v>
      </c>
      <c r="C59" s="466" t="s">
        <v>2826</v>
      </c>
      <c r="D59" s="492" t="s">
        <v>405</v>
      </c>
      <c r="E59" s="468" t="s">
        <v>2991</v>
      </c>
      <c r="F59" s="469" t="s">
        <v>2992</v>
      </c>
      <c r="G59" s="493"/>
      <c r="H59" s="471" t="s">
        <v>2993</v>
      </c>
      <c r="I59" s="494"/>
      <c r="J59" s="495"/>
      <c r="K59" s="473">
        <v>0.0</v>
      </c>
      <c r="L59" s="473">
        <v>1.0</v>
      </c>
      <c r="M59" s="474">
        <v>46108.0</v>
      </c>
      <c r="N59" s="67" t="s">
        <v>139</v>
      </c>
      <c r="O59" s="352" t="s">
        <v>218</v>
      </c>
      <c r="P59" s="495"/>
      <c r="Q59" s="476"/>
      <c r="R59" s="476"/>
      <c r="S59" s="476"/>
      <c r="T59" s="476"/>
      <c r="U59" s="515"/>
    </row>
    <row r="60">
      <c r="A60" s="491">
        <v>59.0</v>
      </c>
      <c r="B60" s="465" t="s">
        <v>20</v>
      </c>
      <c r="C60" s="466" t="s">
        <v>2826</v>
      </c>
      <c r="D60" s="503" t="s">
        <v>69</v>
      </c>
      <c r="E60" s="468" t="s">
        <v>2994</v>
      </c>
      <c r="F60" s="469" t="s">
        <v>2995</v>
      </c>
      <c r="G60" s="493"/>
      <c r="H60" s="471" t="s">
        <v>2996</v>
      </c>
      <c r="I60" s="498"/>
      <c r="J60" s="495"/>
      <c r="K60" s="473">
        <v>0.0</v>
      </c>
      <c r="L60" s="473">
        <v>1.0</v>
      </c>
      <c r="M60" s="474">
        <v>46108.0</v>
      </c>
      <c r="N60" s="67" t="s">
        <v>139</v>
      </c>
      <c r="O60" s="352" t="s">
        <v>218</v>
      </c>
      <c r="P60" s="476"/>
      <c r="Q60" s="476"/>
      <c r="R60" s="476"/>
      <c r="S60" s="476"/>
      <c r="T60" s="476"/>
      <c r="U60" s="496"/>
    </row>
    <row r="61">
      <c r="A61" s="491">
        <v>60.0</v>
      </c>
      <c r="B61" s="465" t="s">
        <v>20</v>
      </c>
      <c r="C61" s="466" t="s">
        <v>2826</v>
      </c>
      <c r="D61" s="492" t="s">
        <v>89</v>
      </c>
      <c r="E61" s="468" t="s">
        <v>2997</v>
      </c>
      <c r="F61" s="469" t="s">
        <v>2998</v>
      </c>
      <c r="G61" s="498"/>
      <c r="H61" s="471" t="s">
        <v>2999</v>
      </c>
      <c r="I61" s="494"/>
      <c r="J61" s="495"/>
      <c r="K61" s="473">
        <v>0.0</v>
      </c>
      <c r="L61" s="473">
        <v>1.0</v>
      </c>
      <c r="M61" s="474">
        <v>46108.0</v>
      </c>
      <c r="N61" s="67" t="s">
        <v>139</v>
      </c>
      <c r="O61" s="352" t="s">
        <v>218</v>
      </c>
      <c r="P61" s="476"/>
      <c r="Q61" s="476"/>
      <c r="R61" s="476"/>
      <c r="S61" s="476"/>
      <c r="T61" s="476"/>
      <c r="U61" s="496"/>
    </row>
    <row r="62">
      <c r="A62" s="491">
        <v>61.0</v>
      </c>
      <c r="B62" s="465" t="s">
        <v>20</v>
      </c>
      <c r="C62" s="466" t="s">
        <v>2826</v>
      </c>
      <c r="D62" s="492" t="s">
        <v>69</v>
      </c>
      <c r="E62" s="468" t="s">
        <v>3000</v>
      </c>
      <c r="F62" s="469" t="s">
        <v>3001</v>
      </c>
      <c r="G62" s="493"/>
      <c r="H62" s="471" t="s">
        <v>3002</v>
      </c>
      <c r="I62" s="494"/>
      <c r="J62" s="495"/>
      <c r="K62" s="473">
        <v>0.0</v>
      </c>
      <c r="L62" s="473">
        <v>1.0</v>
      </c>
      <c r="M62" s="474">
        <v>46108.0</v>
      </c>
      <c r="N62" s="67" t="s">
        <v>139</v>
      </c>
      <c r="O62" s="352" t="s">
        <v>218</v>
      </c>
      <c r="P62" s="476"/>
      <c r="Q62" s="476"/>
      <c r="R62" s="476"/>
      <c r="S62" s="476"/>
      <c r="T62" s="476"/>
      <c r="U62" s="496"/>
    </row>
    <row r="63">
      <c r="A63" s="491">
        <v>62.0</v>
      </c>
      <c r="B63" s="465" t="s">
        <v>20</v>
      </c>
      <c r="C63" s="466" t="s">
        <v>2826</v>
      </c>
      <c r="D63" s="492" t="s">
        <v>531</v>
      </c>
      <c r="E63" s="468" t="s">
        <v>3003</v>
      </c>
      <c r="F63" s="469" t="s">
        <v>3004</v>
      </c>
      <c r="G63" s="498"/>
      <c r="H63" s="471" t="s">
        <v>3005</v>
      </c>
      <c r="I63" s="494"/>
      <c r="J63" s="495"/>
      <c r="K63" s="473">
        <v>0.0</v>
      </c>
      <c r="L63" s="473">
        <v>1.0</v>
      </c>
      <c r="M63" s="474">
        <v>46108.0</v>
      </c>
      <c r="N63" s="67" t="s">
        <v>139</v>
      </c>
      <c r="O63" s="352" t="s">
        <v>218</v>
      </c>
      <c r="P63" s="476"/>
      <c r="Q63" s="476"/>
      <c r="R63" s="476"/>
      <c r="S63" s="476"/>
      <c r="T63" s="476"/>
      <c r="U63" s="496"/>
    </row>
    <row r="64">
      <c r="A64" s="491">
        <v>63.0</v>
      </c>
      <c r="B64" s="465" t="s">
        <v>20</v>
      </c>
      <c r="C64" s="466" t="s">
        <v>2826</v>
      </c>
      <c r="D64" s="492" t="s">
        <v>69</v>
      </c>
      <c r="E64" s="468" t="s">
        <v>3006</v>
      </c>
      <c r="F64" s="469" t="s">
        <v>3007</v>
      </c>
      <c r="G64" s="493"/>
      <c r="H64" s="471" t="s">
        <v>3008</v>
      </c>
      <c r="I64" s="505" t="s">
        <v>267</v>
      </c>
      <c r="J64" s="495"/>
      <c r="K64" s="473">
        <v>0.0</v>
      </c>
      <c r="L64" s="473">
        <v>1.0</v>
      </c>
      <c r="M64" s="474">
        <v>46108.0</v>
      </c>
      <c r="N64" s="67" t="s">
        <v>139</v>
      </c>
      <c r="O64" s="352" t="s">
        <v>218</v>
      </c>
      <c r="P64" s="476"/>
      <c r="Q64" s="476"/>
      <c r="R64" s="476"/>
      <c r="S64" s="476"/>
      <c r="T64" s="476"/>
      <c r="U64" s="496"/>
    </row>
    <row r="65">
      <c r="A65" s="491">
        <v>64.0</v>
      </c>
      <c r="B65" s="465" t="s">
        <v>20</v>
      </c>
      <c r="C65" s="466" t="s">
        <v>2826</v>
      </c>
      <c r="D65" s="492" t="s">
        <v>69</v>
      </c>
      <c r="E65" s="468" t="s">
        <v>3009</v>
      </c>
      <c r="F65" s="469" t="s">
        <v>3010</v>
      </c>
      <c r="G65" s="493"/>
      <c r="H65" s="471" t="s">
        <v>3011</v>
      </c>
      <c r="I65" s="494"/>
      <c r="J65" s="495"/>
      <c r="K65" s="473">
        <v>0.0</v>
      </c>
      <c r="L65" s="473">
        <v>1.0</v>
      </c>
      <c r="M65" s="474">
        <v>46108.0</v>
      </c>
      <c r="N65" s="67" t="s">
        <v>139</v>
      </c>
      <c r="O65" s="352" t="s">
        <v>218</v>
      </c>
      <c r="P65" s="476"/>
      <c r="Q65" s="476"/>
      <c r="R65" s="476"/>
      <c r="S65" s="476"/>
      <c r="T65" s="476"/>
      <c r="U65" s="496"/>
    </row>
    <row r="66">
      <c r="A66" s="491">
        <v>65.0</v>
      </c>
      <c r="B66" s="465" t="s">
        <v>20</v>
      </c>
      <c r="C66" s="466" t="s">
        <v>2826</v>
      </c>
      <c r="D66" s="492" t="s">
        <v>353</v>
      </c>
      <c r="E66" s="468" t="s">
        <v>3012</v>
      </c>
      <c r="F66" s="469" t="s">
        <v>3013</v>
      </c>
      <c r="G66" s="498"/>
      <c r="H66" s="471" t="s">
        <v>3014</v>
      </c>
      <c r="I66" s="494"/>
      <c r="J66" s="495"/>
      <c r="K66" s="473">
        <v>0.0</v>
      </c>
      <c r="L66" s="473">
        <v>1.0</v>
      </c>
      <c r="M66" s="474">
        <v>46108.0</v>
      </c>
      <c r="N66" s="67" t="s">
        <v>139</v>
      </c>
      <c r="O66" s="352" t="s">
        <v>218</v>
      </c>
      <c r="P66" s="476"/>
      <c r="Q66" s="476"/>
      <c r="R66" s="476"/>
      <c r="S66" s="476"/>
      <c r="T66" s="476"/>
      <c r="U66" s="496"/>
    </row>
    <row r="67">
      <c r="A67" s="491">
        <v>66.0</v>
      </c>
      <c r="B67" s="465" t="s">
        <v>20</v>
      </c>
      <c r="C67" s="466" t="s">
        <v>2826</v>
      </c>
      <c r="D67" s="492" t="s">
        <v>332</v>
      </c>
      <c r="E67" s="468" t="s">
        <v>3015</v>
      </c>
      <c r="F67" s="469" t="s">
        <v>3016</v>
      </c>
      <c r="G67" s="498"/>
      <c r="H67" s="471" t="s">
        <v>3017</v>
      </c>
      <c r="I67" s="505" t="s">
        <v>535</v>
      </c>
      <c r="J67" s="495"/>
      <c r="K67" s="473">
        <v>0.0</v>
      </c>
      <c r="L67" s="473">
        <v>1.0</v>
      </c>
      <c r="M67" s="474">
        <v>46108.0</v>
      </c>
      <c r="N67" s="67" t="s">
        <v>139</v>
      </c>
      <c r="O67" s="352" t="s">
        <v>218</v>
      </c>
      <c r="P67" s="476"/>
      <c r="Q67" s="476"/>
      <c r="R67" s="476"/>
      <c r="S67" s="476"/>
      <c r="T67" s="476"/>
      <c r="U67" s="496"/>
    </row>
    <row r="68">
      <c r="A68" s="491">
        <v>67.0</v>
      </c>
      <c r="B68" s="465" t="s">
        <v>20</v>
      </c>
      <c r="C68" s="466" t="s">
        <v>2826</v>
      </c>
      <c r="D68" s="492" t="s">
        <v>353</v>
      </c>
      <c r="E68" s="468" t="s">
        <v>3018</v>
      </c>
      <c r="F68" s="469" t="s">
        <v>3019</v>
      </c>
      <c r="G68" s="498"/>
      <c r="H68" s="471" t="s">
        <v>3020</v>
      </c>
      <c r="I68" s="505" t="s">
        <v>903</v>
      </c>
      <c r="J68" s="495"/>
      <c r="K68" s="473">
        <v>0.0</v>
      </c>
      <c r="L68" s="473">
        <v>1.0</v>
      </c>
      <c r="M68" s="474">
        <v>46108.0</v>
      </c>
      <c r="N68" s="67" t="s">
        <v>139</v>
      </c>
      <c r="O68" s="352" t="s">
        <v>218</v>
      </c>
      <c r="P68" s="476"/>
      <c r="Q68" s="476"/>
      <c r="R68" s="476"/>
      <c r="S68" s="476"/>
      <c r="T68" s="476"/>
      <c r="U68" s="496"/>
    </row>
    <row r="69">
      <c r="A69" s="491">
        <v>68.0</v>
      </c>
      <c r="B69" s="465" t="s">
        <v>20</v>
      </c>
      <c r="C69" s="466" t="s">
        <v>2826</v>
      </c>
      <c r="D69" s="492" t="s">
        <v>109</v>
      </c>
      <c r="E69" s="468" t="s">
        <v>3021</v>
      </c>
      <c r="F69" s="469" t="s">
        <v>3022</v>
      </c>
      <c r="G69" s="498"/>
      <c r="H69" s="471" t="s">
        <v>3023</v>
      </c>
      <c r="I69" s="494"/>
      <c r="J69" s="495"/>
      <c r="K69" s="473">
        <v>0.0</v>
      </c>
      <c r="L69" s="473">
        <v>1.0</v>
      </c>
      <c r="M69" s="474">
        <v>46108.0</v>
      </c>
      <c r="N69" s="67" t="s">
        <v>139</v>
      </c>
      <c r="O69" s="352" t="s">
        <v>218</v>
      </c>
      <c r="P69" s="476"/>
      <c r="Q69" s="476"/>
      <c r="R69" s="476"/>
      <c r="S69" s="476"/>
      <c r="T69" s="476"/>
      <c r="U69" s="496"/>
    </row>
    <row r="70">
      <c r="A70" s="491">
        <v>69.0</v>
      </c>
      <c r="B70" s="465" t="s">
        <v>20</v>
      </c>
      <c r="C70" s="466" t="s">
        <v>2826</v>
      </c>
      <c r="D70" s="492" t="s">
        <v>122</v>
      </c>
      <c r="E70" s="468" t="s">
        <v>3024</v>
      </c>
      <c r="F70" s="469" t="s">
        <v>3025</v>
      </c>
      <c r="G70" s="498"/>
      <c r="H70" s="471" t="s">
        <v>3026</v>
      </c>
      <c r="I70" s="494"/>
      <c r="J70" s="495"/>
      <c r="K70" s="473">
        <v>0.0</v>
      </c>
      <c r="L70" s="473">
        <v>1.0</v>
      </c>
      <c r="M70" s="474">
        <v>46108.0</v>
      </c>
      <c r="N70" s="67" t="s">
        <v>139</v>
      </c>
      <c r="O70" s="352" t="s">
        <v>218</v>
      </c>
      <c r="P70" s="476"/>
      <c r="Q70" s="476"/>
      <c r="R70" s="476"/>
      <c r="S70" s="476"/>
      <c r="T70" s="476"/>
      <c r="U70" s="496"/>
    </row>
    <row r="71">
      <c r="A71" s="491">
        <v>70.0</v>
      </c>
      <c r="B71" s="465" t="s">
        <v>20</v>
      </c>
      <c r="C71" s="466" t="s">
        <v>2826</v>
      </c>
      <c r="D71" s="492" t="s">
        <v>122</v>
      </c>
      <c r="E71" s="468" t="s">
        <v>3027</v>
      </c>
      <c r="F71" s="469" t="s">
        <v>3028</v>
      </c>
      <c r="G71" s="498"/>
      <c r="H71" s="471" t="s">
        <v>3029</v>
      </c>
      <c r="I71" s="494"/>
      <c r="J71" s="495"/>
      <c r="K71" s="473">
        <v>0.0</v>
      </c>
      <c r="L71" s="473">
        <v>1.0</v>
      </c>
      <c r="M71" s="474">
        <v>46108.0</v>
      </c>
      <c r="N71" s="67" t="s">
        <v>139</v>
      </c>
      <c r="O71" s="352" t="s">
        <v>218</v>
      </c>
      <c r="P71" s="476"/>
      <c r="Q71" s="476"/>
      <c r="R71" s="476"/>
      <c r="S71" s="476"/>
      <c r="T71" s="476"/>
      <c r="U71" s="496"/>
    </row>
    <row r="72">
      <c r="A72" s="491">
        <v>71.0</v>
      </c>
      <c r="B72" s="465" t="s">
        <v>20</v>
      </c>
      <c r="C72" s="466" t="s">
        <v>2826</v>
      </c>
      <c r="D72" s="492" t="s">
        <v>109</v>
      </c>
      <c r="E72" s="468" t="s">
        <v>3030</v>
      </c>
      <c r="F72" s="469" t="s">
        <v>3031</v>
      </c>
      <c r="G72" s="498"/>
      <c r="H72" s="471" t="s">
        <v>3032</v>
      </c>
      <c r="I72" s="494"/>
      <c r="J72" s="495"/>
      <c r="K72" s="473">
        <v>0.0</v>
      </c>
      <c r="L72" s="473">
        <v>1.0</v>
      </c>
      <c r="M72" s="474">
        <v>46108.0</v>
      </c>
      <c r="N72" s="67" t="s">
        <v>139</v>
      </c>
      <c r="O72" s="352" t="s">
        <v>218</v>
      </c>
      <c r="P72" s="476"/>
      <c r="Q72" s="476"/>
      <c r="R72" s="476"/>
      <c r="S72" s="476"/>
      <c r="T72" s="476"/>
      <c r="U72" s="496"/>
    </row>
    <row r="73">
      <c r="A73" s="491">
        <v>72.0</v>
      </c>
      <c r="B73" s="465" t="s">
        <v>23</v>
      </c>
      <c r="C73" s="466" t="s">
        <v>2826</v>
      </c>
      <c r="D73" s="492" t="s">
        <v>109</v>
      </c>
      <c r="E73" s="468" t="s">
        <v>3033</v>
      </c>
      <c r="F73" s="469" t="s">
        <v>3034</v>
      </c>
      <c r="G73" s="498"/>
      <c r="H73" s="471"/>
      <c r="I73" s="494"/>
      <c r="J73" s="501"/>
      <c r="K73" s="484">
        <v>0.0</v>
      </c>
      <c r="L73" s="484">
        <v>1.0</v>
      </c>
      <c r="M73" s="485">
        <v>46108.0</v>
      </c>
      <c r="N73" s="489"/>
      <c r="O73" s="485"/>
      <c r="P73" s="489"/>
      <c r="Q73" s="489"/>
      <c r="R73" s="489"/>
      <c r="S73" s="489"/>
      <c r="T73" s="489"/>
      <c r="U73" s="502"/>
    </row>
    <row r="74">
      <c r="A74" s="491">
        <v>73.0</v>
      </c>
      <c r="B74" s="465" t="s">
        <v>20</v>
      </c>
      <c r="C74" s="466" t="s">
        <v>2826</v>
      </c>
      <c r="D74" s="492" t="s">
        <v>531</v>
      </c>
      <c r="E74" s="468" t="s">
        <v>3035</v>
      </c>
      <c r="F74" s="469" t="s">
        <v>3036</v>
      </c>
      <c r="G74" s="498"/>
      <c r="H74" s="471" t="s">
        <v>3037</v>
      </c>
      <c r="I74" s="494"/>
      <c r="J74" s="495"/>
      <c r="K74" s="473">
        <v>0.0</v>
      </c>
      <c r="L74" s="473">
        <v>1.0</v>
      </c>
      <c r="M74" s="474">
        <v>46108.0</v>
      </c>
      <c r="N74" s="67" t="s">
        <v>139</v>
      </c>
      <c r="O74" s="352" t="s">
        <v>218</v>
      </c>
      <c r="P74" s="476"/>
      <c r="Q74" s="476"/>
      <c r="R74" s="476"/>
      <c r="S74" s="476"/>
      <c r="T74" s="476"/>
      <c r="U74" s="496"/>
    </row>
    <row r="75">
      <c r="A75" s="491">
        <v>74.0</v>
      </c>
      <c r="B75" s="465" t="s">
        <v>20</v>
      </c>
      <c r="C75" s="466" t="s">
        <v>2826</v>
      </c>
      <c r="D75" s="492" t="s">
        <v>69</v>
      </c>
      <c r="E75" s="468" t="s">
        <v>3038</v>
      </c>
      <c r="F75" s="469" t="s">
        <v>3039</v>
      </c>
      <c r="G75" s="498"/>
      <c r="H75" s="471" t="s">
        <v>3040</v>
      </c>
      <c r="I75" s="494"/>
      <c r="J75" s="495"/>
      <c r="K75" s="473">
        <v>0.0</v>
      </c>
      <c r="L75" s="473">
        <v>1.0</v>
      </c>
      <c r="M75" s="474">
        <v>46108.0</v>
      </c>
      <c r="N75" s="67" t="s">
        <v>139</v>
      </c>
      <c r="O75" s="352" t="s">
        <v>218</v>
      </c>
      <c r="P75" s="476"/>
      <c r="Q75" s="476"/>
      <c r="R75" s="476"/>
      <c r="S75" s="476"/>
      <c r="T75" s="476"/>
      <c r="U75" s="496"/>
    </row>
    <row r="76">
      <c r="A76" s="491">
        <v>75.0</v>
      </c>
      <c r="B76" s="465" t="s">
        <v>20</v>
      </c>
      <c r="C76" s="466" t="s">
        <v>2826</v>
      </c>
      <c r="D76" s="492" t="s">
        <v>69</v>
      </c>
      <c r="E76" s="468" t="s">
        <v>3041</v>
      </c>
      <c r="F76" s="469" t="s">
        <v>3042</v>
      </c>
      <c r="G76" s="498"/>
      <c r="H76" s="471" t="s">
        <v>3043</v>
      </c>
      <c r="I76" s="494"/>
      <c r="J76" s="495"/>
      <c r="K76" s="473">
        <v>0.0</v>
      </c>
      <c r="L76" s="473">
        <v>1.0</v>
      </c>
      <c r="M76" s="474">
        <v>46108.0</v>
      </c>
      <c r="N76" s="67" t="s">
        <v>139</v>
      </c>
      <c r="O76" s="352" t="s">
        <v>218</v>
      </c>
      <c r="P76" s="476"/>
      <c r="Q76" s="476"/>
      <c r="R76" s="476"/>
      <c r="S76" s="476"/>
      <c r="T76" s="476"/>
      <c r="U76" s="496"/>
    </row>
    <row r="77">
      <c r="A77" s="491">
        <v>76.0</v>
      </c>
      <c r="B77" s="465" t="s">
        <v>20</v>
      </c>
      <c r="C77" s="466" t="s">
        <v>2826</v>
      </c>
      <c r="D77" s="492" t="s">
        <v>89</v>
      </c>
      <c r="E77" s="468" t="s">
        <v>3044</v>
      </c>
      <c r="F77" s="469" t="s">
        <v>3045</v>
      </c>
      <c r="G77" s="498"/>
      <c r="H77" s="471" t="s">
        <v>3046</v>
      </c>
      <c r="I77" s="505" t="s">
        <v>954</v>
      </c>
      <c r="J77" s="495"/>
      <c r="K77" s="473">
        <v>0.0</v>
      </c>
      <c r="L77" s="473">
        <v>1.0</v>
      </c>
      <c r="M77" s="474">
        <v>46108.0</v>
      </c>
      <c r="N77" s="67" t="s">
        <v>139</v>
      </c>
      <c r="O77" s="352" t="s">
        <v>218</v>
      </c>
      <c r="P77" s="476"/>
      <c r="Q77" s="476"/>
      <c r="R77" s="476"/>
      <c r="S77" s="476"/>
      <c r="T77" s="476"/>
      <c r="U77" s="496"/>
    </row>
    <row r="78">
      <c r="A78" s="491">
        <v>77.0</v>
      </c>
      <c r="B78" s="465" t="s">
        <v>20</v>
      </c>
      <c r="C78" s="466" t="s">
        <v>2826</v>
      </c>
      <c r="D78" s="492" t="s">
        <v>89</v>
      </c>
      <c r="E78" s="468" t="s">
        <v>3047</v>
      </c>
      <c r="F78" s="469" t="s">
        <v>3048</v>
      </c>
      <c r="G78" s="493"/>
      <c r="H78" s="471" t="s">
        <v>3049</v>
      </c>
      <c r="I78" s="494"/>
      <c r="J78" s="495"/>
      <c r="K78" s="473">
        <v>0.0</v>
      </c>
      <c r="L78" s="473">
        <v>1.0</v>
      </c>
      <c r="M78" s="474">
        <v>46108.0</v>
      </c>
      <c r="N78" s="67" t="s">
        <v>139</v>
      </c>
      <c r="O78" s="352" t="s">
        <v>218</v>
      </c>
      <c r="P78" s="476"/>
      <c r="Q78" s="476"/>
      <c r="R78" s="476"/>
      <c r="S78" s="476"/>
      <c r="T78" s="476"/>
      <c r="U78" s="496"/>
    </row>
    <row r="79">
      <c r="A79" s="491">
        <v>78.0</v>
      </c>
      <c r="B79" s="465" t="s">
        <v>20</v>
      </c>
      <c r="C79" s="466" t="s">
        <v>2826</v>
      </c>
      <c r="D79" s="492" t="s">
        <v>69</v>
      </c>
      <c r="E79" s="468" t="s">
        <v>3050</v>
      </c>
      <c r="F79" s="469" t="s">
        <v>3051</v>
      </c>
      <c r="G79" s="498"/>
      <c r="H79" s="471" t="s">
        <v>3052</v>
      </c>
      <c r="I79" s="494"/>
      <c r="J79" s="495"/>
      <c r="K79" s="473">
        <v>0.0</v>
      </c>
      <c r="L79" s="473">
        <v>1.0</v>
      </c>
      <c r="M79" s="474">
        <v>46108.0</v>
      </c>
      <c r="N79" s="67" t="s">
        <v>139</v>
      </c>
      <c r="O79" s="352" t="s">
        <v>218</v>
      </c>
      <c r="P79" s="476"/>
      <c r="Q79" s="476"/>
      <c r="R79" s="476"/>
      <c r="S79" s="476"/>
      <c r="T79" s="476"/>
      <c r="U79" s="496"/>
    </row>
    <row r="80">
      <c r="A80" s="491">
        <v>79.0</v>
      </c>
      <c r="B80" s="465" t="s">
        <v>20</v>
      </c>
      <c r="C80" s="466" t="s">
        <v>2826</v>
      </c>
      <c r="D80" s="492" t="s">
        <v>494</v>
      </c>
      <c r="E80" s="468" t="s">
        <v>3053</v>
      </c>
      <c r="F80" s="469" t="s">
        <v>3054</v>
      </c>
      <c r="G80" s="493"/>
      <c r="H80" s="471" t="s">
        <v>3055</v>
      </c>
      <c r="I80" s="494"/>
      <c r="J80" s="495"/>
      <c r="K80" s="473">
        <v>0.0</v>
      </c>
      <c r="L80" s="473">
        <v>1.0</v>
      </c>
      <c r="M80" s="474">
        <v>46108.0</v>
      </c>
      <c r="N80" s="67" t="s">
        <v>139</v>
      </c>
      <c r="O80" s="352" t="s">
        <v>218</v>
      </c>
      <c r="P80" s="476"/>
      <c r="Q80" s="476"/>
      <c r="R80" s="476"/>
      <c r="S80" s="476"/>
      <c r="T80" s="476"/>
      <c r="U80" s="496"/>
    </row>
    <row r="81">
      <c r="A81" s="491">
        <v>80.0</v>
      </c>
      <c r="B81" s="465" t="s">
        <v>20</v>
      </c>
      <c r="C81" s="466" t="s">
        <v>2826</v>
      </c>
      <c r="D81" s="492" t="s">
        <v>69</v>
      </c>
      <c r="E81" s="468" t="s">
        <v>3056</v>
      </c>
      <c r="F81" s="469" t="s">
        <v>3057</v>
      </c>
      <c r="G81" s="498"/>
      <c r="H81" s="471" t="s">
        <v>3058</v>
      </c>
      <c r="I81" s="494"/>
      <c r="J81" s="495"/>
      <c r="K81" s="473">
        <v>0.0</v>
      </c>
      <c r="L81" s="473">
        <v>1.0</v>
      </c>
      <c r="M81" s="474">
        <v>46108.0</v>
      </c>
      <c r="N81" s="67" t="s">
        <v>139</v>
      </c>
      <c r="O81" s="352" t="s">
        <v>218</v>
      </c>
      <c r="P81" s="476"/>
      <c r="Q81" s="476"/>
      <c r="R81" s="476"/>
      <c r="S81" s="476"/>
      <c r="T81" s="476"/>
      <c r="U81" s="496"/>
    </row>
    <row r="82">
      <c r="A82" s="491">
        <v>81.0</v>
      </c>
      <c r="B82" s="465" t="s">
        <v>20</v>
      </c>
      <c r="C82" s="466" t="s">
        <v>2826</v>
      </c>
      <c r="D82" s="492" t="s">
        <v>109</v>
      </c>
      <c r="E82" s="468" t="s">
        <v>3059</v>
      </c>
      <c r="F82" s="469" t="s">
        <v>3060</v>
      </c>
      <c r="G82" s="498"/>
      <c r="H82" s="471" t="s">
        <v>3061</v>
      </c>
      <c r="I82" s="494"/>
      <c r="J82" s="495"/>
      <c r="K82" s="473">
        <v>0.0</v>
      </c>
      <c r="L82" s="473">
        <v>1.0</v>
      </c>
      <c r="M82" s="474">
        <v>46108.0</v>
      </c>
      <c r="N82" s="67" t="s">
        <v>139</v>
      </c>
      <c r="O82" s="352" t="s">
        <v>218</v>
      </c>
      <c r="P82" s="476"/>
      <c r="Q82" s="476"/>
      <c r="R82" s="476"/>
      <c r="S82" s="476"/>
      <c r="T82" s="476"/>
      <c r="U82" s="496"/>
    </row>
    <row r="83">
      <c r="A83" s="491">
        <v>82.0</v>
      </c>
      <c r="B83" s="465" t="s">
        <v>20</v>
      </c>
      <c r="C83" s="466" t="s">
        <v>2826</v>
      </c>
      <c r="D83" s="492" t="s">
        <v>69</v>
      </c>
      <c r="E83" s="468" t="s">
        <v>3062</v>
      </c>
      <c r="F83" s="469" t="s">
        <v>3063</v>
      </c>
      <c r="G83" s="498"/>
      <c r="H83" s="471" t="s">
        <v>3064</v>
      </c>
      <c r="I83" s="494"/>
      <c r="J83" s="495"/>
      <c r="K83" s="473">
        <v>0.0</v>
      </c>
      <c r="L83" s="473">
        <v>1.0</v>
      </c>
      <c r="M83" s="474">
        <v>46108.0</v>
      </c>
      <c r="N83" s="67" t="s">
        <v>139</v>
      </c>
      <c r="O83" s="352" t="s">
        <v>218</v>
      </c>
      <c r="P83" s="476"/>
      <c r="Q83" s="476"/>
      <c r="R83" s="476"/>
      <c r="S83" s="476"/>
      <c r="T83" s="476"/>
      <c r="U83" s="496"/>
    </row>
    <row r="84">
      <c r="A84" s="491">
        <v>83.0</v>
      </c>
      <c r="B84" s="465" t="s">
        <v>20</v>
      </c>
      <c r="C84" s="466" t="s">
        <v>2826</v>
      </c>
      <c r="D84" s="492" t="s">
        <v>89</v>
      </c>
      <c r="E84" s="468" t="s">
        <v>3065</v>
      </c>
      <c r="F84" s="469" t="s">
        <v>3066</v>
      </c>
      <c r="G84" s="493"/>
      <c r="H84" s="471" t="s">
        <v>3067</v>
      </c>
      <c r="I84" s="505" t="s">
        <v>996</v>
      </c>
      <c r="J84" s="495"/>
      <c r="K84" s="473">
        <v>0.0</v>
      </c>
      <c r="L84" s="473">
        <v>1.0</v>
      </c>
      <c r="M84" s="474">
        <v>46108.0</v>
      </c>
      <c r="N84" s="67" t="s">
        <v>139</v>
      </c>
      <c r="O84" s="352" t="s">
        <v>218</v>
      </c>
      <c r="P84" s="476"/>
      <c r="Q84" s="476"/>
      <c r="R84" s="476"/>
      <c r="S84" s="476"/>
      <c r="T84" s="476"/>
      <c r="U84" s="496"/>
    </row>
    <row r="85">
      <c r="A85" s="491">
        <v>84.0</v>
      </c>
      <c r="B85" s="465" t="s">
        <v>20</v>
      </c>
      <c r="C85" s="466" t="s">
        <v>2826</v>
      </c>
      <c r="D85" s="492" t="s">
        <v>122</v>
      </c>
      <c r="E85" s="468" t="s">
        <v>3068</v>
      </c>
      <c r="F85" s="469" t="s">
        <v>3069</v>
      </c>
      <c r="G85" s="493"/>
      <c r="H85" s="471" t="s">
        <v>3070</v>
      </c>
      <c r="I85" s="494"/>
      <c r="J85" s="495"/>
      <c r="K85" s="473">
        <v>0.0</v>
      </c>
      <c r="L85" s="473">
        <v>1.0</v>
      </c>
      <c r="M85" s="474">
        <v>46108.0</v>
      </c>
      <c r="N85" s="67" t="s">
        <v>139</v>
      </c>
      <c r="O85" s="352" t="s">
        <v>218</v>
      </c>
      <c r="P85" s="495"/>
      <c r="Q85" s="476"/>
      <c r="R85" s="476"/>
      <c r="S85" s="476"/>
      <c r="T85" s="495"/>
      <c r="U85" s="496"/>
    </row>
    <row r="86">
      <c r="A86" s="491">
        <v>85.0</v>
      </c>
      <c r="B86" s="465" t="s">
        <v>20</v>
      </c>
      <c r="C86" s="466" t="s">
        <v>2826</v>
      </c>
      <c r="D86" s="492" t="s">
        <v>332</v>
      </c>
      <c r="E86" s="468" t="s">
        <v>3071</v>
      </c>
      <c r="F86" s="469" t="s">
        <v>3072</v>
      </c>
      <c r="G86" s="498"/>
      <c r="H86" s="471" t="s">
        <v>3073</v>
      </c>
      <c r="I86" s="494"/>
      <c r="J86" s="495"/>
      <c r="K86" s="473">
        <v>0.0</v>
      </c>
      <c r="L86" s="473">
        <v>1.0</v>
      </c>
      <c r="M86" s="474">
        <v>46108.0</v>
      </c>
      <c r="N86" s="67" t="s">
        <v>139</v>
      </c>
      <c r="O86" s="352" t="s">
        <v>218</v>
      </c>
      <c r="P86" s="476"/>
      <c r="Q86" s="476"/>
      <c r="R86" s="476"/>
      <c r="S86" s="476"/>
      <c r="T86" s="476"/>
      <c r="U86" s="496"/>
    </row>
    <row r="87">
      <c r="A87" s="491">
        <v>86.0</v>
      </c>
      <c r="B87" s="465" t="s">
        <v>20</v>
      </c>
      <c r="C87" s="466" t="s">
        <v>2826</v>
      </c>
      <c r="D87" s="492" t="s">
        <v>89</v>
      </c>
      <c r="E87" s="468" t="s">
        <v>3074</v>
      </c>
      <c r="F87" s="469" t="s">
        <v>3075</v>
      </c>
      <c r="G87" s="493"/>
      <c r="H87" s="471" t="s">
        <v>3076</v>
      </c>
      <c r="I87" s="497" t="s">
        <v>1020</v>
      </c>
      <c r="J87" s="495"/>
      <c r="K87" s="473">
        <v>0.0</v>
      </c>
      <c r="L87" s="473">
        <v>1.0</v>
      </c>
      <c r="M87" s="474">
        <v>46108.0</v>
      </c>
      <c r="N87" s="67" t="s">
        <v>139</v>
      </c>
      <c r="O87" s="352" t="s">
        <v>218</v>
      </c>
      <c r="P87" s="476"/>
      <c r="Q87" s="476"/>
      <c r="R87" s="476"/>
      <c r="S87" s="476"/>
      <c r="T87" s="476"/>
      <c r="U87" s="496"/>
    </row>
    <row r="88">
      <c r="A88" s="491">
        <v>87.0</v>
      </c>
      <c r="B88" s="465" t="s">
        <v>20</v>
      </c>
      <c r="C88" s="466" t="s">
        <v>2826</v>
      </c>
      <c r="D88" s="492" t="s">
        <v>69</v>
      </c>
      <c r="E88" s="468" t="s">
        <v>3077</v>
      </c>
      <c r="F88" s="469" t="s">
        <v>3078</v>
      </c>
      <c r="G88" s="498"/>
      <c r="H88" s="471" t="s">
        <v>3079</v>
      </c>
      <c r="I88" s="494"/>
      <c r="J88" s="495"/>
      <c r="K88" s="473">
        <v>0.0</v>
      </c>
      <c r="L88" s="473">
        <v>1.0</v>
      </c>
      <c r="M88" s="474">
        <v>46108.0</v>
      </c>
      <c r="N88" s="67" t="s">
        <v>139</v>
      </c>
      <c r="O88" s="352" t="s">
        <v>218</v>
      </c>
      <c r="P88" s="476"/>
      <c r="Q88" s="476"/>
      <c r="R88" s="476"/>
      <c r="S88" s="476"/>
      <c r="T88" s="476"/>
      <c r="U88" s="496"/>
    </row>
    <row r="89">
      <c r="A89" s="491">
        <v>88.0</v>
      </c>
      <c r="B89" s="465" t="s">
        <v>23</v>
      </c>
      <c r="C89" s="466" t="s">
        <v>2826</v>
      </c>
      <c r="D89" s="492" t="s">
        <v>506</v>
      </c>
      <c r="E89" s="468" t="s">
        <v>3080</v>
      </c>
      <c r="F89" s="469" t="s">
        <v>3081</v>
      </c>
      <c r="G89" s="493"/>
      <c r="H89" s="471"/>
      <c r="I89" s="494"/>
      <c r="J89" s="501"/>
      <c r="K89" s="484">
        <v>0.0</v>
      </c>
      <c r="L89" s="484">
        <v>1.0</v>
      </c>
      <c r="M89" s="485">
        <v>46108.0</v>
      </c>
      <c r="N89" s="489"/>
      <c r="O89" s="485"/>
      <c r="P89" s="489"/>
      <c r="Q89" s="489"/>
      <c r="R89" s="489"/>
      <c r="S89" s="489"/>
      <c r="T89" s="489"/>
      <c r="U89" s="502"/>
    </row>
    <row r="90">
      <c r="A90" s="491">
        <v>89.0</v>
      </c>
      <c r="B90" s="465" t="s">
        <v>20</v>
      </c>
      <c r="C90" s="466" t="s">
        <v>2826</v>
      </c>
      <c r="D90" s="492" t="s">
        <v>1059</v>
      </c>
      <c r="E90" s="468" t="s">
        <v>3082</v>
      </c>
      <c r="F90" s="469" t="s">
        <v>3083</v>
      </c>
      <c r="G90" s="498"/>
      <c r="H90" s="471" t="s">
        <v>3084</v>
      </c>
      <c r="I90" s="497" t="s">
        <v>1061</v>
      </c>
      <c r="J90" s="495"/>
      <c r="K90" s="473">
        <v>0.0</v>
      </c>
      <c r="L90" s="473">
        <v>1.0</v>
      </c>
      <c r="M90" s="474">
        <v>46108.0</v>
      </c>
      <c r="N90" s="67" t="s">
        <v>139</v>
      </c>
      <c r="O90" s="352" t="s">
        <v>218</v>
      </c>
      <c r="P90" s="476"/>
      <c r="Q90" s="476"/>
      <c r="R90" s="476"/>
      <c r="S90" s="476"/>
      <c r="T90" s="476"/>
      <c r="U90" s="496"/>
    </row>
    <row r="91">
      <c r="A91" s="491">
        <v>90.0</v>
      </c>
      <c r="B91" s="465" t="s">
        <v>20</v>
      </c>
      <c r="C91" s="466" t="s">
        <v>2826</v>
      </c>
      <c r="D91" s="492" t="s">
        <v>1063</v>
      </c>
      <c r="E91" s="468" t="s">
        <v>3085</v>
      </c>
      <c r="F91" s="469" t="s">
        <v>3086</v>
      </c>
      <c r="G91" s="493"/>
      <c r="H91" s="471" t="s">
        <v>3087</v>
      </c>
      <c r="I91" s="494"/>
      <c r="J91" s="495"/>
      <c r="K91" s="473">
        <v>0.0</v>
      </c>
      <c r="L91" s="473">
        <v>1.0</v>
      </c>
      <c r="M91" s="474">
        <v>46108.0</v>
      </c>
      <c r="N91" s="67" t="s">
        <v>139</v>
      </c>
      <c r="O91" s="352" t="s">
        <v>218</v>
      </c>
      <c r="P91" s="476"/>
      <c r="Q91" s="476"/>
      <c r="R91" s="476"/>
      <c r="S91" s="476"/>
      <c r="T91" s="476"/>
      <c r="U91" s="496"/>
    </row>
    <row r="92">
      <c r="A92" s="491">
        <v>91.0</v>
      </c>
      <c r="B92" s="465" t="s">
        <v>23</v>
      </c>
      <c r="C92" s="506" t="s">
        <v>2826</v>
      </c>
      <c r="D92" s="507" t="s">
        <v>1072</v>
      </c>
      <c r="E92" s="508" t="s">
        <v>3088</v>
      </c>
      <c r="F92" s="509" t="s">
        <v>3089</v>
      </c>
      <c r="G92" s="513"/>
      <c r="H92" s="500"/>
      <c r="I92" s="483"/>
      <c r="J92" s="501"/>
      <c r="K92" s="484">
        <v>0.0</v>
      </c>
      <c r="L92" s="484">
        <v>1.0</v>
      </c>
      <c r="M92" s="485">
        <v>46108.0</v>
      </c>
      <c r="N92" s="511" t="s">
        <v>25</v>
      </c>
      <c r="O92" s="485"/>
      <c r="P92" s="489"/>
      <c r="Q92" s="489"/>
      <c r="R92" s="489"/>
      <c r="S92" s="489"/>
      <c r="T92" s="489"/>
      <c r="U92" s="502"/>
    </row>
    <row r="93">
      <c r="A93" s="491">
        <v>92.0</v>
      </c>
      <c r="B93" s="465" t="s">
        <v>20</v>
      </c>
      <c r="C93" s="466" t="s">
        <v>2826</v>
      </c>
      <c r="D93" s="492" t="s">
        <v>353</v>
      </c>
      <c r="E93" s="468" t="s">
        <v>3090</v>
      </c>
      <c r="F93" s="469" t="s">
        <v>3091</v>
      </c>
      <c r="G93" s="498"/>
      <c r="H93" s="471" t="s">
        <v>3092</v>
      </c>
      <c r="I93" s="505" t="s">
        <v>1108</v>
      </c>
      <c r="J93" s="495"/>
      <c r="K93" s="473">
        <v>0.0</v>
      </c>
      <c r="L93" s="473">
        <v>1.0</v>
      </c>
      <c r="M93" s="474">
        <v>46108.0</v>
      </c>
      <c r="N93" s="67" t="s">
        <v>139</v>
      </c>
      <c r="O93" s="352" t="s">
        <v>218</v>
      </c>
      <c r="P93" s="476"/>
      <c r="Q93" s="476"/>
      <c r="R93" s="476"/>
      <c r="S93" s="476"/>
      <c r="T93" s="476"/>
      <c r="U93" s="496"/>
    </row>
    <row r="94">
      <c r="A94" s="491">
        <v>93.0</v>
      </c>
      <c r="B94" s="465" t="s">
        <v>20</v>
      </c>
      <c r="C94" s="466" t="s">
        <v>2826</v>
      </c>
      <c r="D94" s="492" t="s">
        <v>1110</v>
      </c>
      <c r="E94" s="468" t="s">
        <v>3093</v>
      </c>
      <c r="F94" s="469" t="s">
        <v>3094</v>
      </c>
      <c r="G94" s="493"/>
      <c r="H94" s="471" t="s">
        <v>3095</v>
      </c>
      <c r="I94" s="494"/>
      <c r="J94" s="495"/>
      <c r="K94" s="473">
        <v>0.0</v>
      </c>
      <c r="L94" s="473">
        <v>1.0</v>
      </c>
      <c r="M94" s="474">
        <v>46108.0</v>
      </c>
      <c r="N94" s="67" t="s">
        <v>139</v>
      </c>
      <c r="O94" s="352" t="s">
        <v>218</v>
      </c>
      <c r="P94" s="476"/>
      <c r="Q94" s="476"/>
      <c r="R94" s="476"/>
      <c r="S94" s="476"/>
      <c r="T94" s="476"/>
      <c r="U94" s="496"/>
    </row>
    <row r="95">
      <c r="A95" s="491">
        <v>94.0</v>
      </c>
      <c r="B95" s="465" t="s">
        <v>20</v>
      </c>
      <c r="C95" s="466" t="s">
        <v>2826</v>
      </c>
      <c r="D95" s="492" t="s">
        <v>1110</v>
      </c>
      <c r="E95" s="468" t="s">
        <v>3096</v>
      </c>
      <c r="F95" s="469" t="s">
        <v>3097</v>
      </c>
      <c r="G95" s="498"/>
      <c r="H95" s="471" t="s">
        <v>3098</v>
      </c>
      <c r="I95" s="494"/>
      <c r="J95" s="495"/>
      <c r="K95" s="473">
        <v>0.0</v>
      </c>
      <c r="L95" s="473">
        <v>1.0</v>
      </c>
      <c r="M95" s="474">
        <v>46108.0</v>
      </c>
      <c r="N95" s="67" t="s">
        <v>139</v>
      </c>
      <c r="O95" s="352" t="s">
        <v>218</v>
      </c>
      <c r="P95" s="476"/>
      <c r="Q95" s="476"/>
      <c r="R95" s="476"/>
      <c r="S95" s="476"/>
      <c r="T95" s="476"/>
      <c r="U95" s="496"/>
    </row>
    <row r="96">
      <c r="A96" s="491">
        <v>95.0</v>
      </c>
      <c r="B96" s="465" t="s">
        <v>20</v>
      </c>
      <c r="C96" s="466" t="s">
        <v>2826</v>
      </c>
      <c r="D96" s="492" t="s">
        <v>1110</v>
      </c>
      <c r="E96" s="468" t="s">
        <v>3099</v>
      </c>
      <c r="F96" s="469" t="s">
        <v>3100</v>
      </c>
      <c r="G96" s="493"/>
      <c r="H96" s="471" t="s">
        <v>3101</v>
      </c>
      <c r="I96" s="494"/>
      <c r="J96" s="495"/>
      <c r="K96" s="473">
        <v>0.0</v>
      </c>
      <c r="L96" s="473">
        <v>1.0</v>
      </c>
      <c r="M96" s="474">
        <v>46108.0</v>
      </c>
      <c r="N96" s="67" t="s">
        <v>139</v>
      </c>
      <c r="O96" s="352" t="s">
        <v>218</v>
      </c>
      <c r="P96" s="476"/>
      <c r="Q96" s="476"/>
      <c r="R96" s="476"/>
      <c r="S96" s="476"/>
      <c r="T96" s="476"/>
      <c r="U96" s="496"/>
    </row>
    <row r="97">
      <c r="A97" s="491">
        <v>96.0</v>
      </c>
      <c r="B97" s="465" t="s">
        <v>20</v>
      </c>
      <c r="C97" s="466" t="s">
        <v>2826</v>
      </c>
      <c r="D97" s="492" t="s">
        <v>69</v>
      </c>
      <c r="E97" s="468" t="s">
        <v>3102</v>
      </c>
      <c r="F97" s="469" t="s">
        <v>3103</v>
      </c>
      <c r="G97" s="498"/>
      <c r="H97" s="471" t="s">
        <v>3104</v>
      </c>
      <c r="I97" s="494"/>
      <c r="J97" s="495"/>
      <c r="K97" s="473">
        <v>0.0</v>
      </c>
      <c r="L97" s="473">
        <v>1.0</v>
      </c>
      <c r="M97" s="474">
        <v>46108.0</v>
      </c>
      <c r="N97" s="67" t="s">
        <v>139</v>
      </c>
      <c r="O97" s="352" t="s">
        <v>218</v>
      </c>
      <c r="P97" s="476"/>
      <c r="Q97" s="476"/>
      <c r="R97" s="476"/>
      <c r="S97" s="476"/>
      <c r="T97" s="476"/>
      <c r="U97" s="496"/>
    </row>
    <row r="98">
      <c r="A98" s="491">
        <v>97.0</v>
      </c>
      <c r="B98" s="465" t="s">
        <v>20</v>
      </c>
      <c r="C98" s="466" t="s">
        <v>2826</v>
      </c>
      <c r="D98" s="492" t="s">
        <v>69</v>
      </c>
      <c r="E98" s="468" t="s">
        <v>3105</v>
      </c>
      <c r="F98" s="469" t="s">
        <v>3106</v>
      </c>
      <c r="G98" s="498"/>
      <c r="H98" s="471" t="s">
        <v>3107</v>
      </c>
      <c r="I98" s="494"/>
      <c r="J98" s="495"/>
      <c r="K98" s="473">
        <v>0.0</v>
      </c>
      <c r="L98" s="473">
        <v>1.0</v>
      </c>
      <c r="M98" s="474">
        <v>46108.0</v>
      </c>
      <c r="N98" s="67" t="s">
        <v>139</v>
      </c>
      <c r="O98" s="352" t="s">
        <v>218</v>
      </c>
      <c r="P98" s="476"/>
      <c r="Q98" s="476"/>
      <c r="R98" s="476"/>
      <c r="S98" s="476"/>
      <c r="T98" s="476"/>
      <c r="U98" s="496"/>
    </row>
    <row r="99">
      <c r="A99" s="491">
        <v>98.0</v>
      </c>
      <c r="B99" s="465" t="s">
        <v>20</v>
      </c>
      <c r="C99" s="466" t="s">
        <v>2826</v>
      </c>
      <c r="D99" s="492" t="s">
        <v>1063</v>
      </c>
      <c r="E99" s="468" t="s">
        <v>3108</v>
      </c>
      <c r="F99" s="469" t="s">
        <v>3109</v>
      </c>
      <c r="G99" s="498"/>
      <c r="H99" s="471" t="s">
        <v>3110</v>
      </c>
      <c r="I99" s="494"/>
      <c r="J99" s="495"/>
      <c r="K99" s="473">
        <v>0.0</v>
      </c>
      <c r="L99" s="473">
        <v>1.0</v>
      </c>
      <c r="M99" s="474">
        <v>46108.0</v>
      </c>
      <c r="N99" s="67" t="s">
        <v>139</v>
      </c>
      <c r="O99" s="352" t="s">
        <v>218</v>
      </c>
      <c r="P99" s="476"/>
      <c r="Q99" s="476"/>
      <c r="R99" s="476"/>
      <c r="S99" s="476"/>
      <c r="T99" s="476"/>
      <c r="U99" s="496"/>
    </row>
    <row r="100">
      <c r="A100" s="491">
        <v>99.0</v>
      </c>
      <c r="B100" s="465" t="s">
        <v>20</v>
      </c>
      <c r="C100" s="466" t="s">
        <v>2826</v>
      </c>
      <c r="D100" s="492" t="s">
        <v>531</v>
      </c>
      <c r="E100" s="468" t="s">
        <v>3111</v>
      </c>
      <c r="F100" s="469" t="s">
        <v>3112</v>
      </c>
      <c r="G100" s="498"/>
      <c r="H100" s="471" t="s">
        <v>3113</v>
      </c>
      <c r="I100" s="494"/>
      <c r="J100" s="495"/>
      <c r="K100" s="473">
        <v>0.0</v>
      </c>
      <c r="L100" s="473">
        <v>1.0</v>
      </c>
      <c r="M100" s="474">
        <v>46108.0</v>
      </c>
      <c r="N100" s="67" t="s">
        <v>139</v>
      </c>
      <c r="O100" s="352" t="s">
        <v>218</v>
      </c>
      <c r="P100" s="476"/>
      <c r="Q100" s="476"/>
      <c r="R100" s="476"/>
      <c r="S100" s="476"/>
      <c r="T100" s="476"/>
      <c r="U100" s="496"/>
    </row>
    <row r="101">
      <c r="A101" s="491">
        <v>100.0</v>
      </c>
      <c r="B101" s="465" t="s">
        <v>23</v>
      </c>
      <c r="C101" s="466" t="s">
        <v>2826</v>
      </c>
      <c r="D101" s="492" t="s">
        <v>531</v>
      </c>
      <c r="E101" s="468" t="s">
        <v>3114</v>
      </c>
      <c r="F101" s="469" t="s">
        <v>3115</v>
      </c>
      <c r="G101" s="498"/>
      <c r="H101" s="471"/>
      <c r="I101" s="494"/>
      <c r="J101" s="501"/>
      <c r="K101" s="484">
        <v>0.0</v>
      </c>
      <c r="L101" s="484">
        <v>1.0</v>
      </c>
      <c r="M101" s="485">
        <v>46108.0</v>
      </c>
      <c r="N101" s="489"/>
      <c r="O101" s="485"/>
      <c r="P101" s="489"/>
      <c r="Q101" s="489"/>
      <c r="R101" s="489"/>
      <c r="S101" s="489"/>
      <c r="T101" s="489"/>
      <c r="U101" s="502"/>
    </row>
    <row r="102">
      <c r="A102" s="491">
        <v>101.0</v>
      </c>
      <c r="B102" s="465" t="s">
        <v>20</v>
      </c>
      <c r="C102" s="466" t="s">
        <v>2826</v>
      </c>
      <c r="D102" s="492" t="s">
        <v>513</v>
      </c>
      <c r="E102" s="468" t="s">
        <v>3116</v>
      </c>
      <c r="F102" s="469" t="s">
        <v>3117</v>
      </c>
      <c r="G102" s="498"/>
      <c r="H102" s="471" t="s">
        <v>3118</v>
      </c>
      <c r="I102" s="497" t="s">
        <v>1163</v>
      </c>
      <c r="J102" s="495"/>
      <c r="K102" s="473">
        <v>0.0</v>
      </c>
      <c r="L102" s="473">
        <v>1.0</v>
      </c>
      <c r="M102" s="474">
        <v>46108.0</v>
      </c>
      <c r="N102" s="67" t="s">
        <v>139</v>
      </c>
      <c r="O102" s="352" t="s">
        <v>218</v>
      </c>
      <c r="P102" s="476"/>
      <c r="Q102" s="476"/>
      <c r="R102" s="476"/>
      <c r="S102" s="476"/>
      <c r="T102" s="476"/>
      <c r="U102" s="496"/>
    </row>
    <row r="103">
      <c r="A103" s="491">
        <v>102.0</v>
      </c>
      <c r="B103" s="465" t="s">
        <v>23</v>
      </c>
      <c r="C103" s="466" t="s">
        <v>2826</v>
      </c>
      <c r="D103" s="492" t="s">
        <v>578</v>
      </c>
      <c r="E103" s="468" t="s">
        <v>3119</v>
      </c>
      <c r="F103" s="469" t="s">
        <v>3120</v>
      </c>
      <c r="G103" s="493"/>
      <c r="H103" s="471"/>
      <c r="I103" s="494"/>
      <c r="J103" s="501"/>
      <c r="K103" s="484">
        <v>0.0</v>
      </c>
      <c r="L103" s="484">
        <v>1.0</v>
      </c>
      <c r="M103" s="485">
        <v>46108.0</v>
      </c>
      <c r="N103" s="489"/>
      <c r="O103" s="485"/>
      <c r="P103" s="489"/>
      <c r="Q103" s="489"/>
      <c r="R103" s="489"/>
      <c r="S103" s="489"/>
      <c r="T103" s="489"/>
      <c r="U103" s="502"/>
    </row>
    <row r="104">
      <c r="A104" s="491">
        <v>103.0</v>
      </c>
      <c r="B104" s="465" t="s">
        <v>20</v>
      </c>
      <c r="C104" s="466" t="s">
        <v>2826</v>
      </c>
      <c r="D104" s="492" t="s">
        <v>429</v>
      </c>
      <c r="E104" s="468" t="s">
        <v>3121</v>
      </c>
      <c r="F104" s="469" t="s">
        <v>3122</v>
      </c>
      <c r="G104" s="498"/>
      <c r="H104" s="471" t="s">
        <v>3123</v>
      </c>
      <c r="I104" s="494"/>
      <c r="J104" s="495"/>
      <c r="K104" s="473">
        <v>0.0</v>
      </c>
      <c r="L104" s="473">
        <v>1.0</v>
      </c>
      <c r="M104" s="474">
        <v>46108.0</v>
      </c>
      <c r="N104" s="67" t="s">
        <v>139</v>
      </c>
      <c r="O104" s="352" t="s">
        <v>218</v>
      </c>
      <c r="P104" s="476"/>
      <c r="Q104" s="476"/>
      <c r="R104" s="476"/>
      <c r="S104" s="476"/>
      <c r="T104" s="476"/>
      <c r="U104" s="496"/>
    </row>
    <row r="105">
      <c r="A105" s="491">
        <v>104.0</v>
      </c>
      <c r="B105" s="465" t="s">
        <v>20</v>
      </c>
      <c r="C105" s="466" t="s">
        <v>2826</v>
      </c>
      <c r="D105" s="492" t="s">
        <v>429</v>
      </c>
      <c r="E105" s="468" t="s">
        <v>3124</v>
      </c>
      <c r="F105" s="469" t="s">
        <v>3125</v>
      </c>
      <c r="G105" s="498"/>
      <c r="H105" s="471" t="s">
        <v>3126</v>
      </c>
      <c r="I105" s="505" t="s">
        <v>3127</v>
      </c>
      <c r="J105" s="495"/>
      <c r="K105" s="473">
        <v>0.0</v>
      </c>
      <c r="L105" s="473">
        <v>1.0</v>
      </c>
      <c r="M105" s="474">
        <v>46108.0</v>
      </c>
      <c r="N105" s="67" t="s">
        <v>139</v>
      </c>
      <c r="O105" s="352" t="s">
        <v>218</v>
      </c>
      <c r="P105" s="476"/>
      <c r="Q105" s="476"/>
      <c r="R105" s="476"/>
      <c r="S105" s="476"/>
      <c r="T105" s="476"/>
      <c r="U105" s="496"/>
    </row>
    <row r="106">
      <c r="A106" s="491">
        <v>105.0</v>
      </c>
      <c r="B106" s="465" t="s">
        <v>20</v>
      </c>
      <c r="C106" s="466" t="s">
        <v>2826</v>
      </c>
      <c r="D106" s="492" t="s">
        <v>1180</v>
      </c>
      <c r="E106" s="468" t="s">
        <v>3128</v>
      </c>
      <c r="F106" s="469" t="s">
        <v>3129</v>
      </c>
      <c r="G106" s="493"/>
      <c r="H106" s="471" t="s">
        <v>3130</v>
      </c>
      <c r="I106" s="494"/>
      <c r="J106" s="495"/>
      <c r="K106" s="473">
        <v>0.0</v>
      </c>
      <c r="L106" s="473">
        <v>1.0</v>
      </c>
      <c r="M106" s="474">
        <v>46108.0</v>
      </c>
      <c r="N106" s="67" t="s">
        <v>139</v>
      </c>
      <c r="O106" s="352" t="s">
        <v>218</v>
      </c>
      <c r="P106" s="476"/>
      <c r="Q106" s="476"/>
      <c r="R106" s="476"/>
      <c r="S106" s="476"/>
      <c r="T106" s="476"/>
      <c r="U106" s="496"/>
    </row>
    <row r="107">
      <c r="A107" s="491">
        <v>106.0</v>
      </c>
      <c r="B107" s="465" t="s">
        <v>23</v>
      </c>
      <c r="C107" s="466" t="s">
        <v>2826</v>
      </c>
      <c r="D107" s="492" t="s">
        <v>1189</v>
      </c>
      <c r="E107" s="468" t="s">
        <v>3131</v>
      </c>
      <c r="F107" s="469" t="s">
        <v>3132</v>
      </c>
      <c r="G107" s="493"/>
      <c r="H107" s="471"/>
      <c r="I107" s="494"/>
      <c r="J107" s="501"/>
      <c r="K107" s="484">
        <v>0.0</v>
      </c>
      <c r="L107" s="484">
        <v>1.0</v>
      </c>
      <c r="M107" s="485">
        <v>46108.0</v>
      </c>
      <c r="N107" s="489"/>
      <c r="O107" s="485"/>
      <c r="P107" s="489"/>
      <c r="Q107" s="489"/>
      <c r="R107" s="489"/>
      <c r="S107" s="489"/>
      <c r="T107" s="489"/>
      <c r="U107" s="502"/>
    </row>
    <row r="108">
      <c r="A108" s="491">
        <v>107.0</v>
      </c>
      <c r="B108" s="465" t="s">
        <v>20</v>
      </c>
      <c r="C108" s="466" t="s">
        <v>2826</v>
      </c>
      <c r="D108" s="492" t="s">
        <v>109</v>
      </c>
      <c r="E108" s="468" t="s">
        <v>3133</v>
      </c>
      <c r="F108" s="469" t="s">
        <v>3134</v>
      </c>
      <c r="G108" s="498"/>
      <c r="H108" s="471" t="s">
        <v>3135</v>
      </c>
      <c r="I108" s="494"/>
      <c r="J108" s="495"/>
      <c r="K108" s="473">
        <v>0.0</v>
      </c>
      <c r="L108" s="473">
        <v>1.0</v>
      </c>
      <c r="M108" s="474">
        <v>46108.0</v>
      </c>
      <c r="N108" s="67" t="s">
        <v>139</v>
      </c>
      <c r="O108" s="352" t="s">
        <v>218</v>
      </c>
      <c r="P108" s="476"/>
      <c r="Q108" s="476"/>
      <c r="R108" s="476"/>
      <c r="S108" s="476"/>
      <c r="T108" s="476"/>
      <c r="U108" s="496"/>
    </row>
    <row r="109">
      <c r="A109" s="516">
        <v>108.0</v>
      </c>
      <c r="B109" s="465" t="s">
        <v>20</v>
      </c>
      <c r="C109" s="517" t="s">
        <v>3136</v>
      </c>
      <c r="D109" s="518" t="s">
        <v>506</v>
      </c>
      <c r="E109" s="455" t="s">
        <v>3137</v>
      </c>
      <c r="F109" s="519" t="s">
        <v>3138</v>
      </c>
      <c r="G109" s="455"/>
      <c r="H109" s="520" t="s">
        <v>3139</v>
      </c>
      <c r="I109" s="521" t="s">
        <v>1218</v>
      </c>
      <c r="J109" s="439"/>
      <c r="K109" s="440">
        <v>0.0</v>
      </c>
      <c r="L109" s="440">
        <v>1.0</v>
      </c>
      <c r="M109" s="459" t="s">
        <v>3140</v>
      </c>
      <c r="N109" s="522" t="s">
        <v>139</v>
      </c>
      <c r="O109" s="523"/>
      <c r="P109" s="524"/>
      <c r="Q109" s="524"/>
      <c r="R109" s="524"/>
      <c r="S109" s="524"/>
      <c r="T109" s="524"/>
      <c r="U109" s="525"/>
    </row>
    <row r="110">
      <c r="A110" s="491">
        <v>109.0</v>
      </c>
      <c r="B110" s="465" t="s">
        <v>20</v>
      </c>
      <c r="C110" s="526" t="s">
        <v>3136</v>
      </c>
      <c r="D110" s="492" t="s">
        <v>506</v>
      </c>
      <c r="E110" s="520" t="s">
        <v>3141</v>
      </c>
      <c r="F110" s="519" t="s">
        <v>3142</v>
      </c>
      <c r="G110" s="493"/>
      <c r="H110" s="520" t="s">
        <v>3143</v>
      </c>
      <c r="I110" s="494"/>
      <c r="J110" s="495"/>
      <c r="K110" s="473">
        <v>0.0</v>
      </c>
      <c r="L110" s="440">
        <v>1.0</v>
      </c>
      <c r="M110" s="459" t="s">
        <v>3140</v>
      </c>
      <c r="N110" s="67" t="s">
        <v>139</v>
      </c>
      <c r="O110" s="352"/>
      <c r="P110" s="476"/>
      <c r="Q110" s="476"/>
      <c r="R110" s="476"/>
      <c r="S110" s="476"/>
      <c r="T110" s="476"/>
      <c r="U110" s="496"/>
    </row>
    <row r="111">
      <c r="A111" s="491">
        <v>110.0</v>
      </c>
      <c r="B111" s="465" t="s">
        <v>20</v>
      </c>
      <c r="C111" s="526" t="s">
        <v>3144</v>
      </c>
      <c r="D111" s="492" t="s">
        <v>494</v>
      </c>
      <c r="E111" s="520" t="s">
        <v>3145</v>
      </c>
      <c r="F111" s="519" t="s">
        <v>3146</v>
      </c>
      <c r="G111" s="493"/>
      <c r="H111" s="520" t="s">
        <v>3147</v>
      </c>
      <c r="I111" s="494"/>
      <c r="J111" s="495"/>
      <c r="K111" s="473">
        <v>0.0</v>
      </c>
      <c r="L111" s="440">
        <v>1.0</v>
      </c>
      <c r="M111" s="459" t="s">
        <v>3140</v>
      </c>
      <c r="N111" s="67" t="s">
        <v>139</v>
      </c>
      <c r="O111" s="352"/>
      <c r="P111" s="476"/>
      <c r="Q111" s="476"/>
      <c r="R111" s="476"/>
      <c r="S111" s="476"/>
      <c r="T111" s="476"/>
      <c r="U111" s="496"/>
    </row>
    <row r="112">
      <c r="A112" s="491">
        <v>111.0</v>
      </c>
      <c r="B112" s="465" t="s">
        <v>20</v>
      </c>
      <c r="C112" s="526" t="s">
        <v>3136</v>
      </c>
      <c r="D112" s="492" t="s">
        <v>531</v>
      </c>
      <c r="E112" s="520" t="s">
        <v>3148</v>
      </c>
      <c r="F112" s="519" t="s">
        <v>3149</v>
      </c>
      <c r="G112" s="498"/>
      <c r="H112" s="520" t="s">
        <v>3150</v>
      </c>
      <c r="I112" s="494"/>
      <c r="J112" s="320"/>
      <c r="K112" s="473">
        <v>0.0</v>
      </c>
      <c r="L112" s="440">
        <v>1.0</v>
      </c>
      <c r="M112" s="459" t="s">
        <v>3140</v>
      </c>
      <c r="N112" s="67" t="s">
        <v>139</v>
      </c>
      <c r="O112" s="352"/>
      <c r="P112" s="476"/>
      <c r="Q112" s="476"/>
      <c r="R112" s="476"/>
      <c r="S112" s="476"/>
      <c r="T112" s="476"/>
      <c r="U112" s="496"/>
    </row>
    <row r="113">
      <c r="A113" s="491">
        <v>112.0</v>
      </c>
      <c r="B113" s="465" t="s">
        <v>20</v>
      </c>
      <c r="C113" s="526" t="s">
        <v>3144</v>
      </c>
      <c r="D113" s="492" t="s">
        <v>531</v>
      </c>
      <c r="E113" s="520" t="s">
        <v>3151</v>
      </c>
      <c r="F113" s="519" t="s">
        <v>3152</v>
      </c>
      <c r="G113" s="498"/>
      <c r="H113" s="520" t="s">
        <v>3153</v>
      </c>
      <c r="I113" s="494"/>
      <c r="J113" s="320"/>
      <c r="K113" s="473">
        <v>0.0</v>
      </c>
      <c r="L113" s="440">
        <v>1.0</v>
      </c>
      <c r="M113" s="459" t="s">
        <v>3140</v>
      </c>
      <c r="N113" s="67" t="s">
        <v>139</v>
      </c>
      <c r="O113" s="352"/>
      <c r="P113" s="476"/>
      <c r="Q113" s="476"/>
      <c r="R113" s="476"/>
      <c r="S113" s="476"/>
      <c r="T113" s="476"/>
      <c r="U113" s="496"/>
    </row>
    <row r="114">
      <c r="A114" s="491">
        <v>113.0</v>
      </c>
      <c r="B114" s="465" t="s">
        <v>20</v>
      </c>
      <c r="C114" s="526" t="s">
        <v>3136</v>
      </c>
      <c r="D114" s="492" t="s">
        <v>531</v>
      </c>
      <c r="E114" s="520" t="s">
        <v>3154</v>
      </c>
      <c r="F114" s="519" t="s">
        <v>3155</v>
      </c>
      <c r="G114" s="498"/>
      <c r="H114" s="520" t="s">
        <v>3156</v>
      </c>
      <c r="I114" s="494"/>
      <c r="J114" s="320"/>
      <c r="K114" s="473">
        <v>0.0</v>
      </c>
      <c r="L114" s="440">
        <v>1.0</v>
      </c>
      <c r="M114" s="459" t="s">
        <v>3140</v>
      </c>
      <c r="N114" s="67" t="s">
        <v>139</v>
      </c>
      <c r="O114" s="352"/>
      <c r="P114" s="476"/>
      <c r="Q114" s="476"/>
      <c r="R114" s="476"/>
      <c r="S114" s="476"/>
      <c r="T114" s="476"/>
      <c r="U114" s="496"/>
    </row>
    <row r="115">
      <c r="A115" s="491">
        <v>114.0</v>
      </c>
      <c r="B115" s="465" t="s">
        <v>20</v>
      </c>
      <c r="C115" s="526" t="s">
        <v>3136</v>
      </c>
      <c r="D115" s="492" t="s">
        <v>531</v>
      </c>
      <c r="E115" s="520" t="s">
        <v>3157</v>
      </c>
      <c r="F115" s="519" t="s">
        <v>3158</v>
      </c>
      <c r="G115" s="498"/>
      <c r="H115" s="520" t="s">
        <v>3159</v>
      </c>
      <c r="I115" s="494"/>
      <c r="J115" s="320"/>
      <c r="K115" s="473">
        <v>0.0</v>
      </c>
      <c r="L115" s="440">
        <v>1.0</v>
      </c>
      <c r="M115" s="459" t="s">
        <v>3140</v>
      </c>
      <c r="N115" s="67" t="s">
        <v>139</v>
      </c>
      <c r="O115" s="352"/>
      <c r="P115" s="476"/>
      <c r="Q115" s="476"/>
      <c r="R115" s="476"/>
      <c r="S115" s="476"/>
      <c r="T115" s="476"/>
      <c r="U115" s="496"/>
    </row>
    <row r="116">
      <c r="A116" s="491">
        <v>115.0</v>
      </c>
      <c r="B116" s="465" t="s">
        <v>20</v>
      </c>
      <c r="C116" s="526" t="s">
        <v>3136</v>
      </c>
      <c r="D116" s="492" t="s">
        <v>531</v>
      </c>
      <c r="E116" s="520" t="s">
        <v>3160</v>
      </c>
      <c r="F116" s="519" t="s">
        <v>3161</v>
      </c>
      <c r="G116" s="498"/>
      <c r="H116" s="520" t="s">
        <v>3162</v>
      </c>
      <c r="I116" s="494"/>
      <c r="J116" s="320"/>
      <c r="K116" s="473">
        <v>0.0</v>
      </c>
      <c r="L116" s="440">
        <v>1.0</v>
      </c>
      <c r="M116" s="459" t="s">
        <v>3140</v>
      </c>
      <c r="N116" s="67" t="s">
        <v>139</v>
      </c>
      <c r="O116" s="352"/>
      <c r="P116" s="476"/>
      <c r="Q116" s="476"/>
      <c r="R116" s="476"/>
      <c r="S116" s="476"/>
      <c r="T116" s="476"/>
      <c r="U116" s="496"/>
    </row>
    <row r="117">
      <c r="A117" s="491">
        <v>116.0</v>
      </c>
      <c r="B117" s="465" t="s">
        <v>20</v>
      </c>
      <c r="C117" s="526" t="s">
        <v>3144</v>
      </c>
      <c r="D117" s="492" t="s">
        <v>531</v>
      </c>
      <c r="E117" s="520" t="s">
        <v>3163</v>
      </c>
      <c r="F117" s="519" t="s">
        <v>3164</v>
      </c>
      <c r="G117" s="498"/>
      <c r="H117" s="520" t="s">
        <v>3165</v>
      </c>
      <c r="I117" s="494"/>
      <c r="J117" s="320"/>
      <c r="K117" s="473">
        <v>0.0</v>
      </c>
      <c r="L117" s="440">
        <v>1.0</v>
      </c>
      <c r="M117" s="459" t="s">
        <v>3140</v>
      </c>
      <c r="N117" s="67" t="s">
        <v>139</v>
      </c>
      <c r="O117" s="352"/>
      <c r="P117" s="476"/>
      <c r="Q117" s="476"/>
      <c r="R117" s="476"/>
      <c r="S117" s="476"/>
      <c r="T117" s="476"/>
      <c r="U117" s="496"/>
    </row>
    <row r="118">
      <c r="A118" s="491">
        <v>117.0</v>
      </c>
      <c r="B118" s="465" t="s">
        <v>20</v>
      </c>
      <c r="C118" s="526" t="s">
        <v>3136</v>
      </c>
      <c r="D118" s="492" t="s">
        <v>531</v>
      </c>
      <c r="E118" s="520" t="s">
        <v>1605</v>
      </c>
      <c r="F118" s="519" t="s">
        <v>3166</v>
      </c>
      <c r="G118" s="498"/>
      <c r="H118" s="520" t="s">
        <v>3167</v>
      </c>
      <c r="I118" s="494"/>
      <c r="J118" s="320"/>
      <c r="K118" s="473">
        <v>0.0</v>
      </c>
      <c r="L118" s="440">
        <v>1.0</v>
      </c>
      <c r="M118" s="459" t="s">
        <v>3140</v>
      </c>
      <c r="N118" s="67" t="s">
        <v>139</v>
      </c>
      <c r="O118" s="352"/>
      <c r="P118" s="476"/>
      <c r="Q118" s="476"/>
      <c r="R118" s="476"/>
      <c r="S118" s="476"/>
      <c r="T118" s="476"/>
      <c r="U118" s="496"/>
    </row>
    <row r="119">
      <c r="A119" s="491">
        <v>118.0</v>
      </c>
      <c r="B119" s="465" t="s">
        <v>20</v>
      </c>
      <c r="C119" s="526" t="s">
        <v>3144</v>
      </c>
      <c r="D119" s="492" t="s">
        <v>531</v>
      </c>
      <c r="E119" s="520" t="s">
        <v>3168</v>
      </c>
      <c r="F119" s="519" t="s">
        <v>3169</v>
      </c>
      <c r="G119" s="498"/>
      <c r="H119" s="520" t="s">
        <v>3170</v>
      </c>
      <c r="I119" s="494"/>
      <c r="J119" s="320"/>
      <c r="K119" s="473">
        <v>0.0</v>
      </c>
      <c r="L119" s="440">
        <v>1.0</v>
      </c>
      <c r="M119" s="459" t="s">
        <v>3140</v>
      </c>
      <c r="N119" s="67" t="s">
        <v>139</v>
      </c>
      <c r="O119" s="352"/>
      <c r="P119" s="476"/>
      <c r="Q119" s="476"/>
      <c r="R119" s="476"/>
      <c r="S119" s="476"/>
      <c r="T119" s="476"/>
      <c r="U119" s="496"/>
    </row>
    <row r="120">
      <c r="A120" s="491">
        <v>119.0</v>
      </c>
      <c r="B120" s="465" t="s">
        <v>20</v>
      </c>
      <c r="C120" s="526" t="s">
        <v>3144</v>
      </c>
      <c r="D120" s="492" t="s">
        <v>353</v>
      </c>
      <c r="E120" s="520" t="s">
        <v>3171</v>
      </c>
      <c r="F120" s="519" t="s">
        <v>3172</v>
      </c>
      <c r="G120" s="493"/>
      <c r="H120" s="520" t="s">
        <v>3173</v>
      </c>
      <c r="I120" s="494"/>
      <c r="J120" s="495"/>
      <c r="K120" s="473">
        <v>0.0</v>
      </c>
      <c r="L120" s="440">
        <v>1.0</v>
      </c>
      <c r="M120" s="459" t="s">
        <v>3140</v>
      </c>
      <c r="N120" s="67" t="s">
        <v>139</v>
      </c>
      <c r="O120" s="352"/>
      <c r="P120" s="476"/>
      <c r="Q120" s="476"/>
      <c r="R120" s="476"/>
      <c r="S120" s="476"/>
      <c r="T120" s="476"/>
      <c r="U120" s="496"/>
    </row>
    <row r="121">
      <c r="A121" s="491">
        <v>120.0</v>
      </c>
      <c r="B121" s="465" t="s">
        <v>20</v>
      </c>
      <c r="C121" s="526" t="s">
        <v>3136</v>
      </c>
      <c r="D121" s="492" t="s">
        <v>69</v>
      </c>
      <c r="E121" s="520" t="s">
        <v>3174</v>
      </c>
      <c r="F121" s="519" t="s">
        <v>3175</v>
      </c>
      <c r="G121" s="498"/>
      <c r="H121" s="520" t="s">
        <v>3176</v>
      </c>
      <c r="I121" s="494"/>
      <c r="J121" s="495"/>
      <c r="K121" s="473">
        <v>0.0</v>
      </c>
      <c r="L121" s="440">
        <v>1.0</v>
      </c>
      <c r="M121" s="459" t="s">
        <v>3140</v>
      </c>
      <c r="N121" s="67" t="s">
        <v>139</v>
      </c>
      <c r="O121" s="352"/>
      <c r="P121" s="476"/>
      <c r="Q121" s="476"/>
      <c r="R121" s="476"/>
      <c r="S121" s="476"/>
      <c r="T121" s="476"/>
      <c r="U121" s="496"/>
    </row>
    <row r="122">
      <c r="A122" s="491">
        <v>121.0</v>
      </c>
      <c r="B122" s="465" t="s">
        <v>20</v>
      </c>
      <c r="C122" s="526" t="s">
        <v>3177</v>
      </c>
      <c r="D122" s="492" t="s">
        <v>69</v>
      </c>
      <c r="E122" s="520" t="s">
        <v>3178</v>
      </c>
      <c r="F122" s="519" t="s">
        <v>3179</v>
      </c>
      <c r="G122" s="498"/>
      <c r="H122" s="520" t="s">
        <v>3180</v>
      </c>
      <c r="I122" s="494"/>
      <c r="J122" s="495"/>
      <c r="K122" s="473">
        <v>0.0</v>
      </c>
      <c r="L122" s="440">
        <v>1.0</v>
      </c>
      <c r="M122" s="459" t="s">
        <v>3140</v>
      </c>
      <c r="N122" s="67" t="s">
        <v>139</v>
      </c>
      <c r="O122" s="352"/>
      <c r="P122" s="476"/>
      <c r="Q122" s="476"/>
      <c r="R122" s="476"/>
      <c r="S122" s="476"/>
      <c r="T122" s="476"/>
      <c r="U122" s="496"/>
    </row>
    <row r="123">
      <c r="A123" s="491">
        <v>122.0</v>
      </c>
      <c r="B123" s="465" t="s">
        <v>20</v>
      </c>
      <c r="C123" s="526" t="s">
        <v>3177</v>
      </c>
      <c r="D123" s="492" t="s">
        <v>1110</v>
      </c>
      <c r="E123" s="520" t="s">
        <v>3181</v>
      </c>
      <c r="F123" s="519" t="s">
        <v>3182</v>
      </c>
      <c r="G123" s="493"/>
      <c r="H123" s="520" t="s">
        <v>3183</v>
      </c>
      <c r="I123" s="505" t="s">
        <v>3184</v>
      </c>
      <c r="J123" s="495"/>
      <c r="K123" s="473">
        <v>0.0</v>
      </c>
      <c r="L123" s="440">
        <v>1.0</v>
      </c>
      <c r="M123" s="459" t="s">
        <v>3140</v>
      </c>
      <c r="N123" s="67" t="s">
        <v>139</v>
      </c>
      <c r="O123" s="352"/>
      <c r="P123" s="476"/>
      <c r="Q123" s="476"/>
      <c r="R123" s="476"/>
      <c r="S123" s="476"/>
      <c r="T123" s="476"/>
      <c r="U123" s="496"/>
    </row>
    <row r="124">
      <c r="A124" s="491">
        <v>123.0</v>
      </c>
      <c r="B124" s="465" t="s">
        <v>20</v>
      </c>
      <c r="C124" s="526" t="s">
        <v>3177</v>
      </c>
      <c r="D124" s="492" t="s">
        <v>531</v>
      </c>
      <c r="E124" s="520" t="s">
        <v>3185</v>
      </c>
      <c r="F124" s="519" t="s">
        <v>3186</v>
      </c>
      <c r="G124" s="498"/>
      <c r="H124" s="520" t="s">
        <v>3187</v>
      </c>
      <c r="I124" s="494"/>
      <c r="J124" s="495"/>
      <c r="K124" s="473">
        <v>0.0</v>
      </c>
      <c r="L124" s="440">
        <v>1.0</v>
      </c>
      <c r="M124" s="459" t="s">
        <v>3140</v>
      </c>
      <c r="N124" s="67" t="s">
        <v>139</v>
      </c>
      <c r="O124" s="352"/>
      <c r="P124" s="476"/>
      <c r="Q124" s="476"/>
      <c r="R124" s="476"/>
      <c r="S124" s="476"/>
      <c r="T124" s="476"/>
      <c r="U124" s="496"/>
    </row>
    <row r="125">
      <c r="A125" s="491">
        <v>124.0</v>
      </c>
      <c r="B125" s="465" t="s">
        <v>20</v>
      </c>
      <c r="C125" s="526" t="s">
        <v>3177</v>
      </c>
      <c r="D125" s="492" t="s">
        <v>332</v>
      </c>
      <c r="E125" s="520" t="s">
        <v>3188</v>
      </c>
      <c r="F125" s="519" t="s">
        <v>3189</v>
      </c>
      <c r="G125" s="493"/>
      <c r="H125" s="520" t="s">
        <v>3190</v>
      </c>
      <c r="I125" s="497" t="s">
        <v>1275</v>
      </c>
      <c r="J125" s="495"/>
      <c r="K125" s="473">
        <v>0.0</v>
      </c>
      <c r="L125" s="440">
        <v>1.0</v>
      </c>
      <c r="M125" s="459" t="s">
        <v>3140</v>
      </c>
      <c r="N125" s="67" t="s">
        <v>139</v>
      </c>
      <c r="O125" s="352"/>
      <c r="P125" s="476"/>
      <c r="Q125" s="476"/>
      <c r="R125" s="476"/>
      <c r="S125" s="476"/>
      <c r="T125" s="476"/>
      <c r="U125" s="496"/>
    </row>
    <row r="126">
      <c r="A126" s="491">
        <v>125.0</v>
      </c>
      <c r="B126" s="465" t="s">
        <v>20</v>
      </c>
      <c r="C126" s="526" t="s">
        <v>3144</v>
      </c>
      <c r="D126" s="492" t="s">
        <v>332</v>
      </c>
      <c r="E126" s="520" t="s">
        <v>3191</v>
      </c>
      <c r="F126" s="519" t="s">
        <v>3192</v>
      </c>
      <c r="G126" s="498"/>
      <c r="H126" s="520" t="s">
        <v>3193</v>
      </c>
      <c r="I126" s="497" t="s">
        <v>1281</v>
      </c>
      <c r="J126" s="495"/>
      <c r="K126" s="473">
        <v>0.0</v>
      </c>
      <c r="L126" s="440">
        <v>1.0</v>
      </c>
      <c r="M126" s="459" t="s">
        <v>3140</v>
      </c>
      <c r="N126" s="67" t="s">
        <v>139</v>
      </c>
      <c r="O126" s="352"/>
      <c r="P126" s="476"/>
      <c r="Q126" s="476"/>
      <c r="R126" s="476"/>
      <c r="S126" s="476"/>
      <c r="T126" s="476"/>
      <c r="U126" s="496"/>
    </row>
    <row r="127">
      <c r="A127" s="491">
        <v>126.0</v>
      </c>
      <c r="B127" s="465" t="s">
        <v>20</v>
      </c>
      <c r="C127" s="526" t="s">
        <v>3177</v>
      </c>
      <c r="D127" s="492" t="s">
        <v>429</v>
      </c>
      <c r="E127" s="520" t="s">
        <v>3194</v>
      </c>
      <c r="F127" s="519" t="s">
        <v>3195</v>
      </c>
      <c r="G127" s="498"/>
      <c r="H127" s="520" t="s">
        <v>3196</v>
      </c>
      <c r="I127" s="497" t="s">
        <v>1288</v>
      </c>
      <c r="J127" s="320"/>
      <c r="K127" s="473">
        <v>0.0</v>
      </c>
      <c r="L127" s="440">
        <v>1.0</v>
      </c>
      <c r="M127" s="459" t="s">
        <v>3140</v>
      </c>
      <c r="N127" s="67" t="s">
        <v>139</v>
      </c>
      <c r="O127" s="352"/>
      <c r="P127" s="476"/>
      <c r="Q127" s="476"/>
      <c r="R127" s="476"/>
      <c r="S127" s="476"/>
      <c r="T127" s="476"/>
      <c r="U127" s="496"/>
    </row>
    <row r="128">
      <c r="A128" s="491">
        <v>127.0</v>
      </c>
      <c r="B128" s="465" t="s">
        <v>20</v>
      </c>
      <c r="C128" s="526" t="s">
        <v>3177</v>
      </c>
      <c r="D128" s="492" t="s">
        <v>429</v>
      </c>
      <c r="E128" s="520" t="s">
        <v>3197</v>
      </c>
      <c r="F128" s="519" t="s">
        <v>3198</v>
      </c>
      <c r="G128" s="493"/>
      <c r="H128" s="520" t="s">
        <v>3199</v>
      </c>
      <c r="I128" s="494"/>
      <c r="J128" s="495"/>
      <c r="K128" s="473">
        <v>0.0</v>
      </c>
      <c r="L128" s="440">
        <v>1.0</v>
      </c>
      <c r="M128" s="459" t="s">
        <v>3140</v>
      </c>
      <c r="N128" s="67" t="s">
        <v>139</v>
      </c>
      <c r="O128" s="352"/>
      <c r="P128" s="476"/>
      <c r="Q128" s="476"/>
      <c r="R128" s="476"/>
      <c r="S128" s="476"/>
      <c r="T128" s="476"/>
      <c r="U128" s="496"/>
    </row>
    <row r="129">
      <c r="A129" s="491">
        <v>128.0</v>
      </c>
      <c r="B129" s="465" t="s">
        <v>20</v>
      </c>
      <c r="C129" s="526" t="s">
        <v>3177</v>
      </c>
      <c r="D129" s="492" t="s">
        <v>1072</v>
      </c>
      <c r="E129" s="520" t="s">
        <v>3200</v>
      </c>
      <c r="F129" s="519" t="s">
        <v>3201</v>
      </c>
      <c r="G129" s="498"/>
      <c r="H129" s="520" t="s">
        <v>3202</v>
      </c>
      <c r="I129" s="497" t="s">
        <v>1297</v>
      </c>
      <c r="J129" s="495"/>
      <c r="K129" s="473">
        <v>0.0</v>
      </c>
      <c r="L129" s="440">
        <v>1.0</v>
      </c>
      <c r="M129" s="459" t="s">
        <v>3140</v>
      </c>
      <c r="N129" s="67" t="s">
        <v>139</v>
      </c>
      <c r="O129" s="352"/>
      <c r="P129" s="476"/>
      <c r="Q129" s="476"/>
      <c r="R129" s="476"/>
      <c r="S129" s="476"/>
      <c r="T129" s="476"/>
      <c r="U129" s="496"/>
    </row>
    <row r="130">
      <c r="A130" s="491">
        <v>129.0</v>
      </c>
      <c r="B130" s="465" t="s">
        <v>20</v>
      </c>
      <c r="C130" s="526" t="s">
        <v>3177</v>
      </c>
      <c r="D130" s="492" t="s">
        <v>1072</v>
      </c>
      <c r="E130" s="520" t="s">
        <v>3203</v>
      </c>
      <c r="F130" s="519" t="s">
        <v>3204</v>
      </c>
      <c r="G130" s="498"/>
      <c r="H130" s="520" t="s">
        <v>3205</v>
      </c>
      <c r="I130" s="494"/>
      <c r="J130" s="495"/>
      <c r="K130" s="473">
        <v>0.0</v>
      </c>
      <c r="L130" s="440">
        <v>1.0</v>
      </c>
      <c r="M130" s="459" t="s">
        <v>3140</v>
      </c>
      <c r="N130" s="67" t="s">
        <v>139</v>
      </c>
      <c r="O130" s="352"/>
      <c r="P130" s="476"/>
      <c r="Q130" s="476"/>
      <c r="R130" s="476"/>
      <c r="S130" s="476"/>
      <c r="T130" s="476"/>
      <c r="U130" s="496"/>
    </row>
    <row r="131">
      <c r="A131" s="491">
        <v>130.0</v>
      </c>
      <c r="B131" s="465" t="s">
        <v>20</v>
      </c>
      <c r="C131" s="526" t="s">
        <v>3177</v>
      </c>
      <c r="D131" s="492" t="s">
        <v>1072</v>
      </c>
      <c r="E131" s="520" t="s">
        <v>3206</v>
      </c>
      <c r="F131" s="519" t="s">
        <v>3207</v>
      </c>
      <c r="G131" s="498"/>
      <c r="H131" s="520" t="s">
        <v>3208</v>
      </c>
      <c r="I131" s="494"/>
      <c r="J131" s="495"/>
      <c r="K131" s="473">
        <v>0.0</v>
      </c>
      <c r="L131" s="440">
        <v>1.0</v>
      </c>
      <c r="M131" s="459" t="s">
        <v>3140</v>
      </c>
      <c r="N131" s="67" t="s">
        <v>139</v>
      </c>
      <c r="O131" s="352"/>
      <c r="P131" s="476"/>
      <c r="Q131" s="476"/>
      <c r="R131" s="476"/>
      <c r="S131" s="476"/>
      <c r="T131" s="476"/>
      <c r="U131" s="496"/>
    </row>
    <row r="132">
      <c r="A132" s="491">
        <v>131.0</v>
      </c>
      <c r="B132" s="465" t="s">
        <v>20</v>
      </c>
      <c r="C132" s="526" t="s">
        <v>3177</v>
      </c>
      <c r="D132" s="492" t="s">
        <v>1210</v>
      </c>
      <c r="E132" s="520" t="s">
        <v>3209</v>
      </c>
      <c r="F132" s="519" t="s">
        <v>3210</v>
      </c>
      <c r="G132" s="498"/>
      <c r="H132" s="520" t="s">
        <v>3211</v>
      </c>
      <c r="I132" s="494"/>
      <c r="J132" s="495"/>
      <c r="K132" s="473">
        <v>0.0</v>
      </c>
      <c r="L132" s="440">
        <v>1.0</v>
      </c>
      <c r="M132" s="459" t="s">
        <v>3140</v>
      </c>
      <c r="N132" s="67" t="s">
        <v>139</v>
      </c>
      <c r="O132" s="352"/>
      <c r="P132" s="476"/>
      <c r="Q132" s="476"/>
      <c r="R132" s="476"/>
      <c r="S132" s="476"/>
      <c r="T132" s="476"/>
      <c r="U132" s="496"/>
    </row>
    <row r="133">
      <c r="A133" s="491">
        <v>132.0</v>
      </c>
      <c r="B133" s="465" t="s">
        <v>20</v>
      </c>
      <c r="C133" s="526" t="s">
        <v>3177</v>
      </c>
      <c r="D133" s="492" t="s">
        <v>494</v>
      </c>
      <c r="E133" s="520" t="s">
        <v>3212</v>
      </c>
      <c r="F133" s="519" t="s">
        <v>3213</v>
      </c>
      <c r="G133" s="493"/>
      <c r="H133" s="520" t="s">
        <v>3214</v>
      </c>
      <c r="I133" s="505" t="s">
        <v>1313</v>
      </c>
      <c r="J133" s="495"/>
      <c r="K133" s="473">
        <v>0.0</v>
      </c>
      <c r="L133" s="440">
        <v>1.0</v>
      </c>
      <c r="M133" s="459" t="s">
        <v>3140</v>
      </c>
      <c r="N133" s="67" t="s">
        <v>139</v>
      </c>
      <c r="O133" s="352"/>
      <c r="P133" s="476"/>
      <c r="Q133" s="476"/>
      <c r="R133" s="476"/>
      <c r="S133" s="476"/>
      <c r="T133" s="476"/>
      <c r="U133" s="496"/>
    </row>
    <row r="134">
      <c r="A134" s="491">
        <v>133.0</v>
      </c>
      <c r="B134" s="465" t="s">
        <v>20</v>
      </c>
      <c r="C134" s="526" t="s">
        <v>3215</v>
      </c>
      <c r="D134" s="492" t="s">
        <v>578</v>
      </c>
      <c r="E134" s="520" t="s">
        <v>3216</v>
      </c>
      <c r="F134" s="519" t="s">
        <v>3217</v>
      </c>
      <c r="G134" s="493"/>
      <c r="H134" s="520" t="s">
        <v>3218</v>
      </c>
      <c r="I134" s="494"/>
      <c r="J134" s="495"/>
      <c r="K134" s="473">
        <v>0.0</v>
      </c>
      <c r="L134" s="440">
        <v>1.0</v>
      </c>
      <c r="M134" s="459" t="s">
        <v>3140</v>
      </c>
      <c r="N134" s="67" t="s">
        <v>139</v>
      </c>
      <c r="O134" s="352"/>
      <c r="P134" s="476"/>
      <c r="Q134" s="476"/>
      <c r="R134" s="476"/>
      <c r="S134" s="476"/>
      <c r="T134" s="476"/>
      <c r="U134" s="496"/>
    </row>
    <row r="135">
      <c r="A135" s="491">
        <v>134.0</v>
      </c>
      <c r="B135" s="465" t="s">
        <v>20</v>
      </c>
      <c r="C135" s="526" t="s">
        <v>3215</v>
      </c>
      <c r="D135" s="492" t="s">
        <v>1199</v>
      </c>
      <c r="E135" s="520" t="s">
        <v>3219</v>
      </c>
      <c r="F135" s="519" t="s">
        <v>3220</v>
      </c>
      <c r="G135" s="493"/>
      <c r="H135" s="520" t="s">
        <v>3221</v>
      </c>
      <c r="I135" s="505" t="s">
        <v>256</v>
      </c>
      <c r="J135" s="495"/>
      <c r="K135" s="473">
        <v>0.0</v>
      </c>
      <c r="L135" s="440">
        <v>1.0</v>
      </c>
      <c r="M135" s="459" t="s">
        <v>3140</v>
      </c>
      <c r="N135" s="67" t="s">
        <v>139</v>
      </c>
      <c r="O135" s="352"/>
      <c r="P135" s="476"/>
      <c r="Q135" s="476"/>
      <c r="R135" s="476"/>
      <c r="S135" s="476"/>
      <c r="T135" s="476"/>
      <c r="U135" s="496"/>
    </row>
    <row r="136">
      <c r="A136" s="491">
        <v>135.0</v>
      </c>
      <c r="B136" s="465" t="s">
        <v>20</v>
      </c>
      <c r="C136" s="526" t="s">
        <v>3215</v>
      </c>
      <c r="D136" s="492" t="s">
        <v>1063</v>
      </c>
      <c r="E136" s="520" t="s">
        <v>3222</v>
      </c>
      <c r="F136" s="519" t="s">
        <v>3223</v>
      </c>
      <c r="G136" s="493"/>
      <c r="H136" s="520" t="s">
        <v>3224</v>
      </c>
      <c r="I136" s="494"/>
      <c r="J136" s="495"/>
      <c r="K136" s="473">
        <v>0.0</v>
      </c>
      <c r="L136" s="440">
        <v>1.0</v>
      </c>
      <c r="M136" s="459" t="s">
        <v>3140</v>
      </c>
      <c r="N136" s="67" t="s">
        <v>139</v>
      </c>
      <c r="O136" s="352"/>
      <c r="P136" s="476"/>
      <c r="Q136" s="476"/>
      <c r="R136" s="476"/>
      <c r="S136" s="476"/>
      <c r="T136" s="476"/>
      <c r="U136" s="496"/>
    </row>
    <row r="137">
      <c r="A137" s="491">
        <v>136.0</v>
      </c>
      <c r="B137" s="465" t="s">
        <v>20</v>
      </c>
      <c r="C137" s="526" t="s">
        <v>3215</v>
      </c>
      <c r="D137" s="492" t="s">
        <v>109</v>
      </c>
      <c r="E137" s="520" t="s">
        <v>3225</v>
      </c>
      <c r="F137" s="519" t="s">
        <v>3226</v>
      </c>
      <c r="G137" s="498"/>
      <c r="H137" s="520" t="s">
        <v>3227</v>
      </c>
      <c r="I137" s="494"/>
      <c r="J137" s="495"/>
      <c r="K137" s="473">
        <v>0.0</v>
      </c>
      <c r="L137" s="440">
        <v>1.0</v>
      </c>
      <c r="M137" s="459" t="s">
        <v>3140</v>
      </c>
      <c r="N137" s="67" t="s">
        <v>139</v>
      </c>
      <c r="O137" s="352"/>
      <c r="P137" s="476"/>
      <c r="Q137" s="476"/>
      <c r="R137" s="476"/>
      <c r="S137" s="476"/>
      <c r="T137" s="476"/>
      <c r="U137" s="496"/>
    </row>
    <row r="138">
      <c r="A138" s="491">
        <v>137.0</v>
      </c>
      <c r="B138" s="465" t="s">
        <v>20</v>
      </c>
      <c r="C138" s="526" t="s">
        <v>3215</v>
      </c>
      <c r="D138" s="492" t="s">
        <v>109</v>
      </c>
      <c r="E138" s="520" t="s">
        <v>3228</v>
      </c>
      <c r="F138" s="519" t="s">
        <v>3229</v>
      </c>
      <c r="G138" s="498"/>
      <c r="H138" s="520" t="s">
        <v>3230</v>
      </c>
      <c r="I138" s="494"/>
      <c r="J138" s="495"/>
      <c r="K138" s="473">
        <v>0.0</v>
      </c>
      <c r="L138" s="440">
        <v>1.0</v>
      </c>
      <c r="M138" s="459" t="s">
        <v>3140</v>
      </c>
      <c r="N138" s="67" t="s">
        <v>139</v>
      </c>
      <c r="O138" s="352"/>
      <c r="P138" s="476"/>
      <c r="Q138" s="476"/>
      <c r="R138" s="476"/>
      <c r="S138" s="476"/>
      <c r="T138" s="476"/>
      <c r="U138" s="496"/>
    </row>
    <row r="139">
      <c r="A139" s="491">
        <v>138.0</v>
      </c>
      <c r="B139" s="465" t="s">
        <v>20</v>
      </c>
      <c r="C139" s="526" t="s">
        <v>3215</v>
      </c>
      <c r="D139" s="492" t="s">
        <v>1059</v>
      </c>
      <c r="E139" s="520" t="s">
        <v>3231</v>
      </c>
      <c r="F139" s="519" t="s">
        <v>3232</v>
      </c>
      <c r="G139" s="493"/>
      <c r="H139" s="520" t="s">
        <v>3233</v>
      </c>
      <c r="I139" s="494"/>
      <c r="J139" s="495"/>
      <c r="K139" s="473">
        <v>0.0</v>
      </c>
      <c r="L139" s="440">
        <v>1.0</v>
      </c>
      <c r="M139" s="459" t="s">
        <v>3140</v>
      </c>
      <c r="N139" s="67" t="s">
        <v>139</v>
      </c>
      <c r="O139" s="352"/>
      <c r="P139" s="476"/>
      <c r="Q139" s="476"/>
      <c r="R139" s="476"/>
      <c r="S139" s="476"/>
      <c r="T139" s="476"/>
      <c r="U139" s="496"/>
    </row>
    <row r="140">
      <c r="A140" s="491">
        <v>139.0</v>
      </c>
      <c r="B140" s="465" t="s">
        <v>20</v>
      </c>
      <c r="C140" s="526" t="s">
        <v>3215</v>
      </c>
      <c r="D140" s="492" t="s">
        <v>513</v>
      </c>
      <c r="E140" s="520" t="s">
        <v>3234</v>
      </c>
      <c r="F140" s="519" t="s">
        <v>3235</v>
      </c>
      <c r="G140" s="493"/>
      <c r="H140" s="520" t="s">
        <v>3236</v>
      </c>
      <c r="I140" s="497" t="s">
        <v>1352</v>
      </c>
      <c r="J140" s="495"/>
      <c r="K140" s="473">
        <v>0.0</v>
      </c>
      <c r="L140" s="440">
        <v>1.0</v>
      </c>
      <c r="M140" s="459" t="s">
        <v>3140</v>
      </c>
      <c r="N140" s="67" t="s">
        <v>139</v>
      </c>
      <c r="O140" s="352"/>
      <c r="P140" s="476"/>
      <c r="Q140" s="476"/>
      <c r="R140" s="476"/>
      <c r="S140" s="476"/>
      <c r="T140" s="476"/>
      <c r="U140" s="496"/>
    </row>
    <row r="141">
      <c r="A141" s="491">
        <v>140.0</v>
      </c>
      <c r="B141" s="465" t="s">
        <v>20</v>
      </c>
      <c r="C141" s="526" t="s">
        <v>3215</v>
      </c>
      <c r="D141" s="492" t="s">
        <v>506</v>
      </c>
      <c r="E141" s="520" t="s">
        <v>3237</v>
      </c>
      <c r="F141" s="519" t="s">
        <v>3238</v>
      </c>
      <c r="G141" s="493"/>
      <c r="H141" s="520" t="s">
        <v>3239</v>
      </c>
      <c r="I141" s="494"/>
      <c r="J141" s="495"/>
      <c r="K141" s="473">
        <v>0.0</v>
      </c>
      <c r="L141" s="440">
        <v>1.0</v>
      </c>
      <c r="M141" s="459" t="s">
        <v>3140</v>
      </c>
      <c r="N141" s="67" t="s">
        <v>139</v>
      </c>
      <c r="O141" s="352"/>
      <c r="P141" s="476"/>
      <c r="Q141" s="476"/>
      <c r="R141" s="476"/>
      <c r="S141" s="476"/>
      <c r="T141" s="476"/>
      <c r="U141" s="496"/>
    </row>
    <row r="142">
      <c r="A142" s="491">
        <v>141.0</v>
      </c>
      <c r="B142" s="465" t="s">
        <v>20</v>
      </c>
      <c r="C142" s="526" t="s">
        <v>3215</v>
      </c>
      <c r="D142" s="492" t="s">
        <v>506</v>
      </c>
      <c r="E142" s="520" t="s">
        <v>3240</v>
      </c>
      <c r="F142" s="519" t="s">
        <v>3241</v>
      </c>
      <c r="G142" s="493"/>
      <c r="H142" s="520" t="s">
        <v>3242</v>
      </c>
      <c r="I142" s="497" t="s">
        <v>1363</v>
      </c>
      <c r="J142" s="495"/>
      <c r="K142" s="473">
        <v>0.0</v>
      </c>
      <c r="L142" s="440">
        <v>1.0</v>
      </c>
      <c r="M142" s="459" t="s">
        <v>3140</v>
      </c>
      <c r="N142" s="67" t="s">
        <v>139</v>
      </c>
      <c r="O142" s="352"/>
      <c r="P142" s="476"/>
      <c r="Q142" s="476"/>
      <c r="R142" s="476"/>
      <c r="S142" s="476"/>
      <c r="T142" s="476"/>
      <c r="U142" s="496"/>
    </row>
    <row r="143">
      <c r="A143" s="491">
        <v>142.0</v>
      </c>
      <c r="B143" s="465" t="s">
        <v>20</v>
      </c>
      <c r="C143" s="526" t="s">
        <v>3215</v>
      </c>
      <c r="D143" s="492" t="s">
        <v>69</v>
      </c>
      <c r="E143" s="520" t="s">
        <v>3243</v>
      </c>
      <c r="F143" s="519" t="s">
        <v>3244</v>
      </c>
      <c r="G143" s="493"/>
      <c r="H143" s="520" t="s">
        <v>3245</v>
      </c>
      <c r="I143" s="494"/>
      <c r="J143" s="495"/>
      <c r="K143" s="473">
        <v>0.0</v>
      </c>
      <c r="L143" s="440">
        <v>1.0</v>
      </c>
      <c r="M143" s="459" t="s">
        <v>3140</v>
      </c>
      <c r="N143" s="67" t="s">
        <v>139</v>
      </c>
      <c r="O143" s="352"/>
      <c r="P143" s="476"/>
      <c r="Q143" s="476"/>
      <c r="R143" s="476"/>
      <c r="S143" s="476"/>
      <c r="T143" s="476"/>
      <c r="U143" s="496"/>
    </row>
    <row r="144">
      <c r="A144" s="491">
        <v>143.0</v>
      </c>
      <c r="B144" s="465" t="s">
        <v>20</v>
      </c>
      <c r="C144" s="526" t="s">
        <v>3246</v>
      </c>
      <c r="D144" s="492" t="s">
        <v>1370</v>
      </c>
      <c r="E144" s="520" t="s">
        <v>3247</v>
      </c>
      <c r="F144" s="519" t="s">
        <v>3248</v>
      </c>
      <c r="G144" s="498"/>
      <c r="H144" s="520" t="s">
        <v>3249</v>
      </c>
      <c r="I144" s="494"/>
      <c r="J144" s="320"/>
      <c r="K144" s="473">
        <v>0.0</v>
      </c>
      <c r="L144" s="440">
        <v>1.0</v>
      </c>
      <c r="M144" s="459" t="s">
        <v>3140</v>
      </c>
      <c r="N144" s="67" t="s">
        <v>139</v>
      </c>
      <c r="O144" s="352"/>
      <c r="P144" s="476"/>
      <c r="Q144" s="476"/>
      <c r="R144" s="476"/>
      <c r="S144" s="476"/>
      <c r="T144" s="476"/>
      <c r="U144" s="496"/>
    </row>
    <row r="145">
      <c r="A145" s="491">
        <v>144.0</v>
      </c>
      <c r="B145" s="465" t="s">
        <v>20</v>
      </c>
      <c r="C145" s="526" t="s">
        <v>3250</v>
      </c>
      <c r="D145" s="503" t="s">
        <v>1180</v>
      </c>
      <c r="E145" s="520" t="s">
        <v>3251</v>
      </c>
      <c r="F145" s="519" t="s">
        <v>3252</v>
      </c>
      <c r="G145" s="493"/>
      <c r="H145" s="520" t="s">
        <v>3253</v>
      </c>
      <c r="I145" s="494"/>
      <c r="J145" s="495"/>
      <c r="K145" s="473">
        <v>0.0</v>
      </c>
      <c r="L145" s="440">
        <v>1.0</v>
      </c>
      <c r="M145" s="459" t="s">
        <v>3140</v>
      </c>
      <c r="N145" s="67" t="s">
        <v>139</v>
      </c>
      <c r="O145" s="352"/>
      <c r="P145" s="476"/>
      <c r="Q145" s="476"/>
      <c r="R145" s="476"/>
      <c r="S145" s="476"/>
      <c r="T145" s="476"/>
      <c r="U145" s="496"/>
    </row>
    <row r="146">
      <c r="A146" s="491">
        <v>145.0</v>
      </c>
      <c r="B146" s="465" t="s">
        <v>20</v>
      </c>
      <c r="C146" s="526" t="s">
        <v>3246</v>
      </c>
      <c r="D146" s="503" t="s">
        <v>1377</v>
      </c>
      <c r="E146" s="520" t="s">
        <v>3254</v>
      </c>
      <c r="F146" s="519" t="s">
        <v>3255</v>
      </c>
      <c r="G146" s="498"/>
      <c r="H146" s="520" t="s">
        <v>3256</v>
      </c>
      <c r="I146" s="497" t="s">
        <v>1379</v>
      </c>
      <c r="J146" s="320"/>
      <c r="K146" s="473">
        <v>0.0</v>
      </c>
      <c r="L146" s="440">
        <v>1.0</v>
      </c>
      <c r="M146" s="459" t="s">
        <v>3140</v>
      </c>
      <c r="N146" s="67" t="s">
        <v>139</v>
      </c>
      <c r="O146" s="352"/>
      <c r="P146" s="476"/>
      <c r="Q146" s="476"/>
      <c r="R146" s="476"/>
      <c r="S146" s="476"/>
      <c r="T146" s="476"/>
      <c r="U146" s="496"/>
    </row>
    <row r="147">
      <c r="A147" s="491">
        <v>146.0</v>
      </c>
      <c r="B147" s="465" t="s">
        <v>20</v>
      </c>
      <c r="C147" s="526" t="s">
        <v>3246</v>
      </c>
      <c r="D147" s="492" t="s">
        <v>531</v>
      </c>
      <c r="E147" s="520" t="s">
        <v>3257</v>
      </c>
      <c r="F147" s="519" t="s">
        <v>3258</v>
      </c>
      <c r="G147" s="493"/>
      <c r="H147" s="520" t="s">
        <v>3259</v>
      </c>
      <c r="I147" s="494"/>
      <c r="J147" s="495"/>
      <c r="K147" s="473">
        <v>0.0</v>
      </c>
      <c r="L147" s="440">
        <v>1.0</v>
      </c>
      <c r="M147" s="459" t="s">
        <v>3140</v>
      </c>
      <c r="N147" s="67" t="s">
        <v>139</v>
      </c>
      <c r="O147" s="352"/>
      <c r="P147" s="476"/>
      <c r="Q147" s="476"/>
      <c r="R147" s="476"/>
      <c r="S147" s="476"/>
      <c r="T147" s="476"/>
      <c r="U147" s="496"/>
    </row>
    <row r="148">
      <c r="A148" s="491">
        <v>147.0</v>
      </c>
      <c r="B148" s="465" t="s">
        <v>20</v>
      </c>
      <c r="C148" s="526" t="s">
        <v>3250</v>
      </c>
      <c r="D148" s="492" t="s">
        <v>332</v>
      </c>
      <c r="E148" s="520" t="s">
        <v>3260</v>
      </c>
      <c r="F148" s="519" t="s">
        <v>3261</v>
      </c>
      <c r="G148" s="493"/>
      <c r="H148" s="520" t="s">
        <v>3262</v>
      </c>
      <c r="I148" s="497" t="s">
        <v>1393</v>
      </c>
      <c r="J148" s="495"/>
      <c r="K148" s="473">
        <v>0.0</v>
      </c>
      <c r="L148" s="440">
        <v>1.0</v>
      </c>
      <c r="M148" s="459" t="s">
        <v>3140</v>
      </c>
      <c r="N148" s="67" t="s">
        <v>139</v>
      </c>
      <c r="O148" s="352"/>
      <c r="P148" s="476"/>
      <c r="Q148" s="476"/>
      <c r="R148" s="476"/>
      <c r="S148" s="476"/>
      <c r="T148" s="476"/>
      <c r="U148" s="496"/>
    </row>
    <row r="149">
      <c r="A149" s="491">
        <v>148.0</v>
      </c>
      <c r="B149" s="465" t="s">
        <v>20</v>
      </c>
      <c r="C149" s="526" t="s">
        <v>3246</v>
      </c>
      <c r="D149" s="492" t="s">
        <v>332</v>
      </c>
      <c r="E149" s="520" t="s">
        <v>3263</v>
      </c>
      <c r="F149" s="519" t="s">
        <v>3264</v>
      </c>
      <c r="G149" s="493"/>
      <c r="H149" s="520" t="s">
        <v>3265</v>
      </c>
      <c r="I149" s="497" t="s">
        <v>1398</v>
      </c>
      <c r="J149" s="495"/>
      <c r="K149" s="473">
        <v>0.0</v>
      </c>
      <c r="L149" s="440">
        <v>1.0</v>
      </c>
      <c r="M149" s="459" t="s">
        <v>3140</v>
      </c>
      <c r="N149" s="67" t="s">
        <v>139</v>
      </c>
      <c r="O149" s="352"/>
      <c r="P149" s="476"/>
      <c r="Q149" s="476"/>
      <c r="R149" s="476"/>
      <c r="S149" s="476"/>
      <c r="T149" s="476"/>
      <c r="U149" s="496"/>
    </row>
    <row r="150">
      <c r="A150" s="491">
        <v>149.0</v>
      </c>
      <c r="B150" s="465" t="s">
        <v>20</v>
      </c>
      <c r="C150" s="526" t="s">
        <v>3246</v>
      </c>
      <c r="D150" s="492" t="s">
        <v>1072</v>
      </c>
      <c r="E150" s="520" t="s">
        <v>3266</v>
      </c>
      <c r="F150" s="519" t="s">
        <v>3267</v>
      </c>
      <c r="G150" s="493"/>
      <c r="H150" s="520" t="s">
        <v>3268</v>
      </c>
      <c r="I150" s="494"/>
      <c r="J150" s="527"/>
      <c r="K150" s="528">
        <v>0.0</v>
      </c>
      <c r="L150" s="529">
        <v>1.0</v>
      </c>
      <c r="M150" s="530" t="s">
        <v>3140</v>
      </c>
      <c r="N150" s="531" t="s">
        <v>2</v>
      </c>
      <c r="O150" s="532"/>
      <c r="P150" s="533"/>
      <c r="Q150" s="533"/>
      <c r="R150" s="533"/>
      <c r="S150" s="533"/>
      <c r="T150" s="531" t="s">
        <v>3269</v>
      </c>
      <c r="U150" s="534"/>
    </row>
    <row r="151">
      <c r="A151" s="491">
        <v>150.0</v>
      </c>
      <c r="B151" s="465" t="s">
        <v>20</v>
      </c>
      <c r="C151" s="526" t="s">
        <v>3246</v>
      </c>
      <c r="D151" s="492" t="s">
        <v>1072</v>
      </c>
      <c r="E151" s="520" t="s">
        <v>3270</v>
      </c>
      <c r="F151" s="519" t="s">
        <v>3271</v>
      </c>
      <c r="G151" s="498"/>
      <c r="H151" s="520" t="s">
        <v>3272</v>
      </c>
      <c r="I151" s="497" t="s">
        <v>1412</v>
      </c>
      <c r="J151" s="495"/>
      <c r="K151" s="473">
        <v>0.0</v>
      </c>
      <c r="L151" s="440">
        <v>1.0</v>
      </c>
      <c r="M151" s="459" t="s">
        <v>3140</v>
      </c>
      <c r="N151" s="67" t="s">
        <v>139</v>
      </c>
      <c r="O151" s="352"/>
      <c r="P151" s="476"/>
      <c r="Q151" s="476"/>
      <c r="R151" s="476"/>
      <c r="S151" s="476"/>
      <c r="T151" s="476"/>
      <c r="U151" s="496"/>
    </row>
    <row r="152">
      <c r="A152" s="491">
        <v>151.0</v>
      </c>
      <c r="B152" s="465" t="s">
        <v>20</v>
      </c>
      <c r="C152" s="526" t="s">
        <v>3246</v>
      </c>
      <c r="D152" s="492" t="s">
        <v>1110</v>
      </c>
      <c r="E152" s="520" t="s">
        <v>3273</v>
      </c>
      <c r="F152" s="519" t="s">
        <v>3274</v>
      </c>
      <c r="G152" s="498"/>
      <c r="H152" s="520" t="s">
        <v>3275</v>
      </c>
      <c r="I152" s="494"/>
      <c r="J152" s="495"/>
      <c r="K152" s="473">
        <v>0.0</v>
      </c>
      <c r="L152" s="440">
        <v>1.0</v>
      </c>
      <c r="M152" s="459" t="s">
        <v>3140</v>
      </c>
      <c r="N152" s="67" t="s">
        <v>139</v>
      </c>
      <c r="O152" s="352"/>
      <c r="P152" s="476"/>
      <c r="Q152" s="476"/>
      <c r="R152" s="476"/>
      <c r="S152" s="476"/>
      <c r="T152" s="476"/>
      <c r="U152" s="496"/>
    </row>
    <row r="153">
      <c r="A153" s="491">
        <v>152.0</v>
      </c>
      <c r="B153" s="465" t="s">
        <v>20</v>
      </c>
      <c r="C153" s="526" t="s">
        <v>3246</v>
      </c>
      <c r="D153" s="492" t="s">
        <v>429</v>
      </c>
      <c r="E153" s="520" t="s">
        <v>3276</v>
      </c>
      <c r="F153" s="519" t="s">
        <v>3277</v>
      </c>
      <c r="G153" s="493"/>
      <c r="H153" s="520" t="s">
        <v>3278</v>
      </c>
      <c r="I153" s="505" t="s">
        <v>822</v>
      </c>
      <c r="J153" s="495"/>
      <c r="K153" s="473">
        <v>0.0</v>
      </c>
      <c r="L153" s="440">
        <v>1.0</v>
      </c>
      <c r="M153" s="459" t="s">
        <v>3140</v>
      </c>
      <c r="N153" s="67" t="s">
        <v>139</v>
      </c>
      <c r="O153" s="352"/>
      <c r="P153" s="476"/>
      <c r="Q153" s="476"/>
      <c r="R153" s="476"/>
      <c r="S153" s="476"/>
      <c r="T153" s="476"/>
      <c r="U153" s="496"/>
    </row>
    <row r="154">
      <c r="A154" s="491">
        <v>153.0</v>
      </c>
      <c r="B154" s="465" t="s">
        <v>20</v>
      </c>
      <c r="C154" s="526" t="s">
        <v>3246</v>
      </c>
      <c r="D154" s="492" t="s">
        <v>429</v>
      </c>
      <c r="E154" s="520" t="s">
        <v>3279</v>
      </c>
      <c r="F154" s="519" t="s">
        <v>3280</v>
      </c>
      <c r="G154" s="493"/>
      <c r="H154" s="520" t="s">
        <v>3281</v>
      </c>
      <c r="I154" s="494"/>
      <c r="J154" s="495"/>
      <c r="K154" s="473">
        <v>0.0</v>
      </c>
      <c r="L154" s="440">
        <v>1.0</v>
      </c>
      <c r="M154" s="459" t="s">
        <v>3140</v>
      </c>
      <c r="N154" s="67" t="s">
        <v>139</v>
      </c>
      <c r="O154" s="352"/>
      <c r="P154" s="476"/>
      <c r="Q154" s="476"/>
      <c r="R154" s="476"/>
      <c r="S154" s="476"/>
      <c r="T154" s="476"/>
      <c r="U154" s="496"/>
    </row>
    <row r="155">
      <c r="A155" s="491">
        <v>154.0</v>
      </c>
      <c r="B155" s="465" t="s">
        <v>20</v>
      </c>
      <c r="C155" s="526" t="s">
        <v>3282</v>
      </c>
      <c r="D155" s="492" t="s">
        <v>1063</v>
      </c>
      <c r="E155" s="520" t="s">
        <v>3283</v>
      </c>
      <c r="F155" s="519" t="s">
        <v>3284</v>
      </c>
      <c r="G155" s="493"/>
      <c r="H155" s="520" t="s">
        <v>3285</v>
      </c>
      <c r="I155" s="494"/>
      <c r="J155" s="495"/>
      <c r="K155" s="473">
        <v>0.0</v>
      </c>
      <c r="L155" s="440">
        <v>1.0</v>
      </c>
      <c r="M155" s="459" t="s">
        <v>3140</v>
      </c>
      <c r="N155" s="67" t="s">
        <v>139</v>
      </c>
      <c r="O155" s="352"/>
      <c r="P155" s="476"/>
      <c r="Q155" s="476"/>
      <c r="R155" s="476"/>
      <c r="S155" s="476"/>
      <c r="T155" s="476"/>
      <c r="U155" s="496"/>
    </row>
    <row r="156">
      <c r="A156" s="491">
        <v>155.0</v>
      </c>
      <c r="B156" s="465" t="s">
        <v>20</v>
      </c>
      <c r="C156" s="526" t="s">
        <v>3286</v>
      </c>
      <c r="D156" s="492" t="s">
        <v>1063</v>
      </c>
      <c r="E156" s="520" t="s">
        <v>3287</v>
      </c>
      <c r="F156" s="519" t="s">
        <v>3288</v>
      </c>
      <c r="G156" s="498"/>
      <c r="H156" s="520" t="s">
        <v>3289</v>
      </c>
      <c r="I156" s="494"/>
      <c r="J156" s="495"/>
      <c r="K156" s="473">
        <v>0.0</v>
      </c>
      <c r="L156" s="440">
        <v>1.0</v>
      </c>
      <c r="M156" s="459" t="s">
        <v>3140</v>
      </c>
      <c r="N156" s="67" t="s">
        <v>139</v>
      </c>
      <c r="O156" s="352"/>
      <c r="P156" s="476"/>
      <c r="Q156" s="476"/>
      <c r="R156" s="476"/>
      <c r="S156" s="476"/>
      <c r="T156" s="476"/>
      <c r="U156" s="496"/>
    </row>
    <row r="157">
      <c r="A157" s="491">
        <v>156.0</v>
      </c>
      <c r="B157" s="465" t="s">
        <v>20</v>
      </c>
      <c r="C157" s="526" t="s">
        <v>3282</v>
      </c>
      <c r="D157" s="492" t="s">
        <v>122</v>
      </c>
      <c r="E157" s="520" t="s">
        <v>3290</v>
      </c>
      <c r="F157" s="519" t="s">
        <v>3291</v>
      </c>
      <c r="G157" s="498"/>
      <c r="H157" s="520" t="s">
        <v>3292</v>
      </c>
      <c r="I157" s="494"/>
      <c r="J157" s="320"/>
      <c r="K157" s="473">
        <v>0.0</v>
      </c>
      <c r="L157" s="440">
        <v>1.0</v>
      </c>
      <c r="M157" s="459" t="s">
        <v>3140</v>
      </c>
      <c r="N157" s="67" t="s">
        <v>139</v>
      </c>
      <c r="O157" s="352"/>
      <c r="P157" s="476"/>
      <c r="Q157" s="476"/>
      <c r="R157" s="476"/>
      <c r="S157" s="476"/>
      <c r="T157" s="476"/>
      <c r="U157" s="496"/>
    </row>
    <row r="158">
      <c r="A158" s="491">
        <v>157.0</v>
      </c>
      <c r="B158" s="465" t="s">
        <v>20</v>
      </c>
      <c r="C158" s="526" t="s">
        <v>3286</v>
      </c>
      <c r="D158" s="492" t="s">
        <v>1494</v>
      </c>
      <c r="E158" s="520" t="s">
        <v>3293</v>
      </c>
      <c r="F158" s="519" t="s">
        <v>3294</v>
      </c>
      <c r="G158" s="493"/>
      <c r="H158" s="520" t="s">
        <v>3295</v>
      </c>
      <c r="I158" s="494"/>
      <c r="J158" s="495"/>
      <c r="K158" s="473">
        <v>0.0</v>
      </c>
      <c r="L158" s="440">
        <v>1.0</v>
      </c>
      <c r="M158" s="459" t="s">
        <v>3140</v>
      </c>
      <c r="N158" s="67" t="s">
        <v>139</v>
      </c>
      <c r="O158" s="352"/>
      <c r="P158" s="476"/>
      <c r="Q158" s="476"/>
      <c r="R158" s="476"/>
      <c r="S158" s="476"/>
      <c r="T158" s="476"/>
      <c r="U158" s="496"/>
    </row>
    <row r="159">
      <c r="A159" s="491">
        <v>158.0</v>
      </c>
      <c r="B159" s="465" t="s">
        <v>20</v>
      </c>
      <c r="C159" s="526" t="s">
        <v>3286</v>
      </c>
      <c r="D159" s="492" t="s">
        <v>69</v>
      </c>
      <c r="E159" s="520" t="s">
        <v>3296</v>
      </c>
      <c r="F159" s="519" t="s">
        <v>3297</v>
      </c>
      <c r="G159" s="498"/>
      <c r="H159" s="520" t="s">
        <v>3298</v>
      </c>
      <c r="I159" s="494"/>
      <c r="J159" s="495"/>
      <c r="K159" s="473">
        <v>0.0</v>
      </c>
      <c r="L159" s="440">
        <v>1.0</v>
      </c>
      <c r="M159" s="459" t="s">
        <v>3140</v>
      </c>
      <c r="N159" s="67" t="s">
        <v>139</v>
      </c>
      <c r="O159" s="352"/>
      <c r="P159" s="476"/>
      <c r="Q159" s="476"/>
      <c r="R159" s="476"/>
      <c r="S159" s="476"/>
      <c r="T159" s="476"/>
      <c r="U159" s="496"/>
    </row>
    <row r="160">
      <c r="A160" s="491">
        <v>159.0</v>
      </c>
      <c r="B160" s="465" t="s">
        <v>20</v>
      </c>
      <c r="C160" s="526" t="s">
        <v>3282</v>
      </c>
      <c r="D160" s="492" t="s">
        <v>69</v>
      </c>
      <c r="E160" s="520" t="s">
        <v>3299</v>
      </c>
      <c r="F160" s="519" t="s">
        <v>3300</v>
      </c>
      <c r="G160" s="498"/>
      <c r="H160" s="520" t="s">
        <v>3301</v>
      </c>
      <c r="I160" s="494"/>
      <c r="J160" s="495"/>
      <c r="K160" s="473">
        <v>0.0</v>
      </c>
      <c r="L160" s="440">
        <v>1.0</v>
      </c>
      <c r="M160" s="459" t="s">
        <v>3140</v>
      </c>
      <c r="N160" s="67" t="s">
        <v>139</v>
      </c>
      <c r="O160" s="352"/>
      <c r="P160" s="476"/>
      <c r="Q160" s="476"/>
      <c r="R160" s="476"/>
      <c r="S160" s="476"/>
      <c r="T160" s="476"/>
      <c r="U160" s="496"/>
    </row>
    <row r="161">
      <c r="A161" s="491">
        <v>160.0</v>
      </c>
      <c r="B161" s="465" t="s">
        <v>20</v>
      </c>
      <c r="C161" s="526" t="s">
        <v>3286</v>
      </c>
      <c r="D161" s="492" t="s">
        <v>1370</v>
      </c>
      <c r="E161" s="520" t="s">
        <v>3302</v>
      </c>
      <c r="F161" s="519" t="s">
        <v>3303</v>
      </c>
      <c r="G161" s="498"/>
      <c r="H161" s="520" t="s">
        <v>3304</v>
      </c>
      <c r="I161" s="497" t="s">
        <v>1530</v>
      </c>
      <c r="J161" s="320"/>
      <c r="K161" s="473">
        <v>0.0</v>
      </c>
      <c r="L161" s="440">
        <v>1.0</v>
      </c>
      <c r="M161" s="459" t="s">
        <v>3140</v>
      </c>
      <c r="N161" s="67" t="s">
        <v>139</v>
      </c>
      <c r="O161" s="352"/>
      <c r="P161" s="476"/>
      <c r="Q161" s="476"/>
      <c r="R161" s="476"/>
      <c r="S161" s="476"/>
      <c r="T161" s="476"/>
      <c r="U161" s="496"/>
    </row>
    <row r="162">
      <c r="A162" s="491">
        <v>161.0</v>
      </c>
      <c r="B162" s="465" t="s">
        <v>20</v>
      </c>
      <c r="C162" s="526" t="s">
        <v>3250</v>
      </c>
      <c r="D162" s="492" t="s">
        <v>1110</v>
      </c>
      <c r="E162" s="520" t="s">
        <v>3305</v>
      </c>
      <c r="F162" s="519" t="s">
        <v>3306</v>
      </c>
      <c r="G162" s="498"/>
      <c r="H162" s="520" t="s">
        <v>3307</v>
      </c>
      <c r="I162" s="494"/>
      <c r="J162" s="495"/>
      <c r="K162" s="473">
        <v>0.0</v>
      </c>
      <c r="L162" s="440">
        <v>1.0</v>
      </c>
      <c r="M162" s="459" t="s">
        <v>3140</v>
      </c>
      <c r="N162" s="67" t="s">
        <v>139</v>
      </c>
      <c r="O162" s="352"/>
      <c r="P162" s="476"/>
      <c r="Q162" s="476"/>
      <c r="R162" s="476"/>
      <c r="S162" s="476"/>
      <c r="T162" s="476"/>
      <c r="U162" s="496"/>
    </row>
    <row r="163">
      <c r="A163" s="491">
        <v>162.0</v>
      </c>
      <c r="B163" s="465" t="s">
        <v>20</v>
      </c>
      <c r="C163" s="526" t="s">
        <v>3286</v>
      </c>
      <c r="D163" s="492" t="s">
        <v>1110</v>
      </c>
      <c r="E163" s="520" t="s">
        <v>3308</v>
      </c>
      <c r="F163" s="519" t="s">
        <v>3309</v>
      </c>
      <c r="G163" s="493"/>
      <c r="H163" s="520" t="s">
        <v>3310</v>
      </c>
      <c r="I163" s="494"/>
      <c r="J163" s="495"/>
      <c r="K163" s="473">
        <v>0.0</v>
      </c>
      <c r="L163" s="440">
        <v>1.0</v>
      </c>
      <c r="M163" s="459" t="s">
        <v>3140</v>
      </c>
      <c r="N163" s="67" t="s">
        <v>139</v>
      </c>
      <c r="O163" s="352"/>
      <c r="P163" s="476"/>
      <c r="Q163" s="476"/>
      <c r="R163" s="476"/>
      <c r="S163" s="476"/>
      <c r="T163" s="476"/>
      <c r="U163" s="496"/>
    </row>
    <row r="164">
      <c r="A164" s="491">
        <v>163.0</v>
      </c>
      <c r="B164" s="465" t="s">
        <v>20</v>
      </c>
      <c r="C164" s="526" t="s">
        <v>3282</v>
      </c>
      <c r="D164" s="492" t="s">
        <v>1110</v>
      </c>
      <c r="E164" s="520" t="s">
        <v>3311</v>
      </c>
      <c r="F164" s="519" t="s">
        <v>3312</v>
      </c>
      <c r="G164" s="493"/>
      <c r="H164" s="520" t="s">
        <v>3313</v>
      </c>
      <c r="I164" s="494"/>
      <c r="J164" s="495"/>
      <c r="K164" s="473">
        <v>0.0</v>
      </c>
      <c r="L164" s="440">
        <v>1.0</v>
      </c>
      <c r="M164" s="459" t="s">
        <v>3140</v>
      </c>
      <c r="N164" s="67" t="s">
        <v>139</v>
      </c>
      <c r="O164" s="352"/>
      <c r="P164" s="476"/>
      <c r="Q164" s="476"/>
      <c r="R164" s="476"/>
      <c r="S164" s="476"/>
      <c r="T164" s="476"/>
      <c r="U164" s="496"/>
    </row>
    <row r="165">
      <c r="A165" s="491">
        <v>164.0</v>
      </c>
      <c r="B165" s="465" t="s">
        <v>20</v>
      </c>
      <c r="C165" s="526" t="s">
        <v>3286</v>
      </c>
      <c r="D165" s="492" t="s">
        <v>1189</v>
      </c>
      <c r="E165" s="520" t="s">
        <v>3314</v>
      </c>
      <c r="F165" s="519" t="s">
        <v>3315</v>
      </c>
      <c r="G165" s="498"/>
      <c r="H165" s="520" t="s">
        <v>3316</v>
      </c>
      <c r="I165" s="494"/>
      <c r="J165" s="495"/>
      <c r="K165" s="473">
        <v>0.0</v>
      </c>
      <c r="L165" s="440">
        <v>1.0</v>
      </c>
      <c r="M165" s="459" t="s">
        <v>3140</v>
      </c>
      <c r="N165" s="67" t="s">
        <v>139</v>
      </c>
      <c r="O165" s="352"/>
      <c r="P165" s="476"/>
      <c r="Q165" s="476"/>
      <c r="R165" s="476"/>
      <c r="S165" s="476"/>
      <c r="T165" s="476"/>
      <c r="U165" s="496"/>
    </row>
    <row r="166">
      <c r="A166" s="491">
        <v>165.0</v>
      </c>
      <c r="B166" s="465" t="s">
        <v>20</v>
      </c>
      <c r="C166" s="526" t="s">
        <v>3317</v>
      </c>
      <c r="D166" s="492" t="s">
        <v>1189</v>
      </c>
      <c r="E166" s="520" t="s">
        <v>3318</v>
      </c>
      <c r="F166" s="519" t="s">
        <v>3319</v>
      </c>
      <c r="G166" s="498"/>
      <c r="H166" s="520" t="s">
        <v>3320</v>
      </c>
      <c r="I166" s="498"/>
      <c r="J166" s="495"/>
      <c r="K166" s="473">
        <v>0.0</v>
      </c>
      <c r="L166" s="440">
        <v>1.0</v>
      </c>
      <c r="M166" s="459" t="s">
        <v>3140</v>
      </c>
      <c r="N166" s="67" t="s">
        <v>139</v>
      </c>
      <c r="O166" s="352"/>
      <c r="P166" s="476"/>
      <c r="Q166" s="476"/>
      <c r="R166" s="476"/>
      <c r="S166" s="476"/>
      <c r="T166" s="476"/>
      <c r="U166" s="496"/>
    </row>
    <row r="167">
      <c r="A167" s="491">
        <v>166.0</v>
      </c>
      <c r="B167" s="465" t="s">
        <v>20</v>
      </c>
      <c r="C167" s="526" t="s">
        <v>3286</v>
      </c>
      <c r="D167" s="492" t="s">
        <v>1072</v>
      </c>
      <c r="E167" s="520" t="s">
        <v>3321</v>
      </c>
      <c r="F167" s="519" t="s">
        <v>3322</v>
      </c>
      <c r="G167" s="498"/>
      <c r="H167" s="520" t="s">
        <v>3323</v>
      </c>
      <c r="I167" s="494"/>
      <c r="J167" s="495"/>
      <c r="K167" s="473">
        <v>0.0</v>
      </c>
      <c r="L167" s="440">
        <v>1.0</v>
      </c>
      <c r="M167" s="459" t="s">
        <v>3140</v>
      </c>
      <c r="N167" s="67" t="s">
        <v>139</v>
      </c>
      <c r="O167" s="352"/>
      <c r="P167" s="476"/>
      <c r="Q167" s="476"/>
      <c r="R167" s="476"/>
      <c r="S167" s="476"/>
      <c r="T167" s="476"/>
      <c r="U167" s="496"/>
    </row>
    <row r="168">
      <c r="A168" s="491">
        <v>167.0</v>
      </c>
      <c r="B168" s="465" t="s">
        <v>20</v>
      </c>
      <c r="C168" s="526" t="s">
        <v>3317</v>
      </c>
      <c r="D168" s="492" t="s">
        <v>1072</v>
      </c>
      <c r="E168" s="520" t="s">
        <v>3324</v>
      </c>
      <c r="F168" s="519" t="s">
        <v>3325</v>
      </c>
      <c r="G168" s="498"/>
      <c r="H168" s="520" t="s">
        <v>3326</v>
      </c>
      <c r="I168" s="497" t="s">
        <v>1569</v>
      </c>
      <c r="J168" s="495"/>
      <c r="K168" s="473">
        <v>0.0</v>
      </c>
      <c r="L168" s="440">
        <v>1.0</v>
      </c>
      <c r="M168" s="459" t="s">
        <v>3140</v>
      </c>
      <c r="N168" s="67" t="s">
        <v>139</v>
      </c>
      <c r="O168" s="352"/>
      <c r="P168" s="476"/>
      <c r="Q168" s="476"/>
      <c r="R168" s="476"/>
      <c r="S168" s="476"/>
      <c r="T168" s="476"/>
      <c r="U168" s="496"/>
    </row>
    <row r="169">
      <c r="A169" s="491">
        <v>168.0</v>
      </c>
      <c r="B169" s="465" t="s">
        <v>20</v>
      </c>
      <c r="C169" s="526" t="s">
        <v>3286</v>
      </c>
      <c r="D169" s="503" t="s">
        <v>109</v>
      </c>
      <c r="E169" s="520" t="s">
        <v>3327</v>
      </c>
      <c r="F169" s="519" t="s">
        <v>3328</v>
      </c>
      <c r="G169" s="498"/>
      <c r="H169" s="520" t="s">
        <v>3329</v>
      </c>
      <c r="I169" s="494"/>
      <c r="J169" s="495"/>
      <c r="K169" s="473">
        <v>0.0</v>
      </c>
      <c r="L169" s="440">
        <v>1.0</v>
      </c>
      <c r="M169" s="459" t="s">
        <v>3140</v>
      </c>
      <c r="N169" s="67" t="s">
        <v>139</v>
      </c>
      <c r="O169" s="352"/>
      <c r="P169" s="476"/>
      <c r="Q169" s="476"/>
      <c r="R169" s="476"/>
      <c r="S169" s="476"/>
      <c r="T169" s="476"/>
      <c r="U169" s="496"/>
    </row>
    <row r="170">
      <c r="A170" s="491">
        <v>169.0</v>
      </c>
      <c r="B170" s="465" t="s">
        <v>20</v>
      </c>
      <c r="C170" s="526" t="s">
        <v>3317</v>
      </c>
      <c r="D170" s="492" t="s">
        <v>494</v>
      </c>
      <c r="E170" s="520" t="s">
        <v>3330</v>
      </c>
      <c r="F170" s="519" t="s">
        <v>3331</v>
      </c>
      <c r="G170" s="493"/>
      <c r="H170" s="520" t="s">
        <v>3332</v>
      </c>
      <c r="I170" s="512" t="s">
        <v>1579</v>
      </c>
      <c r="J170" s="495"/>
      <c r="K170" s="473">
        <v>0.0</v>
      </c>
      <c r="L170" s="440">
        <v>1.0</v>
      </c>
      <c r="M170" s="459" t="s">
        <v>3140</v>
      </c>
      <c r="N170" s="67" t="s">
        <v>139</v>
      </c>
      <c r="O170" s="352"/>
      <c r="P170" s="476"/>
      <c r="Q170" s="476"/>
      <c r="R170" s="476"/>
      <c r="S170" s="476"/>
      <c r="T170" s="476"/>
      <c r="U170" s="496"/>
    </row>
    <row r="171">
      <c r="A171" s="491">
        <v>170.0</v>
      </c>
      <c r="B171" s="465" t="s">
        <v>20</v>
      </c>
      <c r="C171" s="526" t="s">
        <v>3286</v>
      </c>
      <c r="D171" s="492" t="s">
        <v>353</v>
      </c>
      <c r="E171" s="520" t="s">
        <v>3333</v>
      </c>
      <c r="F171" s="519" t="s">
        <v>3334</v>
      </c>
      <c r="G171" s="498"/>
      <c r="H171" s="520" t="s">
        <v>3335</v>
      </c>
      <c r="I171" s="494"/>
      <c r="J171" s="495"/>
      <c r="K171" s="473">
        <v>0.0</v>
      </c>
      <c r="L171" s="440">
        <v>1.0</v>
      </c>
      <c r="M171" s="459" t="s">
        <v>3140</v>
      </c>
      <c r="N171" s="67" t="s">
        <v>139</v>
      </c>
      <c r="O171" s="352"/>
      <c r="P171" s="476"/>
      <c r="Q171" s="476"/>
      <c r="R171" s="476"/>
      <c r="S171" s="476"/>
      <c r="T171" s="476"/>
      <c r="U171" s="496"/>
    </row>
    <row r="172">
      <c r="A172" s="491">
        <v>171.0</v>
      </c>
      <c r="B172" s="465" t="s">
        <v>20</v>
      </c>
      <c r="C172" s="526" t="s">
        <v>3317</v>
      </c>
      <c r="D172" s="492" t="s">
        <v>353</v>
      </c>
      <c r="E172" s="520" t="s">
        <v>3336</v>
      </c>
      <c r="F172" s="519" t="s">
        <v>3337</v>
      </c>
      <c r="G172" s="498"/>
      <c r="H172" s="520" t="s">
        <v>3338</v>
      </c>
      <c r="I172" s="494"/>
      <c r="J172" s="495"/>
      <c r="K172" s="473">
        <v>0.0</v>
      </c>
      <c r="L172" s="440">
        <v>1.0</v>
      </c>
      <c r="M172" s="459" t="s">
        <v>3140</v>
      </c>
      <c r="N172" s="67" t="s">
        <v>139</v>
      </c>
      <c r="O172" s="352"/>
      <c r="P172" s="476"/>
      <c r="Q172" s="476"/>
      <c r="R172" s="476"/>
      <c r="S172" s="476"/>
      <c r="T172" s="476"/>
      <c r="U172" s="496"/>
    </row>
    <row r="173">
      <c r="A173" s="491">
        <v>172.0</v>
      </c>
      <c r="B173" s="465" t="s">
        <v>20</v>
      </c>
      <c r="C173" s="526" t="s">
        <v>3339</v>
      </c>
      <c r="D173" s="492" t="s">
        <v>578</v>
      </c>
      <c r="E173" s="520" t="s">
        <v>3340</v>
      </c>
      <c r="F173" s="519" t="s">
        <v>3341</v>
      </c>
      <c r="G173" s="493"/>
      <c r="H173" s="520" t="s">
        <v>3342</v>
      </c>
      <c r="I173" s="494"/>
      <c r="J173" s="495"/>
      <c r="K173" s="473">
        <v>0.0</v>
      </c>
      <c r="L173" s="440">
        <v>1.0</v>
      </c>
      <c r="M173" s="459" t="s">
        <v>3140</v>
      </c>
      <c r="N173" s="67" t="s">
        <v>139</v>
      </c>
      <c r="O173" s="352"/>
      <c r="P173" s="495"/>
      <c r="Q173" s="476"/>
      <c r="R173" s="476"/>
      <c r="S173" s="476"/>
      <c r="T173" s="476"/>
      <c r="U173" s="496"/>
    </row>
    <row r="174">
      <c r="A174" s="491">
        <v>173.0</v>
      </c>
      <c r="B174" s="465" t="s">
        <v>20</v>
      </c>
      <c r="C174" s="526" t="s">
        <v>3339</v>
      </c>
      <c r="D174" s="492" t="s">
        <v>1199</v>
      </c>
      <c r="E174" s="520" t="s">
        <v>3343</v>
      </c>
      <c r="F174" s="519" t="s">
        <v>3344</v>
      </c>
      <c r="G174" s="493"/>
      <c r="H174" s="520" t="s">
        <v>3345</v>
      </c>
      <c r="I174" s="494"/>
      <c r="J174" s="495"/>
      <c r="K174" s="473">
        <v>0.0</v>
      </c>
      <c r="L174" s="440">
        <v>1.0</v>
      </c>
      <c r="M174" s="459" t="s">
        <v>3140</v>
      </c>
      <c r="N174" s="67" t="s">
        <v>139</v>
      </c>
      <c r="O174" s="352"/>
      <c r="P174" s="476"/>
      <c r="Q174" s="476"/>
      <c r="R174" s="476"/>
      <c r="S174" s="476"/>
      <c r="T174" s="476"/>
      <c r="U174" s="496"/>
    </row>
    <row r="175">
      <c r="A175" s="491">
        <v>174.0</v>
      </c>
      <c r="B175" s="465" t="s">
        <v>20</v>
      </c>
      <c r="C175" s="526" t="s">
        <v>3346</v>
      </c>
      <c r="D175" s="492" t="s">
        <v>1180</v>
      </c>
      <c r="E175" s="520" t="s">
        <v>3347</v>
      </c>
      <c r="F175" s="519" t="s">
        <v>3348</v>
      </c>
      <c r="G175" s="498"/>
      <c r="H175" s="520" t="s">
        <v>3349</v>
      </c>
      <c r="I175" s="494"/>
      <c r="J175" s="495"/>
      <c r="K175" s="473">
        <v>0.0</v>
      </c>
      <c r="L175" s="440">
        <v>1.0</v>
      </c>
      <c r="M175" s="459" t="s">
        <v>3140</v>
      </c>
      <c r="N175" s="67" t="s">
        <v>139</v>
      </c>
      <c r="O175" s="352"/>
      <c r="P175" s="476"/>
      <c r="Q175" s="476"/>
      <c r="R175" s="476"/>
      <c r="S175" s="476"/>
      <c r="T175" s="476"/>
      <c r="U175" s="496"/>
    </row>
    <row r="176">
      <c r="A176" s="491">
        <v>175.0</v>
      </c>
      <c r="B176" s="465" t="s">
        <v>20</v>
      </c>
      <c r="C176" s="526" t="s">
        <v>3346</v>
      </c>
      <c r="D176" s="492" t="s">
        <v>531</v>
      </c>
      <c r="E176" s="520" t="s">
        <v>3350</v>
      </c>
      <c r="F176" s="519" t="s">
        <v>3351</v>
      </c>
      <c r="G176" s="498"/>
      <c r="H176" s="520" t="s">
        <v>3352</v>
      </c>
      <c r="I176" s="494"/>
      <c r="J176" s="495"/>
      <c r="K176" s="473">
        <v>0.0</v>
      </c>
      <c r="L176" s="440">
        <v>1.0</v>
      </c>
      <c r="M176" s="459" t="s">
        <v>3140</v>
      </c>
      <c r="N176" s="67" t="s">
        <v>139</v>
      </c>
      <c r="O176" s="352"/>
      <c r="P176" s="476"/>
      <c r="Q176" s="476"/>
      <c r="R176" s="476"/>
      <c r="S176" s="476"/>
      <c r="T176" s="476"/>
      <c r="U176" s="496"/>
    </row>
    <row r="177">
      <c r="A177" s="491">
        <v>176.0</v>
      </c>
      <c r="B177" s="465" t="s">
        <v>20</v>
      </c>
      <c r="C177" s="526" t="s">
        <v>3339</v>
      </c>
      <c r="D177" s="492" t="s">
        <v>1377</v>
      </c>
      <c r="E177" s="520" t="s">
        <v>3353</v>
      </c>
      <c r="F177" s="519" t="s">
        <v>3354</v>
      </c>
      <c r="G177" s="498"/>
      <c r="H177" s="520" t="s">
        <v>3355</v>
      </c>
      <c r="I177" s="494"/>
      <c r="J177" s="495"/>
      <c r="K177" s="473">
        <v>0.0</v>
      </c>
      <c r="L177" s="440">
        <v>1.0</v>
      </c>
      <c r="M177" s="459" t="s">
        <v>3140</v>
      </c>
      <c r="N177" s="67" t="s">
        <v>139</v>
      </c>
      <c r="O177" s="352"/>
      <c r="P177" s="476"/>
      <c r="Q177" s="476"/>
      <c r="R177" s="476"/>
      <c r="S177" s="476"/>
      <c r="T177" s="476"/>
      <c r="U177" s="496"/>
    </row>
    <row r="178">
      <c r="A178" s="491">
        <v>177.0</v>
      </c>
      <c r="B178" s="465" t="s">
        <v>20</v>
      </c>
      <c r="C178" s="526" t="s">
        <v>1519</v>
      </c>
      <c r="D178" s="492" t="s">
        <v>1072</v>
      </c>
      <c r="E178" s="520" t="s">
        <v>3356</v>
      </c>
      <c r="F178" s="519" t="s">
        <v>3357</v>
      </c>
      <c r="G178" s="493"/>
      <c r="H178" s="520" t="s">
        <v>3358</v>
      </c>
      <c r="I178" s="494"/>
      <c r="J178" s="495"/>
      <c r="K178" s="473">
        <v>0.0</v>
      </c>
      <c r="L178" s="440">
        <v>1.0</v>
      </c>
      <c r="M178" s="459" t="s">
        <v>3140</v>
      </c>
      <c r="N178" s="67" t="s">
        <v>139</v>
      </c>
      <c r="O178" s="352"/>
      <c r="P178" s="476"/>
      <c r="Q178" s="476"/>
      <c r="R178" s="476"/>
      <c r="S178" s="476"/>
      <c r="T178" s="476"/>
      <c r="U178" s="496"/>
    </row>
    <row r="179">
      <c r="A179" s="491">
        <v>178.0</v>
      </c>
      <c r="B179" s="465" t="s">
        <v>20</v>
      </c>
      <c r="C179" s="526" t="s">
        <v>3339</v>
      </c>
      <c r="D179" s="492" t="s">
        <v>578</v>
      </c>
      <c r="E179" s="520" t="s">
        <v>3359</v>
      </c>
      <c r="F179" s="519" t="s">
        <v>3360</v>
      </c>
      <c r="G179" s="493"/>
      <c r="H179" s="520" t="s">
        <v>3361</v>
      </c>
      <c r="I179" s="494"/>
      <c r="J179" s="495"/>
      <c r="K179" s="473">
        <v>0.0</v>
      </c>
      <c r="L179" s="440">
        <v>1.0</v>
      </c>
      <c r="M179" s="459" t="s">
        <v>3140</v>
      </c>
      <c r="N179" s="67" t="s">
        <v>139</v>
      </c>
      <c r="O179" s="352"/>
      <c r="P179" s="476"/>
      <c r="Q179" s="476"/>
      <c r="R179" s="476"/>
      <c r="S179" s="476"/>
      <c r="T179" s="476"/>
      <c r="U179" s="496"/>
    </row>
    <row r="180">
      <c r="A180" s="491">
        <v>179.0</v>
      </c>
      <c r="B180" s="465" t="s">
        <v>20</v>
      </c>
      <c r="C180" s="526" t="s">
        <v>1519</v>
      </c>
      <c r="D180" s="492" t="s">
        <v>578</v>
      </c>
      <c r="E180" s="520" t="s">
        <v>3362</v>
      </c>
      <c r="F180" s="519" t="s">
        <v>3363</v>
      </c>
      <c r="G180" s="493"/>
      <c r="H180" s="520" t="s">
        <v>3364</v>
      </c>
      <c r="I180" s="494"/>
      <c r="J180" s="495"/>
      <c r="K180" s="473">
        <v>0.0</v>
      </c>
      <c r="L180" s="440">
        <v>1.0</v>
      </c>
      <c r="M180" s="459" t="s">
        <v>3140</v>
      </c>
      <c r="N180" s="67" t="s">
        <v>139</v>
      </c>
      <c r="O180" s="352"/>
      <c r="P180" s="476"/>
      <c r="Q180" s="476"/>
      <c r="R180" s="476"/>
      <c r="S180" s="476"/>
      <c r="T180" s="476"/>
      <c r="U180" s="496"/>
    </row>
    <row r="181">
      <c r="A181" s="491">
        <v>180.0</v>
      </c>
      <c r="B181" s="465" t="s">
        <v>20</v>
      </c>
      <c r="C181" s="526" t="s">
        <v>3339</v>
      </c>
      <c r="D181" s="492" t="s">
        <v>332</v>
      </c>
      <c r="E181" s="520" t="s">
        <v>3365</v>
      </c>
      <c r="F181" s="519" t="s">
        <v>3366</v>
      </c>
      <c r="G181" s="498"/>
      <c r="H181" s="520" t="s">
        <v>3367</v>
      </c>
      <c r="I181" s="497" t="s">
        <v>1654</v>
      </c>
      <c r="J181" s="495"/>
      <c r="K181" s="473">
        <v>0.0</v>
      </c>
      <c r="L181" s="440">
        <v>1.0</v>
      </c>
      <c r="M181" s="459" t="s">
        <v>3140</v>
      </c>
      <c r="N181" s="67" t="s">
        <v>139</v>
      </c>
      <c r="O181" s="352"/>
      <c r="P181" s="476"/>
      <c r="Q181" s="476"/>
      <c r="R181" s="476"/>
      <c r="S181" s="476"/>
      <c r="T181" s="476"/>
      <c r="U181" s="496"/>
    </row>
    <row r="182">
      <c r="A182" s="491">
        <v>181.0</v>
      </c>
      <c r="B182" s="465" t="s">
        <v>20</v>
      </c>
      <c r="C182" s="526" t="s">
        <v>1519</v>
      </c>
      <c r="D182" s="492" t="s">
        <v>1110</v>
      </c>
      <c r="E182" s="520" t="s">
        <v>3368</v>
      </c>
      <c r="F182" s="519" t="s">
        <v>3369</v>
      </c>
      <c r="G182" s="493"/>
      <c r="H182" s="520" t="s">
        <v>3370</v>
      </c>
      <c r="I182" s="494"/>
      <c r="J182" s="495"/>
      <c r="K182" s="473">
        <v>0.0</v>
      </c>
      <c r="L182" s="440">
        <v>1.0</v>
      </c>
      <c r="M182" s="459" t="s">
        <v>3140</v>
      </c>
      <c r="N182" s="67" t="s">
        <v>139</v>
      </c>
      <c r="O182" s="352"/>
      <c r="P182" s="476"/>
      <c r="Q182" s="476"/>
      <c r="R182" s="476"/>
      <c r="S182" s="476"/>
      <c r="T182" s="476"/>
      <c r="U182" s="496"/>
    </row>
    <row r="183">
      <c r="A183" s="491">
        <v>182.0</v>
      </c>
      <c r="B183" s="465" t="s">
        <v>20</v>
      </c>
      <c r="C183" s="526" t="s">
        <v>3346</v>
      </c>
      <c r="D183" s="492" t="s">
        <v>1370</v>
      </c>
      <c r="E183" s="520" t="s">
        <v>3371</v>
      </c>
      <c r="F183" s="519" t="s">
        <v>3372</v>
      </c>
      <c r="G183" s="498"/>
      <c r="H183" s="520" t="s">
        <v>3373</v>
      </c>
      <c r="I183" s="505" t="s">
        <v>3374</v>
      </c>
      <c r="J183" s="495"/>
      <c r="K183" s="473">
        <v>0.0</v>
      </c>
      <c r="L183" s="440">
        <v>1.0</v>
      </c>
      <c r="M183" s="459" t="s">
        <v>3140</v>
      </c>
      <c r="N183" s="67" t="s">
        <v>139</v>
      </c>
      <c r="O183" s="352"/>
      <c r="P183" s="476"/>
      <c r="Q183" s="476"/>
      <c r="R183" s="476"/>
      <c r="S183" s="476"/>
      <c r="T183" s="476"/>
      <c r="U183" s="496"/>
    </row>
    <row r="184">
      <c r="A184" s="491">
        <v>183.0</v>
      </c>
      <c r="B184" s="465" t="s">
        <v>20</v>
      </c>
      <c r="C184" s="526" t="s">
        <v>3339</v>
      </c>
      <c r="D184" s="492" t="s">
        <v>531</v>
      </c>
      <c r="E184" s="520" t="s">
        <v>3375</v>
      </c>
      <c r="F184" s="519" t="s">
        <v>3376</v>
      </c>
      <c r="G184" s="498"/>
      <c r="H184" s="520" t="s">
        <v>3377</v>
      </c>
      <c r="I184" s="494"/>
      <c r="J184" s="495"/>
      <c r="K184" s="473">
        <v>0.0</v>
      </c>
      <c r="L184" s="440">
        <v>1.0</v>
      </c>
      <c r="M184" s="459" t="s">
        <v>3140</v>
      </c>
      <c r="N184" s="67" t="s">
        <v>139</v>
      </c>
      <c r="O184" s="352"/>
      <c r="P184" s="476"/>
      <c r="Q184" s="476"/>
      <c r="R184" s="476"/>
      <c r="S184" s="476"/>
      <c r="T184" s="476"/>
      <c r="U184" s="496"/>
    </row>
    <row r="185">
      <c r="A185" s="491">
        <v>184.0</v>
      </c>
      <c r="B185" s="465" t="s">
        <v>20</v>
      </c>
      <c r="C185" s="526" t="s">
        <v>3346</v>
      </c>
      <c r="D185" s="492" t="s">
        <v>332</v>
      </c>
      <c r="E185" s="520" t="s">
        <v>3378</v>
      </c>
      <c r="F185" s="519" t="s">
        <v>3379</v>
      </c>
      <c r="G185" s="498"/>
      <c r="H185" s="520" t="s">
        <v>3380</v>
      </c>
      <c r="I185" s="494"/>
      <c r="J185" s="495"/>
      <c r="K185" s="473">
        <v>0.0</v>
      </c>
      <c r="L185" s="440">
        <v>1.0</v>
      </c>
      <c r="M185" s="459" t="s">
        <v>3140</v>
      </c>
      <c r="N185" s="67" t="s">
        <v>139</v>
      </c>
      <c r="O185" s="352"/>
      <c r="P185" s="476"/>
      <c r="Q185" s="476"/>
      <c r="R185" s="476"/>
      <c r="S185" s="476"/>
      <c r="T185" s="476"/>
      <c r="U185" s="496"/>
    </row>
    <row r="186">
      <c r="A186" s="491">
        <v>185.0</v>
      </c>
      <c r="B186" s="465" t="s">
        <v>20</v>
      </c>
      <c r="C186" s="526" t="s">
        <v>1519</v>
      </c>
      <c r="D186" s="503" t="s">
        <v>69</v>
      </c>
      <c r="E186" s="520" t="s">
        <v>3381</v>
      </c>
      <c r="F186" s="519" t="s">
        <v>3382</v>
      </c>
      <c r="G186" s="498"/>
      <c r="H186" s="520" t="s">
        <v>3383</v>
      </c>
      <c r="I186" s="494"/>
      <c r="J186" s="495"/>
      <c r="K186" s="473">
        <v>0.0</v>
      </c>
      <c r="L186" s="440">
        <v>1.0</v>
      </c>
      <c r="M186" s="459" t="s">
        <v>3140</v>
      </c>
      <c r="N186" s="67" t="s">
        <v>139</v>
      </c>
      <c r="O186" s="352"/>
      <c r="P186" s="476"/>
      <c r="Q186" s="476"/>
      <c r="R186" s="476"/>
      <c r="S186" s="476"/>
      <c r="T186" s="476"/>
      <c r="U186" s="496"/>
    </row>
    <row r="187">
      <c r="A187" s="491">
        <v>186.0</v>
      </c>
      <c r="B187" s="465" t="s">
        <v>20</v>
      </c>
      <c r="C187" s="526" t="s">
        <v>1519</v>
      </c>
      <c r="D187" s="492" t="s">
        <v>1110</v>
      </c>
      <c r="E187" s="520" t="s">
        <v>3384</v>
      </c>
      <c r="F187" s="519" t="s">
        <v>3385</v>
      </c>
      <c r="G187" s="498"/>
      <c r="H187" s="520" t="s">
        <v>3386</v>
      </c>
      <c r="I187" s="494"/>
      <c r="J187" s="495"/>
      <c r="K187" s="473">
        <v>0.0</v>
      </c>
      <c r="L187" s="440">
        <v>1.0</v>
      </c>
      <c r="M187" s="459" t="s">
        <v>3140</v>
      </c>
      <c r="N187" s="67" t="s">
        <v>139</v>
      </c>
      <c r="O187" s="352"/>
      <c r="P187" s="476"/>
      <c r="Q187" s="476"/>
      <c r="R187" s="476"/>
      <c r="S187" s="476"/>
      <c r="T187" s="476"/>
      <c r="U187" s="496"/>
    </row>
    <row r="188">
      <c r="A188" s="491">
        <v>187.0</v>
      </c>
      <c r="B188" s="465" t="s">
        <v>20</v>
      </c>
      <c r="C188" s="526" t="s">
        <v>1519</v>
      </c>
      <c r="D188" s="492" t="s">
        <v>429</v>
      </c>
      <c r="E188" s="520" t="s">
        <v>3387</v>
      </c>
      <c r="F188" s="519" t="s">
        <v>3388</v>
      </c>
      <c r="G188" s="493"/>
      <c r="H188" s="520" t="s">
        <v>3389</v>
      </c>
      <c r="I188" s="494"/>
      <c r="J188" s="495"/>
      <c r="K188" s="473">
        <v>0.0</v>
      </c>
      <c r="L188" s="440">
        <v>1.0</v>
      </c>
      <c r="M188" s="459" t="s">
        <v>3140</v>
      </c>
      <c r="N188" s="67" t="s">
        <v>139</v>
      </c>
      <c r="O188" s="352"/>
      <c r="P188" s="476"/>
      <c r="Q188" s="476"/>
      <c r="R188" s="476"/>
      <c r="S188" s="476"/>
      <c r="T188" s="476"/>
      <c r="U188" s="496"/>
    </row>
    <row r="189">
      <c r="A189" s="491">
        <v>188.0</v>
      </c>
      <c r="B189" s="465" t="s">
        <v>20</v>
      </c>
      <c r="C189" s="526" t="s">
        <v>1519</v>
      </c>
      <c r="D189" s="492" t="s">
        <v>531</v>
      </c>
      <c r="E189" s="520" t="s">
        <v>3390</v>
      </c>
      <c r="F189" s="519" t="s">
        <v>3391</v>
      </c>
      <c r="G189" s="498"/>
      <c r="H189" s="520" t="s">
        <v>3392</v>
      </c>
      <c r="I189" s="494"/>
      <c r="J189" s="495"/>
      <c r="K189" s="473">
        <v>0.0</v>
      </c>
      <c r="L189" s="440">
        <v>1.0</v>
      </c>
      <c r="M189" s="459" t="s">
        <v>3140</v>
      </c>
      <c r="N189" s="67" t="s">
        <v>139</v>
      </c>
      <c r="O189" s="352"/>
      <c r="P189" s="476"/>
      <c r="Q189" s="476"/>
      <c r="R189" s="476"/>
      <c r="S189" s="476"/>
      <c r="T189" s="476"/>
      <c r="U189" s="496"/>
    </row>
    <row r="190">
      <c r="A190" s="491">
        <v>189.0</v>
      </c>
      <c r="B190" s="465" t="s">
        <v>20</v>
      </c>
      <c r="C190" s="526" t="s">
        <v>1519</v>
      </c>
      <c r="D190" s="492" t="s">
        <v>1377</v>
      </c>
      <c r="E190" s="520" t="s">
        <v>3393</v>
      </c>
      <c r="F190" s="519" t="s">
        <v>3394</v>
      </c>
      <c r="G190" s="493"/>
      <c r="H190" s="520" t="s">
        <v>3395</v>
      </c>
      <c r="I190" s="494"/>
      <c r="J190" s="495"/>
      <c r="K190" s="473">
        <v>0.0</v>
      </c>
      <c r="L190" s="440">
        <v>1.0</v>
      </c>
      <c r="M190" s="459" t="s">
        <v>3140</v>
      </c>
      <c r="N190" s="67" t="s">
        <v>139</v>
      </c>
      <c r="O190" s="352"/>
      <c r="P190" s="476"/>
      <c r="Q190" s="476"/>
      <c r="R190" s="476"/>
      <c r="S190" s="476"/>
      <c r="T190" s="476"/>
      <c r="U190" s="496"/>
    </row>
    <row r="191">
      <c r="A191" s="491">
        <v>190.0</v>
      </c>
      <c r="B191" s="465" t="s">
        <v>20</v>
      </c>
      <c r="C191" s="526" t="s">
        <v>1519</v>
      </c>
      <c r="D191" s="492" t="s">
        <v>353</v>
      </c>
      <c r="E191" s="520" t="s">
        <v>3396</v>
      </c>
      <c r="F191" s="519" t="s">
        <v>3397</v>
      </c>
      <c r="G191" s="498"/>
      <c r="H191" s="520" t="s">
        <v>3398</v>
      </c>
      <c r="I191" s="497" t="s">
        <v>1778</v>
      </c>
      <c r="J191" s="495"/>
      <c r="K191" s="473">
        <v>0.0</v>
      </c>
      <c r="L191" s="440">
        <v>1.0</v>
      </c>
      <c r="M191" s="459" t="s">
        <v>3140</v>
      </c>
      <c r="N191" s="67" t="s">
        <v>139</v>
      </c>
      <c r="O191" s="352"/>
      <c r="P191" s="476"/>
      <c r="Q191" s="476"/>
      <c r="R191" s="476"/>
      <c r="S191" s="476"/>
      <c r="T191" s="476"/>
      <c r="U191" s="496"/>
    </row>
    <row r="192">
      <c r="A192" s="491">
        <v>191.0</v>
      </c>
      <c r="B192" s="465" t="s">
        <v>20</v>
      </c>
      <c r="C192" s="526" t="s">
        <v>1519</v>
      </c>
      <c r="D192" s="492" t="s">
        <v>353</v>
      </c>
      <c r="E192" s="520" t="s">
        <v>3399</v>
      </c>
      <c r="F192" s="519" t="s">
        <v>3400</v>
      </c>
      <c r="G192" s="498"/>
      <c r="H192" s="520" t="s">
        <v>3401</v>
      </c>
      <c r="I192" s="497" t="s">
        <v>1778</v>
      </c>
      <c r="J192" s="495"/>
      <c r="K192" s="473">
        <v>0.0</v>
      </c>
      <c r="L192" s="440">
        <v>1.0</v>
      </c>
      <c r="M192" s="459" t="s">
        <v>3140</v>
      </c>
      <c r="N192" s="67" t="s">
        <v>139</v>
      </c>
      <c r="O192" s="352"/>
      <c r="P192" s="476"/>
      <c r="Q192" s="476"/>
      <c r="R192" s="476"/>
      <c r="S192" s="476"/>
      <c r="T192" s="476"/>
      <c r="U192" s="496"/>
    </row>
    <row r="193">
      <c r="A193" s="516">
        <v>192.0</v>
      </c>
      <c r="B193" s="465" t="s">
        <v>20</v>
      </c>
      <c r="C193" s="517" t="s">
        <v>3402</v>
      </c>
      <c r="D193" s="518" t="s">
        <v>1072</v>
      </c>
      <c r="E193" s="455" t="s">
        <v>3403</v>
      </c>
      <c r="F193" s="104" t="s">
        <v>3404</v>
      </c>
      <c r="G193" s="455"/>
      <c r="H193" s="535" t="s">
        <v>3405</v>
      </c>
      <c r="I193" s="445"/>
      <c r="J193" s="439"/>
      <c r="K193" s="440">
        <v>0.0</v>
      </c>
      <c r="L193" s="440">
        <v>1.0</v>
      </c>
      <c r="M193" s="459" t="s">
        <v>3140</v>
      </c>
      <c r="N193" s="524"/>
      <c r="O193" s="523"/>
      <c r="P193" s="524"/>
      <c r="Q193" s="524"/>
      <c r="R193" s="524"/>
      <c r="S193" s="524"/>
      <c r="T193" s="524"/>
      <c r="U193" s="525"/>
    </row>
    <row r="194">
      <c r="A194" s="491">
        <v>193.0</v>
      </c>
      <c r="B194" s="465" t="s">
        <v>20</v>
      </c>
      <c r="C194" s="332" t="s">
        <v>3406</v>
      </c>
      <c r="D194" s="492" t="s">
        <v>1072</v>
      </c>
      <c r="E194" s="535" t="s">
        <v>3407</v>
      </c>
      <c r="F194" s="104" t="s">
        <v>3408</v>
      </c>
      <c r="G194" s="493"/>
      <c r="H194" s="535" t="s">
        <v>3409</v>
      </c>
      <c r="I194" s="494"/>
      <c r="J194" s="495"/>
      <c r="K194" s="473">
        <v>0.0</v>
      </c>
      <c r="L194" s="440">
        <v>1.0</v>
      </c>
      <c r="M194" s="459" t="s">
        <v>3140</v>
      </c>
      <c r="N194" s="67" t="s">
        <v>139</v>
      </c>
      <c r="O194" s="352"/>
      <c r="P194" s="476"/>
      <c r="Q194" s="476"/>
      <c r="R194" s="476"/>
      <c r="S194" s="476"/>
      <c r="T194" s="476"/>
      <c r="U194" s="496"/>
    </row>
    <row r="195">
      <c r="A195" s="491">
        <v>194.0</v>
      </c>
      <c r="B195" s="465" t="s">
        <v>20</v>
      </c>
      <c r="C195" s="332" t="s">
        <v>3410</v>
      </c>
      <c r="D195" s="492" t="s">
        <v>1063</v>
      </c>
      <c r="E195" s="535" t="s">
        <v>3411</v>
      </c>
      <c r="F195" s="104" t="s">
        <v>3412</v>
      </c>
      <c r="G195" s="498"/>
      <c r="H195" s="535" t="s">
        <v>3413</v>
      </c>
      <c r="I195" s="494"/>
      <c r="J195" s="495"/>
      <c r="K195" s="473">
        <v>0.0</v>
      </c>
      <c r="L195" s="440">
        <v>1.0</v>
      </c>
      <c r="M195" s="459" t="s">
        <v>3140</v>
      </c>
      <c r="N195" s="67" t="s">
        <v>139</v>
      </c>
      <c r="O195" s="352"/>
      <c r="P195" s="476"/>
      <c r="Q195" s="476"/>
      <c r="R195" s="476"/>
      <c r="S195" s="476"/>
      <c r="T195" s="476"/>
      <c r="U195" s="496"/>
    </row>
    <row r="196">
      <c r="A196" s="491">
        <v>195.0</v>
      </c>
      <c r="B196" s="465" t="s">
        <v>20</v>
      </c>
      <c r="C196" s="332" t="s">
        <v>3414</v>
      </c>
      <c r="D196" s="492" t="s">
        <v>1494</v>
      </c>
      <c r="E196" s="535" t="s">
        <v>3415</v>
      </c>
      <c r="F196" s="104" t="s">
        <v>3416</v>
      </c>
      <c r="G196" s="498"/>
      <c r="H196" s="535" t="s">
        <v>3417</v>
      </c>
      <c r="I196" s="494"/>
      <c r="J196" s="495"/>
      <c r="K196" s="473">
        <v>0.0</v>
      </c>
      <c r="L196" s="440">
        <v>1.0</v>
      </c>
      <c r="M196" s="459" t="s">
        <v>3140</v>
      </c>
      <c r="N196" s="67" t="s">
        <v>139</v>
      </c>
      <c r="O196" s="352"/>
      <c r="P196" s="476"/>
      <c r="Q196" s="476"/>
      <c r="R196" s="476"/>
      <c r="S196" s="476"/>
      <c r="T196" s="476"/>
      <c r="U196" s="496"/>
    </row>
    <row r="197">
      <c r="A197" s="491">
        <v>196.0</v>
      </c>
      <c r="B197" s="465" t="s">
        <v>20</v>
      </c>
      <c r="C197" s="332" t="s">
        <v>3418</v>
      </c>
      <c r="D197" s="492" t="s">
        <v>353</v>
      </c>
      <c r="E197" s="535" t="s">
        <v>3419</v>
      </c>
      <c r="F197" s="104" t="s">
        <v>3420</v>
      </c>
      <c r="G197" s="493"/>
      <c r="H197" s="535" t="s">
        <v>3421</v>
      </c>
      <c r="I197" s="494"/>
      <c r="J197" s="495"/>
      <c r="K197" s="473">
        <v>0.0</v>
      </c>
      <c r="L197" s="440">
        <v>1.0</v>
      </c>
      <c r="M197" s="459" t="s">
        <v>3140</v>
      </c>
      <c r="N197" s="67" t="s">
        <v>139</v>
      </c>
      <c r="O197" s="352"/>
      <c r="P197" s="476"/>
      <c r="Q197" s="476"/>
      <c r="R197" s="476"/>
      <c r="S197" s="476"/>
      <c r="T197" s="476"/>
      <c r="U197" s="496"/>
    </row>
    <row r="198">
      <c r="A198" s="491">
        <v>197.0</v>
      </c>
      <c r="B198" s="465" t="s">
        <v>20</v>
      </c>
      <c r="C198" s="332" t="s">
        <v>3418</v>
      </c>
      <c r="D198" s="492" t="s">
        <v>506</v>
      </c>
      <c r="E198" s="535" t="s">
        <v>3422</v>
      </c>
      <c r="F198" s="104" t="s">
        <v>3423</v>
      </c>
      <c r="G198" s="498"/>
      <c r="H198" s="535" t="s">
        <v>3424</v>
      </c>
      <c r="I198" s="494"/>
      <c r="J198" s="495"/>
      <c r="K198" s="473">
        <v>0.0</v>
      </c>
      <c r="L198" s="440">
        <v>1.0</v>
      </c>
      <c r="M198" s="459" t="s">
        <v>3140</v>
      </c>
      <c r="N198" s="67" t="s">
        <v>139</v>
      </c>
      <c r="O198" s="352"/>
      <c r="P198" s="476"/>
      <c r="Q198" s="476"/>
      <c r="R198" s="476"/>
      <c r="S198" s="476"/>
      <c r="T198" s="476"/>
      <c r="U198" s="496"/>
    </row>
    <row r="199">
      <c r="A199" s="491">
        <v>198.0</v>
      </c>
      <c r="B199" s="465" t="s">
        <v>20</v>
      </c>
      <c r="C199" s="332" t="s">
        <v>3425</v>
      </c>
      <c r="D199" s="492" t="s">
        <v>506</v>
      </c>
      <c r="E199" s="535" t="s">
        <v>3426</v>
      </c>
      <c r="F199" s="104" t="s">
        <v>3427</v>
      </c>
      <c r="G199" s="493"/>
      <c r="H199" s="535" t="s">
        <v>3428</v>
      </c>
      <c r="I199" s="494"/>
      <c r="J199" s="495"/>
      <c r="K199" s="473">
        <v>0.0</v>
      </c>
      <c r="L199" s="440">
        <v>1.0</v>
      </c>
      <c r="M199" s="459" t="s">
        <v>3140</v>
      </c>
      <c r="N199" s="67" t="s">
        <v>139</v>
      </c>
      <c r="O199" s="352"/>
      <c r="P199" s="476"/>
      <c r="Q199" s="476"/>
      <c r="R199" s="476"/>
      <c r="S199" s="476"/>
      <c r="T199" s="476"/>
      <c r="U199" s="496"/>
    </row>
    <row r="200">
      <c r="A200" s="491">
        <v>199.0</v>
      </c>
      <c r="B200" s="465" t="s">
        <v>20</v>
      </c>
      <c r="C200" s="332" t="s">
        <v>3425</v>
      </c>
      <c r="D200" s="492" t="s">
        <v>69</v>
      </c>
      <c r="E200" s="535" t="s">
        <v>3429</v>
      </c>
      <c r="F200" s="104" t="s">
        <v>3430</v>
      </c>
      <c r="G200" s="498"/>
      <c r="H200" s="535" t="s">
        <v>3431</v>
      </c>
      <c r="I200" s="494"/>
      <c r="J200" s="495"/>
      <c r="K200" s="473">
        <v>0.0</v>
      </c>
      <c r="L200" s="440">
        <v>1.0</v>
      </c>
      <c r="M200" s="459" t="s">
        <v>3140</v>
      </c>
      <c r="N200" s="67" t="s">
        <v>139</v>
      </c>
      <c r="O200" s="352"/>
      <c r="P200" s="476"/>
      <c r="Q200" s="476"/>
      <c r="R200" s="476"/>
      <c r="S200" s="476"/>
      <c r="T200" s="476"/>
      <c r="U200" s="496"/>
    </row>
    <row r="201">
      <c r="A201" s="491">
        <v>200.0</v>
      </c>
      <c r="B201" s="465" t="s">
        <v>20</v>
      </c>
      <c r="C201" s="332" t="s">
        <v>3432</v>
      </c>
      <c r="D201" s="492" t="s">
        <v>1063</v>
      </c>
      <c r="E201" s="535" t="s">
        <v>3433</v>
      </c>
      <c r="F201" s="104" t="s">
        <v>3434</v>
      </c>
      <c r="G201" s="498"/>
      <c r="H201" s="535" t="s">
        <v>3435</v>
      </c>
      <c r="I201" s="494"/>
      <c r="J201" s="495"/>
      <c r="K201" s="473">
        <v>0.0</v>
      </c>
      <c r="L201" s="440">
        <v>1.0</v>
      </c>
      <c r="M201" s="459" t="s">
        <v>3140</v>
      </c>
      <c r="N201" s="67" t="s">
        <v>139</v>
      </c>
      <c r="O201" s="352"/>
      <c r="P201" s="476"/>
      <c r="Q201" s="476"/>
      <c r="R201" s="476"/>
      <c r="S201" s="476"/>
      <c r="T201" s="476"/>
      <c r="U201" s="496"/>
    </row>
    <row r="202">
      <c r="A202" s="491">
        <v>201.0</v>
      </c>
      <c r="B202" s="465" t="s">
        <v>20</v>
      </c>
      <c r="C202" s="332" t="s">
        <v>3436</v>
      </c>
      <c r="D202" s="492" t="s">
        <v>1063</v>
      </c>
      <c r="E202" s="535" t="s">
        <v>3437</v>
      </c>
      <c r="F202" s="104" t="s">
        <v>3438</v>
      </c>
      <c r="G202" s="498"/>
      <c r="H202" s="535" t="s">
        <v>3439</v>
      </c>
      <c r="I202" s="494"/>
      <c r="J202" s="495"/>
      <c r="K202" s="473">
        <v>0.0</v>
      </c>
      <c r="L202" s="440">
        <v>1.0</v>
      </c>
      <c r="M202" s="459" t="s">
        <v>3140</v>
      </c>
      <c r="N202" s="67" t="s">
        <v>139</v>
      </c>
      <c r="O202" s="352"/>
      <c r="P202" s="476"/>
      <c r="Q202" s="476"/>
      <c r="R202" s="476"/>
      <c r="S202" s="476"/>
      <c r="T202" s="476"/>
      <c r="U202" s="496"/>
    </row>
    <row r="203">
      <c r="A203" s="491">
        <v>202.0</v>
      </c>
      <c r="B203" s="465" t="s">
        <v>20</v>
      </c>
      <c r="C203" s="332" t="s">
        <v>3440</v>
      </c>
      <c r="D203" s="492" t="s">
        <v>531</v>
      </c>
      <c r="E203" s="535" t="s">
        <v>3441</v>
      </c>
      <c r="F203" s="104" t="s">
        <v>3442</v>
      </c>
      <c r="G203" s="498"/>
      <c r="H203" s="535" t="s">
        <v>3443</v>
      </c>
      <c r="I203" s="494"/>
      <c r="J203" s="495"/>
      <c r="K203" s="473">
        <v>0.0</v>
      </c>
      <c r="L203" s="440">
        <v>1.0</v>
      </c>
      <c r="M203" s="459" t="s">
        <v>3140</v>
      </c>
      <c r="N203" s="67" t="s">
        <v>139</v>
      </c>
      <c r="O203" s="352"/>
      <c r="P203" s="476"/>
      <c r="Q203" s="476"/>
      <c r="R203" s="476"/>
      <c r="S203" s="476"/>
      <c r="T203" s="476"/>
      <c r="U203" s="496"/>
    </row>
    <row r="204">
      <c r="A204" s="491">
        <v>203.0</v>
      </c>
      <c r="B204" s="465" t="s">
        <v>20</v>
      </c>
      <c r="C204" s="332" t="s">
        <v>3432</v>
      </c>
      <c r="D204" s="492" t="s">
        <v>1110</v>
      </c>
      <c r="E204" s="535" t="s">
        <v>3444</v>
      </c>
      <c r="F204" s="104" t="s">
        <v>3445</v>
      </c>
      <c r="G204" s="498"/>
      <c r="H204" s="535" t="s">
        <v>3446</v>
      </c>
      <c r="I204" s="494"/>
      <c r="J204" s="495"/>
      <c r="K204" s="473">
        <v>0.0</v>
      </c>
      <c r="L204" s="440">
        <v>1.0</v>
      </c>
      <c r="M204" s="459" t="s">
        <v>3140</v>
      </c>
      <c r="N204" s="67" t="s">
        <v>139</v>
      </c>
      <c r="O204" s="352"/>
      <c r="P204" s="476"/>
      <c r="Q204" s="476"/>
      <c r="R204" s="476"/>
      <c r="S204" s="476"/>
      <c r="T204" s="476"/>
      <c r="U204" s="496"/>
    </row>
    <row r="205">
      <c r="A205" s="491">
        <v>204.0</v>
      </c>
      <c r="B205" s="465" t="s">
        <v>20</v>
      </c>
      <c r="C205" s="332" t="s">
        <v>3436</v>
      </c>
      <c r="D205" s="492" t="s">
        <v>1110</v>
      </c>
      <c r="E205" s="535" t="s">
        <v>3447</v>
      </c>
      <c r="F205" s="104" t="s">
        <v>3448</v>
      </c>
      <c r="G205" s="498"/>
      <c r="H205" s="535" t="s">
        <v>3449</v>
      </c>
      <c r="I205" s="494"/>
      <c r="J205" s="495"/>
      <c r="K205" s="473">
        <v>0.0</v>
      </c>
      <c r="L205" s="440">
        <v>1.0</v>
      </c>
      <c r="M205" s="459" t="s">
        <v>3140</v>
      </c>
      <c r="N205" s="67" t="s">
        <v>139</v>
      </c>
      <c r="O205" s="352"/>
      <c r="P205" s="476"/>
      <c r="Q205" s="476"/>
      <c r="R205" s="476"/>
      <c r="S205" s="476"/>
      <c r="T205" s="476"/>
      <c r="U205" s="496"/>
    </row>
    <row r="206">
      <c r="A206" s="491">
        <v>205.0</v>
      </c>
      <c r="B206" s="465" t="s">
        <v>20</v>
      </c>
      <c r="C206" s="332" t="s">
        <v>3450</v>
      </c>
      <c r="D206" s="492" t="s">
        <v>109</v>
      </c>
      <c r="E206" s="535" t="s">
        <v>3451</v>
      </c>
      <c r="F206" s="104" t="s">
        <v>3452</v>
      </c>
      <c r="G206" s="498"/>
      <c r="H206" s="535" t="s">
        <v>3453</v>
      </c>
      <c r="I206" s="494"/>
      <c r="J206" s="495"/>
      <c r="K206" s="473">
        <v>0.0</v>
      </c>
      <c r="L206" s="440">
        <v>1.0</v>
      </c>
      <c r="M206" s="459" t="s">
        <v>3140</v>
      </c>
      <c r="N206" s="67" t="s">
        <v>139</v>
      </c>
      <c r="O206" s="352"/>
      <c r="P206" s="476"/>
      <c r="Q206" s="476"/>
      <c r="R206" s="476"/>
      <c r="S206" s="476"/>
      <c r="T206" s="476"/>
      <c r="U206" s="496"/>
    </row>
    <row r="207">
      <c r="A207" s="491">
        <v>206.0</v>
      </c>
      <c r="B207" s="465" t="s">
        <v>20</v>
      </c>
      <c r="C207" s="332" t="s">
        <v>3450</v>
      </c>
      <c r="D207" s="492" t="s">
        <v>109</v>
      </c>
      <c r="E207" s="535" t="s">
        <v>3454</v>
      </c>
      <c r="F207" s="104" t="s">
        <v>3455</v>
      </c>
      <c r="G207" s="498"/>
      <c r="H207" s="535" t="s">
        <v>3456</v>
      </c>
      <c r="I207" s="494"/>
      <c r="J207" s="495"/>
      <c r="K207" s="473">
        <v>0.0</v>
      </c>
      <c r="L207" s="440">
        <v>1.0</v>
      </c>
      <c r="M207" s="459" t="s">
        <v>3140</v>
      </c>
      <c r="N207" s="67" t="s">
        <v>139</v>
      </c>
      <c r="O207" s="352"/>
      <c r="P207" s="476"/>
      <c r="Q207" s="476"/>
      <c r="R207" s="476"/>
      <c r="S207" s="476"/>
      <c r="T207" s="476"/>
      <c r="U207" s="496"/>
    </row>
    <row r="208">
      <c r="A208" s="491">
        <v>207.0</v>
      </c>
      <c r="B208" s="465" t="s">
        <v>20</v>
      </c>
      <c r="C208" s="332" t="s">
        <v>3450</v>
      </c>
      <c r="D208" s="492" t="s">
        <v>429</v>
      </c>
      <c r="E208" s="535" t="s">
        <v>3457</v>
      </c>
      <c r="F208" s="104" t="s">
        <v>3458</v>
      </c>
      <c r="G208" s="498"/>
      <c r="H208" s="535" t="s">
        <v>3459</v>
      </c>
      <c r="I208" s="494"/>
      <c r="J208" s="495"/>
      <c r="K208" s="473">
        <v>0.0</v>
      </c>
      <c r="L208" s="440">
        <v>1.0</v>
      </c>
      <c r="M208" s="459" t="s">
        <v>3140</v>
      </c>
      <c r="N208" s="67" t="s">
        <v>139</v>
      </c>
      <c r="O208" s="352"/>
      <c r="P208" s="476"/>
      <c r="Q208" s="476"/>
      <c r="R208" s="476"/>
      <c r="S208" s="476"/>
      <c r="T208" s="476"/>
      <c r="U208" s="496"/>
    </row>
    <row r="209">
      <c r="A209" s="491">
        <v>208.0</v>
      </c>
      <c r="B209" s="465" t="s">
        <v>20</v>
      </c>
      <c r="C209" s="332" t="s">
        <v>3460</v>
      </c>
      <c r="D209" s="492" t="s">
        <v>429</v>
      </c>
      <c r="E209" s="535" t="s">
        <v>3461</v>
      </c>
      <c r="F209" s="104" t="s">
        <v>3462</v>
      </c>
      <c r="G209" s="498"/>
      <c r="H209" s="535" t="s">
        <v>3463</v>
      </c>
      <c r="I209" s="494"/>
      <c r="J209" s="495"/>
      <c r="K209" s="473">
        <v>0.0</v>
      </c>
      <c r="L209" s="440">
        <v>1.0</v>
      </c>
      <c r="M209" s="459" t="s">
        <v>3140</v>
      </c>
      <c r="N209" s="67" t="s">
        <v>139</v>
      </c>
      <c r="O209" s="352"/>
      <c r="P209" s="476"/>
      <c r="Q209" s="476"/>
      <c r="R209" s="476"/>
      <c r="S209" s="476"/>
      <c r="T209" s="476"/>
      <c r="U209" s="496"/>
    </row>
    <row r="210">
      <c r="A210" s="491">
        <v>209.0</v>
      </c>
      <c r="B210" s="465" t="s">
        <v>20</v>
      </c>
      <c r="C210" s="332" t="s">
        <v>3460</v>
      </c>
      <c r="D210" s="492" t="s">
        <v>69</v>
      </c>
      <c r="E210" s="535" t="s">
        <v>3464</v>
      </c>
      <c r="F210" s="104" t="s">
        <v>3465</v>
      </c>
      <c r="G210" s="498"/>
      <c r="H210" s="535" t="s">
        <v>3466</v>
      </c>
      <c r="I210" s="494"/>
      <c r="J210" s="495"/>
      <c r="K210" s="473">
        <v>0.0</v>
      </c>
      <c r="L210" s="440">
        <v>1.0</v>
      </c>
      <c r="M210" s="459" t="s">
        <v>3140</v>
      </c>
      <c r="N210" s="67" t="s">
        <v>139</v>
      </c>
      <c r="O210" s="352"/>
      <c r="P210" s="476"/>
      <c r="Q210" s="476"/>
      <c r="R210" s="476"/>
      <c r="S210" s="476"/>
      <c r="T210" s="476"/>
      <c r="U210" s="496"/>
    </row>
    <row r="211">
      <c r="A211" s="491">
        <v>210.0</v>
      </c>
      <c r="B211" s="465" t="s">
        <v>20</v>
      </c>
      <c r="C211" s="332" t="s">
        <v>3467</v>
      </c>
      <c r="D211" s="492" t="s">
        <v>353</v>
      </c>
      <c r="E211" s="535" t="s">
        <v>3468</v>
      </c>
      <c r="F211" s="104" t="s">
        <v>3469</v>
      </c>
      <c r="G211" s="493"/>
      <c r="H211" s="535" t="s">
        <v>3470</v>
      </c>
      <c r="I211" s="494"/>
      <c r="J211" s="495"/>
      <c r="K211" s="473">
        <v>0.0</v>
      </c>
      <c r="L211" s="440">
        <v>1.0</v>
      </c>
      <c r="M211" s="459" t="s">
        <v>3140</v>
      </c>
      <c r="N211" s="67" t="s">
        <v>139</v>
      </c>
      <c r="O211" s="352"/>
      <c r="P211" s="476"/>
      <c r="Q211" s="476"/>
      <c r="R211" s="476"/>
      <c r="S211" s="476"/>
      <c r="T211" s="476"/>
      <c r="U211" s="496"/>
    </row>
    <row r="212">
      <c r="A212" s="491">
        <v>211.0</v>
      </c>
      <c r="B212" s="465" t="s">
        <v>20</v>
      </c>
      <c r="C212" s="332" t="s">
        <v>3425</v>
      </c>
      <c r="D212" s="492" t="s">
        <v>353</v>
      </c>
      <c r="E212" s="535" t="s">
        <v>3471</v>
      </c>
      <c r="F212" s="104" t="s">
        <v>3472</v>
      </c>
      <c r="G212" s="493"/>
      <c r="H212" s="535" t="s">
        <v>3473</v>
      </c>
      <c r="I212" s="494"/>
      <c r="J212" s="495"/>
      <c r="K212" s="473">
        <v>0.0</v>
      </c>
      <c r="L212" s="440">
        <v>1.0</v>
      </c>
      <c r="M212" s="459" t="s">
        <v>3140</v>
      </c>
      <c r="N212" s="67" t="s">
        <v>139</v>
      </c>
      <c r="O212" s="352"/>
      <c r="P212" s="476"/>
      <c r="Q212" s="476"/>
      <c r="R212" s="476"/>
      <c r="S212" s="476"/>
      <c r="T212" s="476"/>
      <c r="U212" s="496"/>
    </row>
    <row r="213">
      <c r="A213" s="491">
        <v>212.0</v>
      </c>
      <c r="B213" s="465" t="s">
        <v>20</v>
      </c>
      <c r="C213" s="332" t="s">
        <v>3474</v>
      </c>
      <c r="D213" s="492" t="s">
        <v>1072</v>
      </c>
      <c r="E213" s="535" t="s">
        <v>3475</v>
      </c>
      <c r="F213" s="104" t="s">
        <v>3476</v>
      </c>
      <c r="G213" s="498"/>
      <c r="H213" s="535" t="s">
        <v>3477</v>
      </c>
      <c r="I213" s="494"/>
      <c r="J213" s="495"/>
      <c r="K213" s="473">
        <v>0.0</v>
      </c>
      <c r="L213" s="440">
        <v>1.0</v>
      </c>
      <c r="M213" s="459" t="s">
        <v>3140</v>
      </c>
      <c r="N213" s="67" t="s">
        <v>139</v>
      </c>
      <c r="O213" s="352"/>
      <c r="P213" s="476"/>
      <c r="Q213" s="476"/>
      <c r="R213" s="476"/>
      <c r="S213" s="476"/>
      <c r="T213" s="476"/>
      <c r="U213" s="496"/>
    </row>
    <row r="214">
      <c r="A214" s="491">
        <v>213.0</v>
      </c>
      <c r="B214" s="465" t="s">
        <v>20</v>
      </c>
      <c r="C214" s="332" t="s">
        <v>3440</v>
      </c>
      <c r="D214" s="492" t="s">
        <v>1494</v>
      </c>
      <c r="E214" s="535" t="s">
        <v>3478</v>
      </c>
      <c r="F214" s="104" t="s">
        <v>3479</v>
      </c>
      <c r="G214" s="498"/>
      <c r="H214" s="535" t="s">
        <v>3480</v>
      </c>
      <c r="I214" s="494"/>
      <c r="J214" s="495"/>
      <c r="K214" s="473">
        <v>0.0</v>
      </c>
      <c r="L214" s="440">
        <v>1.0</v>
      </c>
      <c r="M214" s="459" t="s">
        <v>3140</v>
      </c>
      <c r="N214" s="67" t="s">
        <v>139</v>
      </c>
      <c r="O214" s="352"/>
      <c r="P214" s="476"/>
      <c r="Q214" s="476"/>
      <c r="R214" s="476"/>
      <c r="S214" s="476"/>
      <c r="T214" s="476"/>
      <c r="U214" s="496"/>
    </row>
    <row r="215">
      <c r="A215" s="491">
        <v>214.0</v>
      </c>
      <c r="B215" s="465" t="s">
        <v>20</v>
      </c>
      <c r="C215" s="332" t="s">
        <v>3436</v>
      </c>
      <c r="D215" s="492" t="s">
        <v>1180</v>
      </c>
      <c r="E215" s="535" t="s">
        <v>3481</v>
      </c>
      <c r="F215" s="104" t="s">
        <v>3482</v>
      </c>
      <c r="G215" s="498"/>
      <c r="H215" s="535" t="s">
        <v>3483</v>
      </c>
      <c r="I215" s="494"/>
      <c r="J215" s="495"/>
      <c r="K215" s="473">
        <v>0.0</v>
      </c>
      <c r="L215" s="440">
        <v>1.0</v>
      </c>
      <c r="M215" s="459" t="s">
        <v>3140</v>
      </c>
      <c r="N215" s="67" t="s">
        <v>139</v>
      </c>
      <c r="O215" s="352"/>
      <c r="P215" s="476"/>
      <c r="Q215" s="476"/>
      <c r="R215" s="476"/>
      <c r="S215" s="476"/>
      <c r="T215" s="476"/>
      <c r="U215" s="496"/>
    </row>
    <row r="216">
      <c r="A216" s="491">
        <v>215.0</v>
      </c>
      <c r="B216" s="465" t="s">
        <v>20</v>
      </c>
      <c r="C216" s="332" t="s">
        <v>3484</v>
      </c>
      <c r="D216" s="492" t="s">
        <v>1110</v>
      </c>
      <c r="E216" s="535" t="s">
        <v>3485</v>
      </c>
      <c r="F216" s="104" t="s">
        <v>3486</v>
      </c>
      <c r="G216" s="498"/>
      <c r="H216" s="535" t="s">
        <v>3487</v>
      </c>
      <c r="I216" s="494"/>
      <c r="J216" s="495"/>
      <c r="K216" s="473">
        <v>0.0</v>
      </c>
      <c r="L216" s="440">
        <v>1.0</v>
      </c>
      <c r="M216" s="459" t="s">
        <v>3140</v>
      </c>
      <c r="N216" s="67" t="s">
        <v>139</v>
      </c>
      <c r="O216" s="352"/>
      <c r="P216" s="476"/>
      <c r="Q216" s="476"/>
      <c r="R216" s="476"/>
      <c r="S216" s="476"/>
      <c r="T216" s="476"/>
      <c r="U216" s="496"/>
    </row>
    <row r="217">
      <c r="A217" s="516">
        <v>216.0</v>
      </c>
      <c r="B217" s="465" t="s">
        <v>20</v>
      </c>
      <c r="C217" s="332"/>
      <c r="D217" s="518" t="s">
        <v>2022</v>
      </c>
      <c r="E217" s="536" t="s">
        <v>2777</v>
      </c>
      <c r="F217" s="104" t="s">
        <v>3488</v>
      </c>
      <c r="G217" s="455"/>
      <c r="H217" s="535" t="s">
        <v>3489</v>
      </c>
      <c r="I217" s="445"/>
      <c r="J217" s="439"/>
      <c r="K217" s="440">
        <v>0.0</v>
      </c>
      <c r="L217" s="440">
        <v>1.0</v>
      </c>
      <c r="M217" s="459" t="s">
        <v>3140</v>
      </c>
      <c r="N217" s="524"/>
      <c r="O217" s="523"/>
      <c r="P217" s="524"/>
      <c r="Q217" s="524"/>
      <c r="R217" s="524"/>
      <c r="S217" s="524"/>
      <c r="T217" s="524"/>
      <c r="U217" s="525"/>
    </row>
    <row r="218">
      <c r="A218" s="491">
        <v>217.0</v>
      </c>
      <c r="B218" s="465" t="s">
        <v>20</v>
      </c>
      <c r="C218" s="537" t="s">
        <v>2775</v>
      </c>
      <c r="D218" s="492" t="s">
        <v>1370</v>
      </c>
      <c r="E218" s="535" t="s">
        <v>2778</v>
      </c>
      <c r="F218" s="104" t="s">
        <v>3490</v>
      </c>
      <c r="G218" s="498"/>
      <c r="H218" s="535" t="s">
        <v>3491</v>
      </c>
      <c r="I218" s="494"/>
      <c r="J218" s="495"/>
      <c r="K218" s="473">
        <v>0.0</v>
      </c>
      <c r="L218" s="440">
        <v>1.0</v>
      </c>
      <c r="M218" s="459" t="s">
        <v>3140</v>
      </c>
      <c r="N218" s="67" t="s">
        <v>139</v>
      </c>
      <c r="O218" s="352"/>
      <c r="P218" s="476"/>
      <c r="Q218" s="476"/>
      <c r="R218" s="476"/>
      <c r="S218" s="476"/>
      <c r="T218" s="476"/>
      <c r="U218" s="496"/>
    </row>
    <row r="219">
      <c r="A219" s="491">
        <v>218.0</v>
      </c>
      <c r="B219" s="465" t="s">
        <v>20</v>
      </c>
      <c r="C219" s="332" t="s">
        <v>3492</v>
      </c>
      <c r="D219" s="492" t="s">
        <v>1072</v>
      </c>
      <c r="E219" s="535" t="s">
        <v>2779</v>
      </c>
      <c r="F219" s="104" t="s">
        <v>3493</v>
      </c>
      <c r="G219" s="498"/>
      <c r="H219" s="535" t="s">
        <v>3494</v>
      </c>
      <c r="I219" s="494"/>
      <c r="J219" s="495"/>
      <c r="K219" s="473">
        <v>0.0</v>
      </c>
      <c r="L219" s="440">
        <v>1.0</v>
      </c>
      <c r="M219" s="459" t="s">
        <v>3140</v>
      </c>
      <c r="N219" s="67" t="s">
        <v>139</v>
      </c>
      <c r="O219" s="352"/>
      <c r="P219" s="476"/>
      <c r="Q219" s="476"/>
      <c r="R219" s="476"/>
      <c r="S219" s="476"/>
      <c r="T219" s="476"/>
      <c r="U219" s="496"/>
    </row>
    <row r="220">
      <c r="A220" s="491">
        <v>219.0</v>
      </c>
      <c r="B220" s="465" t="s">
        <v>20</v>
      </c>
      <c r="C220" s="332" t="s">
        <v>3492</v>
      </c>
      <c r="D220" s="492" t="s">
        <v>578</v>
      </c>
      <c r="E220" s="535" t="s">
        <v>2780</v>
      </c>
      <c r="F220" s="104" t="s">
        <v>3495</v>
      </c>
      <c r="G220" s="493"/>
      <c r="H220" s="535" t="s">
        <v>3496</v>
      </c>
      <c r="I220" s="494"/>
      <c r="J220" s="495"/>
      <c r="K220" s="473">
        <v>0.0</v>
      </c>
      <c r="L220" s="440">
        <v>1.0</v>
      </c>
      <c r="M220" s="459" t="s">
        <v>3140</v>
      </c>
      <c r="N220" s="67" t="s">
        <v>139</v>
      </c>
      <c r="O220" s="352"/>
      <c r="P220" s="476"/>
      <c r="Q220" s="476"/>
      <c r="R220" s="476"/>
      <c r="S220" s="476"/>
      <c r="T220" s="476"/>
      <c r="U220" s="496"/>
    </row>
    <row r="221">
      <c r="A221" s="491">
        <v>220.0</v>
      </c>
      <c r="B221" s="465" t="s">
        <v>20</v>
      </c>
      <c r="C221" s="332" t="s">
        <v>3497</v>
      </c>
      <c r="D221" s="492" t="s">
        <v>109</v>
      </c>
      <c r="E221" s="535" t="s">
        <v>2781</v>
      </c>
      <c r="F221" s="104" t="s">
        <v>3498</v>
      </c>
      <c r="G221" s="493"/>
      <c r="H221" s="535" t="s">
        <v>3499</v>
      </c>
      <c r="I221" s="494"/>
      <c r="J221" s="495"/>
      <c r="K221" s="473">
        <v>0.0</v>
      </c>
      <c r="L221" s="440">
        <v>1.0</v>
      </c>
      <c r="M221" s="459" t="s">
        <v>3140</v>
      </c>
      <c r="N221" s="67" t="s">
        <v>139</v>
      </c>
      <c r="O221" s="352"/>
      <c r="P221" s="476"/>
      <c r="Q221" s="476"/>
      <c r="R221" s="476"/>
      <c r="S221" s="476"/>
      <c r="T221" s="476"/>
      <c r="U221" s="496"/>
    </row>
    <row r="222">
      <c r="A222" s="491">
        <v>221.0</v>
      </c>
      <c r="B222" s="465" t="s">
        <v>20</v>
      </c>
      <c r="C222" s="332" t="s">
        <v>3497</v>
      </c>
      <c r="D222" s="492" t="s">
        <v>494</v>
      </c>
      <c r="E222" s="535" t="s">
        <v>2782</v>
      </c>
      <c r="F222" s="104" t="s">
        <v>3500</v>
      </c>
      <c r="G222" s="493"/>
      <c r="H222" s="535" t="s">
        <v>3501</v>
      </c>
      <c r="I222" s="494"/>
      <c r="J222" s="495"/>
      <c r="K222" s="473">
        <v>0.0</v>
      </c>
      <c r="L222" s="440">
        <v>1.0</v>
      </c>
      <c r="M222" s="459" t="s">
        <v>3140</v>
      </c>
      <c r="N222" s="67" t="s">
        <v>139</v>
      </c>
      <c r="O222" s="352"/>
      <c r="P222" s="476"/>
      <c r="Q222" s="476"/>
      <c r="R222" s="476"/>
      <c r="S222" s="476"/>
      <c r="T222" s="476"/>
      <c r="U222" s="496"/>
    </row>
    <row r="223">
      <c r="A223" s="491">
        <v>222.0</v>
      </c>
      <c r="B223" s="465" t="s">
        <v>20</v>
      </c>
      <c r="C223" s="332" t="s">
        <v>3497</v>
      </c>
      <c r="D223" s="492" t="s">
        <v>109</v>
      </c>
      <c r="E223" s="535" t="s">
        <v>2783</v>
      </c>
      <c r="F223" s="104" t="s">
        <v>3502</v>
      </c>
      <c r="G223" s="498"/>
      <c r="H223" s="535" t="s">
        <v>3503</v>
      </c>
      <c r="I223" s="494"/>
      <c r="J223" s="495"/>
      <c r="K223" s="473">
        <v>0.0</v>
      </c>
      <c r="L223" s="440">
        <v>1.0</v>
      </c>
      <c r="M223" s="459" t="s">
        <v>3140</v>
      </c>
      <c r="N223" s="67" t="s">
        <v>139</v>
      </c>
      <c r="O223" s="352"/>
      <c r="P223" s="476"/>
      <c r="Q223" s="476"/>
      <c r="R223" s="476"/>
      <c r="S223" s="476"/>
      <c r="T223" s="476"/>
      <c r="U223" s="496"/>
    </row>
    <row r="224">
      <c r="A224" s="491">
        <v>223.0</v>
      </c>
      <c r="B224" s="465" t="s">
        <v>20</v>
      </c>
      <c r="C224" s="332" t="s">
        <v>3504</v>
      </c>
      <c r="D224" s="492" t="s">
        <v>61</v>
      </c>
      <c r="E224" s="535" t="s">
        <v>2784</v>
      </c>
      <c r="F224" s="104" t="s">
        <v>3505</v>
      </c>
      <c r="G224" s="493"/>
      <c r="H224" s="535" t="s">
        <v>3506</v>
      </c>
      <c r="I224" s="494"/>
      <c r="J224" s="495"/>
      <c r="K224" s="473">
        <v>0.0</v>
      </c>
      <c r="L224" s="440">
        <v>1.0</v>
      </c>
      <c r="M224" s="459" t="s">
        <v>3140</v>
      </c>
      <c r="N224" s="67" t="s">
        <v>139</v>
      </c>
      <c r="O224" s="352"/>
      <c r="P224" s="476"/>
      <c r="Q224" s="476"/>
      <c r="R224" s="476"/>
      <c r="S224" s="476"/>
      <c r="T224" s="476"/>
      <c r="U224" s="496"/>
    </row>
    <row r="225">
      <c r="A225" s="538">
        <v>224.0</v>
      </c>
      <c r="B225" s="539" t="s">
        <v>20</v>
      </c>
      <c r="C225" s="540"/>
      <c r="D225" s="541" t="s">
        <v>69</v>
      </c>
      <c r="E225" s="541"/>
      <c r="F225" s="542"/>
      <c r="G225" s="543"/>
      <c r="H225" s="541"/>
      <c r="I225" s="544"/>
      <c r="J225" s="545"/>
      <c r="K225" s="546">
        <v>0.0</v>
      </c>
      <c r="L225" s="546">
        <v>0.0</v>
      </c>
      <c r="M225" s="547"/>
      <c r="N225" s="548"/>
      <c r="O225" s="549"/>
      <c r="P225" s="548"/>
      <c r="Q225" s="548"/>
      <c r="R225" s="548"/>
      <c r="S225" s="548"/>
      <c r="T225" s="548"/>
      <c r="U225" s="548"/>
    </row>
    <row r="226">
      <c r="A226" s="538">
        <v>225.0</v>
      </c>
      <c r="B226" s="539" t="s">
        <v>20</v>
      </c>
      <c r="C226" s="540"/>
      <c r="D226" s="541" t="s">
        <v>69</v>
      </c>
      <c r="E226" s="541"/>
      <c r="F226" s="542"/>
      <c r="G226" s="543"/>
      <c r="H226" s="541"/>
      <c r="I226" s="544"/>
      <c r="J226" s="545"/>
      <c r="K226" s="546">
        <v>0.0</v>
      </c>
      <c r="L226" s="546">
        <v>0.0</v>
      </c>
      <c r="M226" s="547"/>
      <c r="N226" s="548"/>
      <c r="O226" s="549"/>
      <c r="P226" s="548"/>
      <c r="Q226" s="548"/>
      <c r="R226" s="548"/>
      <c r="S226" s="548"/>
      <c r="T226" s="548"/>
      <c r="U226" s="548"/>
    </row>
    <row r="227">
      <c r="A227" s="538">
        <v>226.0</v>
      </c>
      <c r="B227" s="539" t="s">
        <v>20</v>
      </c>
      <c r="C227" s="540"/>
      <c r="D227" s="541" t="s">
        <v>1063</v>
      </c>
      <c r="E227" s="541"/>
      <c r="F227" s="542"/>
      <c r="G227" s="543"/>
      <c r="H227" s="541"/>
      <c r="I227" s="544"/>
      <c r="J227" s="545"/>
      <c r="K227" s="546">
        <v>0.0</v>
      </c>
      <c r="L227" s="546">
        <v>0.0</v>
      </c>
      <c r="M227" s="547"/>
      <c r="N227" s="548"/>
      <c r="O227" s="549"/>
      <c r="P227" s="548"/>
      <c r="Q227" s="548"/>
      <c r="R227" s="548"/>
      <c r="S227" s="548"/>
      <c r="T227" s="548"/>
      <c r="U227" s="548"/>
    </row>
    <row r="228">
      <c r="A228" s="538">
        <v>227.0</v>
      </c>
      <c r="B228" s="539" t="s">
        <v>20</v>
      </c>
      <c r="C228" s="540"/>
      <c r="D228" s="541" t="s">
        <v>429</v>
      </c>
      <c r="E228" s="541"/>
      <c r="F228" s="542"/>
      <c r="G228" s="542"/>
      <c r="H228" s="541"/>
      <c r="I228" s="544"/>
      <c r="J228" s="545"/>
      <c r="K228" s="546">
        <v>0.0</v>
      </c>
      <c r="L228" s="546">
        <v>0.0</v>
      </c>
      <c r="M228" s="547"/>
      <c r="N228" s="548"/>
      <c r="O228" s="549"/>
      <c r="P228" s="548"/>
      <c r="Q228" s="548"/>
      <c r="R228" s="548"/>
      <c r="S228" s="548"/>
      <c r="T228" s="548"/>
      <c r="U228" s="548"/>
    </row>
    <row r="229">
      <c r="A229" s="538">
        <v>228.0</v>
      </c>
      <c r="B229" s="539" t="s">
        <v>20</v>
      </c>
      <c r="C229" s="540"/>
      <c r="D229" s="541" t="s">
        <v>69</v>
      </c>
      <c r="E229" s="541"/>
      <c r="F229" s="542"/>
      <c r="G229" s="543"/>
      <c r="H229" s="541"/>
      <c r="I229" s="544"/>
      <c r="J229" s="545"/>
      <c r="K229" s="546">
        <v>0.0</v>
      </c>
      <c r="L229" s="546">
        <v>0.0</v>
      </c>
      <c r="M229" s="547"/>
      <c r="N229" s="548"/>
      <c r="O229" s="549"/>
      <c r="P229" s="548"/>
      <c r="Q229" s="548"/>
      <c r="R229" s="548"/>
      <c r="S229" s="548"/>
      <c r="T229" s="548"/>
      <c r="U229" s="548"/>
    </row>
    <row r="230">
      <c r="A230" s="538">
        <v>229.0</v>
      </c>
      <c r="B230" s="539" t="s">
        <v>20</v>
      </c>
      <c r="C230" s="540"/>
      <c r="D230" s="541" t="s">
        <v>429</v>
      </c>
      <c r="E230" s="541"/>
      <c r="F230" s="542"/>
      <c r="G230" s="543"/>
      <c r="H230" s="541"/>
      <c r="I230" s="544"/>
      <c r="J230" s="545"/>
      <c r="K230" s="546">
        <v>0.0</v>
      </c>
      <c r="L230" s="546">
        <v>0.0</v>
      </c>
      <c r="M230" s="547"/>
      <c r="N230" s="548"/>
      <c r="O230" s="549"/>
      <c r="P230" s="548"/>
      <c r="Q230" s="548"/>
      <c r="R230" s="548"/>
      <c r="S230" s="548"/>
      <c r="T230" s="548"/>
      <c r="U230" s="548"/>
    </row>
    <row r="231">
      <c r="A231" s="538">
        <v>230.0</v>
      </c>
      <c r="B231" s="539" t="s">
        <v>20</v>
      </c>
      <c r="C231" s="540"/>
      <c r="D231" s="541" t="s">
        <v>1370</v>
      </c>
      <c r="E231" s="541"/>
      <c r="F231" s="542"/>
      <c r="G231" s="542"/>
      <c r="H231" s="541"/>
      <c r="I231" s="550" t="s">
        <v>3507</v>
      </c>
      <c r="J231" s="545"/>
      <c r="K231" s="546">
        <v>0.0</v>
      </c>
      <c r="L231" s="546">
        <v>0.0</v>
      </c>
      <c r="M231" s="547"/>
      <c r="N231" s="548"/>
      <c r="O231" s="549"/>
      <c r="P231" s="545"/>
      <c r="Q231" s="548"/>
      <c r="R231" s="548"/>
      <c r="S231" s="548"/>
      <c r="T231" s="548"/>
      <c r="U231" s="545"/>
    </row>
    <row r="232">
      <c r="A232" s="538">
        <v>231.0</v>
      </c>
      <c r="B232" s="539" t="s">
        <v>20</v>
      </c>
      <c r="C232" s="540"/>
      <c r="D232" s="541" t="s">
        <v>506</v>
      </c>
      <c r="E232" s="541"/>
      <c r="F232" s="542"/>
      <c r="G232" s="543"/>
      <c r="H232" s="551"/>
      <c r="I232" s="544"/>
      <c r="J232" s="545"/>
      <c r="K232" s="546">
        <v>0.0</v>
      </c>
      <c r="L232" s="546">
        <v>0.0</v>
      </c>
      <c r="M232" s="547"/>
      <c r="N232" s="548"/>
      <c r="O232" s="549"/>
      <c r="P232" s="548"/>
      <c r="Q232" s="548"/>
      <c r="R232" s="548"/>
      <c r="S232" s="548"/>
      <c r="T232" s="548"/>
      <c r="U232" s="548"/>
    </row>
    <row r="233">
      <c r="A233" s="538">
        <v>232.0</v>
      </c>
      <c r="B233" s="539" t="s">
        <v>20</v>
      </c>
      <c r="C233" s="540"/>
      <c r="D233" s="541" t="s">
        <v>494</v>
      </c>
      <c r="E233" s="541"/>
      <c r="F233" s="542"/>
      <c r="G233" s="543"/>
      <c r="H233" s="541"/>
      <c r="I233" s="550" t="s">
        <v>3508</v>
      </c>
      <c r="J233" s="545"/>
      <c r="K233" s="546">
        <v>0.0</v>
      </c>
      <c r="L233" s="546">
        <v>0.0</v>
      </c>
      <c r="M233" s="547"/>
      <c r="N233" s="548"/>
      <c r="O233" s="549"/>
      <c r="P233" s="548"/>
      <c r="Q233" s="548"/>
      <c r="R233" s="548"/>
      <c r="S233" s="548"/>
      <c r="T233" s="548"/>
      <c r="U233" s="548"/>
    </row>
    <row r="234">
      <c r="A234" s="538">
        <v>233.0</v>
      </c>
      <c r="B234" s="539" t="s">
        <v>20</v>
      </c>
      <c r="C234" s="540"/>
      <c r="D234" s="541" t="s">
        <v>332</v>
      </c>
      <c r="E234" s="541"/>
      <c r="F234" s="552"/>
      <c r="G234" s="543"/>
      <c r="H234" s="553"/>
      <c r="I234" s="554" t="s">
        <v>2377</v>
      </c>
      <c r="J234" s="403"/>
      <c r="K234" s="546">
        <v>0.0</v>
      </c>
      <c r="L234" s="546">
        <v>0.0</v>
      </c>
      <c r="M234" s="547"/>
      <c r="N234" s="548"/>
      <c r="O234" s="549"/>
      <c r="P234" s="548"/>
      <c r="Q234" s="548"/>
      <c r="R234" s="548"/>
      <c r="S234" s="548"/>
      <c r="T234" s="548"/>
      <c r="U234" s="548"/>
    </row>
    <row r="235">
      <c r="A235" s="538">
        <v>234.0</v>
      </c>
      <c r="B235" s="539" t="s">
        <v>20</v>
      </c>
      <c r="C235" s="540"/>
      <c r="D235" s="541" t="s">
        <v>1072</v>
      </c>
      <c r="E235" s="541"/>
      <c r="F235" s="552"/>
      <c r="G235" s="543"/>
      <c r="H235" s="553"/>
      <c r="I235" s="550" t="s">
        <v>2467</v>
      </c>
      <c r="J235" s="403"/>
      <c r="K235" s="546">
        <v>0.0</v>
      </c>
      <c r="L235" s="546">
        <v>0.0</v>
      </c>
      <c r="M235" s="547"/>
      <c r="N235" s="548"/>
      <c r="O235" s="549"/>
      <c r="P235" s="548"/>
      <c r="Q235" s="548"/>
      <c r="R235" s="548"/>
      <c r="S235" s="548"/>
      <c r="T235" s="548"/>
      <c r="U235" s="548"/>
    </row>
    <row r="236">
      <c r="A236" s="538">
        <v>235.0</v>
      </c>
      <c r="B236" s="539" t="s">
        <v>20</v>
      </c>
      <c r="C236" s="540"/>
      <c r="D236" s="553"/>
      <c r="E236" s="541"/>
      <c r="F236" s="555"/>
      <c r="G236" s="556"/>
      <c r="H236" s="553"/>
      <c r="I236" s="544"/>
      <c r="J236" s="545"/>
      <c r="K236" s="546">
        <v>0.0</v>
      </c>
      <c r="L236" s="546">
        <v>0.0</v>
      </c>
      <c r="M236" s="547"/>
      <c r="N236" s="548"/>
      <c r="O236" s="549"/>
      <c r="P236" s="548"/>
      <c r="Q236" s="548"/>
      <c r="R236" s="548"/>
      <c r="S236" s="548"/>
      <c r="T236" s="548"/>
      <c r="U236" s="548"/>
    </row>
    <row r="237">
      <c r="A237" s="538">
        <v>236.0</v>
      </c>
      <c r="B237" s="539" t="s">
        <v>20</v>
      </c>
      <c r="C237" s="540"/>
      <c r="D237" s="553"/>
      <c r="E237" s="541"/>
      <c r="F237" s="556"/>
      <c r="G237" s="544"/>
      <c r="H237" s="541"/>
      <c r="I237" s="544"/>
      <c r="J237" s="545"/>
      <c r="K237" s="546">
        <v>0.0</v>
      </c>
      <c r="L237" s="546">
        <v>0.0</v>
      </c>
      <c r="M237" s="547"/>
      <c r="N237" s="548"/>
      <c r="O237" s="549"/>
      <c r="P237" s="548"/>
      <c r="Q237" s="548"/>
      <c r="R237" s="548"/>
      <c r="S237" s="548"/>
      <c r="T237" s="548"/>
      <c r="U237" s="548"/>
    </row>
    <row r="238">
      <c r="A238" s="538">
        <v>237.0</v>
      </c>
      <c r="B238" s="539" t="s">
        <v>20</v>
      </c>
      <c r="C238" s="540"/>
      <c r="D238" s="557" t="s">
        <v>531</v>
      </c>
      <c r="E238" s="558"/>
      <c r="F238" s="559"/>
      <c r="G238" s="560"/>
      <c r="H238" s="561"/>
      <c r="I238" s="404"/>
      <c r="J238" s="545"/>
      <c r="K238" s="546">
        <v>0.0</v>
      </c>
      <c r="L238" s="546">
        <v>0.0</v>
      </c>
      <c r="M238" s="547"/>
      <c r="N238" s="548"/>
      <c r="P238" s="548"/>
      <c r="Q238" s="548"/>
      <c r="R238" s="548"/>
      <c r="S238" s="548"/>
      <c r="T238" s="548"/>
      <c r="U238" s="548"/>
    </row>
    <row r="239">
      <c r="A239" s="538">
        <v>238.0</v>
      </c>
      <c r="B239" s="539" t="s">
        <v>20</v>
      </c>
      <c r="C239" s="540"/>
      <c r="D239" s="558" t="s">
        <v>494</v>
      </c>
      <c r="E239" s="558"/>
      <c r="F239" s="559"/>
      <c r="G239" s="562"/>
      <c r="H239" s="561"/>
      <c r="I239" s="404"/>
      <c r="J239" s="545"/>
      <c r="K239" s="546">
        <v>0.0</v>
      </c>
      <c r="L239" s="546">
        <v>0.0</v>
      </c>
      <c r="M239" s="547"/>
      <c r="N239" s="548"/>
      <c r="P239" s="548"/>
      <c r="Q239" s="548"/>
      <c r="R239" s="548"/>
      <c r="S239" s="548"/>
      <c r="T239" s="548"/>
      <c r="U239" s="548"/>
    </row>
    <row r="240">
      <c r="A240" s="538">
        <v>239.0</v>
      </c>
      <c r="B240" s="539" t="s">
        <v>20</v>
      </c>
      <c r="C240" s="540"/>
      <c r="D240" s="558" t="s">
        <v>109</v>
      </c>
      <c r="E240" s="558"/>
      <c r="F240" s="559"/>
      <c r="G240" s="562"/>
      <c r="H240" s="561"/>
      <c r="I240" s="404"/>
      <c r="J240" s="545"/>
      <c r="K240" s="546">
        <v>0.0</v>
      </c>
      <c r="L240" s="546">
        <v>0.0</v>
      </c>
      <c r="M240" s="547"/>
      <c r="N240" s="545"/>
      <c r="P240" s="548"/>
      <c r="Q240" s="548"/>
      <c r="R240" s="548"/>
      <c r="S240" s="548"/>
      <c r="T240" s="548"/>
      <c r="U240" s="545"/>
    </row>
    <row r="241">
      <c r="A241" s="538">
        <v>240.0</v>
      </c>
      <c r="B241" s="539" t="s">
        <v>20</v>
      </c>
      <c r="C241" s="540"/>
      <c r="D241" s="558" t="s">
        <v>1110</v>
      </c>
      <c r="E241" s="558"/>
      <c r="F241" s="562"/>
      <c r="G241" s="559"/>
      <c r="H241" s="561"/>
      <c r="I241" s="404"/>
      <c r="J241" s="545"/>
      <c r="K241" s="546">
        <v>0.0</v>
      </c>
      <c r="L241" s="546">
        <v>0.0</v>
      </c>
      <c r="M241" s="547"/>
      <c r="N241" s="548"/>
      <c r="P241" s="548"/>
      <c r="Q241" s="548"/>
      <c r="R241" s="548"/>
      <c r="S241" s="548"/>
      <c r="T241" s="548"/>
      <c r="U241" s="548"/>
    </row>
    <row r="242">
      <c r="A242" s="538">
        <v>241.0</v>
      </c>
      <c r="B242" s="539" t="s">
        <v>20</v>
      </c>
      <c r="C242" s="540"/>
      <c r="D242" s="558" t="s">
        <v>69</v>
      </c>
      <c r="E242" s="558"/>
      <c r="F242" s="562"/>
      <c r="G242" s="559"/>
      <c r="H242" s="561"/>
      <c r="I242" s="404"/>
      <c r="J242" s="545"/>
      <c r="K242" s="546">
        <v>0.0</v>
      </c>
      <c r="L242" s="546">
        <v>0.0</v>
      </c>
      <c r="M242" s="547"/>
      <c r="N242" s="548"/>
      <c r="P242" s="548"/>
      <c r="Q242" s="548"/>
      <c r="R242" s="548"/>
      <c r="S242" s="548"/>
      <c r="T242" s="548"/>
      <c r="U242" s="548"/>
    </row>
    <row r="243">
      <c r="A243" s="538">
        <v>242.0</v>
      </c>
      <c r="B243" s="539" t="s">
        <v>20</v>
      </c>
      <c r="C243" s="540"/>
      <c r="D243" s="558" t="s">
        <v>513</v>
      </c>
      <c r="E243" s="558"/>
      <c r="F243" s="559"/>
      <c r="G243" s="562"/>
      <c r="H243" s="561"/>
      <c r="I243" s="404"/>
      <c r="J243" s="545"/>
      <c r="K243" s="546">
        <v>0.0</v>
      </c>
      <c r="L243" s="546">
        <v>0.0</v>
      </c>
      <c r="M243" s="547"/>
      <c r="N243" s="548"/>
      <c r="P243" s="548"/>
      <c r="Q243" s="548"/>
      <c r="R243" s="548"/>
      <c r="S243" s="548"/>
      <c r="T243" s="548"/>
      <c r="U243" s="548"/>
    </row>
    <row r="244">
      <c r="A244" s="538">
        <v>243.0</v>
      </c>
      <c r="B244" s="539" t="s">
        <v>20</v>
      </c>
      <c r="C244" s="540"/>
      <c r="D244" s="558" t="s">
        <v>506</v>
      </c>
      <c r="E244" s="558"/>
      <c r="F244" s="559"/>
      <c r="G244" s="559"/>
      <c r="H244" s="561"/>
      <c r="I244" s="404"/>
      <c r="J244" s="545"/>
      <c r="K244" s="546">
        <v>0.0</v>
      </c>
      <c r="L244" s="546">
        <v>0.0</v>
      </c>
      <c r="M244" s="547"/>
      <c r="N244" s="548"/>
      <c r="P244" s="548"/>
      <c r="Q244" s="548"/>
      <c r="R244" s="548"/>
      <c r="S244" s="548"/>
      <c r="T244" s="548"/>
      <c r="U244" s="548"/>
    </row>
    <row r="245">
      <c r="A245" s="538">
        <v>244.0</v>
      </c>
      <c r="B245" s="539" t="s">
        <v>20</v>
      </c>
      <c r="C245" s="540"/>
      <c r="D245" s="558" t="s">
        <v>1059</v>
      </c>
      <c r="E245" s="558"/>
      <c r="F245" s="559"/>
      <c r="G245" s="562"/>
      <c r="H245" s="563"/>
      <c r="I245" s="404"/>
      <c r="J245" s="545"/>
      <c r="K245" s="546">
        <v>0.0</v>
      </c>
      <c r="L245" s="546">
        <v>0.0</v>
      </c>
      <c r="M245" s="547"/>
      <c r="N245" s="545"/>
      <c r="P245" s="548"/>
      <c r="Q245" s="548"/>
      <c r="R245" s="548"/>
      <c r="S245" s="548"/>
      <c r="T245" s="545"/>
      <c r="U245" s="548"/>
    </row>
    <row r="246">
      <c r="A246" s="538">
        <v>245.0</v>
      </c>
      <c r="B246" s="539" t="s">
        <v>20</v>
      </c>
      <c r="C246" s="540"/>
      <c r="D246" s="558" t="s">
        <v>494</v>
      </c>
      <c r="E246" s="558"/>
      <c r="F246" s="559"/>
      <c r="G246" s="562"/>
      <c r="H246" s="561"/>
      <c r="I246" s="404"/>
      <c r="J246" s="545"/>
      <c r="K246" s="546">
        <v>0.0</v>
      </c>
      <c r="L246" s="546">
        <v>0.0</v>
      </c>
      <c r="M246" s="547"/>
      <c r="N246" s="545"/>
      <c r="P246" s="548"/>
      <c r="Q246" s="548"/>
      <c r="R246" s="548"/>
      <c r="S246" s="548"/>
      <c r="T246" s="545"/>
      <c r="U246" s="548"/>
    </row>
    <row r="247">
      <c r="A247" s="538">
        <v>246.0</v>
      </c>
      <c r="B247" s="539" t="s">
        <v>20</v>
      </c>
      <c r="C247" s="540"/>
      <c r="D247" s="557" t="s">
        <v>2218</v>
      </c>
      <c r="E247" s="557"/>
      <c r="F247" s="564"/>
      <c r="G247" s="407"/>
      <c r="H247" s="565"/>
      <c r="I247" s="566" t="s">
        <v>3509</v>
      </c>
      <c r="J247" s="545"/>
      <c r="K247" s="546">
        <v>0.0</v>
      </c>
      <c r="L247" s="546">
        <v>0.0</v>
      </c>
      <c r="M247" s="547"/>
      <c r="N247" s="545"/>
      <c r="O247" s="548"/>
      <c r="P247" s="548"/>
      <c r="Q247" s="548"/>
      <c r="R247" s="548"/>
      <c r="S247" s="548"/>
      <c r="T247" s="545"/>
      <c r="U247" s="548"/>
    </row>
    <row r="248">
      <c r="A248" s="538">
        <v>247.0</v>
      </c>
      <c r="B248" s="539" t="s">
        <v>20</v>
      </c>
      <c r="C248" s="540"/>
      <c r="D248" s="557" t="s">
        <v>429</v>
      </c>
      <c r="E248" s="557"/>
      <c r="F248" s="560"/>
      <c r="G248" s="564"/>
      <c r="H248" s="565"/>
      <c r="I248" s="567"/>
      <c r="J248" s="545"/>
      <c r="K248" s="546">
        <v>0.0</v>
      </c>
      <c r="L248" s="546">
        <v>0.0</v>
      </c>
      <c r="M248" s="547"/>
      <c r="N248" s="548"/>
      <c r="O248" s="548"/>
      <c r="P248" s="548"/>
      <c r="Q248" s="548"/>
      <c r="R248" s="548"/>
      <c r="S248" s="548"/>
      <c r="T248" s="548"/>
      <c r="U248" s="548"/>
    </row>
    <row r="249">
      <c r="A249" s="538">
        <v>248.0</v>
      </c>
      <c r="B249" s="539" t="s">
        <v>20</v>
      </c>
      <c r="C249" s="540"/>
      <c r="D249" s="557" t="s">
        <v>506</v>
      </c>
      <c r="E249" s="557"/>
      <c r="F249" s="560"/>
      <c r="G249" s="568"/>
      <c r="H249" s="565"/>
      <c r="I249" s="566" t="s">
        <v>2431</v>
      </c>
      <c r="J249" s="545"/>
      <c r="K249" s="546">
        <v>0.0</v>
      </c>
      <c r="L249" s="546">
        <v>0.0</v>
      </c>
      <c r="M249" s="549"/>
      <c r="N249" s="548"/>
      <c r="O249" s="548"/>
      <c r="P249" s="548"/>
      <c r="Q249" s="548"/>
      <c r="R249" s="548"/>
      <c r="S249" s="548"/>
      <c r="T249" s="548"/>
      <c r="U249" s="548"/>
    </row>
    <row r="250">
      <c r="A250" s="538">
        <v>249.0</v>
      </c>
      <c r="B250" s="539" t="s">
        <v>20</v>
      </c>
      <c r="C250" s="540"/>
      <c r="D250" s="557" t="s">
        <v>531</v>
      </c>
      <c r="E250" s="557"/>
      <c r="F250" s="560"/>
      <c r="G250" s="564"/>
      <c r="H250" s="565"/>
      <c r="I250" s="567"/>
      <c r="J250" s="545"/>
      <c r="K250" s="546">
        <v>0.0</v>
      </c>
      <c r="L250" s="545">
        <v>0.0</v>
      </c>
      <c r="M250" s="549"/>
      <c r="N250" s="548"/>
      <c r="O250" s="548"/>
      <c r="P250" s="548"/>
      <c r="Q250" s="548"/>
      <c r="R250" s="548"/>
      <c r="S250" s="548"/>
      <c r="T250" s="548"/>
      <c r="U250" s="548"/>
    </row>
    <row r="251">
      <c r="A251" s="538">
        <v>250.0</v>
      </c>
      <c r="B251" s="539" t="s">
        <v>20</v>
      </c>
      <c r="C251" s="540"/>
      <c r="D251" s="557" t="s">
        <v>1072</v>
      </c>
      <c r="E251" s="557"/>
      <c r="F251" s="407"/>
      <c r="G251" s="564"/>
      <c r="H251" s="565"/>
      <c r="I251" s="567"/>
      <c r="J251" s="403"/>
      <c r="K251" s="546">
        <v>0.0</v>
      </c>
      <c r="L251" s="545">
        <v>0.0</v>
      </c>
      <c r="M251" s="549"/>
      <c r="N251" s="548"/>
      <c r="O251" s="548"/>
      <c r="P251" s="548"/>
      <c r="Q251" s="548"/>
      <c r="R251" s="548"/>
      <c r="S251" s="548"/>
      <c r="T251" s="548"/>
      <c r="U251" s="548"/>
    </row>
    <row r="252">
      <c r="A252" s="538">
        <v>251.0</v>
      </c>
      <c r="B252" s="539" t="s">
        <v>20</v>
      </c>
      <c r="C252" s="540"/>
      <c r="D252" s="557" t="s">
        <v>2218</v>
      </c>
      <c r="E252" s="557"/>
      <c r="F252" s="564"/>
      <c r="G252" s="564"/>
      <c r="H252" s="569"/>
      <c r="I252" s="570" t="s">
        <v>2658</v>
      </c>
      <c r="J252" s="403"/>
      <c r="K252" s="546">
        <v>0.0</v>
      </c>
      <c r="L252" s="545">
        <v>0.0</v>
      </c>
      <c r="M252" s="549"/>
      <c r="N252" s="548"/>
      <c r="O252" s="548"/>
      <c r="P252" s="548"/>
      <c r="Q252" s="548"/>
      <c r="R252" s="548"/>
      <c r="S252" s="548"/>
      <c r="T252" s="548"/>
      <c r="U252" s="548"/>
    </row>
    <row r="253">
      <c r="A253" s="538">
        <v>252.0</v>
      </c>
      <c r="B253" s="539" t="s">
        <v>20</v>
      </c>
      <c r="C253" s="540"/>
      <c r="D253" s="557" t="s">
        <v>1377</v>
      </c>
      <c r="E253" s="557"/>
      <c r="F253" s="564"/>
      <c r="G253" s="560"/>
      <c r="H253" s="569"/>
      <c r="I253" s="567"/>
      <c r="J253" s="545"/>
      <c r="K253" s="546">
        <v>0.0</v>
      </c>
      <c r="L253" s="545">
        <v>0.0</v>
      </c>
      <c r="M253" s="549"/>
      <c r="N253" s="548"/>
      <c r="O253" s="548"/>
      <c r="P253" s="548"/>
      <c r="Q253" s="548"/>
      <c r="R253" s="548"/>
      <c r="S253" s="548"/>
      <c r="T253" s="548"/>
      <c r="U253" s="548"/>
    </row>
    <row r="254">
      <c r="A254" s="538">
        <v>253.0</v>
      </c>
      <c r="B254" s="539" t="s">
        <v>20</v>
      </c>
      <c r="C254" s="540"/>
      <c r="D254" s="557" t="s">
        <v>109</v>
      </c>
      <c r="E254" s="557"/>
      <c r="F254" s="564"/>
      <c r="G254" s="564"/>
      <c r="H254" s="565"/>
      <c r="I254" s="567"/>
      <c r="J254" s="545"/>
      <c r="K254" s="546">
        <v>0.0</v>
      </c>
      <c r="L254" s="545">
        <v>0.0</v>
      </c>
      <c r="M254" s="549"/>
      <c r="N254" s="548"/>
      <c r="O254" s="548"/>
      <c r="P254" s="548"/>
      <c r="Q254" s="548"/>
      <c r="R254" s="548"/>
      <c r="S254" s="548"/>
      <c r="T254" s="548"/>
      <c r="U254" s="548"/>
    </row>
    <row r="255">
      <c r="A255" s="538">
        <v>254.0</v>
      </c>
      <c r="B255" s="539" t="s">
        <v>20</v>
      </c>
      <c r="C255" s="540"/>
      <c r="D255" s="557" t="s">
        <v>531</v>
      </c>
      <c r="E255" s="557"/>
      <c r="F255" s="407"/>
      <c r="G255" s="407"/>
      <c r="H255" s="565"/>
      <c r="I255" s="567"/>
      <c r="J255" s="545"/>
      <c r="K255" s="546">
        <v>0.0</v>
      </c>
      <c r="L255" s="545">
        <v>0.0</v>
      </c>
      <c r="M255" s="549"/>
      <c r="N255" s="548"/>
      <c r="O255" s="548"/>
      <c r="P255" s="548"/>
      <c r="Q255" s="548"/>
      <c r="R255" s="548"/>
      <c r="S255" s="548"/>
      <c r="T255" s="548"/>
      <c r="U255" s="548"/>
    </row>
    <row r="256">
      <c r="A256" s="538">
        <v>255.0</v>
      </c>
      <c r="B256" s="539" t="s">
        <v>20</v>
      </c>
      <c r="C256" s="540"/>
      <c r="D256" s="557" t="s">
        <v>506</v>
      </c>
      <c r="E256" s="557"/>
      <c r="F256" s="407"/>
      <c r="G256" s="564"/>
      <c r="H256" s="565"/>
      <c r="I256" s="567"/>
      <c r="J256" s="545"/>
      <c r="K256" s="546">
        <v>0.0</v>
      </c>
      <c r="L256" s="545">
        <v>0.0</v>
      </c>
      <c r="M256" s="549"/>
      <c r="N256" s="545"/>
      <c r="O256" s="548"/>
      <c r="P256" s="548"/>
      <c r="Q256" s="548"/>
      <c r="R256" s="548"/>
      <c r="S256" s="548"/>
      <c r="T256" s="545"/>
      <c r="U256" s="548"/>
    </row>
    <row r="257">
      <c r="A257" s="538">
        <v>256.0</v>
      </c>
      <c r="B257" s="539" t="s">
        <v>20</v>
      </c>
      <c r="C257" s="540"/>
      <c r="D257" s="557" t="s">
        <v>494</v>
      </c>
      <c r="E257" s="557"/>
      <c r="F257" s="407"/>
      <c r="G257" s="564"/>
      <c r="H257" s="565"/>
      <c r="I257" s="567"/>
      <c r="J257" s="545"/>
      <c r="K257" s="546">
        <v>0.0</v>
      </c>
      <c r="L257" s="545">
        <v>0.0</v>
      </c>
      <c r="M257" s="549"/>
      <c r="N257" s="548"/>
      <c r="O257" s="548"/>
      <c r="P257" s="548"/>
      <c r="Q257" s="548"/>
      <c r="R257" s="548"/>
      <c r="S257" s="548"/>
      <c r="T257" s="548"/>
      <c r="U257" s="548"/>
    </row>
    <row r="258">
      <c r="A258" s="538">
        <v>257.0</v>
      </c>
      <c r="B258" s="539" t="s">
        <v>20</v>
      </c>
      <c r="C258" s="540"/>
      <c r="D258" s="557" t="s">
        <v>1180</v>
      </c>
      <c r="E258" s="557"/>
      <c r="F258" s="564"/>
      <c r="G258" s="564"/>
      <c r="H258" s="569"/>
      <c r="I258" s="566" t="s">
        <v>3510</v>
      </c>
      <c r="J258" s="403"/>
      <c r="K258" s="546">
        <v>0.0</v>
      </c>
      <c r="L258" s="545">
        <v>0.0</v>
      </c>
      <c r="M258" s="549"/>
      <c r="N258" s="548"/>
      <c r="O258" s="548"/>
      <c r="P258" s="548"/>
      <c r="Q258" s="548"/>
      <c r="R258" s="548"/>
      <c r="S258" s="548"/>
      <c r="T258" s="548"/>
      <c r="U258" s="548"/>
    </row>
    <row r="259">
      <c r="A259" s="538">
        <v>258.0</v>
      </c>
      <c r="B259" s="539" t="s">
        <v>20</v>
      </c>
      <c r="C259" s="540"/>
      <c r="D259" s="557" t="s">
        <v>494</v>
      </c>
      <c r="E259" s="557"/>
      <c r="F259" s="407"/>
      <c r="G259" s="564"/>
      <c r="H259" s="565"/>
      <c r="I259" s="567"/>
      <c r="J259" s="545"/>
      <c r="K259" s="546">
        <v>0.0</v>
      </c>
      <c r="L259" s="545">
        <v>0.0</v>
      </c>
      <c r="M259" s="549"/>
      <c r="N259" s="548"/>
      <c r="O259" s="548"/>
      <c r="P259" s="548"/>
      <c r="Q259" s="548"/>
      <c r="R259" s="548"/>
      <c r="S259" s="548"/>
      <c r="T259" s="548"/>
      <c r="U259" s="548"/>
    </row>
    <row r="260">
      <c r="A260" s="538">
        <v>259.0</v>
      </c>
      <c r="B260" s="539" t="s">
        <v>20</v>
      </c>
      <c r="C260" s="540"/>
      <c r="D260" s="557" t="s">
        <v>2218</v>
      </c>
      <c r="E260" s="557"/>
      <c r="F260" s="564"/>
      <c r="G260" s="564"/>
      <c r="H260" s="565"/>
      <c r="I260" s="570" t="s">
        <v>2687</v>
      </c>
      <c r="J260" s="403"/>
      <c r="K260" s="546">
        <v>0.0</v>
      </c>
      <c r="L260" s="545">
        <v>0.0</v>
      </c>
      <c r="M260" s="549"/>
      <c r="N260" s="548"/>
      <c r="O260" s="548"/>
      <c r="P260" s="548"/>
      <c r="Q260" s="548"/>
      <c r="R260" s="548"/>
      <c r="S260" s="548"/>
      <c r="T260" s="548"/>
      <c r="U260" s="548"/>
    </row>
    <row r="261">
      <c r="A261" s="538">
        <v>260.0</v>
      </c>
      <c r="B261" s="539" t="s">
        <v>20</v>
      </c>
      <c r="C261" s="540"/>
      <c r="D261" s="557" t="s">
        <v>1180</v>
      </c>
      <c r="E261" s="557"/>
      <c r="F261" s="564"/>
      <c r="G261" s="407"/>
      <c r="H261" s="565"/>
      <c r="I261" s="567"/>
      <c r="J261" s="545"/>
      <c r="K261" s="546">
        <v>0.0</v>
      </c>
      <c r="L261" s="545">
        <v>0.0</v>
      </c>
      <c r="M261" s="549"/>
      <c r="N261" s="548"/>
      <c r="O261" s="548"/>
      <c r="P261" s="548"/>
      <c r="Q261" s="548"/>
      <c r="R261" s="548"/>
      <c r="S261" s="548"/>
      <c r="T261" s="548"/>
      <c r="U261" s="548"/>
    </row>
    <row r="262">
      <c r="A262" s="538">
        <v>261.0</v>
      </c>
      <c r="B262" s="539" t="s">
        <v>20</v>
      </c>
      <c r="C262" s="540"/>
      <c r="D262" s="557" t="s">
        <v>332</v>
      </c>
      <c r="E262" s="557"/>
      <c r="F262" s="560"/>
      <c r="G262" s="571"/>
      <c r="H262" s="569"/>
      <c r="I262" s="570" t="s">
        <v>2694</v>
      </c>
      <c r="J262" s="545"/>
      <c r="K262" s="546">
        <v>0.0</v>
      </c>
      <c r="L262" s="545">
        <v>0.0</v>
      </c>
      <c r="M262" s="549"/>
      <c r="N262" s="548"/>
      <c r="O262" s="548"/>
      <c r="P262" s="548"/>
      <c r="Q262" s="548"/>
      <c r="R262" s="548"/>
      <c r="S262" s="548"/>
      <c r="T262" s="548"/>
      <c r="U262" s="548"/>
    </row>
    <row r="263">
      <c r="A263" s="538">
        <v>262.0</v>
      </c>
      <c r="B263" s="539" t="s">
        <v>20</v>
      </c>
      <c r="C263" s="540"/>
      <c r="D263" s="557" t="s">
        <v>2328</v>
      </c>
      <c r="E263" s="557"/>
      <c r="F263" s="407"/>
      <c r="G263" s="564"/>
      <c r="H263" s="565"/>
      <c r="I263" s="567"/>
      <c r="J263" s="545"/>
      <c r="K263" s="546">
        <v>0.0</v>
      </c>
      <c r="L263" s="545">
        <v>0.0</v>
      </c>
      <c r="M263" s="549"/>
      <c r="N263" s="548"/>
      <c r="O263" s="548"/>
      <c r="P263" s="548"/>
      <c r="Q263" s="548"/>
      <c r="R263" s="548"/>
      <c r="S263" s="548"/>
      <c r="T263" s="548"/>
      <c r="U263" s="548"/>
    </row>
    <row r="264">
      <c r="A264" s="538">
        <v>263.0</v>
      </c>
      <c r="B264" s="539" t="s">
        <v>20</v>
      </c>
      <c r="C264" s="540"/>
      <c r="D264" s="557" t="s">
        <v>2698</v>
      </c>
      <c r="E264" s="557"/>
      <c r="F264" s="560"/>
      <c r="G264" s="560"/>
      <c r="H264" s="565"/>
      <c r="I264" s="567"/>
      <c r="J264" s="545"/>
      <c r="K264" s="546">
        <v>0.0</v>
      </c>
      <c r="L264" s="545">
        <v>0.0</v>
      </c>
      <c r="M264" s="549"/>
      <c r="N264" s="548"/>
      <c r="O264" s="548"/>
      <c r="P264" s="548"/>
      <c r="Q264" s="548"/>
      <c r="R264" s="548"/>
      <c r="S264" s="548"/>
      <c r="T264" s="548"/>
      <c r="U264" s="548"/>
    </row>
    <row r="265">
      <c r="A265" s="538">
        <v>264.0</v>
      </c>
      <c r="B265" s="539" t="s">
        <v>20</v>
      </c>
      <c r="C265" s="540"/>
      <c r="D265" s="557" t="s">
        <v>1072</v>
      </c>
      <c r="E265" s="557"/>
      <c r="F265" s="560"/>
      <c r="G265" s="564"/>
      <c r="H265" s="565"/>
      <c r="I265" s="567"/>
      <c r="J265" s="545"/>
      <c r="K265" s="546">
        <v>0.0</v>
      </c>
      <c r="L265" s="545">
        <v>0.0</v>
      </c>
      <c r="M265" s="549"/>
      <c r="N265" s="545"/>
      <c r="O265" s="548"/>
      <c r="P265" s="548"/>
      <c r="Q265" s="548"/>
      <c r="R265" s="548"/>
      <c r="S265" s="548"/>
      <c r="T265" s="545"/>
      <c r="U265" s="548"/>
    </row>
    <row r="266">
      <c r="A266" s="538">
        <v>265.0</v>
      </c>
      <c r="B266" s="539" t="s">
        <v>20</v>
      </c>
      <c r="C266" s="540"/>
      <c r="D266" s="572"/>
      <c r="E266" s="557"/>
      <c r="F266" s="407"/>
      <c r="G266" s="407"/>
      <c r="H266" s="569"/>
      <c r="I266" s="570" t="s">
        <v>2711</v>
      </c>
      <c r="J266" s="545"/>
      <c r="K266" s="546">
        <v>0.0</v>
      </c>
      <c r="L266" s="545">
        <v>0.0</v>
      </c>
      <c r="M266" s="549"/>
      <c r="N266" s="548"/>
      <c r="O266" s="548"/>
      <c r="P266" s="548"/>
      <c r="Q266" s="548"/>
      <c r="R266" s="548"/>
      <c r="S266" s="548"/>
      <c r="T266" s="548"/>
      <c r="U266" s="548"/>
    </row>
    <row r="267">
      <c r="A267" s="538">
        <v>266.0</v>
      </c>
      <c r="B267" s="539" t="s">
        <v>20</v>
      </c>
      <c r="C267" s="540"/>
      <c r="D267" s="557" t="s">
        <v>146</v>
      </c>
      <c r="E267" s="573"/>
      <c r="F267" s="564"/>
      <c r="G267" s="407"/>
      <c r="H267" s="569"/>
      <c r="I267" s="567"/>
      <c r="J267" s="545"/>
      <c r="K267" s="546">
        <v>0.0</v>
      </c>
      <c r="L267" s="545">
        <v>0.0</v>
      </c>
      <c r="M267" s="549"/>
      <c r="N267" s="548"/>
      <c r="O267" s="548"/>
      <c r="P267" s="548"/>
      <c r="Q267" s="548"/>
      <c r="R267" s="548"/>
      <c r="S267" s="548"/>
      <c r="T267" s="548"/>
      <c r="U267" s="548"/>
    </row>
    <row r="268">
      <c r="A268" s="538">
        <v>267.0</v>
      </c>
      <c r="B268" s="539" t="s">
        <v>20</v>
      </c>
      <c r="C268" s="540"/>
      <c r="D268" s="557" t="s">
        <v>332</v>
      </c>
      <c r="E268" s="557"/>
      <c r="F268" s="564"/>
      <c r="G268" s="560"/>
      <c r="H268" s="569"/>
      <c r="I268" s="567"/>
      <c r="J268" s="545"/>
      <c r="K268" s="546">
        <v>0.0</v>
      </c>
      <c r="L268" s="545">
        <v>0.0</v>
      </c>
      <c r="M268" s="549"/>
      <c r="N268" s="545"/>
      <c r="O268" s="548"/>
      <c r="P268" s="548"/>
      <c r="Q268" s="548"/>
      <c r="R268" s="548"/>
      <c r="S268" s="548"/>
      <c r="T268" s="548"/>
      <c r="U268" s="548"/>
    </row>
    <row r="269">
      <c r="A269" s="538">
        <v>268.0</v>
      </c>
      <c r="B269" s="539" t="s">
        <v>20</v>
      </c>
      <c r="C269" s="540"/>
      <c r="D269" s="557" t="s">
        <v>1063</v>
      </c>
      <c r="E269" s="557"/>
      <c r="F269" s="560"/>
      <c r="G269" s="564"/>
      <c r="H269" s="565"/>
      <c r="I269" s="567"/>
      <c r="J269" s="545"/>
      <c r="K269" s="546">
        <v>0.0</v>
      </c>
      <c r="L269" s="545">
        <v>0.0</v>
      </c>
      <c r="M269" s="549"/>
      <c r="N269" s="548"/>
      <c r="O269" s="548"/>
      <c r="P269" s="548"/>
      <c r="Q269" s="548"/>
      <c r="R269" s="548"/>
      <c r="S269" s="548"/>
      <c r="T269" s="548"/>
      <c r="U269" s="548"/>
    </row>
    <row r="270">
      <c r="A270" s="538">
        <v>269.0</v>
      </c>
      <c r="B270" s="539" t="s">
        <v>20</v>
      </c>
      <c r="C270" s="557"/>
      <c r="D270" s="557" t="s">
        <v>69</v>
      </c>
      <c r="E270" s="557"/>
      <c r="F270" s="560"/>
      <c r="G270" s="564"/>
      <c r="H270" s="569"/>
      <c r="I270" s="567"/>
      <c r="J270" s="403"/>
      <c r="K270" s="546">
        <v>0.0</v>
      </c>
      <c r="L270" s="545">
        <v>0.0</v>
      </c>
      <c r="M270" s="549"/>
      <c r="N270" s="548"/>
      <c r="O270" s="548"/>
      <c r="P270" s="548"/>
      <c r="Q270" s="548"/>
      <c r="R270" s="548"/>
      <c r="S270" s="548"/>
      <c r="T270" s="548"/>
      <c r="U270" s="548"/>
    </row>
    <row r="271">
      <c r="A271" s="538">
        <v>270.0</v>
      </c>
      <c r="B271" s="539" t="s">
        <v>20</v>
      </c>
      <c r="C271" s="557"/>
      <c r="D271" s="557" t="s">
        <v>69</v>
      </c>
      <c r="E271" s="557"/>
      <c r="F271" s="560"/>
      <c r="G271" s="564"/>
      <c r="H271" s="563"/>
      <c r="I271" s="567"/>
      <c r="J271" s="545"/>
      <c r="K271" s="546">
        <v>0.0</v>
      </c>
      <c r="L271" s="545">
        <v>0.0</v>
      </c>
      <c r="M271" s="549"/>
      <c r="N271" s="548"/>
      <c r="O271" s="548"/>
      <c r="P271" s="548"/>
      <c r="Q271" s="548"/>
      <c r="R271" s="548"/>
      <c r="S271" s="548"/>
      <c r="T271" s="548"/>
      <c r="U271" s="548"/>
    </row>
    <row r="272">
      <c r="A272" s="538">
        <v>271.0</v>
      </c>
      <c r="B272" s="539" t="s">
        <v>20</v>
      </c>
      <c r="C272" s="557"/>
      <c r="D272" s="557" t="s">
        <v>109</v>
      </c>
      <c r="E272" s="557"/>
      <c r="F272" s="560"/>
      <c r="G272" s="564"/>
      <c r="H272" s="565"/>
      <c r="I272" s="567"/>
      <c r="J272" s="545"/>
      <c r="K272" s="546">
        <v>0.0</v>
      </c>
      <c r="L272" s="545">
        <v>0.0</v>
      </c>
      <c r="M272" s="549"/>
      <c r="N272" s="548"/>
      <c r="O272" s="548"/>
      <c r="P272" s="548"/>
      <c r="Q272" s="548"/>
      <c r="R272" s="548"/>
      <c r="S272" s="548"/>
      <c r="T272" s="548"/>
      <c r="U272" s="548"/>
    </row>
    <row r="273">
      <c r="A273" s="538">
        <v>272.0</v>
      </c>
      <c r="B273" s="539" t="s">
        <v>20</v>
      </c>
      <c r="C273" s="557"/>
      <c r="D273" s="557" t="s">
        <v>109</v>
      </c>
      <c r="E273" s="557"/>
      <c r="F273" s="560"/>
      <c r="G273" s="564"/>
      <c r="H273" s="565"/>
      <c r="I273" s="567"/>
      <c r="J273" s="545"/>
      <c r="K273" s="546">
        <v>0.0</v>
      </c>
      <c r="L273" s="545">
        <v>0.0</v>
      </c>
      <c r="M273" s="549"/>
      <c r="N273" s="548"/>
      <c r="O273" s="548"/>
      <c r="P273" s="548"/>
      <c r="Q273" s="548"/>
      <c r="R273" s="548"/>
      <c r="S273" s="548"/>
      <c r="T273" s="548"/>
      <c r="U273" s="548"/>
    </row>
    <row r="274">
      <c r="A274" s="538">
        <v>273.0</v>
      </c>
      <c r="B274" s="539" t="s">
        <v>20</v>
      </c>
      <c r="C274" s="557"/>
      <c r="D274" s="557" t="s">
        <v>531</v>
      </c>
      <c r="E274" s="557"/>
      <c r="F274" s="560"/>
      <c r="G274" s="560"/>
      <c r="H274" s="565"/>
      <c r="I274" s="566" t="s">
        <v>2737</v>
      </c>
      <c r="J274" s="545"/>
      <c r="K274" s="546">
        <v>0.0</v>
      </c>
      <c r="L274" s="545">
        <v>0.0</v>
      </c>
      <c r="M274" s="549"/>
      <c r="N274" s="548"/>
      <c r="O274" s="548"/>
      <c r="P274" s="548"/>
      <c r="Q274" s="548"/>
      <c r="R274" s="548"/>
      <c r="S274" s="548"/>
      <c r="T274" s="548"/>
      <c r="U274" s="548"/>
    </row>
    <row r="275">
      <c r="A275" s="538">
        <v>274.0</v>
      </c>
      <c r="B275" s="539" t="s">
        <v>20</v>
      </c>
      <c r="C275" s="557"/>
      <c r="D275" s="557" t="s">
        <v>332</v>
      </c>
      <c r="E275" s="557"/>
      <c r="F275" s="560"/>
      <c r="G275" s="560"/>
      <c r="H275" s="569"/>
      <c r="I275" s="570" t="s">
        <v>2742</v>
      </c>
      <c r="J275" s="545"/>
      <c r="K275" s="546">
        <v>0.0</v>
      </c>
      <c r="L275" s="545">
        <v>0.0</v>
      </c>
      <c r="M275" s="549"/>
      <c r="N275" s="548"/>
      <c r="O275" s="548"/>
      <c r="P275" s="548"/>
      <c r="Q275" s="548"/>
      <c r="R275" s="548"/>
      <c r="S275" s="548"/>
      <c r="T275" s="548"/>
      <c r="U275" s="548"/>
    </row>
    <row r="276">
      <c r="A276" s="538">
        <v>275.0</v>
      </c>
      <c r="B276" s="539" t="s">
        <v>20</v>
      </c>
      <c r="C276" s="557"/>
      <c r="D276" s="557" t="s">
        <v>1110</v>
      </c>
      <c r="E276" s="557"/>
      <c r="F276" s="560"/>
      <c r="G276" s="560"/>
      <c r="H276" s="565"/>
      <c r="I276" s="570" t="s">
        <v>2749</v>
      </c>
      <c r="J276" s="545"/>
      <c r="K276" s="546">
        <v>0.0</v>
      </c>
      <c r="L276" s="545">
        <v>0.0</v>
      </c>
      <c r="M276" s="549"/>
      <c r="N276" s="548"/>
      <c r="O276" s="548"/>
      <c r="P276" s="548"/>
      <c r="Q276" s="548"/>
      <c r="R276" s="548"/>
      <c r="S276" s="548"/>
      <c r="T276" s="548"/>
      <c r="U276" s="548"/>
    </row>
    <row r="277">
      <c r="A277" s="538">
        <v>276.0</v>
      </c>
      <c r="B277" s="539" t="s">
        <v>20</v>
      </c>
      <c r="C277" s="557"/>
      <c r="D277" s="557" t="s">
        <v>494</v>
      </c>
      <c r="E277" s="557"/>
      <c r="F277" s="560"/>
      <c r="G277" s="560"/>
      <c r="H277" s="563"/>
      <c r="I277" s="567"/>
      <c r="J277" s="545"/>
      <c r="K277" s="546">
        <v>0.0</v>
      </c>
      <c r="L277" s="545">
        <v>0.0</v>
      </c>
      <c r="M277" s="549"/>
      <c r="N277" s="548"/>
      <c r="O277" s="548"/>
      <c r="P277" s="548"/>
      <c r="Q277" s="548"/>
      <c r="R277" s="548"/>
      <c r="S277" s="548"/>
      <c r="T277" s="548"/>
      <c r="U277" s="548"/>
    </row>
    <row r="278">
      <c r="A278" s="538">
        <v>277.0</v>
      </c>
      <c r="B278" s="539" t="s">
        <v>20</v>
      </c>
      <c r="C278" s="557"/>
      <c r="D278" s="557" t="s">
        <v>1072</v>
      </c>
      <c r="E278" s="557"/>
      <c r="F278" s="560"/>
      <c r="G278" s="560"/>
      <c r="H278" s="569"/>
      <c r="I278" s="567"/>
      <c r="J278" s="545"/>
      <c r="K278" s="546">
        <v>0.0</v>
      </c>
      <c r="L278" s="545">
        <v>0.0</v>
      </c>
      <c r="M278" s="549"/>
      <c r="N278" s="548"/>
      <c r="O278" s="548"/>
      <c r="P278" s="548"/>
      <c r="Q278" s="548"/>
      <c r="R278" s="548"/>
      <c r="S278" s="548"/>
      <c r="T278" s="548"/>
      <c r="U278" s="548"/>
    </row>
    <row r="279">
      <c r="A279" s="538">
        <v>278.0</v>
      </c>
      <c r="B279" s="539" t="s">
        <v>20</v>
      </c>
      <c r="C279" s="557"/>
      <c r="D279" s="557" t="s">
        <v>1494</v>
      </c>
      <c r="E279" s="557"/>
      <c r="F279" s="560"/>
      <c r="G279" s="560"/>
      <c r="H279" s="569"/>
      <c r="I279" s="570" t="s">
        <v>2765</v>
      </c>
      <c r="J279" s="545"/>
      <c r="K279" s="546">
        <v>0.0</v>
      </c>
      <c r="L279" s="546">
        <v>0.0</v>
      </c>
      <c r="M279" s="549"/>
      <c r="N279" s="548"/>
      <c r="O279" s="548"/>
      <c r="P279" s="548"/>
      <c r="Q279" s="548"/>
      <c r="R279" s="548"/>
      <c r="S279" s="548"/>
      <c r="T279" s="548"/>
      <c r="U279" s="548"/>
    </row>
    <row r="280">
      <c r="A280" s="538" t="s">
        <v>3511</v>
      </c>
      <c r="C280" s="574"/>
      <c r="D280" s="574"/>
      <c r="E280" s="574"/>
      <c r="F280" s="575"/>
      <c r="G280" s="575"/>
      <c r="H280" s="576"/>
      <c r="M280" s="122"/>
      <c r="N280" s="75"/>
      <c r="P280" s="75"/>
      <c r="R280" s="144"/>
      <c r="S280" s="548"/>
    </row>
    <row r="281">
      <c r="A281" s="538" t="s">
        <v>3511</v>
      </c>
      <c r="C281" s="574"/>
      <c r="D281" s="574"/>
      <c r="E281" s="574"/>
      <c r="F281" s="575"/>
      <c r="G281" s="575"/>
      <c r="H281" s="576"/>
      <c r="M281" s="122"/>
      <c r="N281" s="75"/>
      <c r="P281" s="75"/>
      <c r="R281" s="144"/>
      <c r="S281" s="548"/>
    </row>
    <row r="282">
      <c r="A282" s="538" t="s">
        <v>3511</v>
      </c>
      <c r="C282" s="574"/>
      <c r="D282" s="574"/>
      <c r="E282" s="574"/>
      <c r="F282" s="575"/>
      <c r="G282" s="575"/>
      <c r="H282" s="576"/>
      <c r="M282" s="122"/>
      <c r="N282" s="75"/>
      <c r="P282" s="75"/>
      <c r="R282" s="144"/>
      <c r="S282" s="548"/>
    </row>
    <row r="283">
      <c r="A283" s="538" t="s">
        <v>3511</v>
      </c>
      <c r="C283" s="574"/>
      <c r="D283" s="574"/>
      <c r="E283" s="574"/>
      <c r="F283" s="575"/>
      <c r="G283" s="575"/>
      <c r="H283" s="576"/>
      <c r="M283" s="122"/>
      <c r="N283" s="75"/>
      <c r="P283" s="75"/>
      <c r="R283" s="144"/>
      <c r="S283" s="548"/>
    </row>
    <row r="284">
      <c r="A284" s="538" t="s">
        <v>3511</v>
      </c>
      <c r="C284" s="574"/>
      <c r="D284" s="574"/>
      <c r="E284" s="574"/>
      <c r="F284" s="575"/>
      <c r="G284" s="575"/>
      <c r="H284" s="576"/>
      <c r="M284" s="122"/>
      <c r="N284" s="75"/>
      <c r="P284" s="75"/>
      <c r="R284" s="144"/>
      <c r="S284" s="548"/>
    </row>
    <row r="285">
      <c r="A285" s="538" t="s">
        <v>3511</v>
      </c>
      <c r="C285" s="574"/>
      <c r="D285" s="574"/>
      <c r="E285" s="574"/>
      <c r="F285" s="575"/>
      <c r="G285" s="575"/>
      <c r="H285" s="576"/>
      <c r="M285" s="122"/>
      <c r="N285" s="75"/>
      <c r="P285" s="75"/>
      <c r="R285" s="144"/>
      <c r="S285" s="548"/>
    </row>
    <row r="286">
      <c r="A286" s="538" t="s">
        <v>3511</v>
      </c>
      <c r="C286" s="574"/>
      <c r="D286" s="574"/>
      <c r="E286" s="574"/>
      <c r="F286" s="575"/>
      <c r="G286" s="575"/>
      <c r="H286" s="576"/>
      <c r="M286" s="122"/>
      <c r="N286" s="75"/>
      <c r="P286" s="75"/>
      <c r="R286" s="144"/>
      <c r="S286" s="548"/>
    </row>
    <row r="287">
      <c r="A287" s="538" t="s">
        <v>3511</v>
      </c>
      <c r="C287" s="574"/>
      <c r="D287" s="574"/>
      <c r="E287" s="574"/>
      <c r="F287" s="575"/>
      <c r="G287" s="575"/>
      <c r="H287" s="576"/>
      <c r="M287" s="122"/>
      <c r="N287" s="75"/>
      <c r="P287" s="75"/>
      <c r="R287" s="144"/>
      <c r="S287" s="548"/>
    </row>
    <row r="288">
      <c r="A288" s="538" t="s">
        <v>3511</v>
      </c>
      <c r="C288" s="574"/>
      <c r="D288" s="574"/>
      <c r="E288" s="574"/>
      <c r="F288" s="575"/>
      <c r="G288" s="575"/>
      <c r="H288" s="576"/>
      <c r="M288" s="122"/>
      <c r="N288" s="75"/>
      <c r="P288" s="75"/>
      <c r="R288" s="144"/>
      <c r="S288" s="548"/>
    </row>
    <row r="289">
      <c r="A289" s="538" t="s">
        <v>3511</v>
      </c>
      <c r="C289" s="574"/>
      <c r="D289" s="574"/>
      <c r="E289" s="574"/>
      <c r="F289" s="575"/>
      <c r="G289" s="575"/>
      <c r="H289" s="576"/>
      <c r="M289" s="122"/>
      <c r="N289" s="75"/>
      <c r="P289" s="75"/>
      <c r="R289" s="144"/>
      <c r="S289" s="548"/>
    </row>
    <row r="290">
      <c r="A290" s="538" t="s">
        <v>3511</v>
      </c>
      <c r="C290" s="574"/>
      <c r="D290" s="574"/>
      <c r="E290" s="574"/>
      <c r="F290" s="575"/>
      <c r="G290" s="575"/>
      <c r="H290" s="576"/>
      <c r="M290" s="122"/>
      <c r="N290" s="75"/>
      <c r="P290" s="75"/>
      <c r="R290" s="144"/>
      <c r="S290" s="548"/>
    </row>
    <row r="291">
      <c r="A291" s="538" t="s">
        <v>3511</v>
      </c>
      <c r="C291" s="574"/>
      <c r="D291" s="574"/>
      <c r="E291" s="574"/>
      <c r="F291" s="575"/>
      <c r="G291" s="575"/>
      <c r="H291" s="576"/>
      <c r="M291" s="122"/>
      <c r="N291" s="75"/>
      <c r="P291" s="75"/>
      <c r="R291" s="144"/>
      <c r="S291" s="548"/>
    </row>
    <row r="292">
      <c r="A292" s="538" t="s">
        <v>3511</v>
      </c>
      <c r="C292" s="574"/>
      <c r="D292" s="574"/>
      <c r="E292" s="574"/>
      <c r="F292" s="575"/>
      <c r="G292" s="575"/>
      <c r="H292" s="576"/>
      <c r="M292" s="122"/>
      <c r="N292" s="75"/>
      <c r="P292" s="75"/>
      <c r="R292" s="144"/>
      <c r="S292" s="548"/>
    </row>
    <row r="293">
      <c r="A293" s="538" t="s">
        <v>3511</v>
      </c>
      <c r="C293" s="574"/>
      <c r="D293" s="574"/>
      <c r="E293" s="574"/>
      <c r="F293" s="575"/>
      <c r="G293" s="575"/>
      <c r="H293" s="576"/>
      <c r="M293" s="122"/>
      <c r="N293" s="75"/>
      <c r="P293" s="75"/>
      <c r="R293" s="144"/>
      <c r="S293" s="548"/>
    </row>
    <row r="294">
      <c r="A294" s="538" t="s">
        <v>3511</v>
      </c>
      <c r="C294" s="574"/>
      <c r="D294" s="574"/>
      <c r="E294" s="574"/>
      <c r="F294" s="575"/>
      <c r="G294" s="575"/>
      <c r="H294" s="576"/>
      <c r="M294" s="122"/>
      <c r="N294" s="75"/>
      <c r="P294" s="75"/>
      <c r="R294" s="144"/>
      <c r="S294" s="548"/>
    </row>
    <row r="295">
      <c r="A295" s="538" t="s">
        <v>3511</v>
      </c>
      <c r="C295" s="574"/>
      <c r="D295" s="574"/>
      <c r="E295" s="574"/>
      <c r="F295" s="575"/>
      <c r="G295" s="575"/>
      <c r="H295" s="576"/>
      <c r="M295" s="122"/>
      <c r="N295" s="75"/>
      <c r="P295" s="75"/>
      <c r="R295" s="144"/>
      <c r="S295" s="548"/>
    </row>
    <row r="296">
      <c r="A296" s="538" t="s">
        <v>3511</v>
      </c>
      <c r="C296" s="574"/>
      <c r="D296" s="574"/>
      <c r="E296" s="574"/>
      <c r="F296" s="575"/>
      <c r="G296" s="575"/>
      <c r="H296" s="576"/>
      <c r="M296" s="122"/>
      <c r="N296" s="75"/>
      <c r="P296" s="75"/>
      <c r="R296" s="144"/>
      <c r="S296" s="548"/>
    </row>
    <row r="297">
      <c r="A297" s="538" t="s">
        <v>3511</v>
      </c>
      <c r="C297" s="574"/>
      <c r="D297" s="574"/>
      <c r="E297" s="574"/>
      <c r="F297" s="575"/>
      <c r="G297" s="575"/>
      <c r="H297" s="576"/>
      <c r="M297" s="122"/>
      <c r="N297" s="75"/>
      <c r="P297" s="75"/>
      <c r="R297" s="144"/>
      <c r="S297" s="548"/>
    </row>
    <row r="298">
      <c r="A298" s="538" t="s">
        <v>3511</v>
      </c>
      <c r="C298" s="574"/>
      <c r="D298" s="574"/>
      <c r="E298" s="574"/>
      <c r="F298" s="575"/>
      <c r="G298" s="575"/>
      <c r="H298" s="576"/>
      <c r="M298" s="122"/>
      <c r="N298" s="75"/>
      <c r="P298" s="75"/>
      <c r="R298" s="144"/>
      <c r="S298" s="548"/>
    </row>
    <row r="299">
      <c r="A299" s="538" t="s">
        <v>3511</v>
      </c>
      <c r="C299" s="574"/>
      <c r="D299" s="574"/>
      <c r="E299" s="574"/>
      <c r="F299" s="575"/>
      <c r="G299" s="575"/>
      <c r="H299" s="576"/>
      <c r="M299" s="122"/>
      <c r="N299" s="75"/>
      <c r="P299" s="75"/>
      <c r="R299" s="144"/>
      <c r="S299" s="548"/>
    </row>
    <row r="300">
      <c r="A300" s="538" t="s">
        <v>3511</v>
      </c>
      <c r="C300" s="574"/>
      <c r="D300" s="574"/>
      <c r="E300" s="574"/>
      <c r="F300" s="575"/>
      <c r="G300" s="575"/>
      <c r="H300" s="576"/>
      <c r="M300" s="122"/>
      <c r="N300" s="75"/>
      <c r="P300" s="75"/>
      <c r="R300" s="144"/>
      <c r="S300" s="548"/>
    </row>
    <row r="301">
      <c r="A301" s="538" t="s">
        <v>3511</v>
      </c>
      <c r="C301" s="574"/>
      <c r="D301" s="574"/>
      <c r="E301" s="574"/>
      <c r="F301" s="575"/>
      <c r="G301" s="575"/>
      <c r="H301" s="576"/>
      <c r="M301" s="122"/>
      <c r="N301" s="75"/>
      <c r="P301" s="75"/>
      <c r="R301" s="144"/>
      <c r="S301" s="548"/>
    </row>
    <row r="302">
      <c r="A302" s="538" t="s">
        <v>3511</v>
      </c>
      <c r="C302" s="574"/>
      <c r="D302" s="574"/>
      <c r="E302" s="574"/>
      <c r="F302" s="575"/>
      <c r="G302" s="575"/>
      <c r="H302" s="576"/>
      <c r="M302" s="122"/>
      <c r="N302" s="75"/>
      <c r="P302" s="75"/>
      <c r="R302" s="144"/>
      <c r="S302" s="548"/>
    </row>
    <row r="303">
      <c r="A303" s="538" t="s">
        <v>3511</v>
      </c>
      <c r="C303" s="574"/>
      <c r="D303" s="574"/>
      <c r="E303" s="574"/>
      <c r="F303" s="575"/>
      <c r="G303" s="575"/>
      <c r="H303" s="576"/>
      <c r="M303" s="122"/>
      <c r="N303" s="75"/>
      <c r="P303" s="75"/>
      <c r="R303" s="144"/>
      <c r="S303" s="548"/>
    </row>
    <row r="304">
      <c r="A304" s="538" t="s">
        <v>3511</v>
      </c>
      <c r="C304" s="574"/>
      <c r="D304" s="574"/>
      <c r="E304" s="574"/>
      <c r="F304" s="575"/>
      <c r="G304" s="575"/>
      <c r="H304" s="576"/>
      <c r="M304" s="122"/>
      <c r="N304" s="75"/>
      <c r="P304" s="75"/>
      <c r="R304" s="144"/>
      <c r="S304" s="548"/>
    </row>
    <row r="305">
      <c r="A305" s="538" t="s">
        <v>3511</v>
      </c>
      <c r="C305" s="574"/>
      <c r="D305" s="574"/>
      <c r="E305" s="574"/>
      <c r="F305" s="575"/>
      <c r="G305" s="575"/>
      <c r="H305" s="576"/>
      <c r="M305" s="122"/>
      <c r="N305" s="75"/>
      <c r="P305" s="75"/>
      <c r="R305" s="144"/>
      <c r="S305" s="548"/>
    </row>
    <row r="306">
      <c r="A306" s="538" t="s">
        <v>3511</v>
      </c>
      <c r="C306" s="574"/>
      <c r="D306" s="574"/>
      <c r="E306" s="574"/>
      <c r="F306" s="575"/>
      <c r="G306" s="575"/>
      <c r="H306" s="576"/>
      <c r="M306" s="122"/>
      <c r="N306" s="75"/>
      <c r="P306" s="75"/>
      <c r="R306" s="144"/>
      <c r="S306" s="548"/>
    </row>
    <row r="307">
      <c r="A307" s="538" t="s">
        <v>3511</v>
      </c>
      <c r="C307" s="574"/>
      <c r="D307" s="574"/>
      <c r="E307" s="574"/>
      <c r="F307" s="575"/>
      <c r="G307" s="575"/>
      <c r="H307" s="576"/>
      <c r="M307" s="122"/>
      <c r="N307" s="75"/>
      <c r="P307" s="75"/>
      <c r="R307" s="144"/>
      <c r="S307" s="548"/>
    </row>
    <row r="308">
      <c r="A308" s="538" t="s">
        <v>3511</v>
      </c>
      <c r="C308" s="574"/>
      <c r="D308" s="574"/>
      <c r="E308" s="574"/>
      <c r="F308" s="575"/>
      <c r="G308" s="575"/>
      <c r="H308" s="576"/>
      <c r="M308" s="122"/>
      <c r="N308" s="75"/>
      <c r="P308" s="75"/>
      <c r="R308" s="144"/>
      <c r="S308" s="548"/>
    </row>
    <row r="309">
      <c r="A309" s="538" t="s">
        <v>3511</v>
      </c>
      <c r="C309" s="574"/>
      <c r="D309" s="574"/>
      <c r="E309" s="574"/>
      <c r="F309" s="575"/>
      <c r="G309" s="575"/>
      <c r="H309" s="576"/>
      <c r="M309" s="122"/>
      <c r="N309" s="75"/>
      <c r="P309" s="75"/>
      <c r="R309" s="144"/>
      <c r="S309" s="548"/>
    </row>
    <row r="310">
      <c r="A310" s="538" t="s">
        <v>3511</v>
      </c>
      <c r="C310" s="574"/>
      <c r="D310" s="574"/>
      <c r="E310" s="574"/>
      <c r="F310" s="575"/>
      <c r="G310" s="575"/>
      <c r="H310" s="576"/>
      <c r="M310" s="122"/>
      <c r="N310" s="75"/>
      <c r="P310" s="75"/>
      <c r="R310" s="144"/>
      <c r="S310" s="548"/>
    </row>
    <row r="311">
      <c r="A311" s="538" t="s">
        <v>3511</v>
      </c>
      <c r="C311" s="574"/>
      <c r="D311" s="574"/>
      <c r="E311" s="574"/>
      <c r="F311" s="575"/>
      <c r="G311" s="575"/>
      <c r="H311" s="576"/>
      <c r="M311" s="122"/>
      <c r="N311" s="75"/>
      <c r="P311" s="75"/>
      <c r="R311" s="144"/>
      <c r="S311" s="548"/>
    </row>
    <row r="312">
      <c r="A312" s="538" t="s">
        <v>3511</v>
      </c>
      <c r="C312" s="574"/>
      <c r="D312" s="574"/>
      <c r="E312" s="574"/>
      <c r="F312" s="575"/>
      <c r="G312" s="575"/>
      <c r="H312" s="576"/>
      <c r="M312" s="122"/>
      <c r="N312" s="75"/>
      <c r="P312" s="75"/>
      <c r="R312" s="144"/>
      <c r="S312" s="548"/>
    </row>
    <row r="313">
      <c r="A313" s="538" t="s">
        <v>3511</v>
      </c>
      <c r="C313" s="574"/>
      <c r="D313" s="574"/>
      <c r="E313" s="574"/>
      <c r="F313" s="575"/>
      <c r="G313" s="575"/>
      <c r="H313" s="576"/>
      <c r="M313" s="122"/>
      <c r="N313" s="75"/>
      <c r="P313" s="75"/>
      <c r="R313" s="144"/>
      <c r="S313" s="548"/>
    </row>
    <row r="314">
      <c r="A314" s="538" t="s">
        <v>3511</v>
      </c>
      <c r="C314" s="574"/>
      <c r="D314" s="574"/>
      <c r="E314" s="574"/>
      <c r="F314" s="575"/>
      <c r="G314" s="575"/>
      <c r="H314" s="576"/>
      <c r="M314" s="122"/>
      <c r="N314" s="75"/>
      <c r="P314" s="75"/>
      <c r="R314" s="144"/>
      <c r="S314" s="548"/>
    </row>
    <row r="315">
      <c r="A315" s="538" t="s">
        <v>3511</v>
      </c>
      <c r="C315" s="574"/>
      <c r="D315" s="574"/>
      <c r="E315" s="574"/>
      <c r="F315" s="575"/>
      <c r="G315" s="575"/>
      <c r="H315" s="576"/>
      <c r="M315" s="122"/>
      <c r="N315" s="75"/>
      <c r="P315" s="75"/>
      <c r="R315" s="144"/>
      <c r="S315" s="548"/>
    </row>
    <row r="316">
      <c r="A316" s="538" t="s">
        <v>3511</v>
      </c>
      <c r="C316" s="574"/>
      <c r="D316" s="574"/>
      <c r="E316" s="574"/>
      <c r="F316" s="575"/>
      <c r="G316" s="575"/>
      <c r="H316" s="576"/>
      <c r="M316" s="122"/>
      <c r="N316" s="75"/>
      <c r="P316" s="75"/>
      <c r="R316" s="144"/>
      <c r="S316" s="548"/>
    </row>
    <row r="317">
      <c r="A317" s="538" t="s">
        <v>3511</v>
      </c>
      <c r="C317" s="574"/>
      <c r="D317" s="574"/>
      <c r="E317" s="574"/>
      <c r="F317" s="575"/>
      <c r="G317" s="575"/>
      <c r="H317" s="576"/>
      <c r="M317" s="122"/>
      <c r="N317" s="75"/>
      <c r="P317" s="75"/>
      <c r="R317" s="144"/>
      <c r="S317" s="548"/>
    </row>
    <row r="318">
      <c r="A318" s="538" t="s">
        <v>3511</v>
      </c>
      <c r="C318" s="574"/>
      <c r="D318" s="574"/>
      <c r="E318" s="574"/>
      <c r="F318" s="575"/>
      <c r="G318" s="575"/>
      <c r="H318" s="576"/>
      <c r="M318" s="122"/>
      <c r="N318" s="75"/>
      <c r="P318" s="75"/>
      <c r="R318" s="144"/>
      <c r="S318" s="548"/>
    </row>
    <row r="319">
      <c r="A319" s="538" t="s">
        <v>3511</v>
      </c>
      <c r="C319" s="574"/>
      <c r="D319" s="574"/>
      <c r="E319" s="574"/>
      <c r="F319" s="575"/>
      <c r="G319" s="575"/>
      <c r="H319" s="576"/>
      <c r="M319" s="122"/>
      <c r="N319" s="75"/>
      <c r="P319" s="75"/>
      <c r="R319" s="144"/>
      <c r="S319" s="548"/>
    </row>
    <row r="320">
      <c r="A320" s="538" t="s">
        <v>3511</v>
      </c>
      <c r="C320" s="574"/>
      <c r="D320" s="574"/>
      <c r="E320" s="574"/>
      <c r="F320" s="575"/>
      <c r="G320" s="575"/>
      <c r="H320" s="576"/>
      <c r="M320" s="122"/>
      <c r="N320" s="75"/>
      <c r="P320" s="75"/>
      <c r="R320" s="144"/>
      <c r="S320" s="548"/>
    </row>
    <row r="321">
      <c r="A321" s="538" t="s">
        <v>3511</v>
      </c>
      <c r="C321" s="574"/>
      <c r="D321" s="574"/>
      <c r="E321" s="574"/>
      <c r="F321" s="575"/>
      <c r="G321" s="575"/>
      <c r="H321" s="576"/>
      <c r="M321" s="122"/>
      <c r="N321" s="75"/>
      <c r="P321" s="75"/>
      <c r="R321" s="144"/>
      <c r="S321" s="548"/>
    </row>
    <row r="322">
      <c r="A322" s="538" t="s">
        <v>3511</v>
      </c>
      <c r="C322" s="574"/>
      <c r="D322" s="574"/>
      <c r="E322" s="574"/>
      <c r="F322" s="575"/>
      <c r="G322" s="575"/>
      <c r="H322" s="576"/>
      <c r="M322" s="122"/>
      <c r="N322" s="75"/>
      <c r="P322" s="75"/>
      <c r="R322" s="144"/>
      <c r="S322" s="548"/>
    </row>
    <row r="323">
      <c r="A323" s="538" t="s">
        <v>3511</v>
      </c>
      <c r="C323" s="574"/>
      <c r="D323" s="574"/>
      <c r="E323" s="574"/>
      <c r="F323" s="575"/>
      <c r="G323" s="575"/>
      <c r="H323" s="576"/>
      <c r="M323" s="122"/>
      <c r="N323" s="75"/>
      <c r="P323" s="75"/>
      <c r="R323" s="144"/>
      <c r="S323" s="548"/>
    </row>
    <row r="324">
      <c r="A324" s="538" t="s">
        <v>3511</v>
      </c>
      <c r="C324" s="574"/>
      <c r="D324" s="574"/>
      <c r="E324" s="574"/>
      <c r="F324" s="575"/>
      <c r="G324" s="575"/>
      <c r="H324" s="576"/>
      <c r="M324" s="122"/>
      <c r="N324" s="75"/>
      <c r="P324" s="75"/>
      <c r="R324" s="144"/>
      <c r="S324" s="548"/>
    </row>
    <row r="325">
      <c r="A325" s="538" t="s">
        <v>3511</v>
      </c>
      <c r="C325" s="574"/>
      <c r="D325" s="574"/>
      <c r="E325" s="574"/>
      <c r="F325" s="575"/>
      <c r="G325" s="575"/>
      <c r="H325" s="576"/>
      <c r="M325" s="122"/>
      <c r="N325" s="75"/>
      <c r="P325" s="75"/>
      <c r="R325" s="144"/>
      <c r="S325" s="548"/>
    </row>
    <row r="326">
      <c r="A326" s="538" t="s">
        <v>3511</v>
      </c>
      <c r="C326" s="574"/>
      <c r="D326" s="574"/>
      <c r="E326" s="574"/>
      <c r="F326" s="575"/>
      <c r="G326" s="575"/>
      <c r="H326" s="576"/>
      <c r="M326" s="122"/>
      <c r="N326" s="75"/>
      <c r="P326" s="75"/>
      <c r="R326" s="144"/>
      <c r="S326" s="548"/>
    </row>
    <row r="327">
      <c r="A327" s="538" t="s">
        <v>3511</v>
      </c>
      <c r="C327" s="574"/>
      <c r="D327" s="574"/>
      <c r="E327" s="574"/>
      <c r="F327" s="575"/>
      <c r="G327" s="575"/>
      <c r="H327" s="576"/>
      <c r="M327" s="122"/>
      <c r="N327" s="75"/>
      <c r="P327" s="75"/>
      <c r="R327" s="144"/>
      <c r="S327" s="548"/>
    </row>
    <row r="328">
      <c r="A328" s="538" t="s">
        <v>3511</v>
      </c>
      <c r="C328" s="574"/>
      <c r="D328" s="574"/>
      <c r="E328" s="574"/>
      <c r="F328" s="575"/>
      <c r="G328" s="575"/>
      <c r="H328" s="576"/>
      <c r="M328" s="122"/>
      <c r="N328" s="75"/>
      <c r="P328" s="75"/>
      <c r="R328" s="144"/>
      <c r="S328" s="548"/>
    </row>
    <row r="329">
      <c r="A329" s="538" t="s">
        <v>3511</v>
      </c>
      <c r="C329" s="574"/>
      <c r="D329" s="574"/>
      <c r="E329" s="574"/>
      <c r="F329" s="575"/>
      <c r="G329" s="575"/>
      <c r="H329" s="576"/>
      <c r="M329" s="122"/>
      <c r="N329" s="75"/>
      <c r="P329" s="75"/>
      <c r="R329" s="144"/>
      <c r="S329" s="548"/>
    </row>
    <row r="330">
      <c r="A330" s="538" t="s">
        <v>3511</v>
      </c>
      <c r="C330" s="574"/>
      <c r="D330" s="574"/>
      <c r="E330" s="574"/>
      <c r="F330" s="575"/>
      <c r="G330" s="575"/>
      <c r="H330" s="576"/>
      <c r="M330" s="122"/>
      <c r="N330" s="75"/>
      <c r="P330" s="75"/>
      <c r="R330" s="144"/>
      <c r="S330" s="548"/>
    </row>
    <row r="331">
      <c r="A331" s="538" t="s">
        <v>3511</v>
      </c>
      <c r="C331" s="574"/>
      <c r="D331" s="574"/>
      <c r="E331" s="574"/>
      <c r="F331" s="575"/>
      <c r="G331" s="575"/>
      <c r="H331" s="576"/>
      <c r="M331" s="122"/>
      <c r="N331" s="75"/>
      <c r="P331" s="75"/>
      <c r="R331" s="144"/>
      <c r="S331" s="548"/>
    </row>
    <row r="332">
      <c r="A332" s="538" t="s">
        <v>3511</v>
      </c>
      <c r="C332" s="574"/>
      <c r="D332" s="574"/>
      <c r="E332" s="574"/>
      <c r="F332" s="575"/>
      <c r="G332" s="575"/>
      <c r="H332" s="576"/>
      <c r="M332" s="122"/>
      <c r="N332" s="75"/>
      <c r="P332" s="75"/>
      <c r="R332" s="144"/>
      <c r="S332" s="548"/>
    </row>
    <row r="333">
      <c r="A333" s="538" t="s">
        <v>3511</v>
      </c>
      <c r="C333" s="574"/>
      <c r="D333" s="574"/>
      <c r="E333" s="574"/>
      <c r="F333" s="575"/>
      <c r="G333" s="575"/>
      <c r="H333" s="576"/>
      <c r="M333" s="122"/>
      <c r="N333" s="75"/>
      <c r="P333" s="75"/>
      <c r="R333" s="144"/>
      <c r="S333" s="548"/>
    </row>
    <row r="334">
      <c r="A334" s="538" t="s">
        <v>3511</v>
      </c>
      <c r="C334" s="574"/>
      <c r="D334" s="574"/>
      <c r="E334" s="574"/>
      <c r="F334" s="575"/>
      <c r="G334" s="575"/>
      <c r="H334" s="576"/>
      <c r="M334" s="122"/>
      <c r="N334" s="75"/>
      <c r="P334" s="75"/>
      <c r="R334" s="144"/>
      <c r="S334" s="548"/>
    </row>
    <row r="335">
      <c r="A335" s="538" t="s">
        <v>3511</v>
      </c>
      <c r="C335" s="574"/>
      <c r="D335" s="574"/>
      <c r="E335" s="574"/>
      <c r="F335" s="575"/>
      <c r="G335" s="575"/>
      <c r="H335" s="576"/>
      <c r="M335" s="122"/>
      <c r="N335" s="75"/>
      <c r="P335" s="75"/>
      <c r="R335" s="144"/>
      <c r="S335" s="548"/>
    </row>
    <row r="336">
      <c r="A336" s="538" t="s">
        <v>3511</v>
      </c>
      <c r="C336" s="574"/>
      <c r="D336" s="574"/>
      <c r="E336" s="574"/>
      <c r="F336" s="575"/>
      <c r="G336" s="575"/>
      <c r="H336" s="576"/>
      <c r="M336" s="122"/>
      <c r="N336" s="75"/>
      <c r="P336" s="75"/>
      <c r="R336" s="144"/>
      <c r="S336" s="548"/>
    </row>
    <row r="337">
      <c r="A337" s="538" t="s">
        <v>3511</v>
      </c>
      <c r="C337" s="574"/>
      <c r="D337" s="574"/>
      <c r="E337" s="574"/>
      <c r="F337" s="575"/>
      <c r="G337" s="575"/>
      <c r="H337" s="576"/>
      <c r="M337" s="122"/>
      <c r="N337" s="75"/>
      <c r="P337" s="75"/>
      <c r="R337" s="144"/>
      <c r="S337" s="548"/>
    </row>
    <row r="338">
      <c r="A338" s="538" t="s">
        <v>3511</v>
      </c>
      <c r="C338" s="574"/>
      <c r="D338" s="574"/>
      <c r="E338" s="574"/>
      <c r="F338" s="575"/>
      <c r="G338" s="575"/>
      <c r="H338" s="576"/>
      <c r="M338" s="122"/>
      <c r="N338" s="75"/>
      <c r="P338" s="75"/>
      <c r="R338" s="144"/>
      <c r="S338" s="548"/>
    </row>
    <row r="339">
      <c r="A339" s="538" t="s">
        <v>3511</v>
      </c>
      <c r="C339" s="574"/>
      <c r="D339" s="574"/>
      <c r="E339" s="574"/>
      <c r="F339" s="575"/>
      <c r="G339" s="575"/>
      <c r="H339" s="576"/>
      <c r="M339" s="122"/>
      <c r="N339" s="75"/>
      <c r="P339" s="75"/>
      <c r="R339" s="144"/>
      <c r="S339" s="548"/>
    </row>
    <row r="340">
      <c r="A340" s="538" t="s">
        <v>3511</v>
      </c>
      <c r="C340" s="574"/>
      <c r="D340" s="574"/>
      <c r="E340" s="574"/>
      <c r="F340" s="575"/>
      <c r="G340" s="575"/>
      <c r="H340" s="576"/>
      <c r="M340" s="122"/>
      <c r="N340" s="75"/>
      <c r="P340" s="75"/>
      <c r="R340" s="144"/>
      <c r="S340" s="548"/>
    </row>
    <row r="341">
      <c r="A341" s="538" t="s">
        <v>3511</v>
      </c>
      <c r="C341" s="574"/>
      <c r="D341" s="574"/>
      <c r="E341" s="574"/>
      <c r="F341" s="575"/>
      <c r="G341" s="575"/>
      <c r="H341" s="576"/>
      <c r="M341" s="122"/>
      <c r="N341" s="75"/>
      <c r="P341" s="75"/>
      <c r="R341" s="144"/>
      <c r="S341" s="548"/>
    </row>
    <row r="342">
      <c r="A342" s="538" t="s">
        <v>3511</v>
      </c>
      <c r="C342" s="574"/>
      <c r="D342" s="574"/>
      <c r="E342" s="574"/>
      <c r="F342" s="575"/>
      <c r="G342" s="575"/>
      <c r="H342" s="576"/>
      <c r="M342" s="122"/>
      <c r="N342" s="75"/>
      <c r="P342" s="75"/>
      <c r="R342" s="144"/>
      <c r="S342" s="548"/>
    </row>
    <row r="343">
      <c r="A343" s="538" t="s">
        <v>3511</v>
      </c>
      <c r="C343" s="574"/>
      <c r="D343" s="574"/>
      <c r="E343" s="574"/>
      <c r="F343" s="575"/>
      <c r="G343" s="575"/>
      <c r="H343" s="576"/>
      <c r="M343" s="122"/>
      <c r="N343" s="75"/>
      <c r="P343" s="75"/>
      <c r="R343" s="144"/>
      <c r="S343" s="548"/>
    </row>
    <row r="344">
      <c r="A344" s="538" t="s">
        <v>3511</v>
      </c>
      <c r="C344" s="574"/>
      <c r="D344" s="574"/>
      <c r="E344" s="574"/>
      <c r="F344" s="575"/>
      <c r="G344" s="575"/>
      <c r="H344" s="576"/>
      <c r="M344" s="122"/>
      <c r="N344" s="75"/>
      <c r="P344" s="75"/>
      <c r="R344" s="144"/>
      <c r="S344" s="548"/>
    </row>
    <row r="345">
      <c r="A345" s="538" t="s">
        <v>3511</v>
      </c>
      <c r="C345" s="574"/>
      <c r="D345" s="574"/>
      <c r="E345" s="574"/>
      <c r="F345" s="575"/>
      <c r="G345" s="575"/>
      <c r="H345" s="576"/>
      <c r="M345" s="122"/>
      <c r="N345" s="75"/>
      <c r="P345" s="75"/>
      <c r="R345" s="144"/>
      <c r="S345" s="548"/>
    </row>
    <row r="346">
      <c r="A346" s="538" t="s">
        <v>3511</v>
      </c>
      <c r="C346" s="574"/>
      <c r="D346" s="574"/>
      <c r="E346" s="574"/>
      <c r="F346" s="575"/>
      <c r="G346" s="575"/>
      <c r="H346" s="576"/>
      <c r="M346" s="122"/>
      <c r="N346" s="75"/>
      <c r="P346" s="75"/>
      <c r="R346" s="144"/>
      <c r="S346" s="548"/>
    </row>
    <row r="347">
      <c r="A347" s="538" t="s">
        <v>3511</v>
      </c>
      <c r="C347" s="574"/>
      <c r="D347" s="574"/>
      <c r="E347" s="574"/>
      <c r="F347" s="575"/>
      <c r="G347" s="575"/>
      <c r="H347" s="576"/>
      <c r="M347" s="122"/>
      <c r="N347" s="75"/>
      <c r="P347" s="75"/>
      <c r="R347" s="144"/>
      <c r="S347" s="548"/>
    </row>
    <row r="348">
      <c r="A348" s="538" t="s">
        <v>3511</v>
      </c>
      <c r="C348" s="574"/>
      <c r="D348" s="574"/>
      <c r="E348" s="574"/>
      <c r="F348" s="575"/>
      <c r="G348" s="575"/>
      <c r="H348" s="576"/>
      <c r="M348" s="122"/>
      <c r="N348" s="75"/>
      <c r="P348" s="75"/>
      <c r="R348" s="144"/>
      <c r="S348" s="548"/>
    </row>
    <row r="349">
      <c r="A349" s="538" t="s">
        <v>3511</v>
      </c>
      <c r="C349" s="574"/>
      <c r="D349" s="574"/>
      <c r="E349" s="574"/>
      <c r="F349" s="575"/>
      <c r="G349" s="575"/>
      <c r="H349" s="576"/>
      <c r="M349" s="122"/>
      <c r="N349" s="75"/>
      <c r="P349" s="75"/>
      <c r="R349" s="144"/>
      <c r="S349" s="548"/>
    </row>
    <row r="350">
      <c r="A350" s="538" t="s">
        <v>3511</v>
      </c>
      <c r="C350" s="574"/>
      <c r="D350" s="574"/>
      <c r="E350" s="574"/>
      <c r="F350" s="575"/>
      <c r="G350" s="575"/>
      <c r="H350" s="576"/>
      <c r="M350" s="122"/>
      <c r="N350" s="75"/>
      <c r="P350" s="75"/>
      <c r="R350" s="144"/>
      <c r="S350" s="548"/>
    </row>
    <row r="351">
      <c r="A351" s="538" t="s">
        <v>3511</v>
      </c>
      <c r="C351" s="574"/>
      <c r="D351" s="574"/>
      <c r="E351" s="574"/>
      <c r="F351" s="575"/>
      <c r="G351" s="575"/>
      <c r="H351" s="576"/>
      <c r="M351" s="122"/>
      <c r="N351" s="75"/>
      <c r="P351" s="75"/>
      <c r="R351" s="144"/>
      <c r="S351" s="548"/>
    </row>
    <row r="352">
      <c r="A352" s="538" t="s">
        <v>3511</v>
      </c>
      <c r="C352" s="574"/>
      <c r="D352" s="574"/>
      <c r="E352" s="574"/>
      <c r="F352" s="575"/>
      <c r="G352" s="575"/>
      <c r="H352" s="576"/>
      <c r="M352" s="122"/>
      <c r="N352" s="75"/>
      <c r="P352" s="75"/>
      <c r="R352" s="144"/>
      <c r="S352" s="548"/>
    </row>
    <row r="353">
      <c r="A353" s="538" t="s">
        <v>3511</v>
      </c>
      <c r="C353" s="574"/>
      <c r="D353" s="574"/>
      <c r="E353" s="574"/>
      <c r="F353" s="575"/>
      <c r="G353" s="575"/>
      <c r="H353" s="576"/>
      <c r="M353" s="122"/>
      <c r="N353" s="75"/>
      <c r="P353" s="75"/>
      <c r="R353" s="144"/>
      <c r="S353" s="548"/>
    </row>
    <row r="354">
      <c r="A354" s="538" t="s">
        <v>3511</v>
      </c>
      <c r="C354" s="574"/>
      <c r="D354" s="574"/>
      <c r="E354" s="574"/>
      <c r="F354" s="575"/>
      <c r="G354" s="575"/>
      <c r="H354" s="576"/>
      <c r="M354" s="122"/>
      <c r="N354" s="75"/>
      <c r="P354" s="75"/>
      <c r="R354" s="144"/>
      <c r="S354" s="548"/>
    </row>
    <row r="355">
      <c r="A355" s="538" t="s">
        <v>3511</v>
      </c>
      <c r="C355" s="574"/>
      <c r="D355" s="574"/>
      <c r="E355" s="574"/>
      <c r="F355" s="575"/>
      <c r="G355" s="575"/>
      <c r="H355" s="576"/>
      <c r="M355" s="122"/>
      <c r="N355" s="75"/>
      <c r="P355" s="75"/>
      <c r="R355" s="144"/>
      <c r="S355" s="548"/>
    </row>
    <row r="356">
      <c r="A356" s="538" t="s">
        <v>3511</v>
      </c>
      <c r="C356" s="574"/>
      <c r="D356" s="574"/>
      <c r="E356" s="574"/>
      <c r="F356" s="575"/>
      <c r="G356" s="575"/>
      <c r="H356" s="576"/>
      <c r="M356" s="122"/>
      <c r="N356" s="75"/>
      <c r="P356" s="75"/>
      <c r="R356" s="144"/>
      <c r="S356" s="548"/>
    </row>
    <row r="357">
      <c r="A357" s="538" t="s">
        <v>3511</v>
      </c>
      <c r="C357" s="574"/>
      <c r="D357" s="574"/>
      <c r="E357" s="574"/>
      <c r="F357" s="575"/>
      <c r="G357" s="575"/>
      <c r="H357" s="576"/>
      <c r="M357" s="122"/>
      <c r="N357" s="75"/>
      <c r="P357" s="75"/>
      <c r="R357" s="144"/>
      <c r="S357" s="548"/>
    </row>
    <row r="358">
      <c r="A358" s="538" t="s">
        <v>3511</v>
      </c>
      <c r="C358" s="574"/>
      <c r="D358" s="574"/>
      <c r="E358" s="574"/>
      <c r="F358" s="575"/>
      <c r="G358" s="575"/>
      <c r="H358" s="576"/>
      <c r="M358" s="122"/>
      <c r="N358" s="75"/>
      <c r="P358" s="75"/>
      <c r="R358" s="144"/>
      <c r="S358" s="548"/>
    </row>
    <row r="359">
      <c r="A359" s="538" t="s">
        <v>3511</v>
      </c>
      <c r="C359" s="574"/>
      <c r="D359" s="574"/>
      <c r="E359" s="574"/>
      <c r="F359" s="575"/>
      <c r="G359" s="575"/>
      <c r="H359" s="576"/>
      <c r="M359" s="122"/>
      <c r="N359" s="75"/>
      <c r="P359" s="75"/>
      <c r="R359" s="144"/>
      <c r="S359" s="548"/>
    </row>
    <row r="360">
      <c r="A360" s="538" t="s">
        <v>3511</v>
      </c>
      <c r="C360" s="574"/>
      <c r="D360" s="574"/>
      <c r="E360" s="574"/>
      <c r="F360" s="575"/>
      <c r="G360" s="575"/>
      <c r="H360" s="576"/>
      <c r="M360" s="122"/>
      <c r="N360" s="75"/>
      <c r="P360" s="75"/>
      <c r="R360" s="144"/>
      <c r="S360" s="548"/>
    </row>
    <row r="361">
      <c r="A361" s="538" t="s">
        <v>3511</v>
      </c>
      <c r="C361" s="574"/>
      <c r="D361" s="574"/>
      <c r="E361" s="574"/>
      <c r="F361" s="575"/>
      <c r="G361" s="575"/>
      <c r="H361" s="576"/>
      <c r="M361" s="122"/>
      <c r="N361" s="75"/>
      <c r="P361" s="75"/>
      <c r="R361" s="144"/>
      <c r="S361" s="548"/>
    </row>
    <row r="362">
      <c r="A362" s="538" t="s">
        <v>3511</v>
      </c>
      <c r="C362" s="574"/>
      <c r="D362" s="574"/>
      <c r="E362" s="574"/>
      <c r="F362" s="575"/>
      <c r="G362" s="575"/>
      <c r="H362" s="576"/>
      <c r="M362" s="122"/>
      <c r="N362" s="75"/>
      <c r="P362" s="75"/>
      <c r="R362" s="144"/>
      <c r="S362" s="548"/>
    </row>
    <row r="363">
      <c r="A363" s="538" t="s">
        <v>3511</v>
      </c>
      <c r="C363" s="574"/>
      <c r="D363" s="574"/>
      <c r="E363" s="574"/>
      <c r="F363" s="575"/>
      <c r="G363" s="575"/>
      <c r="H363" s="576"/>
      <c r="M363" s="122"/>
      <c r="N363" s="75"/>
      <c r="P363" s="75"/>
      <c r="R363" s="144"/>
      <c r="S363" s="548"/>
    </row>
    <row r="364">
      <c r="A364" s="538" t="s">
        <v>3511</v>
      </c>
      <c r="C364" s="574"/>
      <c r="D364" s="574"/>
      <c r="E364" s="574"/>
      <c r="F364" s="575"/>
      <c r="G364" s="575"/>
      <c r="H364" s="576"/>
      <c r="M364" s="122"/>
      <c r="N364" s="75"/>
      <c r="P364" s="75"/>
      <c r="R364" s="144"/>
      <c r="S364" s="548"/>
    </row>
    <row r="365">
      <c r="A365" s="538" t="s">
        <v>3511</v>
      </c>
      <c r="C365" s="574"/>
      <c r="D365" s="574"/>
      <c r="E365" s="574"/>
      <c r="F365" s="575"/>
      <c r="G365" s="575"/>
      <c r="H365" s="576"/>
      <c r="M365" s="122"/>
      <c r="N365" s="75"/>
      <c r="P365" s="75"/>
      <c r="R365" s="144"/>
      <c r="S365" s="548"/>
    </row>
    <row r="366">
      <c r="A366" s="538" t="s">
        <v>3511</v>
      </c>
      <c r="C366" s="574"/>
      <c r="D366" s="574"/>
      <c r="E366" s="574"/>
      <c r="F366" s="575"/>
      <c r="G366" s="575"/>
      <c r="H366" s="576"/>
      <c r="M366" s="122"/>
      <c r="N366" s="75"/>
      <c r="P366" s="75"/>
      <c r="R366" s="144"/>
      <c r="S366" s="548"/>
    </row>
    <row r="367">
      <c r="A367" s="538" t="s">
        <v>3511</v>
      </c>
      <c r="C367" s="574"/>
      <c r="D367" s="574"/>
      <c r="E367" s="574"/>
      <c r="F367" s="575"/>
      <c r="G367" s="575"/>
      <c r="H367" s="576"/>
      <c r="M367" s="122"/>
      <c r="N367" s="75"/>
      <c r="P367" s="75"/>
      <c r="R367" s="144"/>
      <c r="S367" s="548"/>
    </row>
    <row r="368">
      <c r="A368" s="538" t="s">
        <v>3511</v>
      </c>
      <c r="C368" s="574"/>
      <c r="D368" s="574"/>
      <c r="E368" s="574"/>
      <c r="F368" s="575"/>
      <c r="G368" s="575"/>
      <c r="H368" s="576"/>
      <c r="M368" s="122"/>
      <c r="N368" s="75"/>
      <c r="P368" s="75"/>
      <c r="R368" s="144"/>
      <c r="S368" s="548"/>
    </row>
    <row r="369">
      <c r="A369" s="538" t="s">
        <v>3511</v>
      </c>
      <c r="C369" s="574"/>
      <c r="D369" s="574"/>
      <c r="E369" s="574"/>
      <c r="F369" s="575"/>
      <c r="G369" s="575"/>
      <c r="H369" s="576"/>
      <c r="M369" s="122"/>
      <c r="N369" s="75"/>
      <c r="P369" s="75"/>
      <c r="R369" s="144"/>
      <c r="S369" s="548"/>
    </row>
    <row r="370">
      <c r="A370" s="538" t="s">
        <v>3511</v>
      </c>
      <c r="C370" s="574"/>
      <c r="D370" s="574"/>
      <c r="E370" s="574"/>
      <c r="F370" s="575"/>
      <c r="G370" s="575"/>
      <c r="H370" s="576"/>
      <c r="M370" s="122"/>
      <c r="N370" s="75"/>
      <c r="P370" s="75"/>
      <c r="R370" s="144"/>
      <c r="S370" s="548"/>
    </row>
    <row r="371">
      <c r="A371" s="538" t="s">
        <v>3511</v>
      </c>
      <c r="C371" s="574"/>
      <c r="D371" s="574"/>
      <c r="E371" s="574"/>
      <c r="F371" s="575"/>
      <c r="G371" s="575"/>
      <c r="H371" s="576"/>
      <c r="M371" s="122"/>
      <c r="N371" s="75"/>
      <c r="P371" s="75"/>
      <c r="R371" s="144"/>
      <c r="S371" s="548"/>
    </row>
    <row r="372">
      <c r="A372" s="538" t="s">
        <v>3511</v>
      </c>
      <c r="C372" s="574"/>
      <c r="D372" s="574"/>
      <c r="E372" s="574"/>
      <c r="F372" s="575"/>
      <c r="G372" s="575"/>
      <c r="H372" s="576"/>
      <c r="M372" s="122"/>
      <c r="N372" s="75"/>
      <c r="P372" s="75"/>
      <c r="R372" s="144"/>
      <c r="S372" s="548"/>
    </row>
    <row r="373">
      <c r="A373" s="538" t="s">
        <v>3511</v>
      </c>
      <c r="C373" s="574"/>
      <c r="D373" s="574"/>
      <c r="E373" s="574"/>
      <c r="F373" s="575"/>
      <c r="G373" s="575"/>
      <c r="H373" s="576"/>
      <c r="M373" s="122"/>
      <c r="N373" s="75"/>
      <c r="P373" s="75"/>
      <c r="R373" s="144"/>
      <c r="S373" s="548"/>
    </row>
    <row r="374">
      <c r="A374" s="538" t="s">
        <v>3511</v>
      </c>
      <c r="C374" s="574"/>
      <c r="D374" s="574"/>
      <c r="E374" s="574"/>
      <c r="F374" s="575"/>
      <c r="G374" s="575"/>
      <c r="H374" s="576"/>
      <c r="M374" s="122"/>
      <c r="N374" s="75"/>
      <c r="P374" s="75"/>
      <c r="R374" s="144"/>
      <c r="S374" s="548"/>
    </row>
    <row r="375">
      <c r="A375" s="538" t="s">
        <v>3511</v>
      </c>
      <c r="C375" s="574"/>
      <c r="D375" s="574"/>
      <c r="E375" s="574"/>
      <c r="F375" s="575"/>
      <c r="G375" s="575"/>
      <c r="H375" s="576"/>
      <c r="M375" s="122"/>
      <c r="N375" s="75"/>
      <c r="P375" s="75"/>
      <c r="R375" s="144"/>
      <c r="S375" s="548"/>
    </row>
    <row r="376">
      <c r="A376" s="538" t="s">
        <v>3511</v>
      </c>
      <c r="C376" s="574"/>
      <c r="D376" s="574"/>
      <c r="E376" s="574"/>
      <c r="F376" s="575"/>
      <c r="G376" s="575"/>
      <c r="H376" s="576"/>
      <c r="M376" s="122"/>
      <c r="N376" s="75"/>
      <c r="P376" s="75"/>
      <c r="R376" s="144"/>
      <c r="S376" s="548"/>
    </row>
    <row r="377">
      <c r="A377" s="538" t="s">
        <v>3511</v>
      </c>
      <c r="C377" s="574"/>
      <c r="D377" s="574"/>
      <c r="E377" s="574"/>
      <c r="F377" s="575"/>
      <c r="G377" s="575"/>
      <c r="H377" s="576"/>
      <c r="M377" s="122"/>
      <c r="N377" s="75"/>
      <c r="P377" s="75"/>
      <c r="R377" s="144"/>
      <c r="S377" s="548"/>
    </row>
    <row r="378">
      <c r="A378" s="538" t="s">
        <v>3511</v>
      </c>
      <c r="C378" s="574"/>
      <c r="D378" s="574"/>
      <c r="E378" s="574"/>
      <c r="F378" s="575"/>
      <c r="G378" s="575"/>
      <c r="H378" s="576"/>
      <c r="M378" s="122"/>
      <c r="N378" s="75"/>
      <c r="P378" s="75"/>
      <c r="R378" s="144"/>
      <c r="S378" s="548"/>
    </row>
    <row r="379">
      <c r="A379" s="538" t="s">
        <v>3511</v>
      </c>
      <c r="C379" s="574"/>
      <c r="D379" s="574"/>
      <c r="E379" s="574"/>
      <c r="F379" s="575"/>
      <c r="G379" s="575"/>
      <c r="H379" s="576"/>
      <c r="M379" s="122"/>
      <c r="N379" s="75"/>
      <c r="P379" s="75"/>
      <c r="R379" s="144"/>
      <c r="S379" s="548"/>
    </row>
    <row r="380">
      <c r="A380" s="538" t="s">
        <v>3511</v>
      </c>
      <c r="C380" s="574"/>
      <c r="D380" s="574"/>
      <c r="E380" s="574"/>
      <c r="F380" s="575"/>
      <c r="G380" s="575"/>
      <c r="H380" s="576"/>
      <c r="M380" s="122"/>
      <c r="N380" s="75"/>
      <c r="P380" s="75"/>
      <c r="R380" s="144"/>
      <c r="S380" s="548"/>
    </row>
    <row r="381">
      <c r="A381" s="538" t="s">
        <v>3511</v>
      </c>
      <c r="C381" s="574"/>
      <c r="D381" s="574"/>
      <c r="E381" s="574"/>
      <c r="F381" s="575"/>
      <c r="G381" s="575"/>
      <c r="H381" s="576"/>
      <c r="M381" s="122"/>
      <c r="N381" s="75"/>
      <c r="P381" s="75"/>
      <c r="R381" s="144"/>
      <c r="S381" s="548"/>
    </row>
    <row r="382">
      <c r="A382" s="538" t="s">
        <v>3511</v>
      </c>
      <c r="C382" s="574"/>
      <c r="D382" s="574"/>
      <c r="E382" s="574"/>
      <c r="F382" s="575"/>
      <c r="G382" s="575"/>
      <c r="H382" s="576"/>
      <c r="M382" s="122"/>
      <c r="N382" s="75"/>
      <c r="P382" s="75"/>
      <c r="R382" s="144"/>
      <c r="S382" s="548"/>
    </row>
    <row r="383">
      <c r="A383" s="538" t="s">
        <v>3511</v>
      </c>
      <c r="C383" s="574"/>
      <c r="D383" s="574"/>
      <c r="E383" s="574"/>
      <c r="F383" s="575"/>
      <c r="G383" s="575"/>
      <c r="H383" s="576"/>
      <c r="M383" s="122"/>
      <c r="N383" s="75"/>
      <c r="P383" s="75"/>
      <c r="R383" s="144"/>
      <c r="S383" s="548"/>
    </row>
    <row r="384">
      <c r="A384" s="538" t="s">
        <v>3511</v>
      </c>
      <c r="C384" s="574"/>
      <c r="D384" s="574"/>
      <c r="E384" s="574"/>
      <c r="F384" s="575"/>
      <c r="G384" s="575"/>
      <c r="H384" s="576"/>
      <c r="M384" s="122"/>
      <c r="N384" s="75"/>
      <c r="P384" s="75"/>
      <c r="R384" s="144"/>
      <c r="S384" s="548"/>
    </row>
    <row r="385">
      <c r="A385" s="538" t="s">
        <v>3511</v>
      </c>
      <c r="C385" s="574"/>
      <c r="D385" s="574"/>
      <c r="E385" s="574"/>
      <c r="F385" s="575"/>
      <c r="G385" s="575"/>
      <c r="H385" s="576"/>
      <c r="M385" s="122"/>
      <c r="N385" s="75"/>
      <c r="P385" s="75"/>
      <c r="R385" s="144"/>
      <c r="S385" s="548"/>
    </row>
    <row r="386">
      <c r="A386" s="538" t="s">
        <v>3511</v>
      </c>
      <c r="C386" s="574"/>
      <c r="D386" s="574"/>
      <c r="E386" s="574"/>
      <c r="F386" s="575"/>
      <c r="G386" s="575"/>
      <c r="H386" s="576"/>
      <c r="M386" s="122"/>
      <c r="N386" s="75"/>
      <c r="P386" s="75"/>
      <c r="R386" s="144"/>
      <c r="S386" s="548"/>
    </row>
    <row r="387">
      <c r="A387" s="538" t="s">
        <v>3511</v>
      </c>
      <c r="C387" s="574"/>
      <c r="D387" s="574"/>
      <c r="E387" s="574"/>
      <c r="F387" s="575"/>
      <c r="G387" s="575"/>
      <c r="H387" s="576"/>
      <c r="M387" s="122"/>
      <c r="N387" s="75"/>
      <c r="P387" s="75"/>
      <c r="R387" s="144"/>
      <c r="S387" s="548"/>
    </row>
    <row r="388">
      <c r="A388" s="538" t="s">
        <v>3511</v>
      </c>
      <c r="C388" s="574"/>
      <c r="D388" s="574"/>
      <c r="E388" s="574"/>
      <c r="F388" s="575"/>
      <c r="G388" s="575"/>
      <c r="H388" s="576"/>
      <c r="M388" s="122"/>
      <c r="N388" s="75"/>
      <c r="P388" s="75"/>
      <c r="R388" s="144"/>
      <c r="S388" s="548"/>
    </row>
    <row r="389">
      <c r="A389" s="538" t="s">
        <v>3511</v>
      </c>
      <c r="C389" s="574"/>
      <c r="D389" s="574"/>
      <c r="E389" s="574"/>
      <c r="F389" s="575"/>
      <c r="G389" s="575"/>
      <c r="H389" s="576"/>
      <c r="M389" s="122"/>
      <c r="N389" s="75"/>
      <c r="P389" s="75"/>
      <c r="R389" s="144"/>
      <c r="S389" s="548"/>
    </row>
    <row r="390">
      <c r="A390" s="538" t="s">
        <v>3511</v>
      </c>
      <c r="C390" s="574"/>
      <c r="D390" s="574"/>
      <c r="E390" s="574"/>
      <c r="F390" s="575"/>
      <c r="G390" s="575"/>
      <c r="H390" s="576"/>
      <c r="M390" s="122"/>
      <c r="N390" s="75"/>
      <c r="P390" s="75"/>
      <c r="R390" s="144"/>
      <c r="S390" s="548"/>
    </row>
    <row r="391">
      <c r="A391" s="538" t="s">
        <v>3511</v>
      </c>
      <c r="C391" s="574"/>
      <c r="D391" s="574"/>
      <c r="E391" s="574"/>
      <c r="F391" s="575"/>
      <c r="G391" s="575"/>
      <c r="H391" s="576"/>
      <c r="M391" s="122"/>
      <c r="N391" s="75"/>
      <c r="P391" s="75"/>
      <c r="R391" s="144"/>
      <c r="S391" s="548"/>
    </row>
    <row r="392">
      <c r="A392" s="538" t="s">
        <v>3511</v>
      </c>
      <c r="C392" s="574"/>
      <c r="D392" s="574"/>
      <c r="E392" s="574"/>
      <c r="F392" s="575"/>
      <c r="G392" s="575"/>
      <c r="H392" s="576"/>
      <c r="M392" s="122"/>
      <c r="N392" s="75"/>
      <c r="P392" s="75"/>
      <c r="R392" s="144"/>
      <c r="S392" s="548"/>
    </row>
    <row r="393">
      <c r="A393" s="538" t="s">
        <v>3511</v>
      </c>
      <c r="C393" s="574"/>
      <c r="D393" s="574"/>
      <c r="E393" s="574"/>
      <c r="F393" s="575"/>
      <c r="G393" s="575"/>
      <c r="H393" s="576"/>
      <c r="M393" s="122"/>
      <c r="N393" s="75"/>
      <c r="P393" s="75"/>
      <c r="R393" s="144"/>
      <c r="S393" s="548"/>
    </row>
    <row r="394">
      <c r="A394" s="538" t="s">
        <v>3511</v>
      </c>
      <c r="C394" s="574"/>
      <c r="D394" s="574"/>
      <c r="E394" s="574"/>
      <c r="F394" s="575"/>
      <c r="G394" s="575"/>
      <c r="H394" s="576"/>
      <c r="M394" s="122"/>
      <c r="N394" s="75"/>
      <c r="P394" s="75"/>
      <c r="R394" s="144"/>
      <c r="S394" s="548"/>
    </row>
    <row r="395">
      <c r="A395" s="538" t="s">
        <v>3511</v>
      </c>
      <c r="C395" s="574"/>
      <c r="D395" s="574"/>
      <c r="E395" s="574"/>
      <c r="F395" s="575"/>
      <c r="G395" s="575"/>
      <c r="H395" s="576"/>
      <c r="M395" s="122"/>
      <c r="N395" s="75"/>
      <c r="P395" s="75"/>
      <c r="R395" s="144"/>
      <c r="S395" s="548"/>
    </row>
    <row r="396">
      <c r="A396" s="538" t="s">
        <v>3511</v>
      </c>
      <c r="C396" s="574"/>
      <c r="D396" s="574"/>
      <c r="E396" s="574"/>
      <c r="F396" s="575"/>
      <c r="G396" s="575"/>
      <c r="H396" s="576"/>
      <c r="M396" s="122"/>
      <c r="N396" s="75"/>
      <c r="P396" s="75"/>
      <c r="R396" s="144"/>
      <c r="S396" s="548"/>
    </row>
    <row r="397">
      <c r="A397" s="538" t="s">
        <v>3511</v>
      </c>
      <c r="C397" s="574"/>
      <c r="D397" s="574"/>
      <c r="E397" s="574"/>
      <c r="F397" s="575"/>
      <c r="G397" s="575"/>
      <c r="H397" s="576"/>
      <c r="M397" s="122"/>
      <c r="N397" s="75"/>
      <c r="P397" s="75"/>
      <c r="R397" s="144"/>
      <c r="S397" s="548"/>
    </row>
    <row r="398">
      <c r="A398" s="538" t="s">
        <v>3511</v>
      </c>
      <c r="C398" s="574"/>
      <c r="D398" s="574"/>
      <c r="E398" s="574"/>
      <c r="F398" s="575"/>
      <c r="G398" s="575"/>
      <c r="H398" s="576"/>
      <c r="M398" s="122"/>
      <c r="N398" s="75"/>
      <c r="P398" s="75"/>
      <c r="R398" s="144"/>
      <c r="S398" s="548"/>
    </row>
    <row r="399">
      <c r="A399" s="538" t="s">
        <v>3511</v>
      </c>
      <c r="C399" s="574"/>
      <c r="D399" s="574"/>
      <c r="E399" s="574"/>
      <c r="F399" s="575"/>
      <c r="G399" s="575"/>
      <c r="H399" s="576"/>
      <c r="M399" s="122"/>
      <c r="N399" s="75"/>
      <c r="P399" s="75"/>
      <c r="R399" s="144"/>
      <c r="S399" s="548"/>
    </row>
    <row r="400">
      <c r="A400" s="538" t="s">
        <v>3511</v>
      </c>
      <c r="C400" s="574"/>
      <c r="D400" s="574"/>
      <c r="E400" s="574"/>
      <c r="F400" s="575"/>
      <c r="G400" s="575"/>
      <c r="H400" s="576"/>
      <c r="M400" s="122"/>
      <c r="N400" s="75"/>
      <c r="P400" s="75"/>
      <c r="R400" s="144"/>
      <c r="S400" s="548"/>
    </row>
    <row r="401">
      <c r="A401" s="538" t="s">
        <v>3511</v>
      </c>
      <c r="C401" s="574"/>
      <c r="D401" s="574"/>
      <c r="E401" s="574"/>
      <c r="F401" s="575"/>
      <c r="G401" s="575"/>
      <c r="H401" s="576"/>
      <c r="M401" s="122"/>
      <c r="N401" s="75"/>
      <c r="P401" s="75"/>
      <c r="R401" s="144"/>
      <c r="S401" s="548"/>
    </row>
    <row r="402">
      <c r="A402" s="538" t="s">
        <v>3511</v>
      </c>
      <c r="C402" s="574"/>
      <c r="D402" s="574"/>
      <c r="E402" s="574"/>
      <c r="F402" s="575"/>
      <c r="G402" s="575"/>
      <c r="H402" s="576"/>
      <c r="M402" s="122"/>
      <c r="N402" s="75"/>
      <c r="P402" s="75"/>
      <c r="R402" s="144"/>
      <c r="S402" s="548"/>
    </row>
    <row r="403">
      <c r="A403" s="538" t="s">
        <v>3511</v>
      </c>
      <c r="C403" s="574"/>
      <c r="D403" s="574"/>
      <c r="E403" s="574"/>
      <c r="F403" s="575"/>
      <c r="G403" s="575"/>
      <c r="H403" s="576"/>
      <c r="M403" s="122"/>
      <c r="N403" s="75"/>
      <c r="P403" s="75"/>
      <c r="R403" s="144"/>
      <c r="S403" s="548"/>
    </row>
    <row r="404">
      <c r="A404" s="538" t="s">
        <v>3511</v>
      </c>
      <c r="C404" s="574"/>
      <c r="D404" s="574"/>
      <c r="E404" s="574"/>
      <c r="F404" s="575"/>
      <c r="G404" s="575"/>
      <c r="H404" s="576"/>
      <c r="M404" s="122"/>
      <c r="N404" s="75"/>
      <c r="P404" s="75"/>
      <c r="R404" s="144"/>
      <c r="S404" s="548"/>
    </row>
    <row r="405">
      <c r="A405" s="538" t="s">
        <v>3511</v>
      </c>
      <c r="C405" s="574"/>
      <c r="D405" s="574"/>
      <c r="E405" s="574"/>
      <c r="F405" s="575"/>
      <c r="G405" s="575"/>
      <c r="H405" s="576"/>
      <c r="M405" s="122"/>
      <c r="N405" s="75"/>
      <c r="P405" s="75"/>
      <c r="R405" s="144"/>
      <c r="S405" s="548"/>
    </row>
    <row r="406">
      <c r="A406" s="538" t="s">
        <v>3511</v>
      </c>
      <c r="C406" s="574"/>
      <c r="D406" s="574"/>
      <c r="E406" s="574"/>
      <c r="F406" s="575"/>
      <c r="G406" s="575"/>
      <c r="H406" s="576"/>
      <c r="M406" s="122"/>
      <c r="N406" s="75"/>
      <c r="P406" s="75"/>
      <c r="R406" s="144"/>
      <c r="S406" s="548"/>
    </row>
    <row r="407">
      <c r="A407" s="538" t="s">
        <v>3511</v>
      </c>
      <c r="C407" s="574"/>
      <c r="D407" s="574"/>
      <c r="E407" s="574"/>
      <c r="F407" s="575"/>
      <c r="G407" s="575"/>
      <c r="H407" s="576"/>
      <c r="M407" s="122"/>
      <c r="N407" s="75"/>
      <c r="P407" s="75"/>
      <c r="R407" s="144"/>
      <c r="S407" s="548"/>
    </row>
    <row r="408">
      <c r="A408" s="538" t="s">
        <v>3511</v>
      </c>
      <c r="C408" s="574"/>
      <c r="D408" s="574"/>
      <c r="E408" s="574"/>
      <c r="F408" s="575"/>
      <c r="G408" s="575"/>
      <c r="H408" s="576"/>
      <c r="M408" s="122"/>
      <c r="N408" s="75"/>
      <c r="P408" s="75"/>
      <c r="R408" s="144"/>
      <c r="S408" s="548"/>
    </row>
    <row r="409">
      <c r="A409" s="538" t="s">
        <v>3511</v>
      </c>
      <c r="C409" s="574"/>
      <c r="D409" s="574"/>
      <c r="E409" s="574"/>
      <c r="F409" s="575"/>
      <c r="G409" s="575"/>
      <c r="H409" s="576"/>
      <c r="M409" s="122"/>
      <c r="N409" s="75"/>
      <c r="P409" s="75"/>
      <c r="R409" s="144"/>
      <c r="S409" s="548"/>
    </row>
    <row r="410">
      <c r="A410" s="538" t="s">
        <v>3511</v>
      </c>
      <c r="C410" s="574"/>
      <c r="D410" s="574"/>
      <c r="E410" s="574"/>
      <c r="F410" s="575"/>
      <c r="G410" s="575"/>
      <c r="H410" s="576"/>
      <c r="M410" s="122"/>
      <c r="N410" s="75"/>
      <c r="P410" s="75"/>
      <c r="R410" s="144"/>
      <c r="S410" s="548"/>
    </row>
    <row r="411">
      <c r="A411" s="538" t="s">
        <v>3511</v>
      </c>
      <c r="C411" s="574"/>
      <c r="D411" s="574"/>
      <c r="E411" s="574"/>
      <c r="F411" s="575"/>
      <c r="G411" s="575"/>
      <c r="H411" s="576"/>
      <c r="M411" s="122"/>
      <c r="N411" s="75"/>
      <c r="P411" s="75"/>
      <c r="R411" s="144"/>
      <c r="S411" s="548"/>
    </row>
    <row r="412">
      <c r="A412" s="538" t="s">
        <v>3511</v>
      </c>
      <c r="C412" s="574"/>
      <c r="D412" s="574"/>
      <c r="E412" s="574"/>
      <c r="F412" s="575"/>
      <c r="G412" s="575"/>
      <c r="H412" s="576"/>
      <c r="M412" s="122"/>
      <c r="N412" s="75"/>
      <c r="P412" s="75"/>
      <c r="R412" s="144"/>
      <c r="S412" s="548"/>
    </row>
    <row r="413">
      <c r="A413" s="538" t="s">
        <v>3511</v>
      </c>
      <c r="C413" s="574"/>
      <c r="D413" s="574"/>
      <c r="E413" s="574"/>
      <c r="F413" s="575"/>
      <c r="G413" s="575"/>
      <c r="H413" s="576"/>
      <c r="M413" s="122"/>
      <c r="N413" s="75"/>
      <c r="P413" s="75"/>
      <c r="R413" s="144"/>
      <c r="S413" s="548"/>
    </row>
    <row r="414">
      <c r="A414" s="538" t="s">
        <v>3511</v>
      </c>
      <c r="C414" s="574"/>
      <c r="D414" s="574"/>
      <c r="E414" s="574"/>
      <c r="F414" s="575"/>
      <c r="G414" s="575"/>
      <c r="H414" s="576"/>
      <c r="M414" s="122"/>
      <c r="N414" s="75"/>
      <c r="P414" s="75"/>
      <c r="R414" s="144"/>
      <c r="S414" s="548"/>
    </row>
    <row r="415">
      <c r="A415" s="538" t="s">
        <v>3511</v>
      </c>
      <c r="C415" s="574"/>
      <c r="D415" s="574"/>
      <c r="E415" s="574"/>
      <c r="F415" s="575"/>
      <c r="G415" s="575"/>
      <c r="H415" s="576"/>
      <c r="M415" s="122"/>
      <c r="N415" s="75"/>
      <c r="P415" s="75"/>
      <c r="R415" s="144"/>
      <c r="S415" s="548"/>
    </row>
    <row r="416">
      <c r="A416" s="538" t="s">
        <v>3511</v>
      </c>
      <c r="C416" s="574"/>
      <c r="D416" s="574"/>
      <c r="E416" s="574"/>
      <c r="F416" s="575"/>
      <c r="G416" s="575"/>
      <c r="H416" s="576"/>
      <c r="M416" s="122"/>
      <c r="N416" s="75"/>
      <c r="P416" s="75"/>
      <c r="R416" s="144"/>
      <c r="S416" s="548"/>
    </row>
    <row r="417">
      <c r="A417" s="538" t="s">
        <v>3511</v>
      </c>
      <c r="C417" s="574"/>
      <c r="D417" s="574"/>
      <c r="E417" s="574"/>
      <c r="F417" s="575"/>
      <c r="G417" s="575"/>
      <c r="H417" s="576"/>
      <c r="M417" s="122"/>
      <c r="N417" s="75"/>
      <c r="P417" s="75"/>
      <c r="R417" s="144"/>
      <c r="S417" s="548"/>
    </row>
    <row r="418">
      <c r="A418" s="538" t="s">
        <v>3511</v>
      </c>
      <c r="C418" s="574"/>
      <c r="D418" s="574"/>
      <c r="E418" s="574"/>
      <c r="F418" s="575"/>
      <c r="G418" s="575"/>
      <c r="H418" s="576"/>
      <c r="M418" s="122"/>
      <c r="N418" s="75"/>
      <c r="P418" s="75"/>
      <c r="R418" s="144"/>
      <c r="S418" s="548"/>
    </row>
    <row r="419">
      <c r="A419" s="538" t="s">
        <v>3511</v>
      </c>
      <c r="C419" s="574"/>
      <c r="D419" s="574"/>
      <c r="E419" s="574"/>
      <c r="F419" s="575"/>
      <c r="G419" s="575"/>
      <c r="H419" s="576"/>
      <c r="M419" s="122"/>
      <c r="N419" s="75"/>
      <c r="P419" s="75"/>
      <c r="R419" s="144"/>
      <c r="S419" s="548"/>
    </row>
    <row r="420">
      <c r="A420" s="538" t="s">
        <v>3511</v>
      </c>
      <c r="C420" s="574"/>
      <c r="D420" s="574"/>
      <c r="E420" s="574"/>
      <c r="F420" s="575"/>
      <c r="G420" s="575"/>
      <c r="H420" s="576"/>
      <c r="M420" s="122"/>
      <c r="N420" s="75"/>
      <c r="P420" s="75"/>
      <c r="R420" s="144"/>
      <c r="S420" s="548"/>
    </row>
    <row r="421">
      <c r="A421" s="538" t="s">
        <v>3511</v>
      </c>
      <c r="C421" s="574"/>
      <c r="D421" s="574"/>
      <c r="E421" s="574"/>
      <c r="F421" s="575"/>
      <c r="G421" s="575"/>
      <c r="H421" s="576"/>
      <c r="M421" s="122"/>
      <c r="N421" s="75"/>
      <c r="P421" s="75"/>
      <c r="R421" s="144"/>
      <c r="S421" s="548"/>
    </row>
    <row r="422">
      <c r="A422" s="538" t="s">
        <v>3511</v>
      </c>
      <c r="C422" s="574"/>
      <c r="D422" s="574"/>
      <c r="E422" s="574"/>
      <c r="F422" s="575"/>
      <c r="G422" s="575"/>
      <c r="H422" s="576"/>
      <c r="M422" s="122"/>
      <c r="N422" s="75"/>
      <c r="P422" s="75"/>
      <c r="R422" s="144"/>
      <c r="S422" s="548"/>
    </row>
    <row r="423">
      <c r="A423" s="538" t="s">
        <v>3511</v>
      </c>
      <c r="C423" s="574"/>
      <c r="D423" s="574"/>
      <c r="E423" s="574"/>
      <c r="F423" s="575"/>
      <c r="G423" s="575"/>
      <c r="H423" s="576"/>
      <c r="M423" s="122"/>
      <c r="N423" s="75"/>
      <c r="P423" s="75"/>
      <c r="R423" s="144"/>
      <c r="S423" s="548"/>
    </row>
    <row r="424">
      <c r="A424" s="538" t="s">
        <v>3511</v>
      </c>
      <c r="C424" s="574"/>
      <c r="D424" s="574"/>
      <c r="E424" s="574"/>
      <c r="F424" s="575"/>
      <c r="G424" s="575"/>
      <c r="H424" s="576"/>
      <c r="M424" s="122"/>
      <c r="N424" s="75"/>
      <c r="P424" s="75"/>
      <c r="R424" s="144"/>
      <c r="S424" s="548"/>
    </row>
    <row r="425">
      <c r="A425" s="538" t="s">
        <v>3511</v>
      </c>
      <c r="C425" s="574"/>
      <c r="D425" s="574"/>
      <c r="E425" s="574"/>
      <c r="F425" s="575"/>
      <c r="G425" s="575"/>
      <c r="H425" s="576"/>
      <c r="M425" s="122"/>
      <c r="N425" s="75"/>
      <c r="P425" s="75"/>
      <c r="R425" s="144"/>
      <c r="S425" s="548"/>
    </row>
    <row r="426">
      <c r="A426" s="538" t="s">
        <v>3511</v>
      </c>
      <c r="C426" s="574"/>
      <c r="D426" s="574"/>
      <c r="E426" s="574"/>
      <c r="F426" s="575"/>
      <c r="G426" s="575"/>
      <c r="H426" s="576"/>
      <c r="M426" s="122"/>
      <c r="N426" s="75"/>
      <c r="P426" s="75"/>
      <c r="R426" s="144"/>
      <c r="S426" s="548"/>
    </row>
    <row r="427">
      <c r="A427" s="538" t="s">
        <v>3511</v>
      </c>
      <c r="C427" s="574"/>
      <c r="D427" s="574"/>
      <c r="E427" s="574"/>
      <c r="F427" s="575"/>
      <c r="G427" s="575"/>
      <c r="H427" s="576"/>
      <c r="M427" s="122"/>
      <c r="N427" s="75"/>
      <c r="P427" s="75"/>
      <c r="R427" s="144"/>
      <c r="S427" s="548"/>
    </row>
    <row r="428">
      <c r="A428" s="538" t="s">
        <v>3511</v>
      </c>
      <c r="C428" s="574"/>
      <c r="D428" s="574"/>
      <c r="E428" s="574"/>
      <c r="F428" s="575"/>
      <c r="G428" s="575"/>
      <c r="H428" s="576"/>
      <c r="M428" s="122"/>
      <c r="N428" s="75"/>
      <c r="P428" s="75"/>
      <c r="R428" s="144"/>
      <c r="S428" s="548"/>
    </row>
    <row r="429">
      <c r="A429" s="538" t="s">
        <v>3511</v>
      </c>
      <c r="C429" s="574"/>
      <c r="D429" s="574"/>
      <c r="E429" s="574"/>
      <c r="F429" s="575"/>
      <c r="G429" s="575"/>
      <c r="H429" s="576"/>
      <c r="M429" s="122"/>
      <c r="N429" s="75"/>
      <c r="P429" s="75"/>
      <c r="R429" s="144"/>
      <c r="S429" s="548"/>
    </row>
    <row r="430">
      <c r="A430" s="538" t="s">
        <v>3511</v>
      </c>
      <c r="C430" s="574"/>
      <c r="D430" s="574"/>
      <c r="E430" s="574"/>
      <c r="F430" s="575"/>
      <c r="G430" s="575"/>
      <c r="H430" s="576"/>
      <c r="M430" s="122"/>
      <c r="N430" s="75"/>
      <c r="P430" s="75"/>
      <c r="R430" s="144"/>
      <c r="S430" s="548"/>
    </row>
    <row r="431">
      <c r="A431" s="538" t="s">
        <v>3511</v>
      </c>
      <c r="C431" s="574"/>
      <c r="D431" s="574"/>
      <c r="E431" s="574"/>
      <c r="F431" s="575"/>
      <c r="G431" s="575"/>
      <c r="H431" s="576"/>
      <c r="M431" s="122"/>
      <c r="N431" s="75"/>
      <c r="P431" s="75"/>
      <c r="R431" s="144"/>
      <c r="S431" s="548"/>
    </row>
    <row r="432">
      <c r="A432" s="538" t="s">
        <v>3511</v>
      </c>
      <c r="C432" s="574"/>
      <c r="D432" s="574"/>
      <c r="E432" s="574"/>
      <c r="F432" s="575"/>
      <c r="G432" s="575"/>
      <c r="H432" s="576"/>
      <c r="M432" s="122"/>
      <c r="N432" s="75"/>
      <c r="P432" s="75"/>
      <c r="R432" s="144"/>
      <c r="S432" s="548"/>
    </row>
    <row r="433">
      <c r="A433" s="538" t="s">
        <v>3511</v>
      </c>
      <c r="C433" s="574"/>
      <c r="D433" s="574"/>
      <c r="E433" s="574"/>
      <c r="F433" s="575"/>
      <c r="G433" s="575"/>
      <c r="H433" s="576"/>
      <c r="M433" s="122"/>
      <c r="N433" s="75"/>
      <c r="P433" s="75"/>
      <c r="R433" s="144"/>
      <c r="S433" s="548"/>
    </row>
    <row r="434">
      <c r="A434" s="538" t="s">
        <v>3511</v>
      </c>
      <c r="C434" s="574"/>
      <c r="D434" s="574"/>
      <c r="E434" s="574"/>
      <c r="F434" s="575"/>
      <c r="G434" s="575"/>
      <c r="H434" s="576"/>
      <c r="M434" s="122"/>
      <c r="N434" s="75"/>
      <c r="P434" s="75"/>
      <c r="R434" s="144"/>
      <c r="S434" s="548"/>
    </row>
    <row r="435">
      <c r="A435" s="538" t="s">
        <v>3511</v>
      </c>
      <c r="C435" s="574"/>
      <c r="D435" s="574"/>
      <c r="E435" s="574"/>
      <c r="F435" s="575"/>
      <c r="G435" s="575"/>
      <c r="H435" s="576"/>
      <c r="M435" s="122"/>
      <c r="N435" s="75"/>
      <c r="P435" s="75"/>
      <c r="R435" s="144"/>
      <c r="S435" s="548"/>
    </row>
    <row r="436">
      <c r="A436" s="538" t="s">
        <v>3511</v>
      </c>
      <c r="C436" s="574"/>
      <c r="D436" s="574"/>
      <c r="E436" s="574"/>
      <c r="F436" s="575"/>
      <c r="G436" s="575"/>
      <c r="H436" s="576"/>
      <c r="M436" s="122"/>
      <c r="N436" s="75"/>
      <c r="P436" s="75"/>
      <c r="R436" s="144"/>
      <c r="S436" s="548"/>
    </row>
    <row r="437">
      <c r="A437" s="538" t="s">
        <v>3511</v>
      </c>
      <c r="C437" s="574"/>
      <c r="D437" s="574"/>
      <c r="E437" s="574"/>
      <c r="F437" s="575"/>
      <c r="G437" s="575"/>
      <c r="H437" s="576"/>
      <c r="M437" s="122"/>
      <c r="N437" s="75"/>
      <c r="P437" s="75"/>
      <c r="R437" s="144"/>
      <c r="S437" s="548"/>
    </row>
    <row r="438">
      <c r="A438" s="538" t="s">
        <v>3511</v>
      </c>
      <c r="C438" s="574"/>
      <c r="D438" s="574"/>
      <c r="E438" s="574"/>
      <c r="F438" s="575"/>
      <c r="G438" s="575"/>
      <c r="H438" s="576"/>
      <c r="M438" s="122"/>
      <c r="N438" s="75"/>
      <c r="P438" s="75"/>
      <c r="R438" s="144"/>
      <c r="S438" s="548"/>
    </row>
    <row r="439">
      <c r="A439" s="538" t="s">
        <v>3511</v>
      </c>
      <c r="C439" s="574"/>
      <c r="D439" s="574"/>
      <c r="E439" s="574"/>
      <c r="F439" s="575"/>
      <c r="G439" s="575"/>
      <c r="H439" s="576"/>
      <c r="M439" s="122"/>
      <c r="N439" s="75"/>
      <c r="P439" s="75"/>
      <c r="R439" s="144"/>
      <c r="S439" s="548"/>
    </row>
    <row r="440">
      <c r="A440" s="538" t="s">
        <v>3511</v>
      </c>
      <c r="C440" s="574"/>
      <c r="D440" s="574"/>
      <c r="E440" s="574"/>
      <c r="F440" s="575"/>
      <c r="G440" s="575"/>
      <c r="H440" s="576"/>
      <c r="M440" s="122"/>
      <c r="N440" s="75"/>
      <c r="P440" s="75"/>
      <c r="R440" s="144"/>
      <c r="S440" s="548"/>
    </row>
    <row r="441">
      <c r="A441" s="538" t="s">
        <v>3511</v>
      </c>
      <c r="C441" s="574"/>
      <c r="D441" s="574"/>
      <c r="E441" s="574"/>
      <c r="F441" s="575"/>
      <c r="G441" s="575"/>
      <c r="H441" s="576"/>
      <c r="M441" s="122"/>
      <c r="N441" s="75"/>
      <c r="P441" s="75"/>
      <c r="R441" s="144"/>
      <c r="S441" s="548"/>
    </row>
    <row r="442">
      <c r="A442" s="538" t="s">
        <v>3511</v>
      </c>
      <c r="C442" s="574"/>
      <c r="D442" s="574"/>
      <c r="E442" s="574"/>
      <c r="F442" s="575"/>
      <c r="G442" s="575"/>
      <c r="H442" s="576"/>
      <c r="M442" s="122"/>
      <c r="N442" s="75"/>
      <c r="P442" s="75"/>
      <c r="R442" s="144"/>
      <c r="S442" s="548"/>
    </row>
    <row r="443">
      <c r="A443" s="538" t="s">
        <v>3511</v>
      </c>
      <c r="C443" s="574"/>
      <c r="D443" s="574"/>
      <c r="E443" s="574"/>
      <c r="F443" s="575"/>
      <c r="G443" s="575"/>
      <c r="H443" s="576"/>
      <c r="M443" s="122"/>
      <c r="N443" s="75"/>
      <c r="P443" s="75"/>
      <c r="R443" s="144"/>
      <c r="S443" s="548"/>
    </row>
    <row r="444">
      <c r="A444" s="538" t="s">
        <v>3511</v>
      </c>
      <c r="C444" s="574"/>
      <c r="D444" s="574"/>
      <c r="E444" s="574"/>
      <c r="F444" s="575"/>
      <c r="G444" s="575"/>
      <c r="H444" s="576"/>
      <c r="M444" s="122"/>
      <c r="N444" s="75"/>
      <c r="P444" s="75"/>
      <c r="R444" s="144"/>
      <c r="S444" s="548"/>
    </row>
    <row r="445">
      <c r="A445" s="538" t="s">
        <v>3511</v>
      </c>
      <c r="C445" s="574"/>
      <c r="D445" s="574"/>
      <c r="E445" s="574"/>
      <c r="F445" s="575"/>
      <c r="G445" s="575"/>
      <c r="H445" s="576"/>
      <c r="M445" s="122"/>
      <c r="N445" s="75"/>
      <c r="P445" s="75"/>
      <c r="R445" s="144"/>
      <c r="S445" s="548"/>
    </row>
    <row r="446">
      <c r="A446" s="538" t="s">
        <v>3511</v>
      </c>
      <c r="C446" s="574"/>
      <c r="D446" s="574"/>
      <c r="E446" s="574"/>
      <c r="F446" s="575"/>
      <c r="G446" s="575"/>
      <c r="H446" s="576"/>
      <c r="M446" s="122"/>
      <c r="N446" s="75"/>
      <c r="P446" s="75"/>
      <c r="R446" s="144"/>
      <c r="S446" s="548"/>
    </row>
    <row r="447">
      <c r="A447" s="538" t="s">
        <v>3511</v>
      </c>
      <c r="C447" s="574"/>
      <c r="D447" s="574"/>
      <c r="E447" s="574"/>
      <c r="F447" s="575"/>
      <c r="G447" s="575"/>
      <c r="H447" s="576"/>
      <c r="M447" s="122"/>
      <c r="N447" s="75"/>
      <c r="P447" s="75"/>
      <c r="R447" s="144"/>
      <c r="S447" s="548"/>
    </row>
    <row r="448">
      <c r="A448" s="538" t="s">
        <v>3511</v>
      </c>
      <c r="C448" s="574"/>
      <c r="D448" s="574"/>
      <c r="E448" s="574"/>
      <c r="F448" s="575"/>
      <c r="G448" s="575"/>
      <c r="H448" s="576"/>
      <c r="M448" s="122"/>
      <c r="N448" s="75"/>
      <c r="P448" s="75"/>
      <c r="R448" s="144"/>
      <c r="S448" s="548"/>
    </row>
    <row r="449">
      <c r="A449" s="538" t="s">
        <v>3511</v>
      </c>
      <c r="C449" s="574"/>
      <c r="D449" s="574"/>
      <c r="E449" s="574"/>
      <c r="F449" s="575"/>
      <c r="G449" s="575"/>
      <c r="H449" s="576"/>
      <c r="M449" s="122"/>
      <c r="N449" s="75"/>
      <c r="P449" s="75"/>
      <c r="R449" s="144"/>
      <c r="S449" s="548"/>
    </row>
    <row r="450">
      <c r="A450" s="538" t="s">
        <v>3511</v>
      </c>
      <c r="C450" s="574"/>
      <c r="D450" s="574"/>
      <c r="E450" s="574"/>
      <c r="F450" s="575"/>
      <c r="G450" s="575"/>
      <c r="H450" s="576"/>
      <c r="M450" s="122"/>
      <c r="N450" s="75"/>
      <c r="P450" s="75"/>
      <c r="R450" s="144"/>
      <c r="S450" s="548"/>
    </row>
    <row r="451">
      <c r="A451" s="538" t="s">
        <v>3511</v>
      </c>
      <c r="C451" s="574"/>
      <c r="D451" s="574"/>
      <c r="E451" s="574"/>
      <c r="F451" s="575"/>
      <c r="G451" s="575"/>
      <c r="H451" s="576"/>
      <c r="M451" s="122"/>
      <c r="N451" s="75"/>
      <c r="P451" s="75"/>
      <c r="R451" s="144"/>
      <c r="S451" s="548"/>
    </row>
    <row r="452">
      <c r="A452" s="538" t="s">
        <v>3511</v>
      </c>
      <c r="C452" s="574"/>
      <c r="D452" s="574"/>
      <c r="E452" s="574"/>
      <c r="F452" s="575"/>
      <c r="G452" s="575"/>
      <c r="H452" s="576"/>
      <c r="M452" s="122"/>
      <c r="N452" s="75"/>
      <c r="P452" s="75"/>
      <c r="R452" s="144"/>
      <c r="S452" s="548"/>
    </row>
    <row r="453">
      <c r="A453" s="538" t="s">
        <v>3511</v>
      </c>
      <c r="C453" s="574"/>
      <c r="D453" s="574"/>
      <c r="E453" s="574"/>
      <c r="F453" s="575"/>
      <c r="G453" s="575"/>
      <c r="H453" s="576"/>
      <c r="M453" s="122"/>
      <c r="N453" s="75"/>
      <c r="P453" s="75"/>
      <c r="R453" s="144"/>
      <c r="S453" s="548"/>
    </row>
    <row r="454">
      <c r="A454" s="538" t="s">
        <v>3511</v>
      </c>
      <c r="C454" s="574"/>
      <c r="D454" s="574"/>
      <c r="E454" s="574"/>
      <c r="F454" s="575"/>
      <c r="G454" s="575"/>
      <c r="H454" s="576"/>
      <c r="M454" s="122"/>
      <c r="N454" s="75"/>
      <c r="P454" s="75"/>
      <c r="R454" s="144"/>
      <c r="S454" s="548"/>
    </row>
    <row r="455">
      <c r="A455" s="538" t="s">
        <v>3511</v>
      </c>
      <c r="C455" s="574"/>
      <c r="D455" s="574"/>
      <c r="E455" s="574"/>
      <c r="F455" s="575"/>
      <c r="G455" s="575"/>
      <c r="H455" s="576"/>
      <c r="M455" s="122"/>
      <c r="N455" s="75"/>
      <c r="P455" s="75"/>
      <c r="R455" s="144"/>
      <c r="S455" s="548"/>
    </row>
    <row r="456">
      <c r="A456" s="538" t="s">
        <v>3511</v>
      </c>
      <c r="C456" s="574"/>
      <c r="D456" s="574"/>
      <c r="E456" s="574"/>
      <c r="F456" s="575"/>
      <c r="G456" s="575"/>
      <c r="H456" s="576"/>
      <c r="M456" s="122"/>
      <c r="N456" s="75"/>
      <c r="P456" s="75"/>
      <c r="R456" s="144"/>
      <c r="S456" s="548"/>
    </row>
    <row r="457">
      <c r="A457" s="538" t="s">
        <v>3511</v>
      </c>
      <c r="C457" s="574"/>
      <c r="D457" s="574"/>
      <c r="E457" s="574"/>
      <c r="F457" s="575"/>
      <c r="G457" s="575"/>
      <c r="H457" s="576"/>
      <c r="M457" s="122"/>
      <c r="N457" s="75"/>
      <c r="P457" s="75"/>
      <c r="R457" s="144"/>
      <c r="S457" s="548"/>
    </row>
    <row r="458">
      <c r="A458" s="538" t="s">
        <v>3511</v>
      </c>
      <c r="C458" s="574"/>
      <c r="D458" s="574"/>
      <c r="E458" s="574"/>
      <c r="F458" s="575"/>
      <c r="G458" s="575"/>
      <c r="H458" s="576"/>
      <c r="M458" s="122"/>
      <c r="N458" s="75"/>
      <c r="P458" s="75"/>
      <c r="R458" s="144"/>
      <c r="S458" s="548"/>
    </row>
    <row r="459">
      <c r="A459" s="538" t="s">
        <v>3511</v>
      </c>
      <c r="C459" s="574"/>
      <c r="D459" s="574"/>
      <c r="E459" s="574"/>
      <c r="F459" s="575"/>
      <c r="G459" s="575"/>
      <c r="H459" s="576"/>
      <c r="M459" s="122"/>
      <c r="N459" s="75"/>
      <c r="P459" s="75"/>
      <c r="R459" s="144"/>
      <c r="S459" s="548"/>
    </row>
    <row r="460">
      <c r="A460" s="538" t="s">
        <v>3511</v>
      </c>
      <c r="C460" s="574"/>
      <c r="D460" s="574"/>
      <c r="E460" s="574"/>
      <c r="F460" s="575"/>
      <c r="G460" s="575"/>
      <c r="H460" s="576"/>
      <c r="M460" s="122"/>
      <c r="N460" s="75"/>
      <c r="P460" s="75"/>
      <c r="R460" s="144"/>
      <c r="S460" s="548"/>
    </row>
    <row r="461">
      <c r="A461" s="538" t="s">
        <v>3511</v>
      </c>
      <c r="C461" s="574"/>
      <c r="D461" s="574"/>
      <c r="E461" s="574"/>
      <c r="F461" s="575"/>
      <c r="G461" s="575"/>
      <c r="H461" s="576"/>
      <c r="M461" s="122"/>
      <c r="N461" s="75"/>
      <c r="P461" s="75"/>
      <c r="R461" s="144"/>
      <c r="S461" s="548"/>
    </row>
    <row r="462">
      <c r="A462" s="538" t="s">
        <v>3511</v>
      </c>
      <c r="C462" s="574"/>
      <c r="D462" s="574"/>
      <c r="E462" s="574"/>
      <c r="F462" s="575"/>
      <c r="G462" s="575"/>
      <c r="H462" s="576"/>
      <c r="M462" s="122"/>
      <c r="N462" s="75"/>
      <c r="P462" s="75"/>
      <c r="R462" s="144"/>
      <c r="S462" s="548"/>
    </row>
    <row r="463">
      <c r="A463" s="538" t="s">
        <v>3511</v>
      </c>
      <c r="C463" s="574"/>
      <c r="D463" s="574"/>
      <c r="E463" s="574"/>
      <c r="F463" s="575"/>
      <c r="G463" s="575"/>
      <c r="H463" s="576"/>
      <c r="M463" s="122"/>
      <c r="N463" s="75"/>
      <c r="P463" s="75"/>
      <c r="R463" s="144"/>
      <c r="S463" s="548"/>
    </row>
    <row r="464">
      <c r="A464" s="538" t="s">
        <v>3511</v>
      </c>
      <c r="C464" s="574"/>
      <c r="D464" s="574"/>
      <c r="E464" s="574"/>
      <c r="F464" s="575"/>
      <c r="G464" s="575"/>
      <c r="H464" s="576"/>
      <c r="M464" s="122"/>
      <c r="N464" s="75"/>
      <c r="P464" s="75"/>
      <c r="R464" s="144"/>
      <c r="S464" s="548"/>
    </row>
    <row r="465">
      <c r="A465" s="538" t="s">
        <v>3511</v>
      </c>
      <c r="C465" s="574"/>
      <c r="D465" s="574"/>
      <c r="E465" s="574"/>
      <c r="F465" s="575"/>
      <c r="G465" s="575"/>
      <c r="H465" s="576"/>
      <c r="M465" s="122"/>
      <c r="N465" s="75"/>
      <c r="P465" s="75"/>
      <c r="R465" s="144"/>
      <c r="S465" s="548"/>
    </row>
    <row r="466">
      <c r="A466" s="538" t="s">
        <v>3511</v>
      </c>
      <c r="C466" s="574"/>
      <c r="D466" s="574"/>
      <c r="E466" s="574"/>
      <c r="F466" s="575"/>
      <c r="G466" s="575"/>
      <c r="H466" s="576"/>
      <c r="M466" s="122"/>
      <c r="N466" s="75"/>
      <c r="P466" s="75"/>
      <c r="R466" s="144"/>
      <c r="S466" s="548"/>
    </row>
    <row r="467">
      <c r="A467" s="538" t="s">
        <v>3511</v>
      </c>
      <c r="C467" s="574"/>
      <c r="D467" s="574"/>
      <c r="E467" s="574"/>
      <c r="F467" s="575"/>
      <c r="G467" s="575"/>
      <c r="H467" s="576"/>
      <c r="M467" s="122"/>
      <c r="N467" s="75"/>
      <c r="P467" s="75"/>
      <c r="R467" s="144"/>
      <c r="S467" s="548"/>
    </row>
    <row r="468">
      <c r="A468" s="538" t="s">
        <v>3511</v>
      </c>
      <c r="C468" s="574"/>
      <c r="D468" s="574"/>
      <c r="E468" s="574"/>
      <c r="F468" s="575"/>
      <c r="G468" s="575"/>
      <c r="H468" s="576"/>
      <c r="M468" s="122"/>
      <c r="N468" s="75"/>
      <c r="P468" s="75"/>
      <c r="R468" s="144"/>
      <c r="S468" s="548"/>
    </row>
    <row r="469">
      <c r="A469" s="538" t="s">
        <v>3511</v>
      </c>
      <c r="C469" s="574"/>
      <c r="D469" s="574"/>
      <c r="E469" s="574"/>
      <c r="F469" s="575"/>
      <c r="G469" s="575"/>
      <c r="H469" s="576"/>
      <c r="M469" s="122"/>
      <c r="N469" s="75"/>
      <c r="P469" s="75"/>
      <c r="R469" s="144"/>
      <c r="S469" s="548"/>
    </row>
    <row r="470">
      <c r="A470" s="538" t="s">
        <v>3511</v>
      </c>
      <c r="C470" s="574"/>
      <c r="D470" s="574"/>
      <c r="E470" s="574"/>
      <c r="F470" s="575"/>
      <c r="G470" s="575"/>
      <c r="H470" s="576"/>
      <c r="M470" s="122"/>
      <c r="N470" s="75"/>
      <c r="P470" s="75"/>
      <c r="R470" s="144"/>
      <c r="S470" s="548"/>
    </row>
    <row r="471">
      <c r="A471" s="538" t="s">
        <v>3511</v>
      </c>
      <c r="C471" s="574"/>
      <c r="D471" s="574"/>
      <c r="E471" s="574"/>
      <c r="F471" s="575"/>
      <c r="G471" s="575"/>
      <c r="H471" s="576"/>
      <c r="M471" s="122"/>
      <c r="N471" s="75"/>
      <c r="P471" s="75"/>
      <c r="R471" s="144"/>
      <c r="S471" s="548"/>
    </row>
    <row r="472">
      <c r="A472" s="538" t="s">
        <v>3511</v>
      </c>
      <c r="C472" s="574"/>
      <c r="D472" s="574"/>
      <c r="E472" s="574"/>
      <c r="F472" s="575"/>
      <c r="G472" s="575"/>
      <c r="H472" s="576"/>
      <c r="M472" s="122"/>
      <c r="N472" s="75"/>
      <c r="P472" s="75"/>
      <c r="R472" s="144"/>
      <c r="S472" s="548"/>
    </row>
    <row r="473">
      <c r="A473" s="538" t="s">
        <v>3511</v>
      </c>
      <c r="C473" s="574"/>
      <c r="D473" s="574"/>
      <c r="E473" s="574"/>
      <c r="F473" s="575"/>
      <c r="G473" s="575"/>
      <c r="H473" s="576"/>
      <c r="M473" s="122"/>
      <c r="N473" s="75"/>
      <c r="P473" s="75"/>
      <c r="R473" s="144"/>
      <c r="S473" s="548"/>
    </row>
    <row r="474">
      <c r="A474" s="538" t="s">
        <v>3511</v>
      </c>
      <c r="C474" s="574"/>
      <c r="D474" s="574"/>
      <c r="E474" s="574"/>
      <c r="F474" s="575"/>
      <c r="G474" s="575"/>
      <c r="H474" s="576"/>
      <c r="M474" s="122"/>
      <c r="N474" s="75"/>
      <c r="P474" s="75"/>
      <c r="R474" s="144"/>
      <c r="S474" s="548"/>
    </row>
    <row r="475">
      <c r="A475" s="538" t="s">
        <v>3511</v>
      </c>
      <c r="C475" s="574"/>
      <c r="D475" s="574"/>
      <c r="E475" s="574"/>
      <c r="F475" s="575"/>
      <c r="G475" s="575"/>
      <c r="H475" s="576"/>
      <c r="M475" s="122"/>
      <c r="N475" s="75"/>
      <c r="P475" s="75"/>
      <c r="R475" s="144"/>
      <c r="S475" s="548"/>
    </row>
    <row r="476">
      <c r="A476" s="538" t="s">
        <v>3511</v>
      </c>
      <c r="C476" s="574"/>
      <c r="D476" s="574"/>
      <c r="E476" s="574"/>
      <c r="F476" s="575"/>
      <c r="G476" s="575"/>
      <c r="H476" s="576"/>
      <c r="M476" s="122"/>
      <c r="N476" s="75"/>
      <c r="P476" s="75"/>
      <c r="R476" s="144"/>
      <c r="S476" s="548"/>
    </row>
    <row r="477">
      <c r="A477" s="538" t="s">
        <v>3511</v>
      </c>
      <c r="C477" s="574"/>
      <c r="D477" s="574"/>
      <c r="E477" s="574"/>
      <c r="F477" s="575"/>
      <c r="G477" s="575"/>
      <c r="H477" s="576"/>
      <c r="M477" s="122"/>
      <c r="N477" s="75"/>
      <c r="P477" s="75"/>
      <c r="R477" s="144"/>
      <c r="S477" s="548"/>
    </row>
    <row r="478">
      <c r="A478" s="538" t="s">
        <v>3511</v>
      </c>
      <c r="C478" s="574"/>
      <c r="D478" s="574"/>
      <c r="E478" s="574"/>
      <c r="F478" s="575"/>
      <c r="G478" s="575"/>
      <c r="H478" s="576"/>
      <c r="M478" s="122"/>
      <c r="N478" s="75"/>
      <c r="P478" s="75"/>
      <c r="R478" s="144"/>
      <c r="S478" s="548"/>
    </row>
    <row r="479">
      <c r="A479" s="538" t="s">
        <v>3511</v>
      </c>
      <c r="C479" s="574"/>
      <c r="D479" s="574"/>
      <c r="E479" s="574"/>
      <c r="F479" s="575"/>
      <c r="G479" s="575"/>
      <c r="H479" s="576"/>
      <c r="M479" s="122"/>
      <c r="N479" s="75"/>
      <c r="P479" s="75"/>
      <c r="R479" s="144"/>
      <c r="S479" s="548"/>
    </row>
    <row r="480">
      <c r="A480" s="538" t="s">
        <v>3511</v>
      </c>
      <c r="C480" s="574"/>
      <c r="D480" s="574"/>
      <c r="E480" s="574"/>
      <c r="F480" s="575"/>
      <c r="G480" s="575"/>
      <c r="H480" s="576"/>
      <c r="M480" s="122"/>
      <c r="N480" s="75"/>
      <c r="P480" s="75"/>
      <c r="R480" s="144"/>
      <c r="S480" s="548"/>
    </row>
    <row r="481">
      <c r="A481" s="538" t="s">
        <v>3511</v>
      </c>
      <c r="C481" s="574"/>
      <c r="D481" s="574"/>
      <c r="E481" s="574"/>
      <c r="F481" s="575"/>
      <c r="G481" s="575"/>
      <c r="H481" s="576"/>
      <c r="M481" s="122"/>
      <c r="N481" s="75"/>
      <c r="P481" s="75"/>
      <c r="R481" s="144"/>
      <c r="S481" s="548"/>
    </row>
    <row r="482">
      <c r="A482" s="538" t="s">
        <v>3511</v>
      </c>
      <c r="C482" s="574"/>
      <c r="D482" s="574"/>
      <c r="E482" s="574"/>
      <c r="F482" s="575"/>
      <c r="G482" s="575"/>
      <c r="H482" s="576"/>
      <c r="M482" s="122"/>
      <c r="N482" s="75"/>
      <c r="P482" s="75"/>
      <c r="R482" s="144"/>
      <c r="S482" s="548"/>
    </row>
    <row r="483">
      <c r="A483" s="538" t="s">
        <v>3511</v>
      </c>
      <c r="C483" s="574"/>
      <c r="D483" s="574"/>
      <c r="E483" s="574"/>
      <c r="F483" s="575"/>
      <c r="G483" s="575"/>
      <c r="H483" s="576"/>
      <c r="M483" s="122"/>
      <c r="N483" s="75"/>
      <c r="P483" s="75"/>
      <c r="R483" s="144"/>
      <c r="S483" s="548"/>
    </row>
    <row r="484">
      <c r="A484" s="538" t="s">
        <v>3511</v>
      </c>
      <c r="C484" s="574"/>
      <c r="D484" s="574"/>
      <c r="E484" s="574"/>
      <c r="F484" s="575"/>
      <c r="G484" s="575"/>
      <c r="H484" s="576"/>
      <c r="M484" s="122"/>
      <c r="N484" s="75"/>
      <c r="P484" s="75"/>
      <c r="R484" s="144"/>
      <c r="S484" s="548"/>
    </row>
    <row r="485">
      <c r="A485" s="538" t="s">
        <v>3511</v>
      </c>
      <c r="C485" s="574"/>
      <c r="D485" s="574"/>
      <c r="E485" s="574"/>
      <c r="F485" s="575"/>
      <c r="G485" s="575"/>
      <c r="H485" s="576"/>
      <c r="M485" s="122"/>
      <c r="N485" s="75"/>
      <c r="P485" s="75"/>
      <c r="R485" s="144"/>
      <c r="S485" s="548"/>
    </row>
    <row r="486">
      <c r="A486" s="538" t="s">
        <v>3511</v>
      </c>
      <c r="C486" s="574"/>
      <c r="D486" s="574"/>
      <c r="E486" s="574"/>
      <c r="F486" s="575"/>
      <c r="G486" s="575"/>
      <c r="H486" s="576"/>
      <c r="M486" s="122"/>
      <c r="N486" s="75"/>
      <c r="P486" s="75"/>
      <c r="R486" s="144"/>
      <c r="S486" s="548"/>
    </row>
    <row r="487">
      <c r="A487" s="538" t="s">
        <v>3511</v>
      </c>
      <c r="C487" s="574"/>
      <c r="D487" s="574"/>
      <c r="E487" s="574"/>
      <c r="F487" s="575"/>
      <c r="G487" s="575"/>
      <c r="H487" s="576"/>
      <c r="M487" s="122"/>
      <c r="N487" s="75"/>
      <c r="P487" s="75"/>
      <c r="R487" s="144"/>
      <c r="S487" s="548"/>
    </row>
    <row r="488">
      <c r="A488" s="538" t="s">
        <v>3511</v>
      </c>
      <c r="C488" s="574"/>
      <c r="D488" s="574"/>
      <c r="E488" s="574"/>
      <c r="F488" s="575"/>
      <c r="G488" s="575"/>
      <c r="H488" s="576"/>
      <c r="M488" s="122"/>
      <c r="N488" s="75"/>
      <c r="P488" s="75"/>
      <c r="R488" s="144"/>
      <c r="S488" s="548"/>
    </row>
    <row r="489">
      <c r="A489" s="538" t="s">
        <v>3511</v>
      </c>
      <c r="C489" s="574"/>
      <c r="D489" s="574"/>
      <c r="E489" s="574"/>
      <c r="F489" s="575"/>
      <c r="G489" s="575"/>
      <c r="H489" s="576"/>
      <c r="M489" s="122"/>
      <c r="N489" s="75"/>
      <c r="P489" s="75"/>
      <c r="R489" s="144"/>
      <c r="S489" s="548"/>
    </row>
    <row r="490">
      <c r="A490" s="538" t="s">
        <v>3511</v>
      </c>
      <c r="C490" s="574"/>
      <c r="D490" s="574"/>
      <c r="E490" s="574"/>
      <c r="F490" s="575"/>
      <c r="G490" s="575"/>
      <c r="H490" s="576"/>
      <c r="M490" s="122"/>
      <c r="N490" s="75"/>
      <c r="P490" s="75"/>
      <c r="R490" s="144"/>
      <c r="S490" s="548"/>
    </row>
    <row r="491">
      <c r="A491" s="538" t="s">
        <v>3511</v>
      </c>
      <c r="C491" s="574"/>
      <c r="D491" s="574"/>
      <c r="E491" s="574"/>
      <c r="F491" s="575"/>
      <c r="G491" s="575"/>
      <c r="H491" s="576"/>
      <c r="M491" s="122"/>
      <c r="N491" s="75"/>
      <c r="P491" s="75"/>
      <c r="R491" s="144"/>
      <c r="S491" s="548"/>
    </row>
    <row r="492">
      <c r="A492" s="538" t="s">
        <v>3511</v>
      </c>
      <c r="C492" s="574"/>
      <c r="D492" s="574"/>
      <c r="E492" s="574"/>
      <c r="F492" s="575"/>
      <c r="G492" s="575"/>
      <c r="H492" s="576"/>
      <c r="M492" s="122"/>
      <c r="N492" s="75"/>
      <c r="P492" s="75"/>
      <c r="R492" s="144"/>
      <c r="S492" s="548"/>
    </row>
    <row r="493">
      <c r="A493" s="538" t="s">
        <v>3511</v>
      </c>
      <c r="C493" s="574"/>
      <c r="D493" s="574"/>
      <c r="E493" s="574"/>
      <c r="F493" s="575"/>
      <c r="G493" s="575"/>
      <c r="H493" s="576"/>
      <c r="M493" s="122"/>
      <c r="N493" s="75"/>
      <c r="P493" s="75"/>
      <c r="R493" s="144"/>
      <c r="S493" s="548"/>
    </row>
    <row r="494">
      <c r="A494" s="538" t="s">
        <v>3511</v>
      </c>
      <c r="C494" s="574"/>
      <c r="D494" s="574"/>
      <c r="E494" s="574"/>
      <c r="F494" s="575"/>
      <c r="G494" s="575"/>
      <c r="H494" s="576"/>
      <c r="M494" s="122"/>
      <c r="N494" s="75"/>
      <c r="P494" s="75"/>
      <c r="R494" s="144"/>
      <c r="S494" s="548"/>
    </row>
    <row r="495">
      <c r="A495" s="538" t="s">
        <v>3511</v>
      </c>
      <c r="C495" s="574"/>
      <c r="D495" s="574"/>
      <c r="E495" s="574"/>
      <c r="F495" s="575"/>
      <c r="G495" s="575"/>
      <c r="H495" s="576"/>
      <c r="M495" s="122"/>
      <c r="N495" s="75"/>
      <c r="P495" s="75"/>
      <c r="R495" s="144"/>
      <c r="S495" s="548"/>
    </row>
    <row r="496">
      <c r="A496" s="538" t="s">
        <v>3511</v>
      </c>
      <c r="C496" s="574"/>
      <c r="D496" s="574"/>
      <c r="E496" s="574"/>
      <c r="F496" s="575"/>
      <c r="G496" s="575"/>
      <c r="H496" s="576"/>
      <c r="M496" s="122"/>
      <c r="N496" s="75"/>
      <c r="P496" s="75"/>
      <c r="R496" s="144"/>
      <c r="S496" s="548"/>
    </row>
    <row r="497">
      <c r="A497" s="538" t="s">
        <v>3511</v>
      </c>
      <c r="C497" s="574"/>
      <c r="D497" s="574"/>
      <c r="E497" s="574"/>
      <c r="F497" s="575"/>
      <c r="G497" s="575"/>
      <c r="H497" s="576"/>
      <c r="M497" s="122"/>
      <c r="N497" s="75"/>
      <c r="P497" s="75"/>
      <c r="R497" s="144"/>
      <c r="S497" s="548"/>
    </row>
    <row r="498">
      <c r="A498" s="538" t="s">
        <v>3511</v>
      </c>
      <c r="C498" s="574"/>
      <c r="D498" s="574"/>
      <c r="E498" s="574"/>
      <c r="F498" s="575"/>
      <c r="G498" s="575"/>
      <c r="H498" s="576"/>
      <c r="M498" s="122"/>
      <c r="N498" s="75"/>
      <c r="P498" s="75"/>
      <c r="R498" s="144"/>
      <c r="S498" s="548"/>
    </row>
    <row r="499">
      <c r="A499" s="538" t="s">
        <v>3511</v>
      </c>
      <c r="C499" s="574"/>
      <c r="D499" s="574"/>
      <c r="E499" s="574"/>
      <c r="F499" s="575"/>
      <c r="G499" s="575"/>
      <c r="H499" s="576"/>
      <c r="M499" s="122"/>
      <c r="N499" s="75"/>
      <c r="P499" s="75"/>
      <c r="R499" s="144"/>
      <c r="S499" s="548"/>
    </row>
    <row r="500">
      <c r="A500" s="538" t="s">
        <v>3511</v>
      </c>
      <c r="C500" s="574"/>
      <c r="D500" s="574"/>
      <c r="E500" s="574"/>
      <c r="F500" s="575"/>
      <c r="G500" s="575"/>
      <c r="H500" s="576"/>
      <c r="M500" s="122"/>
      <c r="N500" s="75"/>
      <c r="P500" s="75"/>
      <c r="R500" s="144"/>
      <c r="S500" s="548"/>
    </row>
    <row r="501">
      <c r="A501" s="538" t="s">
        <v>3511</v>
      </c>
      <c r="C501" s="574"/>
      <c r="D501" s="574"/>
      <c r="E501" s="574"/>
      <c r="F501" s="575"/>
      <c r="G501" s="575"/>
      <c r="H501" s="576"/>
      <c r="M501" s="122"/>
      <c r="N501" s="75"/>
      <c r="P501" s="75"/>
      <c r="R501" s="144"/>
      <c r="S501" s="548"/>
    </row>
    <row r="502">
      <c r="A502" s="538" t="s">
        <v>3511</v>
      </c>
      <c r="C502" s="574"/>
      <c r="D502" s="574"/>
      <c r="E502" s="574"/>
      <c r="F502" s="575"/>
      <c r="G502" s="575"/>
      <c r="H502" s="576"/>
      <c r="M502" s="122"/>
      <c r="N502" s="75"/>
      <c r="P502" s="75"/>
      <c r="R502" s="144"/>
      <c r="S502" s="548"/>
    </row>
    <row r="503">
      <c r="A503" s="538" t="s">
        <v>3511</v>
      </c>
      <c r="C503" s="574"/>
      <c r="D503" s="574"/>
      <c r="E503" s="574"/>
      <c r="F503" s="575"/>
      <c r="G503" s="575"/>
      <c r="H503" s="576"/>
      <c r="M503" s="122"/>
      <c r="N503" s="75"/>
      <c r="P503" s="75"/>
      <c r="R503" s="144"/>
      <c r="S503" s="548"/>
    </row>
    <row r="504">
      <c r="A504" s="538" t="s">
        <v>3511</v>
      </c>
      <c r="C504" s="574"/>
      <c r="D504" s="574"/>
      <c r="E504" s="574"/>
      <c r="F504" s="575"/>
      <c r="G504" s="575"/>
      <c r="H504" s="576"/>
      <c r="M504" s="122"/>
      <c r="N504" s="75"/>
      <c r="P504" s="75"/>
      <c r="R504" s="144"/>
      <c r="S504" s="548"/>
    </row>
    <row r="505">
      <c r="A505" s="538" t="s">
        <v>3511</v>
      </c>
      <c r="C505" s="574"/>
      <c r="D505" s="574"/>
      <c r="E505" s="574"/>
      <c r="F505" s="575"/>
      <c r="G505" s="575"/>
      <c r="H505" s="576"/>
      <c r="M505" s="122"/>
      <c r="N505" s="75"/>
      <c r="P505" s="75"/>
      <c r="R505" s="144"/>
      <c r="S505" s="548"/>
    </row>
    <row r="506">
      <c r="A506" s="538" t="s">
        <v>3511</v>
      </c>
      <c r="C506" s="574"/>
      <c r="D506" s="574"/>
      <c r="E506" s="574"/>
      <c r="F506" s="575"/>
      <c r="G506" s="575"/>
      <c r="H506" s="576"/>
      <c r="M506" s="122"/>
      <c r="N506" s="75"/>
      <c r="P506" s="75"/>
      <c r="R506" s="144"/>
      <c r="S506" s="548"/>
    </row>
    <row r="507">
      <c r="A507" s="538" t="s">
        <v>3511</v>
      </c>
      <c r="C507" s="574"/>
      <c r="D507" s="574"/>
      <c r="E507" s="574"/>
      <c r="F507" s="575"/>
      <c r="G507" s="575"/>
      <c r="H507" s="576"/>
      <c r="M507" s="122"/>
      <c r="N507" s="75"/>
      <c r="P507" s="75"/>
      <c r="R507" s="144"/>
      <c r="S507" s="548"/>
    </row>
    <row r="508">
      <c r="A508" s="538" t="s">
        <v>3511</v>
      </c>
      <c r="C508" s="574"/>
      <c r="D508" s="574"/>
      <c r="E508" s="574"/>
      <c r="F508" s="575"/>
      <c r="G508" s="575"/>
      <c r="H508" s="576"/>
      <c r="M508" s="122"/>
      <c r="N508" s="75"/>
      <c r="P508" s="75"/>
      <c r="R508" s="144"/>
      <c r="S508" s="548"/>
    </row>
    <row r="509">
      <c r="A509" s="538" t="s">
        <v>3511</v>
      </c>
      <c r="C509" s="574"/>
      <c r="D509" s="574"/>
      <c r="E509" s="574"/>
      <c r="F509" s="575"/>
      <c r="G509" s="575"/>
      <c r="H509" s="576"/>
      <c r="M509" s="122"/>
      <c r="N509" s="75"/>
      <c r="P509" s="75"/>
      <c r="R509" s="144"/>
      <c r="S509" s="548"/>
    </row>
    <row r="510">
      <c r="A510" s="538" t="s">
        <v>3511</v>
      </c>
      <c r="C510" s="574"/>
      <c r="D510" s="574"/>
      <c r="E510" s="574"/>
      <c r="F510" s="575"/>
      <c r="G510" s="575"/>
      <c r="H510" s="576"/>
      <c r="M510" s="122"/>
      <c r="N510" s="75"/>
      <c r="P510" s="75"/>
      <c r="R510" s="144"/>
      <c r="S510" s="548"/>
    </row>
    <row r="511">
      <c r="A511" s="538" t="s">
        <v>3511</v>
      </c>
      <c r="C511" s="574"/>
      <c r="D511" s="574"/>
      <c r="E511" s="574"/>
      <c r="F511" s="575"/>
      <c r="G511" s="575"/>
      <c r="H511" s="576"/>
      <c r="M511" s="122"/>
      <c r="N511" s="75"/>
      <c r="P511" s="75"/>
      <c r="R511" s="144"/>
      <c r="S511" s="548"/>
    </row>
    <row r="512">
      <c r="A512" s="538" t="s">
        <v>3511</v>
      </c>
      <c r="C512" s="574"/>
      <c r="D512" s="574"/>
      <c r="E512" s="574"/>
      <c r="F512" s="575"/>
      <c r="G512" s="575"/>
      <c r="H512" s="576"/>
      <c r="M512" s="122"/>
      <c r="N512" s="75"/>
      <c r="P512" s="75"/>
      <c r="R512" s="144"/>
      <c r="S512" s="548"/>
    </row>
    <row r="513">
      <c r="A513" s="538" t="s">
        <v>3511</v>
      </c>
      <c r="C513" s="574"/>
      <c r="D513" s="574"/>
      <c r="E513" s="574"/>
      <c r="F513" s="575"/>
      <c r="G513" s="575"/>
      <c r="H513" s="576"/>
      <c r="M513" s="122"/>
      <c r="N513" s="75"/>
      <c r="P513" s="75"/>
      <c r="R513" s="144"/>
      <c r="S513" s="548"/>
    </row>
    <row r="514">
      <c r="A514" s="538" t="s">
        <v>3511</v>
      </c>
      <c r="C514" s="574"/>
      <c r="D514" s="574"/>
      <c r="E514" s="574"/>
      <c r="F514" s="575"/>
      <c r="G514" s="575"/>
      <c r="H514" s="576"/>
      <c r="M514" s="122"/>
      <c r="N514" s="75"/>
      <c r="P514" s="75"/>
      <c r="R514" s="144"/>
      <c r="S514" s="548"/>
    </row>
    <row r="515">
      <c r="A515" s="538" t="s">
        <v>3511</v>
      </c>
      <c r="C515" s="574"/>
      <c r="D515" s="574"/>
      <c r="E515" s="574"/>
      <c r="F515" s="575"/>
      <c r="G515" s="575"/>
      <c r="H515" s="576"/>
      <c r="M515" s="122"/>
      <c r="N515" s="75"/>
      <c r="P515" s="75"/>
      <c r="R515" s="144"/>
      <c r="S515" s="548"/>
    </row>
    <row r="516">
      <c r="A516" s="538" t="s">
        <v>3511</v>
      </c>
      <c r="C516" s="574"/>
      <c r="D516" s="574"/>
      <c r="E516" s="574"/>
      <c r="F516" s="575"/>
      <c r="G516" s="575"/>
      <c r="H516" s="576"/>
      <c r="M516" s="122"/>
      <c r="N516" s="75"/>
      <c r="P516" s="75"/>
      <c r="R516" s="144"/>
      <c r="S516" s="548"/>
    </row>
    <row r="517">
      <c r="A517" s="538" t="s">
        <v>3511</v>
      </c>
      <c r="C517" s="574"/>
      <c r="D517" s="574"/>
      <c r="E517" s="574"/>
      <c r="F517" s="575"/>
      <c r="G517" s="575"/>
      <c r="H517" s="576"/>
      <c r="M517" s="122"/>
      <c r="N517" s="75"/>
      <c r="P517" s="75"/>
      <c r="R517" s="144"/>
      <c r="S517" s="548"/>
    </row>
    <row r="518">
      <c r="A518" s="538" t="s">
        <v>3511</v>
      </c>
      <c r="C518" s="574"/>
      <c r="D518" s="574"/>
      <c r="E518" s="574"/>
      <c r="F518" s="575"/>
      <c r="G518" s="575"/>
      <c r="H518" s="576"/>
      <c r="M518" s="122"/>
      <c r="N518" s="75"/>
      <c r="P518" s="75"/>
      <c r="R518" s="144"/>
      <c r="S518" s="548"/>
    </row>
    <row r="519">
      <c r="A519" s="538" t="s">
        <v>3511</v>
      </c>
      <c r="C519" s="574"/>
      <c r="D519" s="574"/>
      <c r="E519" s="574"/>
      <c r="F519" s="575"/>
      <c r="G519" s="575"/>
      <c r="H519" s="576"/>
      <c r="M519" s="122"/>
      <c r="N519" s="75"/>
      <c r="P519" s="75"/>
      <c r="R519" s="144"/>
      <c r="S519" s="548"/>
    </row>
    <row r="520">
      <c r="A520" s="538" t="s">
        <v>3511</v>
      </c>
      <c r="C520" s="574"/>
      <c r="D520" s="574"/>
      <c r="E520" s="574"/>
      <c r="F520" s="575"/>
      <c r="G520" s="575"/>
      <c r="H520" s="576"/>
      <c r="M520" s="122"/>
      <c r="N520" s="75"/>
      <c r="P520" s="75"/>
      <c r="R520" s="144"/>
      <c r="S520" s="548"/>
    </row>
    <row r="521">
      <c r="A521" s="538" t="s">
        <v>3511</v>
      </c>
      <c r="C521" s="574"/>
      <c r="D521" s="574"/>
      <c r="E521" s="574"/>
      <c r="F521" s="575"/>
      <c r="G521" s="575"/>
      <c r="H521" s="576"/>
      <c r="M521" s="122"/>
      <c r="N521" s="75"/>
      <c r="P521" s="75"/>
      <c r="R521" s="144"/>
      <c r="S521" s="548"/>
    </row>
    <row r="522">
      <c r="A522" s="538" t="s">
        <v>3511</v>
      </c>
      <c r="C522" s="574"/>
      <c r="D522" s="574"/>
      <c r="E522" s="574"/>
      <c r="F522" s="575"/>
      <c r="G522" s="575"/>
      <c r="H522" s="576"/>
      <c r="M522" s="122"/>
      <c r="N522" s="75"/>
      <c r="P522" s="75"/>
      <c r="R522" s="144"/>
      <c r="S522" s="548"/>
    </row>
    <row r="523">
      <c r="A523" s="538" t="s">
        <v>3511</v>
      </c>
      <c r="C523" s="574"/>
      <c r="D523" s="574"/>
      <c r="E523" s="574"/>
      <c r="F523" s="575"/>
      <c r="G523" s="575"/>
      <c r="H523" s="576"/>
      <c r="M523" s="122"/>
      <c r="N523" s="75"/>
      <c r="P523" s="75"/>
      <c r="R523" s="144"/>
      <c r="S523" s="548"/>
    </row>
    <row r="524">
      <c r="A524" s="538" t="s">
        <v>3511</v>
      </c>
      <c r="C524" s="574"/>
      <c r="D524" s="574"/>
      <c r="E524" s="574"/>
      <c r="F524" s="575"/>
      <c r="G524" s="575"/>
      <c r="H524" s="576"/>
      <c r="M524" s="122"/>
      <c r="N524" s="75"/>
      <c r="P524" s="75"/>
      <c r="R524" s="144"/>
      <c r="S524" s="548"/>
    </row>
    <row r="525">
      <c r="A525" s="538" t="s">
        <v>3511</v>
      </c>
      <c r="C525" s="574"/>
      <c r="D525" s="574"/>
      <c r="E525" s="574"/>
      <c r="F525" s="575"/>
      <c r="G525" s="575"/>
      <c r="H525" s="576"/>
      <c r="M525" s="122"/>
      <c r="N525" s="75"/>
      <c r="P525" s="75"/>
      <c r="R525" s="144"/>
      <c r="S525" s="548"/>
    </row>
    <row r="526">
      <c r="A526" s="538" t="s">
        <v>3511</v>
      </c>
      <c r="C526" s="574"/>
      <c r="D526" s="574"/>
      <c r="E526" s="574"/>
      <c r="F526" s="575"/>
      <c r="G526" s="575"/>
      <c r="H526" s="576"/>
      <c r="M526" s="122"/>
      <c r="N526" s="75"/>
      <c r="P526" s="75"/>
      <c r="R526" s="144"/>
      <c r="S526" s="548"/>
    </row>
    <row r="527">
      <c r="A527" s="538" t="s">
        <v>3511</v>
      </c>
      <c r="C527" s="574"/>
      <c r="D527" s="574"/>
      <c r="E527" s="574"/>
      <c r="F527" s="575"/>
      <c r="G527" s="575"/>
      <c r="H527" s="576"/>
      <c r="M527" s="122"/>
      <c r="N527" s="75"/>
      <c r="P527" s="75"/>
      <c r="R527" s="144"/>
      <c r="S527" s="548"/>
    </row>
    <row r="528">
      <c r="A528" s="538" t="s">
        <v>3511</v>
      </c>
      <c r="C528" s="574"/>
      <c r="D528" s="574"/>
      <c r="E528" s="574"/>
      <c r="F528" s="575"/>
      <c r="G528" s="575"/>
      <c r="H528" s="576"/>
      <c r="M528" s="122"/>
      <c r="N528" s="75"/>
      <c r="P528" s="75"/>
      <c r="R528" s="144"/>
      <c r="S528" s="548"/>
    </row>
    <row r="529">
      <c r="A529" s="538" t="s">
        <v>3511</v>
      </c>
      <c r="C529" s="574"/>
      <c r="D529" s="574"/>
      <c r="E529" s="574"/>
      <c r="F529" s="575"/>
      <c r="G529" s="575"/>
      <c r="H529" s="576"/>
      <c r="M529" s="122"/>
      <c r="N529" s="75"/>
      <c r="P529" s="75"/>
      <c r="R529" s="144"/>
      <c r="S529" s="548"/>
    </row>
    <row r="530">
      <c r="A530" s="538" t="s">
        <v>3511</v>
      </c>
      <c r="C530" s="574"/>
      <c r="D530" s="574"/>
      <c r="E530" s="574"/>
      <c r="F530" s="575"/>
      <c r="G530" s="575"/>
      <c r="H530" s="576"/>
      <c r="M530" s="122"/>
      <c r="N530" s="75"/>
      <c r="P530" s="75"/>
      <c r="R530" s="144"/>
      <c r="S530" s="548"/>
    </row>
    <row r="531">
      <c r="A531" s="538" t="s">
        <v>3511</v>
      </c>
      <c r="C531" s="574"/>
      <c r="D531" s="574"/>
      <c r="E531" s="574"/>
      <c r="F531" s="575"/>
      <c r="G531" s="575"/>
      <c r="H531" s="576"/>
      <c r="M531" s="122"/>
      <c r="N531" s="75"/>
      <c r="P531" s="75"/>
      <c r="R531" s="144"/>
      <c r="S531" s="548"/>
    </row>
    <row r="532">
      <c r="A532" s="538" t="s">
        <v>3511</v>
      </c>
      <c r="C532" s="574"/>
      <c r="D532" s="574"/>
      <c r="E532" s="574"/>
      <c r="F532" s="575"/>
      <c r="G532" s="575"/>
      <c r="H532" s="576"/>
      <c r="M532" s="122"/>
      <c r="N532" s="75"/>
      <c r="P532" s="75"/>
      <c r="R532" s="144"/>
      <c r="S532" s="548"/>
    </row>
    <row r="533">
      <c r="A533" s="538" t="s">
        <v>3511</v>
      </c>
      <c r="C533" s="574"/>
      <c r="D533" s="574"/>
      <c r="E533" s="574"/>
      <c r="F533" s="575"/>
      <c r="G533" s="575"/>
      <c r="H533" s="576"/>
      <c r="M533" s="122"/>
      <c r="N533" s="75"/>
      <c r="P533" s="75"/>
      <c r="R533" s="144"/>
      <c r="S533" s="548"/>
    </row>
    <row r="534">
      <c r="A534" s="538" t="s">
        <v>3511</v>
      </c>
      <c r="C534" s="574"/>
      <c r="D534" s="574"/>
      <c r="E534" s="574"/>
      <c r="F534" s="575"/>
      <c r="G534" s="575"/>
      <c r="H534" s="576"/>
      <c r="M534" s="122"/>
      <c r="N534" s="75"/>
      <c r="P534" s="75"/>
      <c r="R534" s="144"/>
      <c r="S534" s="548"/>
    </row>
    <row r="535">
      <c r="A535" s="538" t="s">
        <v>3511</v>
      </c>
      <c r="C535" s="574"/>
      <c r="D535" s="574"/>
      <c r="E535" s="574"/>
      <c r="F535" s="575"/>
      <c r="G535" s="575"/>
      <c r="H535" s="576"/>
      <c r="M535" s="122"/>
      <c r="N535" s="75"/>
      <c r="P535" s="75"/>
      <c r="R535" s="144"/>
      <c r="S535" s="548"/>
    </row>
    <row r="536">
      <c r="A536" s="538" t="s">
        <v>3511</v>
      </c>
      <c r="C536" s="574"/>
      <c r="D536" s="574"/>
      <c r="E536" s="574"/>
      <c r="F536" s="575"/>
      <c r="G536" s="575"/>
      <c r="H536" s="576"/>
      <c r="M536" s="122"/>
      <c r="N536" s="75"/>
      <c r="P536" s="75"/>
      <c r="R536" s="144"/>
      <c r="S536" s="548"/>
    </row>
    <row r="537">
      <c r="A537" s="538" t="s">
        <v>3511</v>
      </c>
      <c r="C537" s="574"/>
      <c r="D537" s="574"/>
      <c r="E537" s="574"/>
      <c r="F537" s="575"/>
      <c r="G537" s="575"/>
      <c r="H537" s="576"/>
      <c r="M537" s="122"/>
      <c r="N537" s="75"/>
      <c r="P537" s="75"/>
      <c r="R537" s="144"/>
      <c r="S537" s="548"/>
    </row>
    <row r="538">
      <c r="A538" s="538" t="s">
        <v>3511</v>
      </c>
      <c r="C538" s="574"/>
      <c r="D538" s="574"/>
      <c r="E538" s="574"/>
      <c r="F538" s="575"/>
      <c r="G538" s="575"/>
      <c r="H538" s="576"/>
      <c r="M538" s="122"/>
      <c r="N538" s="75"/>
      <c r="P538" s="75"/>
      <c r="R538" s="144"/>
      <c r="S538" s="548"/>
    </row>
    <row r="539">
      <c r="A539" s="538" t="s">
        <v>3511</v>
      </c>
      <c r="C539" s="574"/>
      <c r="D539" s="574"/>
      <c r="E539" s="574"/>
      <c r="F539" s="575"/>
      <c r="G539" s="575"/>
      <c r="H539" s="576"/>
      <c r="M539" s="122"/>
      <c r="N539" s="75"/>
      <c r="P539" s="75"/>
      <c r="R539" s="144"/>
      <c r="S539" s="548"/>
    </row>
    <row r="540">
      <c r="A540" s="538" t="s">
        <v>3511</v>
      </c>
      <c r="C540" s="574"/>
      <c r="D540" s="574"/>
      <c r="E540" s="574"/>
      <c r="F540" s="575"/>
      <c r="G540" s="575"/>
      <c r="H540" s="576"/>
      <c r="M540" s="122"/>
      <c r="N540" s="75"/>
      <c r="P540" s="75"/>
      <c r="R540" s="144"/>
      <c r="S540" s="548"/>
    </row>
    <row r="541">
      <c r="A541" s="538" t="s">
        <v>3511</v>
      </c>
      <c r="C541" s="574"/>
      <c r="D541" s="574"/>
      <c r="E541" s="574"/>
      <c r="F541" s="575"/>
      <c r="G541" s="575"/>
      <c r="H541" s="576"/>
      <c r="M541" s="122"/>
      <c r="N541" s="75"/>
      <c r="P541" s="75"/>
      <c r="R541" s="144"/>
      <c r="S541" s="548"/>
    </row>
    <row r="542">
      <c r="A542" s="538" t="s">
        <v>3511</v>
      </c>
      <c r="C542" s="574"/>
      <c r="D542" s="574"/>
      <c r="E542" s="574"/>
      <c r="F542" s="575"/>
      <c r="G542" s="575"/>
      <c r="H542" s="576"/>
      <c r="M542" s="122"/>
      <c r="N542" s="75"/>
      <c r="P542" s="75"/>
      <c r="R542" s="144"/>
      <c r="S542" s="548"/>
    </row>
    <row r="543">
      <c r="A543" s="538" t="s">
        <v>3511</v>
      </c>
      <c r="C543" s="574"/>
      <c r="D543" s="574"/>
      <c r="E543" s="574"/>
      <c r="F543" s="575"/>
      <c r="G543" s="575"/>
      <c r="H543" s="576"/>
      <c r="M543" s="122"/>
      <c r="N543" s="75"/>
      <c r="P543" s="75"/>
      <c r="R543" s="144"/>
      <c r="S543" s="548"/>
    </row>
    <row r="544">
      <c r="A544" s="538" t="s">
        <v>3511</v>
      </c>
      <c r="C544" s="574"/>
      <c r="D544" s="574"/>
      <c r="E544" s="574"/>
      <c r="F544" s="575"/>
      <c r="G544" s="575"/>
      <c r="H544" s="576"/>
      <c r="M544" s="122"/>
      <c r="N544" s="75"/>
      <c r="P544" s="75"/>
      <c r="R544" s="144"/>
      <c r="S544" s="548"/>
    </row>
    <row r="545">
      <c r="A545" s="538" t="s">
        <v>3511</v>
      </c>
      <c r="C545" s="574"/>
      <c r="D545" s="574"/>
      <c r="E545" s="574"/>
      <c r="F545" s="575"/>
      <c r="G545" s="575"/>
      <c r="H545" s="576"/>
      <c r="M545" s="122"/>
      <c r="N545" s="75"/>
      <c r="P545" s="75"/>
      <c r="R545" s="144"/>
      <c r="S545" s="548"/>
    </row>
    <row r="546">
      <c r="A546" s="538" t="s">
        <v>3511</v>
      </c>
      <c r="C546" s="574"/>
      <c r="D546" s="574"/>
      <c r="E546" s="574"/>
      <c r="F546" s="575"/>
      <c r="G546" s="575"/>
      <c r="H546" s="576"/>
      <c r="M546" s="122"/>
      <c r="N546" s="75"/>
      <c r="P546" s="75"/>
      <c r="R546" s="144"/>
      <c r="S546" s="548"/>
    </row>
    <row r="547">
      <c r="A547" s="538" t="s">
        <v>3511</v>
      </c>
      <c r="C547" s="574"/>
      <c r="D547" s="574"/>
      <c r="E547" s="574"/>
      <c r="F547" s="575"/>
      <c r="G547" s="575"/>
      <c r="H547" s="576"/>
      <c r="M547" s="122"/>
      <c r="N547" s="75"/>
      <c r="P547" s="75"/>
      <c r="R547" s="144"/>
      <c r="S547" s="548"/>
    </row>
    <row r="548">
      <c r="A548" s="538" t="s">
        <v>3511</v>
      </c>
      <c r="C548" s="574"/>
      <c r="D548" s="574"/>
      <c r="E548" s="574"/>
      <c r="F548" s="575"/>
      <c r="G548" s="575"/>
      <c r="H548" s="576"/>
      <c r="M548" s="122"/>
      <c r="N548" s="75"/>
      <c r="P548" s="75"/>
      <c r="R548" s="144"/>
      <c r="S548" s="548"/>
    </row>
    <row r="549">
      <c r="A549" s="538" t="s">
        <v>3511</v>
      </c>
      <c r="C549" s="574"/>
      <c r="D549" s="574"/>
      <c r="E549" s="574"/>
      <c r="F549" s="575"/>
      <c r="G549" s="575"/>
      <c r="H549" s="576"/>
      <c r="M549" s="122"/>
      <c r="N549" s="75"/>
      <c r="P549" s="75"/>
      <c r="R549" s="144"/>
      <c r="S549" s="548"/>
    </row>
    <row r="550">
      <c r="A550" s="538" t="s">
        <v>3511</v>
      </c>
      <c r="C550" s="574"/>
      <c r="D550" s="574"/>
      <c r="E550" s="574"/>
      <c r="F550" s="575"/>
      <c r="G550" s="575"/>
      <c r="H550" s="576"/>
      <c r="M550" s="122"/>
      <c r="N550" s="75"/>
      <c r="P550" s="75"/>
      <c r="R550" s="144"/>
      <c r="S550" s="548"/>
    </row>
    <row r="551">
      <c r="A551" s="538" t="s">
        <v>3511</v>
      </c>
      <c r="C551" s="574"/>
      <c r="D551" s="574"/>
      <c r="E551" s="574"/>
      <c r="F551" s="575"/>
      <c r="G551" s="575"/>
      <c r="H551" s="576"/>
      <c r="M551" s="122"/>
      <c r="N551" s="75"/>
      <c r="P551" s="75"/>
      <c r="R551" s="144"/>
      <c r="S551" s="548"/>
    </row>
    <row r="552">
      <c r="A552" s="538" t="s">
        <v>3511</v>
      </c>
      <c r="C552" s="574"/>
      <c r="D552" s="574"/>
      <c r="E552" s="574"/>
      <c r="F552" s="575"/>
      <c r="G552" s="575"/>
      <c r="H552" s="576"/>
      <c r="M552" s="122"/>
      <c r="N552" s="75"/>
      <c r="P552" s="75"/>
      <c r="R552" s="144"/>
      <c r="S552" s="548"/>
    </row>
    <row r="553">
      <c r="A553" s="538" t="s">
        <v>3511</v>
      </c>
      <c r="C553" s="574"/>
      <c r="D553" s="574"/>
      <c r="E553" s="574"/>
      <c r="F553" s="575"/>
      <c r="G553" s="575"/>
      <c r="H553" s="576"/>
      <c r="M553" s="122"/>
      <c r="N553" s="75"/>
      <c r="P553" s="75"/>
      <c r="R553" s="144"/>
      <c r="S553" s="548"/>
    </row>
    <row r="554">
      <c r="A554" s="538" t="s">
        <v>3511</v>
      </c>
      <c r="C554" s="574"/>
      <c r="D554" s="574"/>
      <c r="E554" s="574"/>
      <c r="F554" s="575"/>
      <c r="G554" s="575"/>
      <c r="H554" s="576"/>
      <c r="M554" s="122"/>
      <c r="N554" s="75"/>
      <c r="P554" s="75"/>
      <c r="R554" s="144"/>
      <c r="S554" s="548"/>
    </row>
    <row r="555">
      <c r="A555" s="538" t="s">
        <v>3511</v>
      </c>
      <c r="C555" s="574"/>
      <c r="D555" s="574"/>
      <c r="E555" s="574"/>
      <c r="F555" s="575"/>
      <c r="G555" s="575"/>
      <c r="H555" s="576"/>
      <c r="M555" s="122"/>
      <c r="N555" s="75"/>
      <c r="P555" s="75"/>
      <c r="R555" s="144"/>
      <c r="S555" s="548"/>
    </row>
    <row r="556">
      <c r="A556" s="538" t="s">
        <v>3511</v>
      </c>
      <c r="C556" s="574"/>
      <c r="D556" s="574"/>
      <c r="E556" s="574"/>
      <c r="F556" s="575"/>
      <c r="G556" s="575"/>
      <c r="H556" s="576"/>
      <c r="M556" s="122"/>
      <c r="N556" s="75"/>
      <c r="P556" s="75"/>
      <c r="R556" s="144"/>
      <c r="S556" s="548"/>
    </row>
    <row r="557">
      <c r="A557" s="538" t="s">
        <v>3511</v>
      </c>
      <c r="C557" s="574"/>
      <c r="D557" s="574"/>
      <c r="E557" s="574"/>
      <c r="F557" s="575"/>
      <c r="G557" s="575"/>
      <c r="H557" s="576"/>
      <c r="M557" s="122"/>
      <c r="N557" s="75"/>
      <c r="P557" s="75"/>
      <c r="R557" s="144"/>
      <c r="S557" s="548"/>
    </row>
    <row r="558">
      <c r="A558" s="538" t="s">
        <v>3511</v>
      </c>
      <c r="C558" s="574"/>
      <c r="D558" s="574"/>
      <c r="E558" s="574"/>
      <c r="F558" s="575"/>
      <c r="G558" s="575"/>
      <c r="H558" s="576"/>
      <c r="M558" s="122"/>
      <c r="N558" s="75"/>
      <c r="P558" s="75"/>
      <c r="R558" s="144"/>
      <c r="S558" s="548"/>
    </row>
    <row r="559">
      <c r="A559" s="538" t="s">
        <v>3511</v>
      </c>
      <c r="C559" s="574"/>
      <c r="D559" s="574"/>
      <c r="E559" s="574"/>
      <c r="F559" s="575"/>
      <c r="G559" s="575"/>
      <c r="H559" s="576"/>
      <c r="M559" s="122"/>
      <c r="N559" s="75"/>
      <c r="P559" s="75"/>
      <c r="R559" s="144"/>
      <c r="S559" s="548"/>
    </row>
    <row r="560">
      <c r="A560" s="538" t="s">
        <v>3511</v>
      </c>
      <c r="C560" s="574"/>
      <c r="D560" s="574"/>
      <c r="E560" s="574"/>
      <c r="F560" s="575"/>
      <c r="G560" s="575"/>
      <c r="H560" s="576"/>
      <c r="M560" s="122"/>
      <c r="N560" s="75"/>
      <c r="P560" s="75"/>
      <c r="R560" s="144"/>
      <c r="S560" s="548"/>
    </row>
    <row r="561">
      <c r="A561" s="538" t="s">
        <v>3511</v>
      </c>
      <c r="C561" s="574"/>
      <c r="D561" s="574"/>
      <c r="E561" s="574"/>
      <c r="F561" s="575"/>
      <c r="G561" s="575"/>
      <c r="H561" s="576"/>
      <c r="M561" s="122"/>
      <c r="N561" s="75"/>
      <c r="P561" s="75"/>
      <c r="R561" s="144"/>
      <c r="S561" s="548"/>
    </row>
    <row r="562">
      <c r="A562" s="538" t="s">
        <v>3511</v>
      </c>
      <c r="C562" s="574"/>
      <c r="D562" s="574"/>
      <c r="E562" s="574"/>
      <c r="F562" s="575"/>
      <c r="G562" s="575"/>
      <c r="H562" s="576"/>
      <c r="M562" s="122"/>
      <c r="N562" s="75"/>
      <c r="P562" s="75"/>
      <c r="R562" s="144"/>
      <c r="S562" s="548"/>
    </row>
    <row r="563">
      <c r="A563" s="538" t="s">
        <v>3511</v>
      </c>
      <c r="C563" s="574"/>
      <c r="D563" s="574"/>
      <c r="E563" s="574"/>
      <c r="F563" s="575"/>
      <c r="G563" s="575"/>
      <c r="H563" s="576"/>
      <c r="M563" s="122"/>
      <c r="N563" s="75"/>
      <c r="P563" s="75"/>
      <c r="R563" s="144"/>
      <c r="S563" s="548"/>
    </row>
    <row r="564">
      <c r="A564" s="538" t="s">
        <v>3511</v>
      </c>
      <c r="C564" s="574"/>
      <c r="D564" s="574"/>
      <c r="E564" s="574"/>
      <c r="F564" s="575"/>
      <c r="G564" s="575"/>
      <c r="H564" s="576"/>
      <c r="M564" s="122"/>
      <c r="N564" s="75"/>
      <c r="P564" s="75"/>
      <c r="R564" s="144"/>
      <c r="S564" s="548"/>
    </row>
    <row r="565">
      <c r="A565" s="538" t="s">
        <v>3511</v>
      </c>
      <c r="C565" s="574"/>
      <c r="D565" s="574"/>
      <c r="E565" s="574"/>
      <c r="F565" s="575"/>
      <c r="G565" s="575"/>
      <c r="H565" s="576"/>
      <c r="M565" s="122"/>
      <c r="N565" s="75"/>
      <c r="P565" s="75"/>
      <c r="R565" s="144"/>
      <c r="S565" s="548"/>
    </row>
    <row r="566">
      <c r="A566" s="538" t="s">
        <v>3511</v>
      </c>
      <c r="C566" s="574"/>
      <c r="D566" s="574"/>
      <c r="E566" s="574"/>
      <c r="F566" s="575"/>
      <c r="G566" s="575"/>
      <c r="H566" s="576"/>
      <c r="M566" s="122"/>
      <c r="N566" s="75"/>
      <c r="P566" s="75"/>
      <c r="R566" s="144"/>
      <c r="S566" s="548"/>
    </row>
    <row r="567">
      <c r="A567" s="538" t="s">
        <v>3511</v>
      </c>
      <c r="C567" s="574"/>
      <c r="D567" s="574"/>
      <c r="E567" s="574"/>
      <c r="F567" s="575"/>
      <c r="G567" s="575"/>
      <c r="H567" s="576"/>
      <c r="M567" s="122"/>
      <c r="N567" s="75"/>
      <c r="P567" s="75"/>
      <c r="R567" s="144"/>
      <c r="S567" s="548"/>
    </row>
    <row r="568">
      <c r="A568" s="538" t="s">
        <v>3511</v>
      </c>
      <c r="C568" s="574"/>
      <c r="D568" s="574"/>
      <c r="E568" s="574"/>
      <c r="F568" s="575"/>
      <c r="G568" s="575"/>
      <c r="H568" s="576"/>
      <c r="M568" s="122"/>
      <c r="N568" s="75"/>
      <c r="P568" s="75"/>
      <c r="R568" s="144"/>
      <c r="S568" s="548"/>
    </row>
    <row r="569">
      <c r="A569" s="538" t="s">
        <v>3511</v>
      </c>
      <c r="C569" s="574"/>
      <c r="D569" s="574"/>
      <c r="E569" s="574"/>
      <c r="F569" s="575"/>
      <c r="G569" s="575"/>
      <c r="H569" s="576"/>
      <c r="M569" s="122"/>
      <c r="N569" s="75"/>
      <c r="P569" s="75"/>
      <c r="R569" s="144"/>
      <c r="S569" s="548"/>
    </row>
    <row r="570">
      <c r="A570" s="538" t="s">
        <v>3511</v>
      </c>
      <c r="C570" s="574"/>
      <c r="D570" s="574"/>
      <c r="E570" s="574"/>
      <c r="F570" s="575"/>
      <c r="G570" s="575"/>
      <c r="H570" s="576"/>
      <c r="M570" s="122"/>
      <c r="N570" s="75"/>
      <c r="P570" s="75"/>
      <c r="R570" s="144"/>
      <c r="S570" s="548"/>
    </row>
    <row r="571">
      <c r="A571" s="538" t="s">
        <v>3511</v>
      </c>
      <c r="C571" s="574"/>
      <c r="D571" s="574"/>
      <c r="E571" s="574"/>
      <c r="F571" s="575"/>
      <c r="G571" s="575"/>
      <c r="H571" s="576"/>
      <c r="M571" s="122"/>
      <c r="N571" s="75"/>
      <c r="P571" s="75"/>
      <c r="R571" s="144"/>
      <c r="S571" s="548"/>
    </row>
    <row r="572">
      <c r="A572" s="538" t="s">
        <v>3511</v>
      </c>
      <c r="C572" s="574"/>
      <c r="D572" s="574"/>
      <c r="E572" s="574"/>
      <c r="F572" s="575"/>
      <c r="G572" s="575"/>
      <c r="H572" s="576"/>
      <c r="M572" s="122"/>
      <c r="N572" s="75"/>
      <c r="P572" s="75"/>
      <c r="R572" s="144"/>
      <c r="S572" s="548"/>
    </row>
    <row r="573">
      <c r="A573" s="538" t="s">
        <v>3511</v>
      </c>
      <c r="C573" s="574"/>
      <c r="D573" s="574"/>
      <c r="E573" s="574"/>
      <c r="F573" s="575"/>
      <c r="G573" s="575"/>
      <c r="H573" s="576"/>
      <c r="M573" s="122"/>
      <c r="N573" s="75"/>
      <c r="P573" s="75"/>
      <c r="R573" s="144"/>
      <c r="S573" s="548"/>
    </row>
    <row r="574">
      <c r="A574" s="538" t="s">
        <v>3511</v>
      </c>
      <c r="C574" s="574"/>
      <c r="D574" s="574"/>
      <c r="E574" s="574"/>
      <c r="F574" s="575"/>
      <c r="G574" s="575"/>
      <c r="H574" s="576"/>
      <c r="M574" s="122"/>
      <c r="N574" s="75"/>
      <c r="P574" s="75"/>
      <c r="R574" s="144"/>
      <c r="S574" s="548"/>
    </row>
    <row r="575">
      <c r="A575" s="538" t="s">
        <v>3511</v>
      </c>
      <c r="C575" s="574"/>
      <c r="D575" s="574"/>
      <c r="E575" s="574"/>
      <c r="F575" s="575"/>
      <c r="G575" s="575"/>
      <c r="H575" s="576"/>
      <c r="M575" s="122"/>
      <c r="N575" s="75"/>
      <c r="P575" s="75"/>
      <c r="R575" s="144"/>
      <c r="S575" s="548"/>
    </row>
    <row r="576">
      <c r="A576" s="538" t="s">
        <v>3511</v>
      </c>
      <c r="C576" s="574"/>
      <c r="D576" s="574"/>
      <c r="E576" s="574"/>
      <c r="F576" s="575"/>
      <c r="G576" s="575"/>
      <c r="H576" s="576"/>
      <c r="M576" s="122"/>
      <c r="N576" s="75"/>
      <c r="P576" s="75"/>
      <c r="R576" s="144"/>
      <c r="S576" s="548"/>
    </row>
    <row r="577">
      <c r="A577" s="538" t="s">
        <v>3511</v>
      </c>
      <c r="C577" s="574"/>
      <c r="D577" s="574"/>
      <c r="E577" s="574"/>
      <c r="F577" s="575"/>
      <c r="G577" s="575"/>
      <c r="H577" s="576"/>
      <c r="M577" s="122"/>
      <c r="N577" s="75"/>
      <c r="P577" s="75"/>
      <c r="R577" s="144"/>
      <c r="S577" s="548"/>
    </row>
    <row r="578">
      <c r="A578" s="538" t="s">
        <v>3511</v>
      </c>
      <c r="C578" s="574"/>
      <c r="D578" s="574"/>
      <c r="E578" s="574"/>
      <c r="F578" s="575"/>
      <c r="G578" s="575"/>
      <c r="H578" s="576"/>
      <c r="M578" s="122"/>
      <c r="N578" s="75"/>
      <c r="P578" s="75"/>
      <c r="R578" s="144"/>
      <c r="S578" s="548"/>
    </row>
    <row r="579">
      <c r="A579" s="538" t="s">
        <v>3511</v>
      </c>
      <c r="C579" s="574"/>
      <c r="D579" s="574"/>
      <c r="E579" s="574"/>
      <c r="F579" s="575"/>
      <c r="G579" s="575"/>
      <c r="H579" s="576"/>
      <c r="M579" s="122"/>
      <c r="N579" s="75"/>
      <c r="P579" s="75"/>
      <c r="R579" s="144"/>
      <c r="S579" s="548"/>
    </row>
    <row r="580">
      <c r="A580" s="538" t="s">
        <v>3511</v>
      </c>
      <c r="C580" s="574"/>
      <c r="D580" s="574"/>
      <c r="E580" s="574"/>
      <c r="F580" s="575"/>
      <c r="G580" s="575"/>
      <c r="H580" s="576"/>
      <c r="M580" s="122"/>
      <c r="N580" s="75"/>
      <c r="P580" s="75"/>
      <c r="R580" s="144"/>
      <c r="S580" s="548"/>
    </row>
    <row r="581">
      <c r="A581" s="538" t="s">
        <v>3511</v>
      </c>
      <c r="C581" s="574"/>
      <c r="D581" s="574"/>
      <c r="E581" s="574"/>
      <c r="F581" s="575"/>
      <c r="G581" s="575"/>
      <c r="H581" s="576"/>
      <c r="M581" s="122"/>
      <c r="N581" s="75"/>
      <c r="P581" s="75"/>
      <c r="R581" s="144"/>
      <c r="S581" s="548"/>
    </row>
    <row r="582">
      <c r="A582" s="538" t="s">
        <v>3511</v>
      </c>
      <c r="C582" s="574"/>
      <c r="D582" s="574"/>
      <c r="E582" s="574"/>
      <c r="F582" s="575"/>
      <c r="G582" s="575"/>
      <c r="H582" s="576"/>
      <c r="M582" s="122"/>
      <c r="N582" s="75"/>
      <c r="P582" s="75"/>
      <c r="R582" s="144"/>
      <c r="S582" s="548"/>
    </row>
    <row r="583">
      <c r="A583" s="538" t="s">
        <v>3511</v>
      </c>
      <c r="C583" s="574"/>
      <c r="D583" s="574"/>
      <c r="E583" s="574"/>
      <c r="F583" s="575"/>
      <c r="G583" s="575"/>
      <c r="H583" s="576"/>
      <c r="M583" s="122"/>
      <c r="N583" s="75"/>
      <c r="P583" s="75"/>
      <c r="R583" s="144"/>
      <c r="S583" s="548"/>
    </row>
    <row r="584">
      <c r="A584" s="538" t="s">
        <v>3511</v>
      </c>
      <c r="C584" s="574"/>
      <c r="D584" s="574"/>
      <c r="E584" s="574"/>
      <c r="F584" s="575"/>
      <c r="G584" s="575"/>
      <c r="H584" s="576"/>
      <c r="M584" s="122"/>
      <c r="N584" s="75"/>
      <c r="P584" s="75"/>
      <c r="R584" s="144"/>
      <c r="S584" s="548"/>
    </row>
    <row r="585">
      <c r="A585" s="538" t="s">
        <v>3511</v>
      </c>
      <c r="C585" s="574"/>
      <c r="D585" s="574"/>
      <c r="E585" s="574"/>
      <c r="F585" s="575"/>
      <c r="G585" s="575"/>
      <c r="H585" s="576"/>
      <c r="M585" s="122"/>
      <c r="N585" s="75"/>
      <c r="P585" s="75"/>
      <c r="R585" s="144"/>
      <c r="S585" s="548"/>
    </row>
    <row r="586">
      <c r="A586" s="538" t="s">
        <v>3511</v>
      </c>
      <c r="C586" s="574"/>
      <c r="D586" s="574"/>
      <c r="E586" s="574"/>
      <c r="F586" s="575"/>
      <c r="G586" s="575"/>
      <c r="H586" s="576"/>
      <c r="M586" s="122"/>
      <c r="N586" s="75"/>
      <c r="P586" s="75"/>
      <c r="R586" s="144"/>
      <c r="S586" s="548"/>
    </row>
    <row r="587">
      <c r="A587" s="538" t="s">
        <v>3511</v>
      </c>
      <c r="C587" s="574"/>
      <c r="D587" s="574"/>
      <c r="E587" s="574"/>
      <c r="F587" s="575"/>
      <c r="G587" s="575"/>
      <c r="H587" s="576"/>
      <c r="M587" s="122"/>
      <c r="N587" s="75"/>
      <c r="P587" s="75"/>
      <c r="R587" s="144"/>
      <c r="S587" s="548"/>
    </row>
    <row r="588">
      <c r="A588" s="538" t="s">
        <v>3511</v>
      </c>
      <c r="C588" s="574"/>
      <c r="D588" s="574"/>
      <c r="E588" s="574"/>
      <c r="F588" s="575"/>
      <c r="G588" s="575"/>
      <c r="H588" s="576"/>
      <c r="M588" s="122"/>
      <c r="N588" s="75"/>
      <c r="P588" s="75"/>
      <c r="R588" s="144"/>
      <c r="S588" s="548"/>
    </row>
    <row r="589">
      <c r="A589" s="538" t="s">
        <v>3511</v>
      </c>
      <c r="C589" s="574"/>
      <c r="D589" s="574"/>
      <c r="E589" s="574"/>
      <c r="F589" s="575"/>
      <c r="G589" s="575"/>
      <c r="H589" s="576"/>
      <c r="M589" s="122"/>
      <c r="N589" s="75"/>
      <c r="P589" s="75"/>
      <c r="R589" s="144"/>
      <c r="S589" s="548"/>
    </row>
    <row r="590">
      <c r="A590" s="538" t="s">
        <v>3511</v>
      </c>
      <c r="C590" s="574"/>
      <c r="D590" s="574"/>
      <c r="E590" s="574"/>
      <c r="F590" s="575"/>
      <c r="G590" s="575"/>
      <c r="H590" s="576"/>
      <c r="M590" s="122"/>
      <c r="N590" s="75"/>
      <c r="P590" s="75"/>
      <c r="R590" s="144"/>
      <c r="S590" s="548"/>
    </row>
    <row r="591">
      <c r="A591" s="538" t="s">
        <v>3511</v>
      </c>
      <c r="C591" s="574"/>
      <c r="D591" s="574"/>
      <c r="E591" s="574"/>
      <c r="F591" s="575"/>
      <c r="G591" s="575"/>
      <c r="H591" s="576"/>
      <c r="M591" s="122"/>
      <c r="N591" s="75"/>
      <c r="P591" s="75"/>
      <c r="R591" s="144"/>
      <c r="S591" s="548"/>
    </row>
    <row r="592">
      <c r="A592" s="538" t="s">
        <v>3511</v>
      </c>
      <c r="C592" s="574"/>
      <c r="D592" s="574"/>
      <c r="E592" s="574"/>
      <c r="F592" s="575"/>
      <c r="G592" s="575"/>
      <c r="H592" s="576"/>
      <c r="M592" s="122"/>
      <c r="N592" s="75"/>
      <c r="P592" s="75"/>
      <c r="R592" s="144"/>
      <c r="S592" s="548"/>
    </row>
    <row r="593">
      <c r="A593" s="538" t="s">
        <v>3511</v>
      </c>
      <c r="C593" s="574"/>
      <c r="D593" s="574"/>
      <c r="E593" s="574"/>
      <c r="F593" s="575"/>
      <c r="G593" s="575"/>
      <c r="H593" s="576"/>
      <c r="M593" s="122"/>
      <c r="N593" s="75"/>
      <c r="P593" s="75"/>
      <c r="R593" s="144"/>
      <c r="S593" s="548"/>
    </row>
    <row r="594">
      <c r="A594" s="538" t="s">
        <v>3511</v>
      </c>
      <c r="C594" s="574"/>
      <c r="D594" s="574"/>
      <c r="E594" s="574"/>
      <c r="F594" s="575"/>
      <c r="G594" s="575"/>
      <c r="H594" s="576"/>
      <c r="M594" s="122"/>
      <c r="N594" s="75"/>
      <c r="P594" s="75"/>
      <c r="R594" s="144"/>
      <c r="S594" s="548"/>
    </row>
    <row r="595">
      <c r="A595" s="538" t="s">
        <v>3511</v>
      </c>
      <c r="C595" s="574"/>
      <c r="D595" s="574"/>
      <c r="E595" s="574"/>
      <c r="F595" s="575"/>
      <c r="G595" s="575"/>
      <c r="H595" s="576"/>
      <c r="M595" s="122"/>
      <c r="N595" s="75"/>
      <c r="P595" s="75"/>
      <c r="R595" s="144"/>
      <c r="S595" s="548"/>
    </row>
    <row r="596">
      <c r="A596" s="538" t="s">
        <v>3511</v>
      </c>
      <c r="C596" s="574"/>
      <c r="D596" s="574"/>
      <c r="E596" s="574"/>
      <c r="F596" s="575"/>
      <c r="G596" s="575"/>
      <c r="H596" s="576"/>
      <c r="M596" s="122"/>
      <c r="N596" s="75"/>
      <c r="P596" s="75"/>
      <c r="R596" s="144"/>
      <c r="S596" s="548"/>
    </row>
    <row r="597">
      <c r="A597" s="538" t="s">
        <v>3511</v>
      </c>
      <c r="C597" s="574"/>
      <c r="D597" s="574"/>
      <c r="E597" s="574"/>
      <c r="F597" s="575"/>
      <c r="G597" s="575"/>
      <c r="H597" s="576"/>
      <c r="M597" s="122"/>
      <c r="N597" s="75"/>
      <c r="P597" s="75"/>
      <c r="R597" s="144"/>
      <c r="S597" s="548"/>
    </row>
    <row r="598">
      <c r="A598" s="538" t="s">
        <v>3511</v>
      </c>
      <c r="C598" s="574"/>
      <c r="D598" s="574"/>
      <c r="E598" s="574"/>
      <c r="F598" s="575"/>
      <c r="G598" s="575"/>
      <c r="H598" s="576"/>
      <c r="M598" s="122"/>
      <c r="N598" s="75"/>
      <c r="P598" s="75"/>
      <c r="R598" s="144"/>
      <c r="S598" s="548"/>
    </row>
    <row r="599">
      <c r="A599" s="538" t="s">
        <v>3511</v>
      </c>
      <c r="C599" s="574"/>
      <c r="D599" s="574"/>
      <c r="E599" s="574"/>
      <c r="F599" s="575"/>
      <c r="G599" s="575"/>
      <c r="H599" s="576"/>
      <c r="M599" s="122"/>
      <c r="N599" s="75"/>
      <c r="P599" s="75"/>
      <c r="R599" s="144"/>
      <c r="S599" s="548"/>
    </row>
    <row r="600">
      <c r="A600" s="538" t="s">
        <v>3511</v>
      </c>
      <c r="C600" s="574"/>
      <c r="D600" s="574"/>
      <c r="E600" s="574"/>
      <c r="F600" s="575"/>
      <c r="G600" s="575"/>
      <c r="H600" s="576"/>
      <c r="M600" s="122"/>
      <c r="N600" s="75"/>
      <c r="P600" s="75"/>
      <c r="R600" s="144"/>
      <c r="S600" s="548"/>
    </row>
    <row r="601">
      <c r="A601" s="538" t="s">
        <v>3511</v>
      </c>
      <c r="C601" s="574"/>
      <c r="D601" s="574"/>
      <c r="E601" s="574"/>
      <c r="F601" s="575"/>
      <c r="G601" s="575"/>
      <c r="H601" s="576"/>
      <c r="M601" s="122"/>
      <c r="N601" s="75"/>
      <c r="P601" s="75"/>
      <c r="R601" s="144"/>
      <c r="S601" s="548"/>
    </row>
    <row r="602">
      <c r="A602" s="538" t="s">
        <v>3511</v>
      </c>
      <c r="C602" s="574"/>
      <c r="D602" s="574"/>
      <c r="E602" s="574"/>
      <c r="F602" s="575"/>
      <c r="G602" s="575"/>
      <c r="H602" s="576"/>
      <c r="M602" s="122"/>
      <c r="N602" s="75"/>
      <c r="P602" s="75"/>
      <c r="R602" s="144"/>
      <c r="S602" s="548"/>
    </row>
    <row r="603">
      <c r="A603" s="538" t="s">
        <v>3511</v>
      </c>
      <c r="C603" s="574"/>
      <c r="D603" s="574"/>
      <c r="E603" s="574"/>
      <c r="F603" s="575"/>
      <c r="G603" s="575"/>
      <c r="H603" s="576"/>
      <c r="M603" s="122"/>
      <c r="N603" s="75"/>
      <c r="P603" s="75"/>
      <c r="R603" s="144"/>
      <c r="S603" s="548"/>
    </row>
    <row r="604">
      <c r="A604" s="538" t="s">
        <v>3511</v>
      </c>
      <c r="C604" s="574"/>
      <c r="D604" s="574"/>
      <c r="E604" s="574"/>
      <c r="F604" s="575"/>
      <c r="G604" s="575"/>
      <c r="H604" s="576"/>
      <c r="M604" s="122"/>
      <c r="N604" s="75"/>
      <c r="P604" s="75"/>
      <c r="R604" s="144"/>
      <c r="S604" s="548"/>
    </row>
    <row r="605">
      <c r="A605" s="538" t="s">
        <v>3511</v>
      </c>
      <c r="C605" s="574"/>
      <c r="D605" s="574"/>
      <c r="E605" s="574"/>
      <c r="F605" s="575"/>
      <c r="G605" s="575"/>
      <c r="H605" s="576"/>
      <c r="M605" s="122"/>
      <c r="N605" s="75"/>
      <c r="P605" s="75"/>
      <c r="R605" s="144"/>
      <c r="S605" s="548"/>
    </row>
    <row r="606">
      <c r="A606" s="538" t="s">
        <v>3511</v>
      </c>
      <c r="C606" s="574"/>
      <c r="D606" s="574"/>
      <c r="E606" s="574"/>
      <c r="F606" s="575"/>
      <c r="G606" s="575"/>
      <c r="H606" s="576"/>
      <c r="M606" s="122"/>
      <c r="N606" s="75"/>
      <c r="P606" s="75"/>
      <c r="R606" s="144"/>
      <c r="S606" s="548"/>
    </row>
    <row r="607">
      <c r="A607" s="538" t="s">
        <v>3511</v>
      </c>
      <c r="C607" s="574"/>
      <c r="D607" s="574"/>
      <c r="E607" s="574"/>
      <c r="F607" s="575"/>
      <c r="G607" s="575"/>
      <c r="H607" s="576"/>
      <c r="M607" s="122"/>
      <c r="N607" s="75"/>
      <c r="P607" s="75"/>
      <c r="R607" s="144"/>
      <c r="S607" s="548"/>
    </row>
    <row r="608">
      <c r="A608" s="538" t="s">
        <v>3511</v>
      </c>
      <c r="C608" s="574"/>
      <c r="D608" s="574"/>
      <c r="E608" s="574"/>
      <c r="F608" s="575"/>
      <c r="G608" s="575"/>
      <c r="H608" s="576"/>
      <c r="M608" s="122"/>
      <c r="N608" s="75"/>
      <c r="P608" s="75"/>
      <c r="R608" s="144"/>
      <c r="S608" s="548"/>
    </row>
    <row r="609">
      <c r="A609" s="538" t="s">
        <v>3511</v>
      </c>
      <c r="C609" s="574"/>
      <c r="D609" s="574"/>
      <c r="E609" s="574"/>
      <c r="F609" s="575"/>
      <c r="G609" s="575"/>
      <c r="H609" s="576"/>
      <c r="M609" s="122"/>
      <c r="N609" s="75"/>
      <c r="P609" s="75"/>
      <c r="R609" s="144"/>
      <c r="S609" s="548"/>
    </row>
    <row r="610">
      <c r="A610" s="538" t="s">
        <v>3511</v>
      </c>
      <c r="C610" s="574"/>
      <c r="D610" s="574"/>
      <c r="E610" s="574"/>
      <c r="F610" s="575"/>
      <c r="G610" s="575"/>
      <c r="H610" s="576"/>
      <c r="M610" s="122"/>
      <c r="N610" s="75"/>
      <c r="P610" s="75"/>
      <c r="R610" s="144"/>
      <c r="S610" s="548"/>
    </row>
    <row r="611">
      <c r="A611" s="538" t="s">
        <v>3511</v>
      </c>
      <c r="C611" s="574"/>
      <c r="D611" s="574"/>
      <c r="E611" s="574"/>
      <c r="F611" s="575"/>
      <c r="G611" s="575"/>
      <c r="H611" s="576"/>
      <c r="M611" s="122"/>
      <c r="N611" s="75"/>
      <c r="P611" s="75"/>
      <c r="R611" s="144"/>
      <c r="S611" s="548"/>
    </row>
    <row r="612">
      <c r="A612" s="538" t="s">
        <v>3511</v>
      </c>
      <c r="C612" s="574"/>
      <c r="D612" s="574"/>
      <c r="E612" s="574"/>
      <c r="F612" s="575"/>
      <c r="G612" s="575"/>
      <c r="H612" s="576"/>
      <c r="M612" s="122"/>
      <c r="N612" s="75"/>
      <c r="P612" s="75"/>
      <c r="R612" s="144"/>
      <c r="S612" s="548"/>
    </row>
    <row r="613">
      <c r="A613" s="538" t="s">
        <v>3511</v>
      </c>
      <c r="C613" s="574"/>
      <c r="D613" s="574"/>
      <c r="E613" s="574"/>
      <c r="F613" s="575"/>
      <c r="G613" s="575"/>
      <c r="H613" s="576"/>
      <c r="M613" s="122"/>
      <c r="N613" s="75"/>
      <c r="P613" s="75"/>
      <c r="R613" s="144"/>
      <c r="S613" s="548"/>
    </row>
    <row r="614">
      <c r="A614" s="538" t="s">
        <v>3511</v>
      </c>
      <c r="C614" s="574"/>
      <c r="D614" s="574"/>
      <c r="E614" s="574"/>
      <c r="F614" s="575"/>
      <c r="G614" s="575"/>
      <c r="H614" s="576"/>
      <c r="M614" s="122"/>
      <c r="N614" s="75"/>
      <c r="P614" s="75"/>
      <c r="R614" s="144"/>
      <c r="S614" s="548"/>
    </row>
    <row r="615">
      <c r="A615" s="538" t="s">
        <v>3511</v>
      </c>
      <c r="C615" s="574"/>
      <c r="D615" s="574"/>
      <c r="E615" s="574"/>
      <c r="F615" s="575"/>
      <c r="G615" s="575"/>
      <c r="H615" s="576"/>
      <c r="M615" s="122"/>
      <c r="N615" s="75"/>
      <c r="P615" s="75"/>
      <c r="R615" s="144"/>
      <c r="S615" s="548"/>
    </row>
    <row r="616">
      <c r="A616" s="538" t="s">
        <v>3511</v>
      </c>
      <c r="C616" s="574"/>
      <c r="D616" s="574"/>
      <c r="E616" s="574"/>
      <c r="F616" s="575"/>
      <c r="G616" s="575"/>
      <c r="H616" s="576"/>
      <c r="M616" s="122"/>
      <c r="N616" s="75"/>
      <c r="P616" s="75"/>
      <c r="R616" s="144"/>
      <c r="S616" s="548"/>
    </row>
    <row r="617">
      <c r="A617" s="538" t="s">
        <v>3511</v>
      </c>
      <c r="C617" s="574"/>
      <c r="D617" s="574"/>
      <c r="E617" s="574"/>
      <c r="F617" s="575"/>
      <c r="G617" s="575"/>
      <c r="H617" s="576"/>
      <c r="M617" s="122"/>
      <c r="N617" s="75"/>
      <c r="P617" s="75"/>
      <c r="R617" s="144"/>
      <c r="S617" s="548"/>
    </row>
    <row r="618">
      <c r="A618" s="538" t="s">
        <v>3511</v>
      </c>
      <c r="C618" s="574"/>
      <c r="D618" s="574"/>
      <c r="E618" s="574"/>
      <c r="F618" s="575"/>
      <c r="G618" s="575"/>
      <c r="H618" s="576"/>
      <c r="M618" s="122"/>
      <c r="N618" s="75"/>
      <c r="P618" s="75"/>
      <c r="R618" s="144"/>
      <c r="S618" s="548"/>
    </row>
    <row r="619">
      <c r="A619" s="538" t="s">
        <v>3511</v>
      </c>
      <c r="C619" s="574"/>
      <c r="D619" s="574"/>
      <c r="E619" s="574"/>
      <c r="F619" s="575"/>
      <c r="G619" s="575"/>
      <c r="H619" s="576"/>
      <c r="M619" s="122"/>
      <c r="N619" s="75"/>
      <c r="P619" s="75"/>
      <c r="R619" s="144"/>
      <c r="S619" s="548"/>
    </row>
    <row r="620">
      <c r="A620" s="538" t="s">
        <v>3511</v>
      </c>
      <c r="C620" s="574"/>
      <c r="D620" s="574"/>
      <c r="E620" s="574"/>
      <c r="F620" s="575"/>
      <c r="G620" s="575"/>
      <c r="H620" s="576"/>
      <c r="M620" s="122"/>
      <c r="N620" s="75"/>
      <c r="P620" s="75"/>
      <c r="R620" s="144"/>
      <c r="S620" s="548"/>
    </row>
    <row r="621">
      <c r="A621" s="538" t="s">
        <v>3511</v>
      </c>
      <c r="C621" s="574"/>
      <c r="D621" s="574"/>
      <c r="E621" s="574"/>
      <c r="F621" s="575"/>
      <c r="G621" s="575"/>
      <c r="H621" s="576"/>
      <c r="M621" s="122"/>
      <c r="N621" s="75"/>
      <c r="P621" s="75"/>
      <c r="R621" s="144"/>
      <c r="S621" s="548"/>
    </row>
    <row r="622">
      <c r="A622" s="538" t="s">
        <v>3511</v>
      </c>
      <c r="C622" s="574"/>
      <c r="D622" s="574"/>
      <c r="E622" s="574"/>
      <c r="F622" s="575"/>
      <c r="G622" s="575"/>
      <c r="H622" s="576"/>
      <c r="M622" s="122"/>
      <c r="N622" s="75"/>
      <c r="P622" s="75"/>
      <c r="R622" s="144"/>
      <c r="S622" s="548"/>
    </row>
    <row r="623">
      <c r="A623" s="538" t="s">
        <v>3511</v>
      </c>
      <c r="C623" s="574"/>
      <c r="D623" s="574"/>
      <c r="E623" s="574"/>
      <c r="F623" s="575"/>
      <c r="G623" s="575"/>
      <c r="H623" s="576"/>
      <c r="M623" s="122"/>
      <c r="N623" s="75"/>
      <c r="P623" s="75"/>
      <c r="R623" s="144"/>
      <c r="S623" s="548"/>
    </row>
    <row r="624">
      <c r="A624" s="538" t="s">
        <v>3511</v>
      </c>
      <c r="C624" s="574"/>
      <c r="D624" s="574"/>
      <c r="E624" s="574"/>
      <c r="F624" s="575"/>
      <c r="G624" s="575"/>
      <c r="H624" s="576"/>
      <c r="M624" s="122"/>
      <c r="N624" s="75"/>
      <c r="P624" s="75"/>
      <c r="R624" s="144"/>
      <c r="S624" s="548"/>
    </row>
    <row r="625">
      <c r="A625" s="538" t="s">
        <v>3511</v>
      </c>
      <c r="C625" s="574"/>
      <c r="D625" s="574"/>
      <c r="E625" s="574"/>
      <c r="F625" s="575"/>
      <c r="G625" s="575"/>
      <c r="H625" s="576"/>
      <c r="M625" s="122"/>
      <c r="N625" s="75"/>
      <c r="P625" s="75"/>
      <c r="R625" s="144"/>
      <c r="S625" s="548"/>
    </row>
    <row r="626">
      <c r="A626" s="538" t="s">
        <v>3511</v>
      </c>
      <c r="C626" s="574"/>
      <c r="D626" s="574"/>
      <c r="E626" s="574"/>
      <c r="F626" s="575"/>
      <c r="G626" s="575"/>
      <c r="H626" s="576"/>
      <c r="M626" s="122"/>
      <c r="N626" s="75"/>
      <c r="P626" s="75"/>
      <c r="R626" s="144"/>
      <c r="S626" s="548"/>
    </row>
    <row r="627">
      <c r="A627" s="538" t="s">
        <v>3511</v>
      </c>
      <c r="C627" s="574"/>
      <c r="D627" s="574"/>
      <c r="E627" s="574"/>
      <c r="F627" s="575"/>
      <c r="G627" s="575"/>
      <c r="H627" s="576"/>
      <c r="M627" s="122"/>
      <c r="N627" s="75"/>
      <c r="P627" s="75"/>
      <c r="R627" s="144"/>
      <c r="S627" s="548"/>
    </row>
    <row r="628">
      <c r="A628" s="538" t="s">
        <v>3511</v>
      </c>
      <c r="C628" s="574"/>
      <c r="D628" s="574"/>
      <c r="E628" s="574"/>
      <c r="F628" s="575"/>
      <c r="G628" s="575"/>
      <c r="H628" s="576"/>
      <c r="M628" s="122"/>
      <c r="N628" s="75"/>
      <c r="P628" s="75"/>
      <c r="R628" s="144"/>
      <c r="S628" s="548"/>
    </row>
    <row r="629">
      <c r="A629" s="538" t="s">
        <v>3511</v>
      </c>
      <c r="C629" s="574"/>
      <c r="D629" s="574"/>
      <c r="E629" s="574"/>
      <c r="F629" s="575"/>
      <c r="G629" s="575"/>
      <c r="H629" s="576"/>
      <c r="M629" s="122"/>
      <c r="N629" s="75"/>
      <c r="P629" s="75"/>
      <c r="R629" s="144"/>
      <c r="S629" s="548"/>
    </row>
    <row r="630">
      <c r="A630" s="538" t="s">
        <v>3511</v>
      </c>
      <c r="C630" s="574"/>
      <c r="D630" s="574"/>
      <c r="E630" s="574"/>
      <c r="F630" s="575"/>
      <c r="G630" s="575"/>
      <c r="H630" s="576"/>
      <c r="M630" s="122"/>
      <c r="N630" s="75"/>
      <c r="P630" s="75"/>
      <c r="R630" s="144"/>
      <c r="S630" s="548"/>
    </row>
    <row r="631">
      <c r="A631" s="538" t="s">
        <v>3511</v>
      </c>
      <c r="C631" s="574"/>
      <c r="D631" s="574"/>
      <c r="E631" s="574"/>
      <c r="F631" s="575"/>
      <c r="G631" s="575"/>
      <c r="H631" s="576"/>
      <c r="M631" s="122"/>
      <c r="N631" s="75"/>
      <c r="P631" s="75"/>
      <c r="R631" s="144"/>
      <c r="S631" s="548"/>
    </row>
    <row r="632">
      <c r="A632" s="538" t="s">
        <v>3511</v>
      </c>
      <c r="C632" s="574"/>
      <c r="D632" s="574"/>
      <c r="E632" s="574"/>
      <c r="F632" s="575"/>
      <c r="G632" s="575"/>
      <c r="H632" s="576"/>
      <c r="M632" s="122"/>
      <c r="N632" s="75"/>
      <c r="P632" s="75"/>
      <c r="R632" s="144"/>
      <c r="S632" s="548"/>
    </row>
    <row r="633">
      <c r="A633" s="538" t="s">
        <v>3511</v>
      </c>
      <c r="C633" s="574"/>
      <c r="D633" s="574"/>
      <c r="E633" s="574"/>
      <c r="F633" s="575"/>
      <c r="G633" s="575"/>
      <c r="H633" s="576"/>
      <c r="M633" s="122"/>
      <c r="N633" s="75"/>
      <c r="P633" s="75"/>
      <c r="R633" s="144"/>
      <c r="S633" s="548"/>
    </row>
    <row r="634">
      <c r="A634" s="538" t="s">
        <v>3511</v>
      </c>
      <c r="C634" s="574"/>
      <c r="D634" s="574"/>
      <c r="E634" s="574"/>
      <c r="F634" s="575"/>
      <c r="G634" s="575"/>
      <c r="H634" s="576"/>
      <c r="M634" s="122"/>
      <c r="N634" s="75"/>
      <c r="P634" s="75"/>
      <c r="R634" s="144"/>
      <c r="S634" s="548"/>
    </row>
    <row r="635">
      <c r="A635" s="538" t="s">
        <v>3511</v>
      </c>
      <c r="C635" s="574"/>
      <c r="D635" s="574"/>
      <c r="E635" s="574"/>
      <c r="F635" s="575"/>
      <c r="G635" s="575"/>
      <c r="H635" s="576"/>
      <c r="M635" s="122"/>
      <c r="N635" s="75"/>
      <c r="P635" s="75"/>
      <c r="R635" s="144"/>
      <c r="S635" s="548"/>
    </row>
    <row r="636">
      <c r="A636" s="538" t="s">
        <v>3511</v>
      </c>
      <c r="C636" s="574"/>
      <c r="D636" s="574"/>
      <c r="E636" s="574"/>
      <c r="F636" s="575"/>
      <c r="G636" s="575"/>
      <c r="H636" s="576"/>
      <c r="M636" s="122"/>
      <c r="N636" s="75"/>
      <c r="P636" s="75"/>
      <c r="R636" s="144"/>
      <c r="S636" s="548"/>
    </row>
    <row r="637">
      <c r="A637" s="538" t="s">
        <v>3511</v>
      </c>
      <c r="C637" s="574"/>
      <c r="D637" s="574"/>
      <c r="E637" s="574"/>
      <c r="F637" s="575"/>
      <c r="G637" s="575"/>
      <c r="H637" s="576"/>
      <c r="M637" s="122"/>
      <c r="N637" s="75"/>
      <c r="P637" s="75"/>
      <c r="R637" s="144"/>
      <c r="S637" s="548"/>
    </row>
    <row r="638">
      <c r="A638" s="538" t="s">
        <v>3511</v>
      </c>
      <c r="C638" s="574"/>
      <c r="D638" s="574"/>
      <c r="E638" s="574"/>
      <c r="F638" s="575"/>
      <c r="G638" s="575"/>
      <c r="H638" s="576"/>
      <c r="M638" s="122"/>
      <c r="N638" s="75"/>
      <c r="P638" s="75"/>
      <c r="R638" s="144"/>
      <c r="S638" s="548"/>
    </row>
    <row r="639">
      <c r="A639" s="538" t="s">
        <v>3511</v>
      </c>
      <c r="C639" s="574"/>
      <c r="D639" s="574"/>
      <c r="E639" s="574"/>
      <c r="F639" s="575"/>
      <c r="G639" s="575"/>
      <c r="H639" s="576"/>
      <c r="M639" s="122"/>
      <c r="N639" s="75"/>
      <c r="P639" s="75"/>
      <c r="R639" s="144"/>
      <c r="S639" s="548"/>
    </row>
    <row r="640">
      <c r="A640" s="538" t="s">
        <v>3511</v>
      </c>
      <c r="C640" s="574"/>
      <c r="D640" s="574"/>
      <c r="E640" s="574"/>
      <c r="F640" s="575"/>
      <c r="G640" s="575"/>
      <c r="H640" s="576"/>
      <c r="M640" s="122"/>
      <c r="N640" s="75"/>
      <c r="P640" s="75"/>
      <c r="R640" s="144"/>
      <c r="S640" s="548"/>
    </row>
    <row r="641">
      <c r="A641" s="538" t="s">
        <v>3511</v>
      </c>
      <c r="C641" s="574"/>
      <c r="D641" s="574"/>
      <c r="E641" s="574"/>
      <c r="F641" s="575"/>
      <c r="G641" s="575"/>
      <c r="H641" s="576"/>
      <c r="M641" s="122"/>
      <c r="N641" s="75"/>
      <c r="P641" s="75"/>
      <c r="R641" s="144"/>
      <c r="S641" s="548"/>
    </row>
    <row r="642">
      <c r="A642" s="538" t="s">
        <v>3511</v>
      </c>
      <c r="C642" s="574"/>
      <c r="D642" s="574"/>
      <c r="E642" s="574"/>
      <c r="F642" s="575"/>
      <c r="G642" s="575"/>
      <c r="H642" s="576"/>
      <c r="M642" s="122"/>
      <c r="N642" s="75"/>
      <c r="P642" s="75"/>
      <c r="R642" s="144"/>
      <c r="S642" s="548"/>
    </row>
    <row r="643">
      <c r="A643" s="538" t="s">
        <v>3511</v>
      </c>
      <c r="C643" s="574"/>
      <c r="D643" s="574"/>
      <c r="E643" s="574"/>
      <c r="F643" s="575"/>
      <c r="G643" s="575"/>
      <c r="H643" s="576"/>
      <c r="M643" s="122"/>
      <c r="N643" s="75"/>
      <c r="P643" s="75"/>
      <c r="R643" s="144"/>
      <c r="S643" s="548"/>
    </row>
    <row r="644">
      <c r="A644" s="538" t="s">
        <v>3511</v>
      </c>
      <c r="C644" s="574"/>
      <c r="D644" s="574"/>
      <c r="E644" s="574"/>
      <c r="F644" s="575"/>
      <c r="G644" s="575"/>
      <c r="H644" s="576"/>
      <c r="M644" s="122"/>
      <c r="N644" s="75"/>
      <c r="P644" s="75"/>
      <c r="R644" s="144"/>
      <c r="S644" s="548"/>
    </row>
    <row r="645">
      <c r="A645" s="538" t="s">
        <v>3511</v>
      </c>
      <c r="C645" s="574"/>
      <c r="D645" s="574"/>
      <c r="E645" s="574"/>
      <c r="F645" s="575"/>
      <c r="G645" s="575"/>
      <c r="H645" s="576"/>
      <c r="M645" s="122"/>
      <c r="N645" s="75"/>
      <c r="P645" s="75"/>
      <c r="R645" s="144"/>
      <c r="S645" s="548"/>
    </row>
    <row r="646">
      <c r="A646" s="538" t="s">
        <v>3511</v>
      </c>
      <c r="C646" s="574"/>
      <c r="D646" s="574"/>
      <c r="E646" s="574"/>
      <c r="F646" s="575"/>
      <c r="G646" s="575"/>
      <c r="H646" s="576"/>
      <c r="M646" s="122"/>
      <c r="N646" s="75"/>
      <c r="P646" s="75"/>
      <c r="R646" s="144"/>
      <c r="S646" s="548"/>
    </row>
    <row r="647">
      <c r="A647" s="538" t="s">
        <v>3511</v>
      </c>
      <c r="C647" s="574"/>
      <c r="D647" s="574"/>
      <c r="E647" s="574"/>
      <c r="F647" s="575"/>
      <c r="G647" s="575"/>
      <c r="H647" s="576"/>
      <c r="M647" s="122"/>
      <c r="N647" s="75"/>
      <c r="P647" s="75"/>
      <c r="R647" s="144"/>
      <c r="S647" s="548"/>
    </row>
    <row r="648">
      <c r="A648" s="538" t="s">
        <v>3511</v>
      </c>
      <c r="C648" s="574"/>
      <c r="D648" s="574"/>
      <c r="E648" s="574"/>
      <c r="F648" s="575"/>
      <c r="G648" s="575"/>
      <c r="H648" s="576"/>
      <c r="M648" s="122"/>
      <c r="N648" s="75"/>
      <c r="P648" s="75"/>
      <c r="R648" s="144"/>
      <c r="S648" s="548"/>
    </row>
    <row r="649">
      <c r="A649" s="538" t="s">
        <v>3511</v>
      </c>
      <c r="C649" s="574"/>
      <c r="D649" s="574"/>
      <c r="E649" s="574"/>
      <c r="F649" s="575"/>
      <c r="G649" s="575"/>
      <c r="H649" s="576"/>
      <c r="M649" s="122"/>
      <c r="N649" s="75"/>
      <c r="P649" s="75"/>
      <c r="R649" s="144"/>
      <c r="S649" s="548"/>
    </row>
    <row r="650">
      <c r="A650" s="538" t="s">
        <v>3511</v>
      </c>
      <c r="C650" s="574"/>
      <c r="D650" s="574"/>
      <c r="E650" s="574"/>
      <c r="F650" s="575"/>
      <c r="G650" s="575"/>
      <c r="H650" s="576"/>
      <c r="M650" s="122"/>
      <c r="N650" s="75"/>
      <c r="P650" s="75"/>
      <c r="R650" s="144"/>
      <c r="S650" s="548"/>
    </row>
    <row r="651">
      <c r="A651" s="538" t="s">
        <v>3511</v>
      </c>
      <c r="C651" s="574"/>
      <c r="D651" s="574"/>
      <c r="E651" s="574"/>
      <c r="F651" s="575"/>
      <c r="G651" s="575"/>
      <c r="H651" s="576"/>
      <c r="M651" s="122"/>
      <c r="N651" s="75"/>
      <c r="P651" s="75"/>
      <c r="R651" s="144"/>
      <c r="S651" s="548"/>
    </row>
    <row r="652">
      <c r="A652" s="538" t="s">
        <v>3511</v>
      </c>
      <c r="C652" s="574"/>
      <c r="D652" s="574"/>
      <c r="E652" s="574"/>
      <c r="F652" s="575"/>
      <c r="G652" s="575"/>
      <c r="H652" s="576"/>
      <c r="M652" s="122"/>
      <c r="N652" s="75"/>
      <c r="P652" s="75"/>
      <c r="R652" s="144"/>
      <c r="S652" s="548"/>
    </row>
    <row r="653">
      <c r="A653" s="538" t="s">
        <v>3511</v>
      </c>
      <c r="C653" s="574"/>
      <c r="D653" s="574"/>
      <c r="E653" s="574"/>
      <c r="F653" s="575"/>
      <c r="G653" s="575"/>
      <c r="H653" s="576"/>
      <c r="M653" s="122"/>
      <c r="N653" s="75"/>
      <c r="P653" s="75"/>
      <c r="R653" s="144"/>
      <c r="S653" s="548"/>
    </row>
    <row r="654">
      <c r="A654" s="538" t="s">
        <v>3511</v>
      </c>
      <c r="C654" s="574"/>
      <c r="D654" s="574"/>
      <c r="E654" s="574"/>
      <c r="F654" s="575"/>
      <c r="G654" s="575"/>
      <c r="H654" s="576"/>
      <c r="M654" s="122"/>
      <c r="N654" s="75"/>
      <c r="P654" s="75"/>
      <c r="R654" s="144"/>
      <c r="S654" s="548"/>
    </row>
    <row r="655">
      <c r="A655" s="538" t="s">
        <v>3511</v>
      </c>
      <c r="C655" s="574"/>
      <c r="D655" s="574"/>
      <c r="E655" s="574"/>
      <c r="F655" s="575"/>
      <c r="G655" s="575"/>
      <c r="H655" s="576"/>
      <c r="M655" s="122"/>
      <c r="N655" s="75"/>
      <c r="P655" s="75"/>
      <c r="R655" s="144"/>
      <c r="S655" s="548"/>
    </row>
    <row r="656">
      <c r="A656" s="538" t="s">
        <v>3511</v>
      </c>
      <c r="C656" s="574"/>
      <c r="D656" s="574"/>
      <c r="E656" s="574"/>
      <c r="F656" s="575"/>
      <c r="G656" s="575"/>
      <c r="H656" s="576"/>
      <c r="M656" s="122"/>
      <c r="N656" s="75"/>
      <c r="P656" s="75"/>
      <c r="R656" s="144"/>
      <c r="S656" s="548"/>
    </row>
    <row r="657">
      <c r="A657" s="538" t="s">
        <v>3511</v>
      </c>
      <c r="C657" s="574"/>
      <c r="D657" s="574"/>
      <c r="E657" s="574"/>
      <c r="F657" s="575"/>
      <c r="G657" s="575"/>
      <c r="H657" s="576"/>
      <c r="M657" s="122"/>
      <c r="N657" s="75"/>
      <c r="P657" s="75"/>
      <c r="R657" s="144"/>
      <c r="S657" s="548"/>
    </row>
    <row r="658">
      <c r="A658" s="538" t="s">
        <v>3511</v>
      </c>
      <c r="C658" s="574"/>
      <c r="D658" s="574"/>
      <c r="E658" s="574"/>
      <c r="F658" s="575"/>
      <c r="G658" s="575"/>
      <c r="H658" s="576"/>
      <c r="M658" s="122"/>
      <c r="N658" s="75"/>
      <c r="P658" s="75"/>
      <c r="R658" s="144"/>
      <c r="S658" s="548"/>
    </row>
    <row r="659">
      <c r="A659" s="538" t="s">
        <v>3511</v>
      </c>
      <c r="C659" s="574"/>
      <c r="D659" s="574"/>
      <c r="E659" s="574"/>
      <c r="F659" s="575"/>
      <c r="G659" s="575"/>
      <c r="H659" s="576"/>
      <c r="M659" s="122"/>
      <c r="N659" s="75"/>
      <c r="P659" s="75"/>
      <c r="R659" s="144"/>
      <c r="S659" s="548"/>
    </row>
    <row r="660">
      <c r="A660" s="538" t="s">
        <v>3511</v>
      </c>
      <c r="C660" s="574"/>
      <c r="D660" s="574"/>
      <c r="E660" s="574"/>
      <c r="F660" s="575"/>
      <c r="G660" s="575"/>
      <c r="H660" s="576"/>
      <c r="M660" s="122"/>
      <c r="N660" s="75"/>
      <c r="P660" s="75"/>
      <c r="R660" s="144"/>
      <c r="S660" s="548"/>
    </row>
    <row r="661">
      <c r="A661" s="538" t="s">
        <v>3511</v>
      </c>
      <c r="C661" s="574"/>
      <c r="D661" s="574"/>
      <c r="E661" s="574"/>
      <c r="F661" s="575"/>
      <c r="G661" s="575"/>
      <c r="H661" s="576"/>
      <c r="M661" s="122"/>
      <c r="N661" s="75"/>
      <c r="P661" s="75"/>
      <c r="R661" s="144"/>
      <c r="S661" s="548"/>
    </row>
    <row r="662">
      <c r="A662" s="538" t="s">
        <v>3511</v>
      </c>
      <c r="C662" s="574"/>
      <c r="D662" s="574"/>
      <c r="E662" s="574"/>
      <c r="F662" s="575"/>
      <c r="G662" s="575"/>
      <c r="H662" s="576"/>
      <c r="M662" s="122"/>
      <c r="N662" s="75"/>
      <c r="P662" s="75"/>
      <c r="R662" s="144"/>
      <c r="S662" s="548"/>
    </row>
    <row r="663">
      <c r="A663" s="538" t="s">
        <v>3511</v>
      </c>
      <c r="C663" s="574"/>
      <c r="D663" s="574"/>
      <c r="E663" s="574"/>
      <c r="F663" s="575"/>
      <c r="G663" s="575"/>
      <c r="H663" s="576"/>
      <c r="M663" s="122"/>
      <c r="N663" s="75"/>
      <c r="P663" s="75"/>
      <c r="R663" s="144"/>
      <c r="S663" s="548"/>
    </row>
    <row r="664">
      <c r="A664" s="538" t="s">
        <v>3511</v>
      </c>
      <c r="C664" s="574"/>
      <c r="D664" s="574"/>
      <c r="E664" s="574"/>
      <c r="F664" s="575"/>
      <c r="G664" s="575"/>
      <c r="H664" s="576"/>
      <c r="M664" s="122"/>
      <c r="N664" s="75"/>
      <c r="P664" s="75"/>
      <c r="R664" s="144"/>
      <c r="S664" s="548"/>
    </row>
    <row r="665">
      <c r="A665" s="538" t="s">
        <v>3511</v>
      </c>
      <c r="C665" s="574"/>
      <c r="D665" s="574"/>
      <c r="E665" s="574"/>
      <c r="F665" s="575"/>
      <c r="G665" s="575"/>
      <c r="H665" s="576"/>
      <c r="M665" s="122"/>
      <c r="N665" s="75"/>
      <c r="P665" s="75"/>
      <c r="R665" s="144"/>
      <c r="S665" s="548"/>
    </row>
    <row r="666">
      <c r="A666" s="538" t="s">
        <v>3511</v>
      </c>
      <c r="C666" s="574"/>
      <c r="D666" s="574"/>
      <c r="E666" s="574"/>
      <c r="F666" s="575"/>
      <c r="G666" s="575"/>
      <c r="H666" s="576"/>
      <c r="M666" s="122"/>
      <c r="N666" s="75"/>
      <c r="P666" s="75"/>
      <c r="R666" s="144"/>
      <c r="S666" s="548"/>
    </row>
    <row r="667">
      <c r="A667" s="538" t="s">
        <v>3511</v>
      </c>
      <c r="C667" s="574"/>
      <c r="D667" s="574"/>
      <c r="E667" s="574"/>
      <c r="F667" s="575"/>
      <c r="G667" s="575"/>
      <c r="H667" s="576"/>
      <c r="M667" s="122"/>
      <c r="N667" s="75"/>
      <c r="P667" s="75"/>
      <c r="R667" s="144"/>
      <c r="S667" s="548"/>
    </row>
    <row r="668">
      <c r="A668" s="538" t="s">
        <v>3511</v>
      </c>
      <c r="C668" s="574"/>
      <c r="D668" s="574"/>
      <c r="E668" s="574"/>
      <c r="F668" s="575"/>
      <c r="G668" s="575"/>
      <c r="H668" s="576"/>
      <c r="M668" s="122"/>
      <c r="N668" s="75"/>
      <c r="P668" s="75"/>
      <c r="R668" s="144"/>
      <c r="S668" s="548"/>
    </row>
    <row r="669">
      <c r="A669" s="538" t="s">
        <v>3511</v>
      </c>
      <c r="C669" s="574"/>
      <c r="D669" s="574"/>
      <c r="E669" s="574"/>
      <c r="F669" s="575"/>
      <c r="G669" s="575"/>
      <c r="H669" s="576"/>
      <c r="M669" s="122"/>
      <c r="N669" s="75"/>
      <c r="P669" s="75"/>
      <c r="R669" s="144"/>
      <c r="S669" s="548"/>
    </row>
    <row r="670">
      <c r="A670" s="538" t="s">
        <v>3511</v>
      </c>
      <c r="C670" s="574"/>
      <c r="D670" s="574"/>
      <c r="E670" s="574"/>
      <c r="F670" s="575"/>
      <c r="G670" s="575"/>
      <c r="H670" s="576"/>
      <c r="M670" s="122"/>
      <c r="N670" s="75"/>
      <c r="P670" s="75"/>
      <c r="R670" s="144"/>
      <c r="S670" s="548"/>
    </row>
    <row r="671">
      <c r="A671" s="538" t="s">
        <v>3511</v>
      </c>
      <c r="C671" s="574"/>
      <c r="D671" s="574"/>
      <c r="E671" s="574"/>
      <c r="F671" s="575"/>
      <c r="G671" s="575"/>
      <c r="H671" s="576"/>
      <c r="M671" s="122"/>
      <c r="N671" s="75"/>
      <c r="P671" s="75"/>
      <c r="R671" s="144"/>
      <c r="S671" s="548"/>
    </row>
    <row r="672">
      <c r="A672" s="538" t="s">
        <v>3511</v>
      </c>
      <c r="C672" s="574"/>
      <c r="D672" s="574"/>
      <c r="E672" s="574"/>
      <c r="F672" s="575"/>
      <c r="G672" s="575"/>
      <c r="H672" s="576"/>
      <c r="M672" s="122"/>
      <c r="N672" s="75"/>
      <c r="P672" s="75"/>
      <c r="R672" s="144"/>
      <c r="S672" s="548"/>
    </row>
    <row r="673">
      <c r="A673" s="538" t="s">
        <v>3511</v>
      </c>
      <c r="C673" s="574"/>
      <c r="D673" s="574"/>
      <c r="E673" s="574"/>
      <c r="F673" s="575"/>
      <c r="G673" s="575"/>
      <c r="H673" s="576"/>
      <c r="M673" s="122"/>
      <c r="N673" s="75"/>
      <c r="P673" s="75"/>
      <c r="R673" s="144"/>
      <c r="S673" s="548"/>
    </row>
    <row r="674">
      <c r="A674" s="538" t="s">
        <v>3511</v>
      </c>
      <c r="C674" s="574"/>
      <c r="D674" s="574"/>
      <c r="E674" s="574"/>
      <c r="F674" s="575"/>
      <c r="G674" s="575"/>
      <c r="H674" s="576"/>
      <c r="M674" s="122"/>
      <c r="N674" s="75"/>
      <c r="P674" s="75"/>
      <c r="R674" s="144"/>
      <c r="S674" s="548"/>
    </row>
    <row r="675">
      <c r="A675" s="538" t="s">
        <v>3511</v>
      </c>
      <c r="C675" s="574"/>
      <c r="D675" s="574"/>
      <c r="E675" s="574"/>
      <c r="F675" s="575"/>
      <c r="G675" s="575"/>
      <c r="H675" s="576"/>
      <c r="M675" s="122"/>
      <c r="N675" s="75"/>
      <c r="P675" s="75"/>
      <c r="R675" s="144"/>
      <c r="S675" s="548"/>
    </row>
    <row r="676">
      <c r="A676" s="538" t="s">
        <v>3511</v>
      </c>
      <c r="C676" s="574"/>
      <c r="D676" s="574"/>
      <c r="E676" s="574"/>
      <c r="F676" s="575"/>
      <c r="G676" s="575"/>
      <c r="H676" s="576"/>
      <c r="M676" s="122"/>
      <c r="N676" s="75"/>
      <c r="P676" s="75"/>
      <c r="R676" s="144"/>
      <c r="S676" s="548"/>
    </row>
    <row r="677">
      <c r="A677" s="538" t="s">
        <v>3511</v>
      </c>
      <c r="C677" s="574"/>
      <c r="D677" s="574"/>
      <c r="E677" s="574"/>
      <c r="F677" s="575"/>
      <c r="G677" s="575"/>
      <c r="H677" s="576"/>
      <c r="M677" s="122"/>
      <c r="N677" s="75"/>
      <c r="P677" s="75"/>
      <c r="R677" s="144"/>
      <c r="S677" s="548"/>
    </row>
    <row r="678">
      <c r="A678" s="538" t="s">
        <v>3511</v>
      </c>
      <c r="C678" s="574"/>
      <c r="D678" s="574"/>
      <c r="E678" s="574"/>
      <c r="F678" s="575"/>
      <c r="G678" s="575"/>
      <c r="H678" s="576"/>
      <c r="M678" s="122"/>
      <c r="N678" s="75"/>
      <c r="P678" s="75"/>
      <c r="R678" s="144"/>
      <c r="S678" s="548"/>
    </row>
    <row r="679">
      <c r="A679" s="538" t="s">
        <v>3511</v>
      </c>
      <c r="C679" s="574"/>
      <c r="D679" s="574"/>
      <c r="E679" s="574"/>
      <c r="F679" s="575"/>
      <c r="G679" s="575"/>
      <c r="H679" s="576"/>
      <c r="M679" s="122"/>
      <c r="N679" s="75"/>
      <c r="P679" s="75"/>
      <c r="R679" s="144"/>
      <c r="S679" s="548"/>
    </row>
    <row r="680">
      <c r="A680" s="538" t="s">
        <v>3511</v>
      </c>
      <c r="C680" s="574"/>
      <c r="D680" s="574"/>
      <c r="E680" s="574"/>
      <c r="F680" s="575"/>
      <c r="G680" s="575"/>
      <c r="H680" s="576"/>
      <c r="M680" s="122"/>
      <c r="N680" s="75"/>
      <c r="P680" s="75"/>
      <c r="R680" s="144"/>
      <c r="S680" s="548"/>
    </row>
    <row r="681">
      <c r="A681" s="538" t="s">
        <v>3511</v>
      </c>
      <c r="C681" s="574"/>
      <c r="D681" s="574"/>
      <c r="E681" s="574"/>
      <c r="F681" s="575"/>
      <c r="G681" s="575"/>
      <c r="H681" s="576"/>
      <c r="M681" s="122"/>
      <c r="N681" s="75"/>
      <c r="P681" s="75"/>
      <c r="R681" s="144"/>
      <c r="S681" s="548"/>
    </row>
    <row r="682">
      <c r="A682" s="538" t="s">
        <v>3511</v>
      </c>
      <c r="C682" s="574"/>
      <c r="D682" s="574"/>
      <c r="E682" s="574"/>
      <c r="F682" s="575"/>
      <c r="G682" s="575"/>
      <c r="H682" s="576"/>
      <c r="M682" s="122"/>
      <c r="N682" s="75"/>
      <c r="P682" s="75"/>
      <c r="R682" s="144"/>
      <c r="S682" s="548"/>
    </row>
    <row r="683">
      <c r="A683" s="538" t="s">
        <v>3511</v>
      </c>
      <c r="C683" s="574"/>
      <c r="D683" s="574"/>
      <c r="E683" s="574"/>
      <c r="F683" s="575"/>
      <c r="G683" s="575"/>
      <c r="H683" s="576"/>
      <c r="M683" s="122"/>
      <c r="N683" s="75"/>
      <c r="P683" s="75"/>
      <c r="R683" s="144"/>
      <c r="S683" s="548"/>
    </row>
    <row r="684">
      <c r="A684" s="538" t="s">
        <v>3511</v>
      </c>
      <c r="C684" s="574"/>
      <c r="D684" s="574"/>
      <c r="E684" s="574"/>
      <c r="F684" s="575"/>
      <c r="G684" s="575"/>
      <c r="H684" s="576"/>
      <c r="M684" s="122"/>
      <c r="N684" s="75"/>
      <c r="P684" s="75"/>
      <c r="R684" s="144"/>
      <c r="S684" s="548"/>
    </row>
    <row r="685">
      <c r="A685" s="538" t="s">
        <v>3511</v>
      </c>
      <c r="C685" s="574"/>
      <c r="D685" s="574"/>
      <c r="E685" s="574"/>
      <c r="F685" s="575"/>
      <c r="G685" s="575"/>
      <c r="H685" s="576"/>
      <c r="M685" s="122"/>
      <c r="N685" s="75"/>
      <c r="P685" s="75"/>
      <c r="R685" s="144"/>
      <c r="S685" s="548"/>
    </row>
    <row r="686">
      <c r="A686" s="538" t="s">
        <v>3511</v>
      </c>
      <c r="C686" s="574"/>
      <c r="D686" s="574"/>
      <c r="E686" s="574"/>
      <c r="F686" s="575"/>
      <c r="G686" s="575"/>
      <c r="H686" s="576"/>
      <c r="M686" s="122"/>
      <c r="N686" s="75"/>
      <c r="P686" s="75"/>
      <c r="R686" s="144"/>
      <c r="S686" s="548"/>
    </row>
    <row r="687">
      <c r="A687" s="538" t="s">
        <v>3511</v>
      </c>
      <c r="C687" s="574"/>
      <c r="D687" s="574"/>
      <c r="E687" s="574"/>
      <c r="F687" s="575"/>
      <c r="G687" s="575"/>
      <c r="H687" s="576"/>
      <c r="M687" s="122"/>
      <c r="N687" s="75"/>
      <c r="P687" s="75"/>
      <c r="R687" s="144"/>
      <c r="S687" s="548"/>
    </row>
    <row r="688">
      <c r="A688" s="538" t="s">
        <v>3511</v>
      </c>
      <c r="C688" s="574"/>
      <c r="D688" s="574"/>
      <c r="E688" s="574"/>
      <c r="F688" s="575"/>
      <c r="G688" s="575"/>
      <c r="H688" s="576"/>
      <c r="M688" s="122"/>
      <c r="N688" s="75"/>
      <c r="P688" s="75"/>
      <c r="R688" s="144"/>
      <c r="S688" s="548"/>
    </row>
    <row r="689">
      <c r="A689" s="538" t="s">
        <v>3511</v>
      </c>
      <c r="C689" s="574"/>
      <c r="D689" s="574"/>
      <c r="E689" s="574"/>
      <c r="F689" s="575"/>
      <c r="G689" s="575"/>
      <c r="H689" s="576"/>
      <c r="M689" s="122"/>
      <c r="N689" s="75"/>
      <c r="P689" s="75"/>
      <c r="R689" s="144"/>
      <c r="S689" s="548"/>
    </row>
    <row r="690">
      <c r="A690" s="538" t="s">
        <v>3511</v>
      </c>
      <c r="C690" s="574"/>
      <c r="D690" s="574"/>
      <c r="E690" s="574"/>
      <c r="F690" s="575"/>
      <c r="G690" s="575"/>
      <c r="H690" s="576"/>
      <c r="M690" s="122"/>
      <c r="N690" s="75"/>
      <c r="P690" s="75"/>
      <c r="R690" s="144"/>
      <c r="S690" s="548"/>
    </row>
    <row r="691">
      <c r="A691" s="538" t="s">
        <v>3511</v>
      </c>
      <c r="C691" s="574"/>
      <c r="D691" s="574"/>
      <c r="E691" s="574"/>
      <c r="F691" s="575"/>
      <c r="G691" s="575"/>
      <c r="H691" s="576"/>
      <c r="M691" s="122"/>
      <c r="N691" s="75"/>
      <c r="P691" s="75"/>
      <c r="R691" s="144"/>
      <c r="S691" s="548"/>
    </row>
    <row r="692">
      <c r="A692" s="538" t="s">
        <v>3511</v>
      </c>
      <c r="C692" s="574"/>
      <c r="D692" s="574"/>
      <c r="E692" s="574"/>
      <c r="F692" s="575"/>
      <c r="G692" s="575"/>
      <c r="H692" s="576"/>
      <c r="M692" s="122"/>
      <c r="N692" s="75"/>
      <c r="P692" s="75"/>
      <c r="R692" s="144"/>
      <c r="S692" s="548"/>
    </row>
    <row r="693">
      <c r="A693" s="538" t="s">
        <v>3511</v>
      </c>
      <c r="C693" s="574"/>
      <c r="D693" s="574"/>
      <c r="E693" s="574"/>
      <c r="F693" s="575"/>
      <c r="G693" s="575"/>
      <c r="H693" s="576"/>
      <c r="M693" s="122"/>
      <c r="N693" s="75"/>
      <c r="P693" s="75"/>
      <c r="R693" s="144"/>
      <c r="S693" s="548"/>
    </row>
    <row r="694">
      <c r="A694" s="538" t="s">
        <v>3511</v>
      </c>
      <c r="C694" s="574"/>
      <c r="D694" s="574"/>
      <c r="E694" s="574"/>
      <c r="F694" s="575"/>
      <c r="G694" s="575"/>
      <c r="H694" s="576"/>
      <c r="M694" s="122"/>
      <c r="N694" s="75"/>
      <c r="P694" s="75"/>
      <c r="R694" s="144"/>
      <c r="S694" s="548"/>
    </row>
    <row r="695">
      <c r="A695" s="538" t="s">
        <v>3511</v>
      </c>
      <c r="C695" s="574"/>
      <c r="D695" s="574"/>
      <c r="E695" s="574"/>
      <c r="F695" s="575"/>
      <c r="G695" s="575"/>
      <c r="H695" s="576"/>
      <c r="M695" s="122"/>
      <c r="N695" s="75"/>
      <c r="P695" s="75"/>
      <c r="R695" s="144"/>
      <c r="S695" s="548"/>
    </row>
    <row r="696">
      <c r="A696" s="538" t="s">
        <v>3511</v>
      </c>
      <c r="C696" s="574"/>
      <c r="D696" s="574"/>
      <c r="E696" s="574"/>
      <c r="F696" s="575"/>
      <c r="G696" s="575"/>
      <c r="H696" s="576"/>
      <c r="M696" s="122"/>
      <c r="N696" s="75"/>
      <c r="P696" s="75"/>
      <c r="R696" s="144"/>
      <c r="S696" s="548"/>
    </row>
    <row r="697">
      <c r="A697" s="538" t="s">
        <v>3511</v>
      </c>
      <c r="C697" s="574"/>
      <c r="D697" s="574"/>
      <c r="E697" s="574"/>
      <c r="F697" s="575"/>
      <c r="G697" s="575"/>
      <c r="H697" s="576"/>
      <c r="M697" s="122"/>
      <c r="N697" s="75"/>
      <c r="P697" s="75"/>
      <c r="R697" s="144"/>
      <c r="S697" s="548"/>
    </row>
    <row r="698">
      <c r="A698" s="538" t="s">
        <v>3511</v>
      </c>
      <c r="C698" s="574"/>
      <c r="D698" s="574"/>
      <c r="E698" s="574"/>
      <c r="F698" s="575"/>
      <c r="G698" s="575"/>
      <c r="H698" s="576"/>
      <c r="M698" s="122"/>
      <c r="N698" s="75"/>
      <c r="P698" s="75"/>
      <c r="R698" s="144"/>
      <c r="S698" s="548"/>
    </row>
    <row r="699">
      <c r="A699" s="538" t="s">
        <v>3511</v>
      </c>
      <c r="C699" s="574"/>
      <c r="D699" s="574"/>
      <c r="E699" s="574"/>
      <c r="F699" s="575"/>
      <c r="G699" s="575"/>
      <c r="H699" s="576"/>
      <c r="M699" s="122"/>
      <c r="N699" s="75"/>
      <c r="P699" s="75"/>
      <c r="R699" s="144"/>
      <c r="S699" s="548"/>
    </row>
    <row r="700">
      <c r="A700" s="538" t="s">
        <v>3511</v>
      </c>
      <c r="C700" s="574"/>
      <c r="D700" s="574"/>
      <c r="E700" s="574"/>
      <c r="F700" s="575"/>
      <c r="G700" s="575"/>
      <c r="H700" s="576"/>
      <c r="M700" s="122"/>
      <c r="N700" s="75"/>
      <c r="P700" s="75"/>
      <c r="R700" s="144"/>
      <c r="S700" s="548"/>
    </row>
    <row r="701">
      <c r="A701" s="538" t="s">
        <v>3511</v>
      </c>
      <c r="C701" s="574"/>
      <c r="D701" s="574"/>
      <c r="E701" s="574"/>
      <c r="F701" s="575"/>
      <c r="G701" s="575"/>
      <c r="H701" s="576"/>
      <c r="M701" s="122"/>
      <c r="N701" s="75"/>
      <c r="P701" s="75"/>
      <c r="R701" s="144"/>
      <c r="S701" s="548"/>
    </row>
    <row r="702">
      <c r="A702" s="538" t="s">
        <v>3511</v>
      </c>
      <c r="C702" s="574"/>
      <c r="D702" s="574"/>
      <c r="E702" s="574"/>
      <c r="F702" s="575"/>
      <c r="G702" s="575"/>
      <c r="H702" s="576"/>
      <c r="M702" s="122"/>
      <c r="N702" s="75"/>
      <c r="P702" s="75"/>
      <c r="R702" s="144"/>
      <c r="S702" s="548"/>
    </row>
    <row r="703">
      <c r="A703" s="538" t="s">
        <v>3511</v>
      </c>
      <c r="C703" s="574"/>
      <c r="D703" s="574"/>
      <c r="E703" s="574"/>
      <c r="F703" s="575"/>
      <c r="G703" s="575"/>
      <c r="H703" s="576"/>
      <c r="M703" s="122"/>
      <c r="N703" s="75"/>
      <c r="P703" s="75"/>
      <c r="R703" s="144"/>
      <c r="S703" s="548"/>
    </row>
    <row r="704">
      <c r="A704" s="538" t="s">
        <v>3511</v>
      </c>
      <c r="C704" s="574"/>
      <c r="D704" s="574"/>
      <c r="E704" s="574"/>
      <c r="F704" s="575"/>
      <c r="G704" s="575"/>
      <c r="H704" s="576"/>
      <c r="M704" s="122"/>
      <c r="N704" s="75"/>
      <c r="P704" s="75"/>
      <c r="R704" s="144"/>
      <c r="S704" s="548"/>
    </row>
    <row r="705">
      <c r="A705" s="538" t="s">
        <v>3511</v>
      </c>
      <c r="C705" s="574"/>
      <c r="D705" s="574"/>
      <c r="E705" s="574"/>
      <c r="F705" s="575"/>
      <c r="G705" s="575"/>
      <c r="H705" s="576"/>
      <c r="M705" s="122"/>
      <c r="N705" s="75"/>
      <c r="P705" s="75"/>
      <c r="R705" s="144"/>
      <c r="S705" s="548"/>
    </row>
    <row r="706">
      <c r="A706" s="538" t="s">
        <v>3511</v>
      </c>
      <c r="C706" s="574"/>
      <c r="D706" s="574"/>
      <c r="E706" s="574"/>
      <c r="F706" s="575"/>
      <c r="G706" s="575"/>
      <c r="H706" s="576"/>
      <c r="M706" s="122"/>
      <c r="N706" s="75"/>
      <c r="P706" s="75"/>
      <c r="R706" s="144"/>
      <c r="S706" s="548"/>
    </row>
    <row r="707">
      <c r="A707" s="538" t="s">
        <v>3511</v>
      </c>
      <c r="C707" s="574"/>
      <c r="D707" s="574"/>
      <c r="E707" s="574"/>
      <c r="F707" s="575"/>
      <c r="G707" s="575"/>
      <c r="H707" s="576"/>
      <c r="M707" s="122"/>
      <c r="N707" s="75"/>
      <c r="P707" s="75"/>
      <c r="R707" s="144"/>
      <c r="S707" s="548"/>
    </row>
    <row r="708">
      <c r="A708" s="538" t="s">
        <v>3511</v>
      </c>
      <c r="C708" s="574"/>
      <c r="D708" s="574"/>
      <c r="E708" s="574"/>
      <c r="F708" s="575"/>
      <c r="G708" s="575"/>
      <c r="H708" s="576"/>
      <c r="M708" s="122"/>
      <c r="N708" s="75"/>
      <c r="P708" s="75"/>
      <c r="R708" s="144"/>
      <c r="S708" s="548"/>
    </row>
    <row r="709">
      <c r="A709" s="538" t="s">
        <v>3511</v>
      </c>
      <c r="C709" s="574"/>
      <c r="D709" s="574"/>
      <c r="E709" s="574"/>
      <c r="F709" s="575"/>
      <c r="G709" s="575"/>
      <c r="H709" s="576"/>
      <c r="M709" s="122"/>
      <c r="N709" s="75"/>
      <c r="P709" s="75"/>
      <c r="R709" s="144"/>
      <c r="S709" s="548"/>
    </row>
    <row r="710">
      <c r="A710" s="538" t="s">
        <v>3511</v>
      </c>
      <c r="C710" s="574"/>
      <c r="D710" s="574"/>
      <c r="E710" s="574"/>
      <c r="F710" s="575"/>
      <c r="G710" s="575"/>
      <c r="H710" s="576"/>
      <c r="M710" s="122"/>
      <c r="N710" s="75"/>
      <c r="P710" s="75"/>
      <c r="R710" s="144"/>
      <c r="S710" s="548"/>
    </row>
    <row r="711">
      <c r="A711" s="538" t="s">
        <v>3511</v>
      </c>
      <c r="C711" s="574"/>
      <c r="D711" s="574"/>
      <c r="E711" s="574"/>
      <c r="F711" s="575"/>
      <c r="G711" s="575"/>
      <c r="H711" s="576"/>
      <c r="M711" s="122"/>
      <c r="N711" s="75"/>
      <c r="P711" s="75"/>
      <c r="R711" s="144"/>
      <c r="S711" s="548"/>
    </row>
    <row r="712">
      <c r="A712" s="538" t="s">
        <v>3511</v>
      </c>
      <c r="C712" s="574"/>
      <c r="D712" s="574"/>
      <c r="E712" s="574"/>
      <c r="F712" s="575"/>
      <c r="G712" s="575"/>
      <c r="H712" s="576"/>
      <c r="M712" s="122"/>
      <c r="N712" s="75"/>
      <c r="P712" s="75"/>
      <c r="R712" s="144"/>
      <c r="S712" s="548"/>
    </row>
    <row r="713">
      <c r="A713" s="538" t="s">
        <v>3511</v>
      </c>
      <c r="C713" s="574"/>
      <c r="D713" s="574"/>
      <c r="E713" s="574"/>
      <c r="F713" s="575"/>
      <c r="G713" s="575"/>
      <c r="H713" s="576"/>
      <c r="M713" s="122"/>
      <c r="N713" s="75"/>
      <c r="P713" s="75"/>
      <c r="R713" s="144"/>
      <c r="S713" s="548"/>
    </row>
    <row r="714">
      <c r="A714" s="538" t="s">
        <v>3511</v>
      </c>
      <c r="C714" s="574"/>
      <c r="D714" s="574"/>
      <c r="E714" s="574"/>
      <c r="F714" s="575"/>
      <c r="G714" s="575"/>
      <c r="H714" s="576"/>
      <c r="M714" s="122"/>
      <c r="N714" s="75"/>
      <c r="P714" s="75"/>
      <c r="R714" s="144"/>
      <c r="S714" s="548"/>
    </row>
    <row r="715">
      <c r="A715" s="538" t="s">
        <v>3511</v>
      </c>
      <c r="C715" s="574"/>
      <c r="D715" s="574"/>
      <c r="E715" s="574"/>
      <c r="F715" s="575"/>
      <c r="G715" s="575"/>
      <c r="H715" s="576"/>
      <c r="M715" s="122"/>
      <c r="N715" s="75"/>
      <c r="P715" s="75"/>
      <c r="R715" s="144"/>
      <c r="S715" s="548"/>
    </row>
    <row r="716">
      <c r="A716" s="538" t="s">
        <v>3511</v>
      </c>
      <c r="C716" s="574"/>
      <c r="D716" s="574"/>
      <c r="E716" s="574"/>
      <c r="F716" s="575"/>
      <c r="G716" s="575"/>
      <c r="H716" s="576"/>
      <c r="M716" s="122"/>
      <c r="N716" s="75"/>
      <c r="P716" s="75"/>
      <c r="R716" s="144"/>
      <c r="S716" s="548"/>
    </row>
    <row r="717">
      <c r="A717" s="538" t="s">
        <v>3511</v>
      </c>
      <c r="C717" s="574"/>
      <c r="D717" s="574"/>
      <c r="E717" s="574"/>
      <c r="F717" s="575"/>
      <c r="G717" s="575"/>
      <c r="H717" s="576"/>
      <c r="M717" s="122"/>
      <c r="N717" s="75"/>
      <c r="P717" s="75"/>
      <c r="R717" s="144"/>
      <c r="S717" s="548"/>
    </row>
    <row r="718">
      <c r="A718" s="538" t="s">
        <v>3511</v>
      </c>
      <c r="C718" s="574"/>
      <c r="D718" s="574"/>
      <c r="E718" s="574"/>
      <c r="F718" s="575"/>
      <c r="G718" s="575"/>
      <c r="H718" s="576"/>
      <c r="M718" s="122"/>
      <c r="N718" s="75"/>
      <c r="P718" s="75"/>
      <c r="R718" s="144"/>
      <c r="S718" s="548"/>
    </row>
    <row r="719">
      <c r="A719" s="538" t="s">
        <v>3511</v>
      </c>
      <c r="C719" s="574"/>
      <c r="D719" s="574"/>
      <c r="E719" s="574"/>
      <c r="F719" s="575"/>
      <c r="G719" s="575"/>
      <c r="H719" s="576"/>
      <c r="M719" s="122"/>
      <c r="N719" s="75"/>
      <c r="P719" s="75"/>
      <c r="R719" s="144"/>
      <c r="S719" s="548"/>
    </row>
    <row r="720">
      <c r="A720" s="538" t="s">
        <v>3511</v>
      </c>
      <c r="C720" s="574"/>
      <c r="D720" s="574"/>
      <c r="E720" s="574"/>
      <c r="F720" s="575"/>
      <c r="G720" s="575"/>
      <c r="H720" s="576"/>
      <c r="M720" s="122"/>
      <c r="N720" s="75"/>
      <c r="P720" s="75"/>
      <c r="R720" s="144"/>
      <c r="S720" s="548"/>
    </row>
    <row r="721">
      <c r="A721" s="538" t="s">
        <v>3511</v>
      </c>
      <c r="C721" s="574"/>
      <c r="D721" s="574"/>
      <c r="E721" s="574"/>
      <c r="F721" s="575"/>
      <c r="G721" s="575"/>
      <c r="H721" s="576"/>
      <c r="M721" s="122"/>
      <c r="N721" s="75"/>
      <c r="P721" s="75"/>
      <c r="R721" s="144"/>
      <c r="S721" s="548"/>
    </row>
    <row r="722">
      <c r="A722" s="538" t="s">
        <v>3511</v>
      </c>
      <c r="C722" s="574"/>
      <c r="D722" s="574"/>
      <c r="E722" s="574"/>
      <c r="F722" s="575"/>
      <c r="G722" s="575"/>
      <c r="H722" s="576"/>
      <c r="M722" s="122"/>
      <c r="N722" s="75"/>
      <c r="P722" s="75"/>
      <c r="R722" s="144"/>
      <c r="S722" s="548"/>
    </row>
    <row r="723">
      <c r="A723" s="538" t="s">
        <v>3511</v>
      </c>
      <c r="C723" s="574"/>
      <c r="D723" s="574"/>
      <c r="E723" s="574"/>
      <c r="F723" s="575"/>
      <c r="G723" s="575"/>
      <c r="H723" s="576"/>
      <c r="M723" s="122"/>
      <c r="N723" s="75"/>
      <c r="P723" s="75"/>
      <c r="R723" s="144"/>
      <c r="S723" s="548"/>
    </row>
    <row r="724">
      <c r="A724" s="538" t="s">
        <v>3511</v>
      </c>
      <c r="C724" s="574"/>
      <c r="D724" s="574"/>
      <c r="E724" s="574"/>
      <c r="F724" s="575"/>
      <c r="G724" s="575"/>
      <c r="H724" s="576"/>
      <c r="M724" s="122"/>
      <c r="N724" s="75"/>
      <c r="P724" s="75"/>
      <c r="R724" s="144"/>
      <c r="S724" s="548"/>
    </row>
    <row r="725">
      <c r="A725" s="538" t="s">
        <v>3511</v>
      </c>
      <c r="C725" s="574"/>
      <c r="D725" s="574"/>
      <c r="E725" s="574"/>
      <c r="F725" s="575"/>
      <c r="G725" s="575"/>
      <c r="H725" s="576"/>
      <c r="M725" s="122"/>
      <c r="N725" s="75"/>
      <c r="P725" s="75"/>
      <c r="R725" s="144"/>
      <c r="S725" s="548"/>
    </row>
    <row r="726">
      <c r="A726" s="538" t="s">
        <v>3511</v>
      </c>
      <c r="C726" s="574"/>
      <c r="D726" s="574"/>
      <c r="E726" s="574"/>
      <c r="F726" s="575"/>
      <c r="G726" s="575"/>
      <c r="H726" s="576"/>
      <c r="M726" s="122"/>
      <c r="N726" s="75"/>
      <c r="P726" s="75"/>
      <c r="R726" s="144"/>
      <c r="S726" s="548"/>
    </row>
    <row r="727">
      <c r="A727" s="538" t="s">
        <v>3511</v>
      </c>
      <c r="C727" s="574"/>
      <c r="D727" s="574"/>
      <c r="E727" s="574"/>
      <c r="F727" s="575"/>
      <c r="G727" s="575"/>
      <c r="H727" s="576"/>
      <c r="M727" s="122"/>
      <c r="N727" s="75"/>
      <c r="P727" s="75"/>
      <c r="R727" s="144"/>
      <c r="S727" s="548"/>
    </row>
    <row r="728">
      <c r="A728" s="538" t="s">
        <v>3511</v>
      </c>
      <c r="C728" s="574"/>
      <c r="D728" s="574"/>
      <c r="E728" s="574"/>
      <c r="F728" s="575"/>
      <c r="G728" s="575"/>
      <c r="H728" s="576"/>
      <c r="M728" s="122"/>
      <c r="N728" s="75"/>
      <c r="P728" s="75"/>
      <c r="R728" s="144"/>
      <c r="S728" s="548"/>
    </row>
    <row r="729">
      <c r="A729" s="538" t="s">
        <v>3511</v>
      </c>
      <c r="C729" s="574"/>
      <c r="D729" s="574"/>
      <c r="E729" s="574"/>
      <c r="F729" s="575"/>
      <c r="G729" s="575"/>
      <c r="H729" s="576"/>
      <c r="M729" s="122"/>
      <c r="N729" s="75"/>
      <c r="P729" s="75"/>
      <c r="R729" s="144"/>
      <c r="S729" s="548"/>
    </row>
    <row r="730">
      <c r="A730" s="538" t="s">
        <v>3511</v>
      </c>
      <c r="C730" s="574"/>
      <c r="D730" s="574"/>
      <c r="E730" s="574"/>
      <c r="F730" s="575"/>
      <c r="G730" s="575"/>
      <c r="H730" s="576"/>
      <c r="M730" s="122"/>
      <c r="N730" s="75"/>
      <c r="P730" s="75"/>
      <c r="R730" s="144"/>
      <c r="S730" s="548"/>
    </row>
    <row r="731">
      <c r="A731" s="538" t="s">
        <v>3511</v>
      </c>
      <c r="C731" s="574"/>
      <c r="D731" s="574"/>
      <c r="E731" s="574"/>
      <c r="F731" s="575"/>
      <c r="G731" s="575"/>
      <c r="H731" s="576"/>
      <c r="M731" s="122"/>
      <c r="N731" s="75"/>
      <c r="P731" s="75"/>
      <c r="R731" s="144"/>
      <c r="S731" s="548"/>
    </row>
    <row r="732">
      <c r="A732" s="538" t="s">
        <v>3511</v>
      </c>
      <c r="C732" s="574"/>
      <c r="D732" s="574"/>
      <c r="E732" s="574"/>
      <c r="F732" s="575"/>
      <c r="G732" s="575"/>
      <c r="H732" s="576"/>
      <c r="M732" s="122"/>
      <c r="N732" s="75"/>
      <c r="P732" s="75"/>
      <c r="R732" s="144"/>
      <c r="S732" s="548"/>
    </row>
    <row r="733">
      <c r="A733" s="538" t="s">
        <v>3511</v>
      </c>
      <c r="C733" s="574"/>
      <c r="D733" s="574"/>
      <c r="E733" s="574"/>
      <c r="F733" s="575"/>
      <c r="G733" s="575"/>
      <c r="H733" s="576"/>
      <c r="M733" s="122"/>
      <c r="N733" s="75"/>
      <c r="P733" s="75"/>
      <c r="R733" s="144"/>
      <c r="S733" s="548"/>
    </row>
    <row r="734">
      <c r="A734" s="538" t="s">
        <v>3511</v>
      </c>
      <c r="C734" s="574"/>
      <c r="D734" s="574"/>
      <c r="E734" s="574"/>
      <c r="F734" s="575"/>
      <c r="G734" s="575"/>
      <c r="H734" s="576"/>
      <c r="M734" s="122"/>
      <c r="N734" s="75"/>
      <c r="P734" s="75"/>
      <c r="R734" s="144"/>
      <c r="S734" s="548"/>
    </row>
    <row r="735">
      <c r="A735" s="538" t="s">
        <v>3511</v>
      </c>
      <c r="C735" s="574"/>
      <c r="D735" s="574"/>
      <c r="E735" s="574"/>
      <c r="F735" s="575"/>
      <c r="G735" s="575"/>
      <c r="H735" s="576"/>
      <c r="M735" s="122"/>
      <c r="N735" s="75"/>
      <c r="P735" s="75"/>
      <c r="R735" s="144"/>
      <c r="S735" s="548"/>
    </row>
    <row r="736">
      <c r="A736" s="538" t="s">
        <v>3511</v>
      </c>
      <c r="C736" s="574"/>
      <c r="D736" s="574"/>
      <c r="E736" s="574"/>
      <c r="F736" s="575"/>
      <c r="G736" s="575"/>
      <c r="H736" s="576"/>
      <c r="M736" s="122"/>
      <c r="N736" s="75"/>
      <c r="P736" s="75"/>
      <c r="R736" s="144"/>
      <c r="S736" s="548"/>
    </row>
    <row r="737">
      <c r="A737" s="538" t="s">
        <v>3511</v>
      </c>
      <c r="C737" s="574"/>
      <c r="D737" s="574"/>
      <c r="E737" s="574"/>
      <c r="F737" s="575"/>
      <c r="G737" s="575"/>
      <c r="H737" s="576"/>
      <c r="M737" s="122"/>
      <c r="N737" s="75"/>
      <c r="P737" s="75"/>
      <c r="R737" s="144"/>
      <c r="S737" s="548"/>
    </row>
    <row r="738">
      <c r="A738" s="538" t="s">
        <v>3511</v>
      </c>
      <c r="C738" s="574"/>
      <c r="D738" s="574"/>
      <c r="E738" s="574"/>
      <c r="F738" s="575"/>
      <c r="G738" s="575"/>
      <c r="H738" s="576"/>
      <c r="M738" s="122"/>
      <c r="N738" s="75"/>
      <c r="P738" s="75"/>
      <c r="R738" s="144"/>
      <c r="S738" s="548"/>
    </row>
    <row r="739">
      <c r="A739" s="538" t="s">
        <v>3511</v>
      </c>
      <c r="C739" s="574"/>
      <c r="D739" s="574"/>
      <c r="E739" s="574"/>
      <c r="F739" s="575"/>
      <c r="G739" s="575"/>
      <c r="H739" s="576"/>
      <c r="M739" s="122"/>
      <c r="N739" s="75"/>
      <c r="P739" s="75"/>
      <c r="R739" s="144"/>
      <c r="S739" s="548"/>
    </row>
    <row r="740">
      <c r="A740" s="538" t="s">
        <v>3511</v>
      </c>
      <c r="C740" s="574"/>
      <c r="D740" s="574"/>
      <c r="E740" s="574"/>
      <c r="F740" s="575"/>
      <c r="G740" s="575"/>
      <c r="H740" s="576"/>
      <c r="M740" s="122"/>
      <c r="N740" s="75"/>
      <c r="P740" s="75"/>
      <c r="R740" s="144"/>
      <c r="S740" s="548"/>
    </row>
    <row r="741">
      <c r="A741" s="538" t="s">
        <v>3511</v>
      </c>
      <c r="C741" s="574"/>
      <c r="D741" s="574"/>
      <c r="E741" s="574"/>
      <c r="F741" s="575"/>
      <c r="G741" s="575"/>
      <c r="H741" s="576"/>
      <c r="M741" s="122"/>
      <c r="N741" s="75"/>
      <c r="P741" s="75"/>
      <c r="R741" s="144"/>
      <c r="S741" s="548"/>
    </row>
    <row r="742">
      <c r="A742" s="538" t="s">
        <v>3511</v>
      </c>
      <c r="C742" s="574"/>
      <c r="D742" s="574"/>
      <c r="E742" s="574"/>
      <c r="F742" s="575"/>
      <c r="G742" s="575"/>
      <c r="H742" s="576"/>
      <c r="M742" s="122"/>
      <c r="N742" s="75"/>
      <c r="P742" s="75"/>
      <c r="R742" s="144"/>
      <c r="S742" s="548"/>
    </row>
    <row r="743">
      <c r="A743" s="538" t="s">
        <v>3511</v>
      </c>
      <c r="C743" s="574"/>
      <c r="D743" s="574"/>
      <c r="E743" s="574"/>
      <c r="F743" s="575"/>
      <c r="G743" s="575"/>
      <c r="H743" s="576"/>
      <c r="M743" s="122"/>
      <c r="N743" s="75"/>
      <c r="P743" s="75"/>
      <c r="R743" s="144"/>
      <c r="S743" s="548"/>
    </row>
    <row r="744">
      <c r="A744" s="538" t="s">
        <v>3511</v>
      </c>
      <c r="C744" s="574"/>
      <c r="D744" s="574"/>
      <c r="E744" s="574"/>
      <c r="F744" s="575"/>
      <c r="G744" s="575"/>
      <c r="H744" s="576"/>
      <c r="M744" s="122"/>
      <c r="N744" s="75"/>
      <c r="P744" s="75"/>
      <c r="R744" s="144"/>
      <c r="S744" s="548"/>
    </row>
    <row r="745">
      <c r="A745" s="538" t="s">
        <v>3511</v>
      </c>
      <c r="C745" s="574"/>
      <c r="D745" s="574"/>
      <c r="E745" s="574"/>
      <c r="F745" s="575"/>
      <c r="G745" s="575"/>
      <c r="H745" s="576"/>
      <c r="M745" s="122"/>
      <c r="N745" s="75"/>
      <c r="P745" s="75"/>
      <c r="R745" s="144"/>
      <c r="S745" s="548"/>
    </row>
    <row r="746">
      <c r="A746" s="538" t="s">
        <v>3511</v>
      </c>
      <c r="C746" s="574"/>
      <c r="D746" s="574"/>
      <c r="E746" s="574"/>
      <c r="F746" s="575"/>
      <c r="G746" s="575"/>
      <c r="H746" s="576"/>
      <c r="M746" s="122"/>
      <c r="N746" s="75"/>
      <c r="P746" s="75"/>
      <c r="R746" s="144"/>
      <c r="S746" s="548"/>
    </row>
    <row r="747">
      <c r="A747" s="538" t="s">
        <v>3511</v>
      </c>
      <c r="C747" s="574"/>
      <c r="D747" s="574"/>
      <c r="E747" s="574"/>
      <c r="F747" s="575"/>
      <c r="G747" s="575"/>
      <c r="H747" s="576"/>
      <c r="M747" s="122"/>
      <c r="N747" s="75"/>
      <c r="P747" s="75"/>
      <c r="R747" s="144"/>
      <c r="S747" s="548"/>
    </row>
    <row r="748">
      <c r="A748" s="538" t="s">
        <v>3511</v>
      </c>
      <c r="C748" s="574"/>
      <c r="D748" s="574"/>
      <c r="E748" s="574"/>
      <c r="F748" s="575"/>
      <c r="G748" s="575"/>
      <c r="H748" s="576"/>
      <c r="M748" s="122"/>
      <c r="N748" s="75"/>
      <c r="P748" s="75"/>
      <c r="R748" s="144"/>
      <c r="S748" s="548"/>
    </row>
    <row r="749">
      <c r="A749" s="538" t="s">
        <v>3511</v>
      </c>
      <c r="C749" s="574"/>
      <c r="D749" s="574"/>
      <c r="E749" s="574"/>
      <c r="F749" s="575"/>
      <c r="G749" s="575"/>
      <c r="H749" s="576"/>
      <c r="M749" s="122"/>
      <c r="N749" s="75"/>
      <c r="P749" s="75"/>
      <c r="R749" s="144"/>
      <c r="S749" s="548"/>
    </row>
    <row r="750">
      <c r="A750" s="538" t="s">
        <v>3511</v>
      </c>
      <c r="C750" s="574"/>
      <c r="D750" s="574"/>
      <c r="E750" s="574"/>
      <c r="F750" s="575"/>
      <c r="G750" s="575"/>
      <c r="H750" s="576"/>
      <c r="M750" s="122"/>
      <c r="N750" s="75"/>
      <c r="P750" s="75"/>
      <c r="R750" s="144"/>
      <c r="S750" s="548"/>
    </row>
    <row r="751">
      <c r="A751" s="538" t="s">
        <v>3511</v>
      </c>
      <c r="C751" s="574"/>
      <c r="D751" s="574"/>
      <c r="E751" s="574"/>
      <c r="F751" s="575"/>
      <c r="G751" s="575"/>
      <c r="H751" s="576"/>
      <c r="M751" s="122"/>
      <c r="N751" s="75"/>
      <c r="P751" s="75"/>
      <c r="R751" s="144"/>
      <c r="S751" s="548"/>
    </row>
    <row r="752">
      <c r="A752" s="538" t="s">
        <v>3511</v>
      </c>
      <c r="C752" s="574"/>
      <c r="D752" s="574"/>
      <c r="E752" s="574"/>
      <c r="F752" s="575"/>
      <c r="G752" s="575"/>
      <c r="H752" s="576"/>
      <c r="M752" s="122"/>
      <c r="N752" s="75"/>
      <c r="P752" s="75"/>
      <c r="R752" s="144"/>
      <c r="S752" s="548"/>
    </row>
    <row r="753">
      <c r="A753" s="538" t="s">
        <v>3511</v>
      </c>
      <c r="C753" s="574"/>
      <c r="D753" s="574"/>
      <c r="E753" s="574"/>
      <c r="F753" s="575"/>
      <c r="G753" s="575"/>
      <c r="H753" s="576"/>
      <c r="M753" s="122"/>
      <c r="N753" s="75"/>
      <c r="P753" s="75"/>
      <c r="R753" s="144"/>
      <c r="S753" s="548"/>
    </row>
    <row r="754">
      <c r="A754" s="538" t="s">
        <v>3511</v>
      </c>
      <c r="C754" s="574"/>
      <c r="D754" s="574"/>
      <c r="E754" s="574"/>
      <c r="F754" s="575"/>
      <c r="G754" s="575"/>
      <c r="H754" s="576"/>
      <c r="M754" s="122"/>
      <c r="N754" s="75"/>
      <c r="P754" s="75"/>
      <c r="R754" s="144"/>
      <c r="S754" s="548"/>
    </row>
    <row r="755">
      <c r="A755" s="538" t="s">
        <v>3511</v>
      </c>
      <c r="C755" s="574"/>
      <c r="D755" s="574"/>
      <c r="E755" s="574"/>
      <c r="F755" s="575"/>
      <c r="G755" s="575"/>
      <c r="H755" s="576"/>
      <c r="M755" s="122"/>
      <c r="N755" s="75"/>
      <c r="P755" s="75"/>
      <c r="R755" s="144"/>
      <c r="S755" s="548"/>
    </row>
    <row r="756">
      <c r="A756" s="538" t="s">
        <v>3511</v>
      </c>
      <c r="C756" s="574"/>
      <c r="D756" s="574"/>
      <c r="E756" s="574"/>
      <c r="F756" s="575"/>
      <c r="G756" s="575"/>
      <c r="H756" s="576"/>
      <c r="M756" s="122"/>
      <c r="N756" s="75"/>
      <c r="P756" s="75"/>
      <c r="R756" s="144"/>
      <c r="S756" s="548"/>
    </row>
    <row r="757">
      <c r="A757" s="538" t="s">
        <v>3511</v>
      </c>
      <c r="C757" s="574"/>
      <c r="D757" s="574"/>
      <c r="E757" s="574"/>
      <c r="F757" s="575"/>
      <c r="G757" s="575"/>
      <c r="H757" s="576"/>
      <c r="M757" s="122"/>
      <c r="N757" s="75"/>
      <c r="P757" s="75"/>
      <c r="R757" s="144"/>
      <c r="S757" s="548"/>
    </row>
    <row r="758">
      <c r="A758" s="538" t="s">
        <v>3511</v>
      </c>
      <c r="C758" s="574"/>
      <c r="D758" s="574"/>
      <c r="E758" s="574"/>
      <c r="F758" s="575"/>
      <c r="G758" s="575"/>
      <c r="H758" s="576"/>
      <c r="M758" s="122"/>
      <c r="N758" s="75"/>
      <c r="P758" s="75"/>
      <c r="R758" s="144"/>
      <c r="S758" s="548"/>
    </row>
    <row r="759">
      <c r="A759" s="538" t="s">
        <v>3511</v>
      </c>
      <c r="C759" s="574"/>
      <c r="D759" s="574"/>
      <c r="E759" s="574"/>
      <c r="F759" s="575"/>
      <c r="G759" s="575"/>
      <c r="H759" s="576"/>
      <c r="M759" s="122"/>
      <c r="N759" s="75"/>
      <c r="P759" s="75"/>
      <c r="R759" s="144"/>
      <c r="S759" s="548"/>
    </row>
    <row r="760">
      <c r="A760" s="538" t="s">
        <v>3511</v>
      </c>
      <c r="C760" s="574"/>
      <c r="D760" s="574"/>
      <c r="E760" s="574"/>
      <c r="F760" s="575"/>
      <c r="G760" s="575"/>
      <c r="H760" s="576"/>
      <c r="M760" s="122"/>
      <c r="N760" s="75"/>
      <c r="P760" s="75"/>
      <c r="R760" s="144"/>
      <c r="S760" s="548"/>
    </row>
    <row r="761">
      <c r="A761" s="538" t="s">
        <v>3511</v>
      </c>
      <c r="C761" s="574"/>
      <c r="D761" s="574"/>
      <c r="E761" s="574"/>
      <c r="F761" s="575"/>
      <c r="G761" s="575"/>
      <c r="H761" s="576"/>
      <c r="M761" s="122"/>
      <c r="N761" s="75"/>
      <c r="P761" s="75"/>
      <c r="R761" s="144"/>
      <c r="S761" s="548"/>
    </row>
    <row r="762">
      <c r="A762" s="538" t="s">
        <v>3511</v>
      </c>
      <c r="C762" s="574"/>
      <c r="D762" s="574"/>
      <c r="E762" s="574"/>
      <c r="F762" s="575"/>
      <c r="G762" s="575"/>
      <c r="H762" s="576"/>
      <c r="M762" s="122"/>
      <c r="N762" s="75"/>
      <c r="P762" s="75"/>
      <c r="R762" s="144"/>
      <c r="S762" s="548"/>
    </row>
    <row r="763">
      <c r="A763" s="538" t="s">
        <v>3511</v>
      </c>
      <c r="C763" s="574"/>
      <c r="D763" s="574"/>
      <c r="E763" s="574"/>
      <c r="F763" s="575"/>
      <c r="G763" s="575"/>
      <c r="H763" s="576"/>
      <c r="M763" s="122"/>
      <c r="N763" s="75"/>
      <c r="P763" s="75"/>
      <c r="R763" s="144"/>
      <c r="S763" s="548"/>
    </row>
    <row r="764">
      <c r="A764" s="538" t="s">
        <v>3511</v>
      </c>
      <c r="C764" s="574"/>
      <c r="D764" s="574"/>
      <c r="E764" s="574"/>
      <c r="F764" s="575"/>
      <c r="G764" s="575"/>
      <c r="H764" s="576"/>
      <c r="M764" s="122"/>
      <c r="N764" s="75"/>
      <c r="P764" s="75"/>
      <c r="R764" s="144"/>
      <c r="S764" s="548"/>
    </row>
    <row r="765">
      <c r="A765" s="538" t="s">
        <v>3511</v>
      </c>
      <c r="C765" s="574"/>
      <c r="D765" s="574"/>
      <c r="E765" s="574"/>
      <c r="F765" s="575"/>
      <c r="G765" s="575"/>
      <c r="H765" s="576"/>
      <c r="M765" s="122"/>
      <c r="N765" s="75"/>
      <c r="P765" s="75"/>
      <c r="R765" s="144"/>
      <c r="S765" s="548"/>
    </row>
    <row r="766">
      <c r="A766" s="538" t="s">
        <v>3511</v>
      </c>
      <c r="C766" s="574"/>
      <c r="D766" s="574"/>
      <c r="E766" s="574"/>
      <c r="F766" s="575"/>
      <c r="G766" s="575"/>
      <c r="H766" s="576"/>
      <c r="M766" s="122"/>
      <c r="N766" s="75"/>
      <c r="P766" s="75"/>
      <c r="R766" s="144"/>
      <c r="S766" s="548"/>
    </row>
    <row r="767">
      <c r="A767" s="538" t="s">
        <v>3511</v>
      </c>
      <c r="C767" s="574"/>
      <c r="D767" s="574"/>
      <c r="E767" s="574"/>
      <c r="F767" s="575"/>
      <c r="G767" s="575"/>
      <c r="H767" s="576"/>
      <c r="M767" s="122"/>
      <c r="N767" s="75"/>
      <c r="P767" s="75"/>
      <c r="R767" s="144"/>
      <c r="S767" s="548"/>
    </row>
    <row r="768">
      <c r="A768" s="538" t="s">
        <v>3511</v>
      </c>
      <c r="C768" s="574"/>
      <c r="D768" s="574"/>
      <c r="E768" s="574"/>
      <c r="F768" s="575"/>
      <c r="G768" s="575"/>
      <c r="H768" s="576"/>
      <c r="M768" s="122"/>
      <c r="N768" s="75"/>
      <c r="P768" s="75"/>
      <c r="R768" s="144"/>
      <c r="S768" s="548"/>
    </row>
    <row r="769">
      <c r="A769" s="538" t="s">
        <v>3511</v>
      </c>
      <c r="C769" s="574"/>
      <c r="D769" s="574"/>
      <c r="E769" s="574"/>
      <c r="F769" s="575"/>
      <c r="G769" s="575"/>
      <c r="H769" s="576"/>
      <c r="M769" s="122"/>
      <c r="N769" s="75"/>
      <c r="P769" s="75"/>
      <c r="R769" s="144"/>
      <c r="S769" s="548"/>
    </row>
    <row r="770">
      <c r="A770" s="538" t="s">
        <v>3511</v>
      </c>
      <c r="C770" s="574"/>
      <c r="D770" s="574"/>
      <c r="E770" s="574"/>
      <c r="F770" s="575"/>
      <c r="G770" s="575"/>
      <c r="H770" s="576"/>
      <c r="M770" s="122"/>
      <c r="N770" s="75"/>
      <c r="P770" s="75"/>
      <c r="R770" s="144"/>
      <c r="S770" s="548"/>
    </row>
    <row r="771">
      <c r="A771" s="538" t="s">
        <v>3511</v>
      </c>
      <c r="C771" s="574"/>
      <c r="D771" s="574"/>
      <c r="E771" s="574"/>
      <c r="F771" s="575"/>
      <c r="G771" s="575"/>
      <c r="H771" s="576"/>
      <c r="M771" s="122"/>
      <c r="N771" s="75"/>
      <c r="P771" s="75"/>
      <c r="R771" s="144"/>
      <c r="S771" s="548"/>
    </row>
    <row r="772">
      <c r="A772" s="538" t="s">
        <v>3511</v>
      </c>
      <c r="C772" s="574"/>
      <c r="D772" s="574"/>
      <c r="E772" s="574"/>
      <c r="F772" s="575"/>
      <c r="G772" s="575"/>
      <c r="H772" s="576"/>
      <c r="M772" s="122"/>
      <c r="N772" s="75"/>
      <c r="P772" s="75"/>
      <c r="R772" s="144"/>
      <c r="S772" s="548"/>
    </row>
    <row r="773">
      <c r="A773" s="538" t="s">
        <v>3511</v>
      </c>
      <c r="C773" s="574"/>
      <c r="D773" s="574"/>
      <c r="E773" s="574"/>
      <c r="F773" s="575"/>
      <c r="G773" s="575"/>
      <c r="H773" s="576"/>
      <c r="M773" s="122"/>
      <c r="N773" s="75"/>
      <c r="P773" s="75"/>
      <c r="R773" s="144"/>
      <c r="S773" s="548"/>
    </row>
    <row r="774">
      <c r="A774" s="538" t="s">
        <v>3511</v>
      </c>
      <c r="C774" s="574"/>
      <c r="D774" s="574"/>
      <c r="E774" s="574"/>
      <c r="F774" s="575"/>
      <c r="G774" s="575"/>
      <c r="H774" s="576"/>
      <c r="M774" s="122"/>
      <c r="N774" s="75"/>
      <c r="P774" s="75"/>
      <c r="R774" s="144"/>
      <c r="S774" s="548"/>
    </row>
    <row r="775">
      <c r="A775" s="538" t="s">
        <v>3511</v>
      </c>
      <c r="C775" s="574"/>
      <c r="D775" s="574"/>
      <c r="E775" s="574"/>
      <c r="F775" s="575"/>
      <c r="G775" s="575"/>
      <c r="H775" s="576"/>
      <c r="M775" s="122"/>
      <c r="N775" s="75"/>
      <c r="P775" s="75"/>
      <c r="R775" s="144"/>
      <c r="S775" s="548"/>
    </row>
    <row r="776">
      <c r="A776" s="538" t="s">
        <v>3511</v>
      </c>
      <c r="C776" s="574"/>
      <c r="D776" s="574"/>
      <c r="E776" s="574"/>
      <c r="F776" s="575"/>
      <c r="G776" s="575"/>
      <c r="H776" s="576"/>
      <c r="M776" s="122"/>
      <c r="N776" s="75"/>
      <c r="P776" s="75"/>
      <c r="R776" s="144"/>
      <c r="S776" s="548"/>
    </row>
    <row r="777">
      <c r="A777" s="538" t="s">
        <v>3511</v>
      </c>
      <c r="C777" s="574"/>
      <c r="D777" s="574"/>
      <c r="E777" s="574"/>
      <c r="F777" s="575"/>
      <c r="G777" s="575"/>
      <c r="H777" s="576"/>
      <c r="M777" s="122"/>
      <c r="N777" s="75"/>
      <c r="P777" s="75"/>
      <c r="R777" s="144"/>
      <c r="S777" s="548"/>
    </row>
    <row r="778">
      <c r="A778" s="538" t="s">
        <v>3511</v>
      </c>
      <c r="C778" s="574"/>
      <c r="D778" s="574"/>
      <c r="E778" s="574"/>
      <c r="F778" s="575"/>
      <c r="G778" s="575"/>
      <c r="H778" s="576"/>
      <c r="M778" s="122"/>
      <c r="N778" s="75"/>
      <c r="P778" s="75"/>
      <c r="R778" s="144"/>
      <c r="S778" s="548"/>
    </row>
    <row r="779">
      <c r="A779" s="538" t="s">
        <v>3511</v>
      </c>
      <c r="C779" s="574"/>
      <c r="D779" s="574"/>
      <c r="E779" s="574"/>
      <c r="F779" s="575"/>
      <c r="G779" s="575"/>
      <c r="H779" s="576"/>
      <c r="M779" s="122"/>
      <c r="N779" s="75"/>
      <c r="P779" s="75"/>
      <c r="R779" s="144"/>
      <c r="S779" s="548"/>
    </row>
    <row r="780">
      <c r="A780" s="538" t="s">
        <v>3511</v>
      </c>
      <c r="C780" s="574"/>
      <c r="D780" s="574"/>
      <c r="E780" s="574"/>
      <c r="F780" s="575"/>
      <c r="G780" s="575"/>
      <c r="H780" s="576"/>
      <c r="M780" s="122"/>
      <c r="N780" s="75"/>
      <c r="P780" s="75"/>
      <c r="R780" s="144"/>
      <c r="S780" s="548"/>
    </row>
    <row r="781">
      <c r="A781" s="538" t="s">
        <v>3511</v>
      </c>
      <c r="C781" s="574"/>
      <c r="D781" s="574"/>
      <c r="E781" s="574"/>
      <c r="F781" s="575"/>
      <c r="G781" s="575"/>
      <c r="H781" s="576"/>
      <c r="M781" s="122"/>
      <c r="N781" s="75"/>
      <c r="P781" s="75"/>
      <c r="R781" s="144"/>
      <c r="S781" s="548"/>
    </row>
    <row r="782">
      <c r="A782" s="538" t="s">
        <v>3511</v>
      </c>
      <c r="C782" s="574"/>
      <c r="D782" s="574"/>
      <c r="E782" s="574"/>
      <c r="F782" s="575"/>
      <c r="G782" s="575"/>
      <c r="H782" s="576"/>
      <c r="M782" s="122"/>
      <c r="N782" s="75"/>
      <c r="P782" s="75"/>
      <c r="R782" s="144"/>
      <c r="S782" s="548"/>
    </row>
    <row r="783">
      <c r="A783" s="538" t="s">
        <v>3511</v>
      </c>
      <c r="C783" s="574"/>
      <c r="D783" s="574"/>
      <c r="E783" s="574"/>
      <c r="F783" s="575"/>
      <c r="G783" s="575"/>
      <c r="H783" s="576"/>
      <c r="M783" s="122"/>
      <c r="N783" s="75"/>
      <c r="P783" s="75"/>
      <c r="R783" s="144"/>
      <c r="S783" s="548"/>
    </row>
    <row r="784">
      <c r="A784" s="538" t="s">
        <v>3511</v>
      </c>
      <c r="C784" s="574"/>
      <c r="D784" s="574"/>
      <c r="E784" s="574"/>
      <c r="F784" s="575"/>
      <c r="G784" s="575"/>
      <c r="H784" s="576"/>
      <c r="M784" s="122"/>
      <c r="N784" s="75"/>
      <c r="P784" s="75"/>
      <c r="R784" s="144"/>
      <c r="S784" s="548"/>
    </row>
    <row r="785">
      <c r="A785" s="538" t="s">
        <v>3511</v>
      </c>
      <c r="C785" s="574"/>
      <c r="D785" s="574"/>
      <c r="E785" s="574"/>
      <c r="F785" s="575"/>
      <c r="G785" s="575"/>
      <c r="H785" s="576"/>
      <c r="M785" s="122"/>
      <c r="N785" s="75"/>
      <c r="P785" s="75"/>
      <c r="R785" s="144"/>
      <c r="S785" s="548"/>
    </row>
    <row r="786">
      <c r="A786" s="538" t="s">
        <v>3511</v>
      </c>
      <c r="C786" s="574"/>
      <c r="D786" s="574"/>
      <c r="E786" s="574"/>
      <c r="F786" s="575"/>
      <c r="G786" s="575"/>
      <c r="H786" s="576"/>
      <c r="M786" s="122"/>
      <c r="N786" s="75"/>
      <c r="P786" s="75"/>
      <c r="R786" s="144"/>
      <c r="S786" s="548"/>
    </row>
    <row r="787">
      <c r="A787" s="538" t="s">
        <v>3511</v>
      </c>
      <c r="C787" s="574"/>
      <c r="D787" s="574"/>
      <c r="E787" s="574"/>
      <c r="F787" s="575"/>
      <c r="G787" s="575"/>
      <c r="H787" s="576"/>
      <c r="M787" s="122"/>
      <c r="N787" s="75"/>
      <c r="P787" s="75"/>
      <c r="R787" s="144"/>
      <c r="S787" s="548"/>
    </row>
    <row r="788">
      <c r="A788" s="538" t="s">
        <v>3511</v>
      </c>
      <c r="C788" s="574"/>
      <c r="D788" s="574"/>
      <c r="E788" s="574"/>
      <c r="F788" s="575"/>
      <c r="G788" s="575"/>
      <c r="H788" s="576"/>
      <c r="M788" s="122"/>
      <c r="N788" s="75"/>
      <c r="P788" s="75"/>
      <c r="R788" s="144"/>
      <c r="S788" s="548"/>
    </row>
    <row r="789">
      <c r="A789" s="538" t="s">
        <v>3511</v>
      </c>
      <c r="C789" s="574"/>
      <c r="D789" s="574"/>
      <c r="E789" s="574"/>
      <c r="F789" s="575"/>
      <c r="G789" s="575"/>
      <c r="H789" s="576"/>
      <c r="M789" s="122"/>
      <c r="N789" s="75"/>
      <c r="P789" s="75"/>
      <c r="R789" s="144"/>
      <c r="S789" s="548"/>
    </row>
    <row r="790">
      <c r="A790" s="538" t="s">
        <v>3511</v>
      </c>
      <c r="C790" s="574"/>
      <c r="D790" s="574"/>
      <c r="E790" s="574"/>
      <c r="F790" s="575"/>
      <c r="G790" s="575"/>
      <c r="H790" s="576"/>
      <c r="M790" s="122"/>
      <c r="N790" s="75"/>
      <c r="P790" s="75"/>
      <c r="R790" s="144"/>
      <c r="S790" s="548"/>
    </row>
    <row r="791">
      <c r="A791" s="538" t="s">
        <v>3511</v>
      </c>
      <c r="C791" s="574"/>
      <c r="D791" s="574"/>
      <c r="E791" s="574"/>
      <c r="F791" s="575"/>
      <c r="G791" s="575"/>
      <c r="H791" s="576"/>
      <c r="M791" s="122"/>
      <c r="N791" s="75"/>
      <c r="P791" s="75"/>
      <c r="R791" s="144"/>
      <c r="S791" s="548"/>
    </row>
    <row r="792">
      <c r="A792" s="538" t="s">
        <v>3511</v>
      </c>
      <c r="C792" s="574"/>
      <c r="D792" s="574"/>
      <c r="E792" s="574"/>
      <c r="F792" s="575"/>
      <c r="G792" s="575"/>
      <c r="H792" s="576"/>
      <c r="M792" s="122"/>
      <c r="N792" s="75"/>
      <c r="P792" s="75"/>
      <c r="R792" s="144"/>
      <c r="S792" s="548"/>
    </row>
    <row r="793">
      <c r="A793" s="538" t="s">
        <v>3511</v>
      </c>
      <c r="C793" s="574"/>
      <c r="D793" s="574"/>
      <c r="E793" s="574"/>
      <c r="F793" s="575"/>
      <c r="G793" s="575"/>
      <c r="H793" s="576"/>
      <c r="M793" s="122"/>
      <c r="N793" s="75"/>
      <c r="P793" s="75"/>
      <c r="R793" s="144"/>
      <c r="S793" s="548"/>
    </row>
    <row r="794">
      <c r="A794" s="538" t="s">
        <v>3511</v>
      </c>
      <c r="C794" s="574"/>
      <c r="D794" s="574"/>
      <c r="E794" s="574"/>
      <c r="F794" s="575"/>
      <c r="G794" s="575"/>
      <c r="H794" s="576"/>
      <c r="M794" s="122"/>
      <c r="N794" s="75"/>
      <c r="P794" s="75"/>
      <c r="R794" s="144"/>
      <c r="S794" s="548"/>
    </row>
    <row r="795">
      <c r="A795" s="538" t="s">
        <v>3511</v>
      </c>
      <c r="C795" s="574"/>
      <c r="D795" s="574"/>
      <c r="E795" s="574"/>
      <c r="F795" s="575"/>
      <c r="G795" s="575"/>
      <c r="H795" s="576"/>
      <c r="M795" s="122"/>
      <c r="N795" s="75"/>
      <c r="P795" s="75"/>
      <c r="R795" s="144"/>
      <c r="S795" s="548"/>
    </row>
    <row r="796">
      <c r="A796" s="538" t="s">
        <v>3511</v>
      </c>
      <c r="C796" s="574"/>
      <c r="D796" s="574"/>
      <c r="E796" s="574"/>
      <c r="F796" s="575"/>
      <c r="G796" s="575"/>
      <c r="H796" s="576"/>
      <c r="M796" s="122"/>
      <c r="N796" s="75"/>
      <c r="P796" s="75"/>
      <c r="R796" s="144"/>
      <c r="S796" s="548"/>
    </row>
    <row r="797">
      <c r="A797" s="538" t="s">
        <v>3511</v>
      </c>
      <c r="C797" s="574"/>
      <c r="D797" s="574"/>
      <c r="E797" s="574"/>
      <c r="F797" s="575"/>
      <c r="G797" s="575"/>
      <c r="H797" s="576"/>
      <c r="M797" s="122"/>
      <c r="N797" s="75"/>
      <c r="P797" s="75"/>
      <c r="R797" s="144"/>
      <c r="S797" s="548"/>
    </row>
    <row r="798">
      <c r="A798" s="538" t="s">
        <v>3511</v>
      </c>
      <c r="C798" s="574"/>
      <c r="D798" s="574"/>
      <c r="E798" s="574"/>
      <c r="F798" s="575"/>
      <c r="G798" s="575"/>
      <c r="H798" s="576"/>
      <c r="M798" s="122"/>
      <c r="N798" s="75"/>
      <c r="P798" s="75"/>
      <c r="R798" s="144"/>
      <c r="S798" s="548"/>
    </row>
    <row r="799">
      <c r="A799" s="538" t="s">
        <v>3511</v>
      </c>
      <c r="C799" s="574"/>
      <c r="D799" s="574"/>
      <c r="E799" s="574"/>
      <c r="F799" s="575"/>
      <c r="G799" s="575"/>
      <c r="H799" s="576"/>
      <c r="M799" s="122"/>
      <c r="N799" s="75"/>
      <c r="P799" s="75"/>
      <c r="R799" s="144"/>
      <c r="S799" s="548"/>
    </row>
    <row r="800">
      <c r="A800" s="538" t="s">
        <v>3511</v>
      </c>
      <c r="C800" s="574"/>
      <c r="D800" s="574"/>
      <c r="E800" s="574"/>
      <c r="F800" s="575"/>
      <c r="G800" s="575"/>
      <c r="H800" s="576"/>
      <c r="M800" s="122"/>
      <c r="N800" s="75"/>
      <c r="P800" s="75"/>
      <c r="R800" s="144"/>
      <c r="S800" s="548"/>
    </row>
    <row r="801">
      <c r="A801" s="538" t="s">
        <v>3511</v>
      </c>
      <c r="C801" s="574"/>
      <c r="D801" s="574"/>
      <c r="E801" s="574"/>
      <c r="F801" s="575"/>
      <c r="G801" s="575"/>
      <c r="H801" s="576"/>
      <c r="M801" s="122"/>
      <c r="N801" s="75"/>
      <c r="P801" s="75"/>
      <c r="R801" s="144"/>
      <c r="S801" s="548"/>
    </row>
    <row r="802">
      <c r="A802" s="538" t="s">
        <v>3511</v>
      </c>
      <c r="C802" s="574"/>
      <c r="D802" s="574"/>
      <c r="E802" s="574"/>
      <c r="F802" s="575"/>
      <c r="G802" s="575"/>
      <c r="H802" s="576"/>
      <c r="M802" s="122"/>
      <c r="N802" s="75"/>
      <c r="P802" s="75"/>
      <c r="R802" s="144"/>
      <c r="S802" s="548"/>
    </row>
    <row r="803">
      <c r="A803" s="538" t="s">
        <v>3511</v>
      </c>
      <c r="C803" s="574"/>
      <c r="D803" s="574"/>
      <c r="E803" s="574"/>
      <c r="F803" s="575"/>
      <c r="G803" s="575"/>
      <c r="H803" s="576"/>
      <c r="M803" s="122"/>
      <c r="N803" s="75"/>
      <c r="P803" s="75"/>
      <c r="R803" s="144"/>
      <c r="S803" s="548"/>
    </row>
    <row r="804">
      <c r="A804" s="538" t="s">
        <v>3511</v>
      </c>
      <c r="C804" s="574"/>
      <c r="D804" s="574"/>
      <c r="E804" s="574"/>
      <c r="F804" s="575"/>
      <c r="G804" s="575"/>
      <c r="H804" s="576"/>
      <c r="M804" s="122"/>
      <c r="N804" s="75"/>
      <c r="P804" s="75"/>
      <c r="R804" s="144"/>
      <c r="S804" s="548"/>
    </row>
    <row r="805">
      <c r="A805" s="538" t="s">
        <v>3511</v>
      </c>
      <c r="C805" s="574"/>
      <c r="D805" s="574"/>
      <c r="E805" s="574"/>
      <c r="F805" s="575"/>
      <c r="G805" s="575"/>
      <c r="H805" s="576"/>
      <c r="M805" s="122"/>
      <c r="N805" s="75"/>
      <c r="P805" s="75"/>
      <c r="R805" s="144"/>
      <c r="S805" s="548"/>
    </row>
    <row r="806">
      <c r="A806" s="538" t="s">
        <v>3511</v>
      </c>
      <c r="C806" s="574"/>
      <c r="D806" s="574"/>
      <c r="E806" s="574"/>
      <c r="F806" s="575"/>
      <c r="G806" s="575"/>
      <c r="H806" s="576"/>
      <c r="M806" s="122"/>
      <c r="N806" s="75"/>
      <c r="P806" s="75"/>
      <c r="R806" s="144"/>
      <c r="S806" s="548"/>
    </row>
    <row r="807">
      <c r="A807" s="538" t="s">
        <v>3511</v>
      </c>
      <c r="C807" s="574"/>
      <c r="D807" s="574"/>
      <c r="E807" s="574"/>
      <c r="F807" s="575"/>
      <c r="G807" s="575"/>
      <c r="H807" s="576"/>
      <c r="M807" s="122"/>
      <c r="N807" s="75"/>
      <c r="P807" s="75"/>
      <c r="R807" s="144"/>
      <c r="S807" s="548"/>
    </row>
    <row r="808">
      <c r="A808" s="538" t="s">
        <v>3511</v>
      </c>
      <c r="C808" s="574"/>
      <c r="D808" s="574"/>
      <c r="E808" s="574"/>
      <c r="F808" s="575"/>
      <c r="G808" s="575"/>
      <c r="H808" s="576"/>
      <c r="M808" s="122"/>
      <c r="N808" s="75"/>
      <c r="P808" s="75"/>
      <c r="R808" s="144"/>
      <c r="S808" s="548"/>
    </row>
    <row r="809">
      <c r="A809" s="538" t="s">
        <v>3511</v>
      </c>
      <c r="C809" s="574"/>
      <c r="D809" s="574"/>
      <c r="E809" s="574"/>
      <c r="F809" s="575"/>
      <c r="G809" s="575"/>
      <c r="H809" s="576"/>
      <c r="M809" s="122"/>
      <c r="N809" s="75"/>
      <c r="P809" s="75"/>
      <c r="R809" s="144"/>
      <c r="S809" s="548"/>
    </row>
    <row r="810">
      <c r="A810" s="538" t="s">
        <v>3511</v>
      </c>
      <c r="C810" s="574"/>
      <c r="D810" s="574"/>
      <c r="E810" s="574"/>
      <c r="F810" s="575"/>
      <c r="G810" s="575"/>
      <c r="H810" s="576"/>
      <c r="M810" s="122"/>
      <c r="N810" s="75"/>
      <c r="P810" s="75"/>
      <c r="R810" s="144"/>
      <c r="S810" s="548"/>
    </row>
    <row r="811">
      <c r="A811" s="538" t="s">
        <v>3511</v>
      </c>
      <c r="C811" s="574"/>
      <c r="D811" s="574"/>
      <c r="E811" s="574"/>
      <c r="F811" s="575"/>
      <c r="G811" s="575"/>
      <c r="H811" s="576"/>
      <c r="M811" s="122"/>
      <c r="N811" s="75"/>
      <c r="P811" s="75"/>
      <c r="R811" s="144"/>
      <c r="S811" s="548"/>
    </row>
    <row r="812">
      <c r="A812" s="538" t="s">
        <v>3511</v>
      </c>
      <c r="C812" s="574"/>
      <c r="D812" s="574"/>
      <c r="E812" s="574"/>
      <c r="F812" s="575"/>
      <c r="G812" s="575"/>
      <c r="H812" s="576"/>
      <c r="M812" s="122"/>
      <c r="N812" s="75"/>
      <c r="P812" s="75"/>
      <c r="R812" s="144"/>
      <c r="S812" s="548"/>
    </row>
    <row r="813">
      <c r="A813" s="538" t="s">
        <v>3511</v>
      </c>
      <c r="C813" s="574"/>
      <c r="D813" s="574"/>
      <c r="E813" s="574"/>
      <c r="F813" s="575"/>
      <c r="G813" s="575"/>
      <c r="H813" s="576"/>
      <c r="M813" s="122"/>
      <c r="N813" s="75"/>
      <c r="P813" s="75"/>
      <c r="R813" s="144"/>
      <c r="S813" s="548"/>
    </row>
    <row r="814">
      <c r="A814" s="538" t="s">
        <v>3511</v>
      </c>
      <c r="C814" s="574"/>
      <c r="D814" s="574"/>
      <c r="E814" s="574"/>
      <c r="F814" s="575"/>
      <c r="G814" s="575"/>
      <c r="H814" s="576"/>
      <c r="M814" s="122"/>
      <c r="N814" s="75"/>
      <c r="P814" s="75"/>
      <c r="R814" s="144"/>
      <c r="S814" s="548"/>
    </row>
    <row r="815">
      <c r="A815" s="538" t="s">
        <v>3511</v>
      </c>
      <c r="C815" s="574"/>
      <c r="D815" s="574"/>
      <c r="E815" s="574"/>
      <c r="F815" s="575"/>
      <c r="G815" s="575"/>
      <c r="H815" s="576"/>
      <c r="M815" s="122"/>
      <c r="N815" s="75"/>
      <c r="P815" s="75"/>
      <c r="R815" s="144"/>
      <c r="S815" s="548"/>
    </row>
    <row r="816">
      <c r="A816" s="538" t="s">
        <v>3511</v>
      </c>
      <c r="C816" s="574"/>
      <c r="D816" s="574"/>
      <c r="E816" s="574"/>
      <c r="F816" s="575"/>
      <c r="G816" s="575"/>
      <c r="H816" s="576"/>
      <c r="M816" s="122"/>
      <c r="N816" s="75"/>
      <c r="P816" s="75"/>
      <c r="R816" s="144"/>
      <c r="S816" s="548"/>
    </row>
    <row r="817">
      <c r="A817" s="538" t="s">
        <v>3511</v>
      </c>
      <c r="C817" s="574"/>
      <c r="D817" s="574"/>
      <c r="E817" s="574"/>
      <c r="F817" s="575"/>
      <c r="G817" s="575"/>
      <c r="H817" s="576"/>
      <c r="M817" s="122"/>
      <c r="N817" s="75"/>
      <c r="P817" s="75"/>
      <c r="R817" s="144"/>
      <c r="S817" s="548"/>
    </row>
    <row r="818">
      <c r="A818" s="538" t="s">
        <v>3511</v>
      </c>
      <c r="C818" s="574"/>
      <c r="D818" s="574"/>
      <c r="E818" s="574"/>
      <c r="F818" s="575"/>
      <c r="G818" s="575"/>
      <c r="H818" s="576"/>
      <c r="M818" s="122"/>
      <c r="N818" s="75"/>
      <c r="P818" s="75"/>
      <c r="R818" s="144"/>
      <c r="S818" s="548"/>
    </row>
    <row r="819">
      <c r="A819" s="538" t="s">
        <v>3511</v>
      </c>
      <c r="C819" s="574"/>
      <c r="D819" s="574"/>
      <c r="E819" s="574"/>
      <c r="F819" s="575"/>
      <c r="G819" s="575"/>
      <c r="H819" s="576"/>
      <c r="M819" s="122"/>
      <c r="N819" s="75"/>
      <c r="P819" s="75"/>
      <c r="R819" s="144"/>
      <c r="S819" s="548"/>
    </row>
    <row r="820">
      <c r="A820" s="538" t="s">
        <v>3511</v>
      </c>
      <c r="C820" s="574"/>
      <c r="D820" s="574"/>
      <c r="E820" s="574"/>
      <c r="F820" s="575"/>
      <c r="G820" s="575"/>
      <c r="H820" s="576"/>
      <c r="M820" s="122"/>
      <c r="N820" s="75"/>
      <c r="P820" s="75"/>
      <c r="R820" s="144"/>
      <c r="S820" s="548"/>
    </row>
    <row r="821">
      <c r="A821" s="538" t="s">
        <v>3511</v>
      </c>
      <c r="C821" s="574"/>
      <c r="D821" s="574"/>
      <c r="E821" s="574"/>
      <c r="F821" s="575"/>
      <c r="G821" s="575"/>
      <c r="H821" s="576"/>
      <c r="M821" s="122"/>
      <c r="N821" s="75"/>
      <c r="P821" s="75"/>
      <c r="R821" s="144"/>
      <c r="S821" s="548"/>
    </row>
    <row r="822">
      <c r="A822" s="538" t="s">
        <v>3511</v>
      </c>
      <c r="C822" s="574"/>
      <c r="D822" s="574"/>
      <c r="E822" s="574"/>
      <c r="F822" s="575"/>
      <c r="G822" s="575"/>
      <c r="H822" s="576"/>
      <c r="M822" s="122"/>
      <c r="N822" s="75"/>
      <c r="P822" s="75"/>
      <c r="R822" s="144"/>
      <c r="S822" s="548"/>
    </row>
    <row r="823">
      <c r="A823" s="538" t="s">
        <v>3511</v>
      </c>
      <c r="C823" s="574"/>
      <c r="D823" s="574"/>
      <c r="E823" s="574"/>
      <c r="F823" s="575"/>
      <c r="G823" s="575"/>
      <c r="H823" s="576"/>
      <c r="M823" s="122"/>
      <c r="N823" s="75"/>
      <c r="P823" s="75"/>
      <c r="R823" s="144"/>
      <c r="S823" s="548"/>
    </row>
    <row r="824">
      <c r="A824" s="538" t="s">
        <v>3511</v>
      </c>
      <c r="C824" s="574"/>
      <c r="D824" s="574"/>
      <c r="E824" s="574"/>
      <c r="F824" s="575"/>
      <c r="G824" s="575"/>
      <c r="H824" s="576"/>
      <c r="M824" s="122"/>
      <c r="N824" s="75"/>
      <c r="P824" s="75"/>
      <c r="R824" s="144"/>
      <c r="S824" s="548"/>
    </row>
    <row r="825">
      <c r="A825" s="538" t="s">
        <v>3511</v>
      </c>
      <c r="C825" s="574"/>
      <c r="D825" s="574"/>
      <c r="E825" s="574"/>
      <c r="F825" s="575"/>
      <c r="G825" s="575"/>
      <c r="H825" s="576"/>
      <c r="M825" s="122"/>
      <c r="N825" s="75"/>
      <c r="P825" s="75"/>
      <c r="R825" s="144"/>
      <c r="S825" s="548"/>
    </row>
    <row r="826">
      <c r="A826" s="538" t="s">
        <v>3511</v>
      </c>
      <c r="C826" s="574"/>
      <c r="D826" s="574"/>
      <c r="E826" s="574"/>
      <c r="F826" s="575"/>
      <c r="G826" s="575"/>
      <c r="H826" s="576"/>
      <c r="M826" s="122"/>
      <c r="N826" s="75"/>
      <c r="P826" s="75"/>
      <c r="R826" s="144"/>
      <c r="S826" s="548"/>
    </row>
    <row r="827">
      <c r="A827" s="538" t="s">
        <v>3511</v>
      </c>
      <c r="C827" s="574"/>
      <c r="D827" s="574"/>
      <c r="E827" s="574"/>
      <c r="F827" s="575"/>
      <c r="G827" s="575"/>
      <c r="H827" s="576"/>
      <c r="M827" s="122"/>
      <c r="N827" s="75"/>
      <c r="P827" s="75"/>
      <c r="R827" s="144"/>
      <c r="S827" s="548"/>
    </row>
    <row r="828">
      <c r="A828" s="538" t="s">
        <v>3511</v>
      </c>
      <c r="C828" s="574"/>
      <c r="D828" s="574"/>
      <c r="E828" s="574"/>
      <c r="F828" s="575"/>
      <c r="G828" s="575"/>
      <c r="H828" s="576"/>
      <c r="M828" s="122"/>
      <c r="N828" s="75"/>
      <c r="P828" s="75"/>
      <c r="R828" s="144"/>
      <c r="S828" s="548"/>
    </row>
    <row r="829">
      <c r="A829" s="538" t="s">
        <v>3511</v>
      </c>
      <c r="C829" s="574"/>
      <c r="D829" s="574"/>
      <c r="E829" s="574"/>
      <c r="F829" s="575"/>
      <c r="G829" s="575"/>
      <c r="H829" s="576"/>
      <c r="M829" s="122"/>
      <c r="N829" s="75"/>
      <c r="P829" s="75"/>
      <c r="R829" s="144"/>
      <c r="S829" s="548"/>
    </row>
    <row r="830">
      <c r="A830" s="538" t="s">
        <v>3511</v>
      </c>
      <c r="C830" s="574"/>
      <c r="D830" s="574"/>
      <c r="E830" s="574"/>
      <c r="F830" s="575"/>
      <c r="G830" s="575"/>
      <c r="H830" s="576"/>
      <c r="M830" s="122"/>
      <c r="N830" s="75"/>
      <c r="P830" s="75"/>
      <c r="R830" s="144"/>
      <c r="S830" s="548"/>
    </row>
    <row r="831">
      <c r="A831" s="538" t="s">
        <v>3511</v>
      </c>
      <c r="C831" s="574"/>
      <c r="D831" s="574"/>
      <c r="E831" s="574"/>
      <c r="F831" s="575"/>
      <c r="G831" s="575"/>
      <c r="H831" s="576"/>
      <c r="M831" s="122"/>
      <c r="N831" s="75"/>
      <c r="P831" s="75"/>
      <c r="R831" s="144"/>
      <c r="S831" s="548"/>
    </row>
    <row r="832">
      <c r="A832" s="538" t="s">
        <v>3511</v>
      </c>
      <c r="C832" s="574"/>
      <c r="D832" s="574"/>
      <c r="E832" s="574"/>
      <c r="F832" s="575"/>
      <c r="G832" s="575"/>
      <c r="H832" s="576"/>
      <c r="M832" s="122"/>
      <c r="N832" s="75"/>
      <c r="P832" s="75"/>
      <c r="R832" s="144"/>
      <c r="S832" s="548"/>
    </row>
    <row r="833">
      <c r="A833" s="538" t="s">
        <v>3511</v>
      </c>
      <c r="C833" s="574"/>
      <c r="D833" s="574"/>
      <c r="E833" s="574"/>
      <c r="F833" s="575"/>
      <c r="G833" s="575"/>
      <c r="H833" s="576"/>
      <c r="M833" s="122"/>
      <c r="N833" s="75"/>
      <c r="P833" s="75"/>
      <c r="R833" s="144"/>
      <c r="S833" s="548"/>
    </row>
    <row r="834">
      <c r="A834" s="538" t="s">
        <v>3511</v>
      </c>
      <c r="C834" s="574"/>
      <c r="D834" s="574"/>
      <c r="E834" s="574"/>
      <c r="F834" s="575"/>
      <c r="G834" s="575"/>
      <c r="H834" s="576"/>
      <c r="M834" s="122"/>
      <c r="N834" s="75"/>
      <c r="P834" s="75"/>
      <c r="R834" s="144"/>
      <c r="S834" s="548"/>
    </row>
    <row r="835">
      <c r="A835" s="538" t="s">
        <v>3511</v>
      </c>
      <c r="C835" s="574"/>
      <c r="D835" s="574"/>
      <c r="E835" s="574"/>
      <c r="F835" s="575"/>
      <c r="G835" s="575"/>
      <c r="H835" s="576"/>
      <c r="M835" s="122"/>
      <c r="N835" s="75"/>
      <c r="P835" s="75"/>
      <c r="R835" s="144"/>
      <c r="S835" s="548"/>
    </row>
    <row r="836">
      <c r="A836" s="538" t="s">
        <v>3511</v>
      </c>
      <c r="C836" s="574"/>
      <c r="D836" s="574"/>
      <c r="E836" s="574"/>
      <c r="F836" s="575"/>
      <c r="G836" s="575"/>
      <c r="H836" s="576"/>
      <c r="M836" s="122"/>
      <c r="N836" s="75"/>
      <c r="P836" s="75"/>
      <c r="R836" s="144"/>
      <c r="S836" s="548"/>
    </row>
    <row r="837">
      <c r="A837" s="538" t="s">
        <v>3511</v>
      </c>
      <c r="C837" s="574"/>
      <c r="D837" s="574"/>
      <c r="E837" s="574"/>
      <c r="F837" s="575"/>
      <c r="G837" s="575"/>
      <c r="H837" s="576"/>
      <c r="M837" s="122"/>
      <c r="N837" s="75"/>
      <c r="P837" s="75"/>
      <c r="R837" s="144"/>
      <c r="S837" s="548"/>
    </row>
    <row r="838">
      <c r="A838" s="538" t="s">
        <v>3511</v>
      </c>
      <c r="C838" s="574"/>
      <c r="D838" s="574"/>
      <c r="E838" s="574"/>
      <c r="F838" s="575"/>
      <c r="G838" s="575"/>
      <c r="H838" s="576"/>
      <c r="M838" s="122"/>
      <c r="N838" s="75"/>
      <c r="P838" s="75"/>
      <c r="R838" s="144"/>
      <c r="S838" s="548"/>
    </row>
    <row r="839">
      <c r="A839" s="538" t="s">
        <v>3511</v>
      </c>
      <c r="C839" s="574"/>
      <c r="D839" s="574"/>
      <c r="E839" s="574"/>
      <c r="F839" s="575"/>
      <c r="G839" s="575"/>
      <c r="H839" s="576"/>
      <c r="M839" s="122"/>
      <c r="N839" s="75"/>
      <c r="P839" s="75"/>
      <c r="R839" s="144"/>
      <c r="S839" s="548"/>
    </row>
    <row r="840">
      <c r="A840" s="538" t="s">
        <v>3511</v>
      </c>
      <c r="C840" s="574"/>
      <c r="D840" s="574"/>
      <c r="E840" s="574"/>
      <c r="F840" s="575"/>
      <c r="G840" s="575"/>
      <c r="H840" s="576"/>
      <c r="M840" s="122"/>
      <c r="N840" s="75"/>
      <c r="P840" s="75"/>
      <c r="R840" s="144"/>
      <c r="S840" s="548"/>
    </row>
    <row r="841">
      <c r="A841" s="538" t="s">
        <v>3511</v>
      </c>
      <c r="C841" s="574"/>
      <c r="D841" s="574"/>
      <c r="E841" s="574"/>
      <c r="F841" s="575"/>
      <c r="G841" s="575"/>
      <c r="H841" s="576"/>
      <c r="M841" s="122"/>
      <c r="N841" s="75"/>
      <c r="P841" s="75"/>
      <c r="R841" s="144"/>
      <c r="S841" s="548"/>
    </row>
    <row r="842">
      <c r="A842" s="538" t="s">
        <v>3511</v>
      </c>
      <c r="C842" s="574"/>
      <c r="D842" s="574"/>
      <c r="E842" s="574"/>
      <c r="F842" s="575"/>
      <c r="G842" s="575"/>
      <c r="H842" s="576"/>
      <c r="M842" s="122"/>
      <c r="N842" s="75"/>
      <c r="P842" s="75"/>
      <c r="R842" s="144"/>
      <c r="S842" s="548"/>
    </row>
    <row r="843">
      <c r="A843" s="538" t="s">
        <v>3511</v>
      </c>
      <c r="C843" s="574"/>
      <c r="D843" s="574"/>
      <c r="E843" s="574"/>
      <c r="F843" s="575"/>
      <c r="G843" s="575"/>
      <c r="H843" s="576"/>
      <c r="M843" s="122"/>
      <c r="N843" s="75"/>
      <c r="P843" s="75"/>
      <c r="R843" s="144"/>
      <c r="S843" s="548"/>
    </row>
    <row r="844">
      <c r="A844" s="538" t="s">
        <v>3511</v>
      </c>
      <c r="C844" s="574"/>
      <c r="D844" s="574"/>
      <c r="E844" s="574"/>
      <c r="F844" s="575"/>
      <c r="G844" s="575"/>
      <c r="H844" s="576"/>
      <c r="M844" s="122"/>
      <c r="N844" s="75"/>
      <c r="P844" s="75"/>
      <c r="R844" s="144"/>
      <c r="S844" s="548"/>
    </row>
    <row r="845">
      <c r="A845" s="538" t="s">
        <v>3511</v>
      </c>
      <c r="C845" s="574"/>
      <c r="D845" s="574"/>
      <c r="E845" s="574"/>
      <c r="F845" s="575"/>
      <c r="G845" s="575"/>
      <c r="H845" s="576"/>
      <c r="M845" s="122"/>
      <c r="N845" s="75"/>
      <c r="P845" s="75"/>
      <c r="R845" s="144"/>
      <c r="S845" s="548"/>
    </row>
    <row r="846">
      <c r="A846" s="538" t="s">
        <v>3511</v>
      </c>
      <c r="C846" s="574"/>
      <c r="D846" s="574"/>
      <c r="E846" s="574"/>
      <c r="F846" s="575"/>
      <c r="G846" s="575"/>
      <c r="H846" s="576"/>
      <c r="M846" s="122"/>
      <c r="N846" s="75"/>
      <c r="P846" s="75"/>
      <c r="R846" s="144"/>
      <c r="S846" s="548"/>
    </row>
    <row r="847">
      <c r="A847" s="538" t="s">
        <v>3511</v>
      </c>
      <c r="C847" s="574"/>
      <c r="D847" s="574"/>
      <c r="E847" s="574"/>
      <c r="F847" s="575"/>
      <c r="G847" s="575"/>
      <c r="H847" s="576"/>
      <c r="M847" s="122"/>
      <c r="N847" s="75"/>
      <c r="P847" s="75"/>
      <c r="R847" s="144"/>
      <c r="S847" s="548"/>
    </row>
    <row r="848">
      <c r="A848" s="538" t="s">
        <v>3511</v>
      </c>
      <c r="C848" s="574"/>
      <c r="D848" s="574"/>
      <c r="E848" s="574"/>
      <c r="F848" s="575"/>
      <c r="G848" s="575"/>
      <c r="H848" s="576"/>
      <c r="M848" s="122"/>
      <c r="N848" s="75"/>
      <c r="P848" s="75"/>
      <c r="R848" s="144"/>
      <c r="S848" s="548"/>
    </row>
    <row r="849">
      <c r="A849" s="538" t="s">
        <v>3511</v>
      </c>
      <c r="C849" s="574"/>
      <c r="D849" s="574"/>
      <c r="E849" s="574"/>
      <c r="F849" s="575"/>
      <c r="G849" s="575"/>
      <c r="H849" s="576"/>
      <c r="M849" s="122"/>
      <c r="N849" s="75"/>
      <c r="P849" s="75"/>
      <c r="R849" s="144"/>
      <c r="S849" s="548"/>
    </row>
    <row r="850">
      <c r="A850" s="538" t="s">
        <v>3511</v>
      </c>
      <c r="C850" s="574"/>
      <c r="D850" s="574"/>
      <c r="E850" s="574"/>
      <c r="F850" s="575"/>
      <c r="G850" s="575"/>
      <c r="H850" s="576"/>
      <c r="M850" s="122"/>
      <c r="N850" s="75"/>
      <c r="P850" s="75"/>
      <c r="R850" s="144"/>
      <c r="S850" s="548"/>
    </row>
    <row r="851">
      <c r="A851" s="538" t="s">
        <v>3511</v>
      </c>
      <c r="C851" s="574"/>
      <c r="D851" s="574"/>
      <c r="E851" s="574"/>
      <c r="F851" s="575"/>
      <c r="G851" s="575"/>
      <c r="H851" s="576"/>
      <c r="M851" s="122"/>
      <c r="N851" s="75"/>
      <c r="P851" s="75"/>
      <c r="R851" s="144"/>
      <c r="S851" s="548"/>
    </row>
    <row r="852">
      <c r="A852" s="538" t="s">
        <v>3511</v>
      </c>
      <c r="C852" s="574"/>
      <c r="D852" s="574"/>
      <c r="E852" s="574"/>
      <c r="F852" s="575"/>
      <c r="G852" s="575"/>
      <c r="H852" s="576"/>
      <c r="M852" s="122"/>
      <c r="N852" s="75"/>
      <c r="P852" s="75"/>
      <c r="R852" s="144"/>
      <c r="S852" s="548"/>
    </row>
    <row r="853">
      <c r="A853" s="538" t="s">
        <v>3511</v>
      </c>
      <c r="C853" s="574"/>
      <c r="D853" s="574"/>
      <c r="E853" s="574"/>
      <c r="F853" s="575"/>
      <c r="G853" s="575"/>
      <c r="H853" s="576"/>
      <c r="M853" s="122"/>
      <c r="N853" s="75"/>
      <c r="P853" s="75"/>
      <c r="R853" s="144"/>
      <c r="S853" s="548"/>
    </row>
    <row r="854">
      <c r="A854" s="538" t="s">
        <v>3511</v>
      </c>
      <c r="C854" s="574"/>
      <c r="D854" s="574"/>
      <c r="E854" s="574"/>
      <c r="F854" s="575"/>
      <c r="G854" s="575"/>
      <c r="H854" s="576"/>
      <c r="M854" s="122"/>
      <c r="N854" s="75"/>
      <c r="P854" s="75"/>
      <c r="R854" s="144"/>
      <c r="S854" s="548"/>
    </row>
    <row r="855">
      <c r="A855" s="538" t="s">
        <v>3511</v>
      </c>
      <c r="C855" s="574"/>
      <c r="D855" s="574"/>
      <c r="E855" s="574"/>
      <c r="F855" s="575"/>
      <c r="G855" s="575"/>
      <c r="H855" s="576"/>
      <c r="M855" s="122"/>
      <c r="N855" s="75"/>
      <c r="P855" s="75"/>
      <c r="R855" s="144"/>
      <c r="S855" s="548"/>
    </row>
    <row r="856">
      <c r="A856" s="538" t="s">
        <v>3511</v>
      </c>
      <c r="C856" s="574"/>
      <c r="D856" s="574"/>
      <c r="E856" s="574"/>
      <c r="F856" s="575"/>
      <c r="G856" s="575"/>
      <c r="H856" s="576"/>
      <c r="M856" s="122"/>
      <c r="N856" s="75"/>
      <c r="P856" s="75"/>
      <c r="R856" s="144"/>
      <c r="S856" s="548"/>
    </row>
    <row r="857">
      <c r="A857" s="538" t="s">
        <v>3511</v>
      </c>
      <c r="C857" s="574"/>
      <c r="D857" s="574"/>
      <c r="E857" s="574"/>
      <c r="F857" s="575"/>
      <c r="G857" s="575"/>
      <c r="H857" s="576"/>
      <c r="M857" s="122"/>
      <c r="N857" s="75"/>
      <c r="P857" s="75"/>
      <c r="R857" s="144"/>
      <c r="S857" s="548"/>
    </row>
    <row r="858">
      <c r="A858" s="538" t="s">
        <v>3511</v>
      </c>
      <c r="C858" s="574"/>
      <c r="D858" s="574"/>
      <c r="E858" s="574"/>
      <c r="F858" s="575"/>
      <c r="G858" s="575"/>
      <c r="H858" s="576"/>
      <c r="M858" s="122"/>
      <c r="N858" s="75"/>
      <c r="P858" s="75"/>
      <c r="R858" s="144"/>
      <c r="S858" s="548"/>
    </row>
    <row r="859">
      <c r="A859" s="538" t="s">
        <v>3511</v>
      </c>
      <c r="C859" s="574"/>
      <c r="D859" s="574"/>
      <c r="E859" s="574"/>
      <c r="F859" s="575"/>
      <c r="G859" s="575"/>
      <c r="H859" s="576"/>
      <c r="M859" s="122"/>
      <c r="N859" s="75"/>
      <c r="P859" s="75"/>
      <c r="R859" s="144"/>
      <c r="S859" s="548"/>
    </row>
    <row r="860">
      <c r="A860" s="538" t="s">
        <v>3511</v>
      </c>
      <c r="C860" s="574"/>
      <c r="D860" s="574"/>
      <c r="E860" s="574"/>
      <c r="F860" s="575"/>
      <c r="G860" s="575"/>
      <c r="H860" s="576"/>
      <c r="M860" s="122"/>
      <c r="N860" s="75"/>
      <c r="P860" s="75"/>
      <c r="R860" s="144"/>
      <c r="S860" s="548"/>
    </row>
    <row r="861">
      <c r="A861" s="538" t="s">
        <v>3511</v>
      </c>
      <c r="C861" s="574"/>
      <c r="D861" s="574"/>
      <c r="E861" s="574"/>
      <c r="F861" s="575"/>
      <c r="G861" s="575"/>
      <c r="H861" s="576"/>
      <c r="M861" s="122"/>
      <c r="N861" s="75"/>
      <c r="P861" s="75"/>
      <c r="R861" s="144"/>
      <c r="S861" s="548"/>
    </row>
    <row r="862">
      <c r="A862" s="538" t="s">
        <v>3511</v>
      </c>
      <c r="C862" s="574"/>
      <c r="D862" s="574"/>
      <c r="E862" s="574"/>
      <c r="F862" s="575"/>
      <c r="G862" s="575"/>
      <c r="H862" s="576"/>
      <c r="M862" s="122"/>
      <c r="N862" s="75"/>
      <c r="P862" s="75"/>
      <c r="R862" s="144"/>
      <c r="S862" s="548"/>
    </row>
    <row r="863">
      <c r="A863" s="538" t="s">
        <v>3511</v>
      </c>
      <c r="C863" s="574"/>
      <c r="D863" s="574"/>
      <c r="E863" s="574"/>
      <c r="F863" s="575"/>
      <c r="G863" s="575"/>
      <c r="H863" s="576"/>
      <c r="M863" s="122"/>
      <c r="N863" s="75"/>
      <c r="P863" s="75"/>
      <c r="R863" s="144"/>
      <c r="S863" s="548"/>
    </row>
    <row r="864">
      <c r="A864" s="538" t="s">
        <v>3511</v>
      </c>
      <c r="C864" s="574"/>
      <c r="D864" s="574"/>
      <c r="E864" s="574"/>
      <c r="F864" s="575"/>
      <c r="G864" s="575"/>
      <c r="H864" s="576"/>
      <c r="M864" s="122"/>
      <c r="N864" s="75"/>
      <c r="P864" s="75"/>
      <c r="R864" s="144"/>
      <c r="S864" s="548"/>
    </row>
    <row r="865">
      <c r="A865" s="538" t="s">
        <v>3511</v>
      </c>
      <c r="C865" s="574"/>
      <c r="D865" s="574"/>
      <c r="E865" s="574"/>
      <c r="F865" s="575"/>
      <c r="G865" s="575"/>
      <c r="H865" s="576"/>
      <c r="M865" s="122"/>
      <c r="N865" s="75"/>
      <c r="P865" s="75"/>
      <c r="R865" s="144"/>
      <c r="S865" s="548"/>
    </row>
    <row r="866">
      <c r="A866" s="538" t="s">
        <v>3511</v>
      </c>
      <c r="C866" s="574"/>
      <c r="D866" s="574"/>
      <c r="E866" s="574"/>
      <c r="F866" s="575"/>
      <c r="G866" s="575"/>
      <c r="H866" s="576"/>
      <c r="M866" s="122"/>
      <c r="N866" s="75"/>
      <c r="P866" s="75"/>
      <c r="R866" s="144"/>
      <c r="S866" s="548"/>
    </row>
    <row r="867">
      <c r="A867" s="538" t="s">
        <v>3511</v>
      </c>
      <c r="C867" s="574"/>
      <c r="D867" s="574"/>
      <c r="E867" s="574"/>
      <c r="F867" s="575"/>
      <c r="G867" s="575"/>
      <c r="H867" s="576"/>
      <c r="M867" s="122"/>
      <c r="N867" s="75"/>
      <c r="P867" s="75"/>
      <c r="R867" s="144"/>
      <c r="S867" s="548"/>
    </row>
    <row r="868">
      <c r="A868" s="538" t="s">
        <v>3511</v>
      </c>
      <c r="C868" s="574"/>
      <c r="D868" s="574"/>
      <c r="E868" s="574"/>
      <c r="F868" s="575"/>
      <c r="G868" s="575"/>
      <c r="H868" s="576"/>
      <c r="M868" s="122"/>
      <c r="N868" s="75"/>
      <c r="P868" s="75"/>
      <c r="R868" s="144"/>
      <c r="S868" s="548"/>
    </row>
    <row r="869">
      <c r="A869" s="538" t="s">
        <v>3511</v>
      </c>
      <c r="C869" s="574"/>
      <c r="D869" s="574"/>
      <c r="E869" s="574"/>
      <c r="F869" s="575"/>
      <c r="G869" s="575"/>
      <c r="H869" s="576"/>
      <c r="M869" s="122"/>
      <c r="N869" s="75"/>
      <c r="P869" s="75"/>
      <c r="R869" s="144"/>
      <c r="S869" s="548"/>
    </row>
    <row r="870">
      <c r="A870" s="538" t="s">
        <v>3511</v>
      </c>
      <c r="C870" s="574"/>
      <c r="D870" s="574"/>
      <c r="E870" s="574"/>
      <c r="F870" s="575"/>
      <c r="G870" s="575"/>
      <c r="H870" s="576"/>
      <c r="M870" s="122"/>
      <c r="N870" s="75"/>
      <c r="P870" s="75"/>
      <c r="R870" s="144"/>
      <c r="S870" s="548"/>
    </row>
    <row r="871">
      <c r="A871" s="538" t="s">
        <v>3511</v>
      </c>
      <c r="C871" s="574"/>
      <c r="D871" s="574"/>
      <c r="E871" s="574"/>
      <c r="F871" s="575"/>
      <c r="G871" s="575"/>
      <c r="H871" s="576"/>
      <c r="M871" s="122"/>
      <c r="N871" s="75"/>
      <c r="P871" s="75"/>
      <c r="R871" s="144"/>
      <c r="S871" s="548"/>
    </row>
    <row r="872">
      <c r="A872" s="538" t="s">
        <v>3511</v>
      </c>
      <c r="C872" s="574"/>
      <c r="D872" s="574"/>
      <c r="E872" s="574"/>
      <c r="F872" s="575"/>
      <c r="G872" s="575"/>
      <c r="H872" s="576"/>
      <c r="M872" s="122"/>
      <c r="N872" s="75"/>
      <c r="P872" s="75"/>
      <c r="R872" s="144"/>
      <c r="S872" s="548"/>
    </row>
    <row r="873">
      <c r="A873" s="538" t="s">
        <v>3511</v>
      </c>
      <c r="C873" s="574"/>
      <c r="D873" s="574"/>
      <c r="E873" s="574"/>
      <c r="F873" s="575"/>
      <c r="G873" s="575"/>
      <c r="H873" s="576"/>
      <c r="M873" s="122"/>
      <c r="N873" s="75"/>
      <c r="P873" s="75"/>
      <c r="R873" s="144"/>
      <c r="S873" s="548"/>
    </row>
    <row r="874">
      <c r="A874" s="538" t="s">
        <v>3511</v>
      </c>
      <c r="C874" s="574"/>
      <c r="D874" s="574"/>
      <c r="E874" s="574"/>
      <c r="F874" s="575"/>
      <c r="G874" s="575"/>
      <c r="H874" s="576"/>
      <c r="M874" s="122"/>
      <c r="N874" s="75"/>
      <c r="P874" s="75"/>
      <c r="R874" s="144"/>
      <c r="S874" s="548"/>
    </row>
    <row r="875">
      <c r="A875" s="538" t="s">
        <v>3511</v>
      </c>
      <c r="C875" s="574"/>
      <c r="D875" s="574"/>
      <c r="E875" s="574"/>
      <c r="F875" s="575"/>
      <c r="G875" s="575"/>
      <c r="H875" s="576"/>
      <c r="M875" s="122"/>
      <c r="N875" s="75"/>
      <c r="P875" s="75"/>
      <c r="R875" s="144"/>
      <c r="S875" s="548"/>
    </row>
    <row r="876">
      <c r="A876" s="538" t="s">
        <v>3511</v>
      </c>
      <c r="C876" s="574"/>
      <c r="D876" s="574"/>
      <c r="E876" s="574"/>
      <c r="F876" s="575"/>
      <c r="G876" s="575"/>
      <c r="H876" s="576"/>
      <c r="M876" s="122"/>
      <c r="N876" s="75"/>
      <c r="P876" s="75"/>
      <c r="R876" s="144"/>
      <c r="S876" s="548"/>
    </row>
    <row r="877">
      <c r="A877" s="538" t="s">
        <v>3511</v>
      </c>
      <c r="C877" s="574"/>
      <c r="D877" s="574"/>
      <c r="E877" s="574"/>
      <c r="F877" s="575"/>
      <c r="G877" s="575"/>
      <c r="H877" s="576"/>
      <c r="M877" s="122"/>
      <c r="N877" s="75"/>
      <c r="P877" s="75"/>
      <c r="R877" s="144"/>
      <c r="S877" s="548"/>
    </row>
    <row r="878">
      <c r="A878" s="538" t="s">
        <v>3511</v>
      </c>
      <c r="C878" s="574"/>
      <c r="D878" s="574"/>
      <c r="E878" s="574"/>
      <c r="F878" s="575"/>
      <c r="G878" s="575"/>
      <c r="H878" s="576"/>
      <c r="M878" s="122"/>
      <c r="N878" s="75"/>
      <c r="P878" s="75"/>
      <c r="R878" s="144"/>
      <c r="S878" s="548"/>
    </row>
    <row r="879">
      <c r="A879" s="538" t="s">
        <v>3511</v>
      </c>
      <c r="C879" s="574"/>
      <c r="D879" s="574"/>
      <c r="E879" s="574"/>
      <c r="F879" s="575"/>
      <c r="G879" s="575"/>
      <c r="H879" s="576"/>
      <c r="M879" s="122"/>
      <c r="N879" s="75"/>
      <c r="P879" s="75"/>
      <c r="R879" s="144"/>
      <c r="S879" s="548"/>
    </row>
    <row r="880">
      <c r="A880" s="538" t="s">
        <v>3511</v>
      </c>
      <c r="C880" s="574"/>
      <c r="D880" s="574"/>
      <c r="E880" s="574"/>
      <c r="F880" s="575"/>
      <c r="G880" s="575"/>
      <c r="H880" s="576"/>
      <c r="M880" s="122"/>
      <c r="N880" s="75"/>
      <c r="P880" s="75"/>
      <c r="R880" s="144"/>
      <c r="S880" s="548"/>
    </row>
    <row r="881">
      <c r="A881" s="538" t="s">
        <v>3511</v>
      </c>
      <c r="C881" s="574"/>
      <c r="D881" s="574"/>
      <c r="E881" s="574"/>
      <c r="F881" s="575"/>
      <c r="G881" s="575"/>
      <c r="H881" s="576"/>
      <c r="M881" s="122"/>
      <c r="N881" s="75"/>
      <c r="P881" s="75"/>
      <c r="R881" s="144"/>
      <c r="S881" s="548"/>
    </row>
    <row r="882">
      <c r="A882" s="538" t="s">
        <v>3511</v>
      </c>
      <c r="C882" s="574"/>
      <c r="D882" s="574"/>
      <c r="E882" s="574"/>
      <c r="F882" s="575"/>
      <c r="G882" s="575"/>
      <c r="H882" s="576"/>
      <c r="M882" s="122"/>
      <c r="N882" s="75"/>
      <c r="P882" s="75"/>
      <c r="R882" s="144"/>
      <c r="S882" s="548"/>
    </row>
    <row r="883">
      <c r="A883" s="538" t="s">
        <v>3511</v>
      </c>
      <c r="C883" s="574"/>
      <c r="D883" s="574"/>
      <c r="E883" s="574"/>
      <c r="F883" s="575"/>
      <c r="G883" s="575"/>
      <c r="H883" s="576"/>
      <c r="M883" s="122"/>
      <c r="N883" s="75"/>
      <c r="P883" s="75"/>
      <c r="R883" s="144"/>
      <c r="S883" s="548"/>
    </row>
    <row r="884">
      <c r="A884" s="538" t="s">
        <v>3511</v>
      </c>
      <c r="C884" s="574"/>
      <c r="D884" s="574"/>
      <c r="E884" s="574"/>
      <c r="F884" s="575"/>
      <c r="G884" s="575"/>
      <c r="H884" s="576"/>
      <c r="M884" s="122"/>
      <c r="N884" s="75"/>
      <c r="P884" s="75"/>
      <c r="R884" s="144"/>
      <c r="S884" s="548"/>
    </row>
    <row r="885">
      <c r="A885" s="538" t="s">
        <v>3511</v>
      </c>
      <c r="C885" s="574"/>
      <c r="D885" s="574"/>
      <c r="E885" s="574"/>
      <c r="F885" s="575"/>
      <c r="G885" s="575"/>
      <c r="H885" s="576"/>
      <c r="M885" s="122"/>
      <c r="N885" s="75"/>
      <c r="P885" s="75"/>
      <c r="R885" s="144"/>
      <c r="S885" s="548"/>
    </row>
    <row r="886">
      <c r="A886" s="538" t="s">
        <v>3511</v>
      </c>
      <c r="C886" s="574"/>
      <c r="D886" s="574"/>
      <c r="E886" s="574"/>
      <c r="F886" s="575"/>
      <c r="G886" s="575"/>
      <c r="H886" s="576"/>
      <c r="M886" s="122"/>
      <c r="N886" s="75"/>
      <c r="P886" s="75"/>
      <c r="R886" s="144"/>
      <c r="S886" s="548"/>
    </row>
    <row r="887">
      <c r="A887" s="538" t="s">
        <v>3511</v>
      </c>
      <c r="C887" s="574"/>
      <c r="D887" s="574"/>
      <c r="E887" s="574"/>
      <c r="F887" s="575"/>
      <c r="G887" s="575"/>
      <c r="H887" s="576"/>
      <c r="M887" s="122"/>
      <c r="N887" s="75"/>
      <c r="P887" s="75"/>
      <c r="R887" s="144"/>
      <c r="S887" s="548"/>
    </row>
    <row r="888">
      <c r="A888" s="538" t="s">
        <v>3511</v>
      </c>
      <c r="C888" s="574"/>
      <c r="D888" s="574"/>
      <c r="E888" s="574"/>
      <c r="F888" s="575"/>
      <c r="G888" s="575"/>
      <c r="H888" s="576"/>
      <c r="M888" s="122"/>
      <c r="N888" s="75"/>
      <c r="P888" s="75"/>
      <c r="R888" s="144"/>
      <c r="S888" s="548"/>
    </row>
    <row r="889">
      <c r="A889" s="538" t="s">
        <v>3511</v>
      </c>
      <c r="C889" s="574"/>
      <c r="D889" s="574"/>
      <c r="E889" s="574"/>
      <c r="F889" s="575"/>
      <c r="G889" s="575"/>
      <c r="H889" s="576"/>
      <c r="M889" s="122"/>
      <c r="N889" s="75"/>
      <c r="P889" s="75"/>
      <c r="R889" s="144"/>
      <c r="S889" s="548"/>
    </row>
    <row r="890">
      <c r="A890" s="538" t="s">
        <v>3511</v>
      </c>
      <c r="C890" s="574"/>
      <c r="D890" s="574"/>
      <c r="E890" s="574"/>
      <c r="F890" s="575"/>
      <c r="G890" s="575"/>
      <c r="H890" s="576"/>
      <c r="M890" s="122"/>
      <c r="N890" s="75"/>
      <c r="P890" s="75"/>
      <c r="R890" s="144"/>
      <c r="S890" s="548"/>
    </row>
    <row r="891">
      <c r="A891" s="538" t="s">
        <v>3511</v>
      </c>
      <c r="C891" s="574"/>
      <c r="D891" s="574"/>
      <c r="E891" s="574"/>
      <c r="F891" s="575"/>
      <c r="G891" s="575"/>
      <c r="H891" s="576"/>
      <c r="M891" s="122"/>
      <c r="N891" s="75"/>
      <c r="P891" s="75"/>
      <c r="R891" s="144"/>
      <c r="S891" s="548"/>
    </row>
    <row r="892">
      <c r="A892" s="538" t="s">
        <v>3511</v>
      </c>
      <c r="C892" s="574"/>
      <c r="D892" s="574"/>
      <c r="E892" s="574"/>
      <c r="F892" s="575"/>
      <c r="G892" s="575"/>
      <c r="H892" s="576"/>
      <c r="M892" s="122"/>
      <c r="N892" s="75"/>
      <c r="P892" s="75"/>
      <c r="R892" s="144"/>
      <c r="S892" s="548"/>
    </row>
    <row r="893">
      <c r="A893" s="538" t="s">
        <v>3511</v>
      </c>
      <c r="C893" s="574"/>
      <c r="D893" s="574"/>
      <c r="E893" s="574"/>
      <c r="F893" s="575"/>
      <c r="G893" s="575"/>
      <c r="H893" s="576"/>
      <c r="M893" s="122"/>
      <c r="N893" s="75"/>
      <c r="P893" s="75"/>
      <c r="R893" s="144"/>
      <c r="S893" s="548"/>
    </row>
    <row r="894">
      <c r="A894" s="538" t="s">
        <v>3511</v>
      </c>
      <c r="C894" s="574"/>
      <c r="D894" s="574"/>
      <c r="E894" s="574"/>
      <c r="F894" s="575"/>
      <c r="G894" s="575"/>
      <c r="H894" s="576"/>
      <c r="M894" s="122"/>
      <c r="N894" s="75"/>
      <c r="P894" s="75"/>
      <c r="R894" s="144"/>
      <c r="S894" s="548"/>
    </row>
    <row r="895">
      <c r="A895" s="538" t="s">
        <v>3511</v>
      </c>
      <c r="C895" s="574"/>
      <c r="D895" s="574"/>
      <c r="E895" s="574"/>
      <c r="F895" s="575"/>
      <c r="G895" s="575"/>
      <c r="H895" s="576"/>
      <c r="M895" s="122"/>
      <c r="N895" s="75"/>
      <c r="P895" s="75"/>
      <c r="R895" s="144"/>
      <c r="S895" s="548"/>
    </row>
    <row r="896">
      <c r="A896" s="538" t="s">
        <v>3511</v>
      </c>
      <c r="C896" s="574"/>
      <c r="D896" s="574"/>
      <c r="E896" s="574"/>
      <c r="F896" s="575"/>
      <c r="G896" s="575"/>
      <c r="H896" s="576"/>
      <c r="M896" s="122"/>
      <c r="N896" s="75"/>
      <c r="P896" s="75"/>
      <c r="R896" s="144"/>
      <c r="S896" s="548"/>
    </row>
    <row r="897">
      <c r="A897" s="538" t="s">
        <v>3511</v>
      </c>
      <c r="C897" s="574"/>
      <c r="D897" s="574"/>
      <c r="E897" s="574"/>
      <c r="F897" s="575"/>
      <c r="G897" s="575"/>
      <c r="H897" s="576"/>
      <c r="M897" s="122"/>
      <c r="N897" s="75"/>
      <c r="P897" s="75"/>
      <c r="R897" s="144"/>
      <c r="S897" s="548"/>
    </row>
    <row r="898">
      <c r="A898" s="538" t="s">
        <v>3511</v>
      </c>
      <c r="C898" s="574"/>
      <c r="D898" s="574"/>
      <c r="E898" s="574"/>
      <c r="F898" s="575"/>
      <c r="G898" s="575"/>
      <c r="H898" s="576"/>
      <c r="M898" s="122"/>
      <c r="N898" s="75"/>
      <c r="P898" s="75"/>
      <c r="R898" s="144"/>
      <c r="S898" s="548"/>
    </row>
    <row r="899">
      <c r="A899" s="538" t="s">
        <v>3511</v>
      </c>
      <c r="C899" s="574"/>
      <c r="D899" s="574"/>
      <c r="E899" s="574"/>
      <c r="F899" s="575"/>
      <c r="G899" s="575"/>
      <c r="H899" s="576"/>
      <c r="M899" s="122"/>
      <c r="N899" s="75"/>
      <c r="P899" s="75"/>
      <c r="R899" s="144"/>
      <c r="S899" s="548"/>
    </row>
    <row r="900">
      <c r="A900" s="538" t="s">
        <v>3511</v>
      </c>
      <c r="C900" s="574"/>
      <c r="D900" s="574"/>
      <c r="E900" s="574"/>
      <c r="F900" s="575"/>
      <c r="G900" s="575"/>
      <c r="H900" s="576"/>
      <c r="M900" s="122"/>
      <c r="N900" s="75"/>
      <c r="P900" s="75"/>
      <c r="R900" s="144"/>
      <c r="S900" s="548"/>
    </row>
    <row r="901">
      <c r="A901" s="538" t="s">
        <v>3511</v>
      </c>
      <c r="C901" s="574"/>
      <c r="D901" s="574"/>
      <c r="E901" s="574"/>
      <c r="F901" s="575"/>
      <c r="G901" s="575"/>
      <c r="H901" s="576"/>
      <c r="M901" s="122"/>
      <c r="N901" s="75"/>
      <c r="P901" s="75"/>
      <c r="R901" s="144"/>
      <c r="S901" s="548"/>
    </row>
    <row r="902">
      <c r="A902" s="538" t="s">
        <v>3511</v>
      </c>
      <c r="C902" s="574"/>
      <c r="D902" s="574"/>
      <c r="E902" s="574"/>
      <c r="F902" s="575"/>
      <c r="G902" s="575"/>
      <c r="H902" s="576"/>
      <c r="M902" s="122"/>
      <c r="N902" s="75"/>
      <c r="P902" s="75"/>
      <c r="R902" s="144"/>
      <c r="S902" s="548"/>
    </row>
    <row r="903">
      <c r="A903" s="538" t="s">
        <v>3511</v>
      </c>
      <c r="C903" s="574"/>
      <c r="D903" s="574"/>
      <c r="E903" s="574"/>
      <c r="F903" s="575"/>
      <c r="G903" s="575"/>
      <c r="H903" s="576"/>
      <c r="M903" s="122"/>
      <c r="N903" s="75"/>
      <c r="P903" s="75"/>
      <c r="R903" s="144"/>
      <c r="S903" s="548"/>
    </row>
    <row r="904">
      <c r="A904" s="538" t="s">
        <v>3511</v>
      </c>
      <c r="C904" s="574"/>
      <c r="D904" s="574"/>
      <c r="E904" s="574"/>
      <c r="F904" s="575"/>
      <c r="G904" s="575"/>
      <c r="H904" s="576"/>
      <c r="M904" s="122"/>
      <c r="N904" s="75"/>
      <c r="P904" s="75"/>
      <c r="R904" s="144"/>
      <c r="S904" s="548"/>
    </row>
    <row r="905">
      <c r="A905" s="538" t="s">
        <v>3511</v>
      </c>
      <c r="C905" s="574"/>
      <c r="D905" s="574"/>
      <c r="E905" s="574"/>
      <c r="F905" s="575"/>
      <c r="G905" s="575"/>
      <c r="H905" s="576"/>
      <c r="M905" s="122"/>
      <c r="N905" s="75"/>
      <c r="P905" s="75"/>
      <c r="R905" s="144"/>
      <c r="S905" s="548"/>
    </row>
    <row r="906">
      <c r="A906" s="538" t="s">
        <v>3511</v>
      </c>
      <c r="C906" s="574"/>
      <c r="D906" s="574"/>
      <c r="E906" s="574"/>
      <c r="F906" s="575"/>
      <c r="G906" s="575"/>
      <c r="H906" s="576"/>
      <c r="M906" s="122"/>
      <c r="N906" s="75"/>
      <c r="P906" s="75"/>
      <c r="R906" s="144"/>
      <c r="S906" s="548"/>
    </row>
    <row r="907">
      <c r="A907" s="538" t="s">
        <v>3511</v>
      </c>
      <c r="C907" s="574"/>
      <c r="D907" s="574"/>
      <c r="E907" s="574"/>
      <c r="F907" s="575"/>
      <c r="G907" s="575"/>
      <c r="H907" s="576"/>
      <c r="M907" s="122"/>
      <c r="N907" s="75"/>
      <c r="P907" s="75"/>
      <c r="R907" s="144"/>
      <c r="S907" s="548"/>
    </row>
    <row r="908">
      <c r="A908" s="538" t="s">
        <v>3511</v>
      </c>
      <c r="C908" s="574"/>
      <c r="D908" s="574"/>
      <c r="E908" s="574"/>
      <c r="F908" s="575"/>
      <c r="G908" s="575"/>
      <c r="H908" s="576"/>
      <c r="M908" s="122"/>
      <c r="N908" s="75"/>
      <c r="P908" s="75"/>
      <c r="R908" s="144"/>
      <c r="S908" s="548"/>
    </row>
    <row r="909">
      <c r="A909" s="538" t="s">
        <v>3511</v>
      </c>
      <c r="C909" s="574"/>
      <c r="D909" s="574"/>
      <c r="E909" s="574"/>
      <c r="F909" s="575"/>
      <c r="G909" s="575"/>
      <c r="H909" s="576"/>
      <c r="M909" s="122"/>
      <c r="N909" s="75"/>
      <c r="P909" s="75"/>
      <c r="R909" s="144"/>
      <c r="S909" s="548"/>
    </row>
    <row r="910">
      <c r="A910" s="538" t="s">
        <v>3511</v>
      </c>
      <c r="C910" s="574"/>
      <c r="D910" s="574"/>
      <c r="E910" s="574"/>
      <c r="F910" s="575"/>
      <c r="G910" s="575"/>
      <c r="H910" s="576"/>
      <c r="M910" s="122"/>
      <c r="N910" s="75"/>
      <c r="P910" s="75"/>
      <c r="R910" s="144"/>
      <c r="S910" s="548"/>
    </row>
    <row r="911">
      <c r="A911" s="538" t="s">
        <v>3511</v>
      </c>
      <c r="C911" s="574"/>
      <c r="D911" s="574"/>
      <c r="E911" s="574"/>
      <c r="F911" s="575"/>
      <c r="G911" s="575"/>
      <c r="H911" s="576"/>
      <c r="M911" s="122"/>
      <c r="N911" s="75"/>
      <c r="P911" s="75"/>
      <c r="R911" s="144"/>
      <c r="S911" s="548"/>
    </row>
    <row r="912">
      <c r="A912" s="538" t="s">
        <v>3511</v>
      </c>
      <c r="C912" s="574"/>
      <c r="D912" s="574"/>
      <c r="E912" s="574"/>
      <c r="F912" s="575"/>
      <c r="G912" s="575"/>
      <c r="H912" s="576"/>
      <c r="M912" s="122"/>
      <c r="N912" s="75"/>
      <c r="P912" s="75"/>
      <c r="R912" s="144"/>
      <c r="S912" s="548"/>
    </row>
    <row r="913">
      <c r="A913" s="538" t="s">
        <v>3511</v>
      </c>
      <c r="C913" s="574"/>
      <c r="D913" s="574"/>
      <c r="E913" s="574"/>
      <c r="F913" s="575"/>
      <c r="G913" s="575"/>
      <c r="H913" s="576"/>
      <c r="M913" s="122"/>
      <c r="N913" s="75"/>
      <c r="P913" s="75"/>
      <c r="R913" s="144"/>
      <c r="S913" s="548"/>
    </row>
    <row r="914">
      <c r="A914" s="538" t="s">
        <v>3511</v>
      </c>
      <c r="C914" s="574"/>
      <c r="D914" s="574"/>
      <c r="E914" s="574"/>
      <c r="F914" s="575"/>
      <c r="G914" s="575"/>
      <c r="H914" s="576"/>
      <c r="M914" s="122"/>
      <c r="N914" s="75"/>
      <c r="P914" s="75"/>
      <c r="R914" s="144"/>
      <c r="S914" s="548"/>
    </row>
    <row r="915">
      <c r="A915" s="538" t="s">
        <v>3511</v>
      </c>
      <c r="C915" s="574"/>
      <c r="D915" s="574"/>
      <c r="E915" s="574"/>
      <c r="F915" s="575"/>
      <c r="G915" s="575"/>
      <c r="H915" s="576"/>
      <c r="M915" s="122"/>
      <c r="N915" s="75"/>
      <c r="P915" s="75"/>
      <c r="R915" s="144"/>
      <c r="S915" s="548"/>
    </row>
    <row r="916">
      <c r="A916" s="538" t="s">
        <v>3511</v>
      </c>
      <c r="C916" s="574"/>
      <c r="D916" s="574"/>
      <c r="E916" s="574"/>
      <c r="F916" s="575"/>
      <c r="G916" s="575"/>
      <c r="H916" s="576"/>
      <c r="M916" s="122"/>
      <c r="N916" s="75"/>
      <c r="P916" s="75"/>
      <c r="R916" s="144"/>
      <c r="S916" s="548"/>
    </row>
    <row r="917">
      <c r="A917" s="538" t="s">
        <v>3511</v>
      </c>
      <c r="C917" s="574"/>
      <c r="D917" s="574"/>
      <c r="E917" s="574"/>
      <c r="F917" s="575"/>
      <c r="G917" s="575"/>
      <c r="H917" s="576"/>
      <c r="M917" s="122"/>
      <c r="N917" s="75"/>
      <c r="P917" s="75"/>
      <c r="R917" s="144"/>
      <c r="S917" s="548"/>
    </row>
    <row r="918">
      <c r="A918" s="538" t="s">
        <v>3511</v>
      </c>
      <c r="C918" s="574"/>
      <c r="D918" s="574"/>
      <c r="E918" s="574"/>
      <c r="F918" s="575"/>
      <c r="G918" s="575"/>
      <c r="H918" s="576"/>
      <c r="M918" s="122"/>
      <c r="N918" s="75"/>
      <c r="P918" s="75"/>
      <c r="R918" s="144"/>
      <c r="S918" s="548"/>
    </row>
    <row r="919">
      <c r="A919" s="538" t="s">
        <v>3511</v>
      </c>
      <c r="C919" s="574"/>
      <c r="D919" s="574"/>
      <c r="E919" s="574"/>
      <c r="F919" s="575"/>
      <c r="G919" s="575"/>
      <c r="H919" s="576"/>
      <c r="M919" s="122"/>
      <c r="N919" s="75"/>
      <c r="P919" s="75"/>
      <c r="R919" s="144"/>
      <c r="S919" s="548"/>
    </row>
    <row r="920">
      <c r="A920" s="538" t="s">
        <v>3511</v>
      </c>
      <c r="C920" s="574"/>
      <c r="D920" s="574"/>
      <c r="E920" s="574"/>
      <c r="F920" s="575"/>
      <c r="G920" s="575"/>
      <c r="H920" s="576"/>
      <c r="M920" s="122"/>
      <c r="N920" s="75"/>
      <c r="P920" s="75"/>
      <c r="R920" s="144"/>
      <c r="S920" s="548"/>
    </row>
    <row r="921">
      <c r="A921" s="538" t="s">
        <v>3511</v>
      </c>
      <c r="C921" s="574"/>
      <c r="D921" s="574"/>
      <c r="E921" s="574"/>
      <c r="F921" s="575"/>
      <c r="G921" s="575"/>
      <c r="H921" s="576"/>
      <c r="M921" s="122"/>
      <c r="N921" s="75"/>
      <c r="P921" s="75"/>
      <c r="R921" s="144"/>
      <c r="S921" s="548"/>
    </row>
    <row r="922">
      <c r="A922" s="538" t="s">
        <v>3511</v>
      </c>
      <c r="C922" s="574"/>
      <c r="D922" s="574"/>
      <c r="E922" s="574"/>
      <c r="F922" s="575"/>
      <c r="G922" s="575"/>
      <c r="H922" s="576"/>
      <c r="M922" s="122"/>
      <c r="N922" s="75"/>
      <c r="P922" s="75"/>
      <c r="R922" s="144"/>
      <c r="S922" s="548"/>
    </row>
    <row r="923">
      <c r="A923" s="538" t="s">
        <v>3511</v>
      </c>
      <c r="C923" s="574"/>
      <c r="D923" s="574"/>
      <c r="E923" s="574"/>
      <c r="F923" s="575"/>
      <c r="G923" s="575"/>
      <c r="H923" s="576"/>
      <c r="M923" s="122"/>
      <c r="N923" s="75"/>
      <c r="P923" s="75"/>
      <c r="R923" s="144"/>
      <c r="S923" s="548"/>
    </row>
    <row r="924">
      <c r="A924" s="538" t="s">
        <v>3511</v>
      </c>
      <c r="C924" s="574"/>
      <c r="D924" s="574"/>
      <c r="E924" s="574"/>
      <c r="F924" s="575"/>
      <c r="G924" s="575"/>
      <c r="H924" s="576"/>
      <c r="M924" s="122"/>
      <c r="N924" s="75"/>
      <c r="P924" s="75"/>
      <c r="R924" s="144"/>
      <c r="S924" s="548"/>
    </row>
    <row r="925">
      <c r="A925" s="538" t="s">
        <v>3511</v>
      </c>
      <c r="C925" s="574"/>
      <c r="D925" s="574"/>
      <c r="E925" s="574"/>
      <c r="F925" s="575"/>
      <c r="G925" s="575"/>
      <c r="H925" s="576"/>
      <c r="M925" s="122"/>
      <c r="N925" s="75"/>
      <c r="P925" s="75"/>
      <c r="R925" s="144"/>
      <c r="S925" s="548"/>
    </row>
    <row r="926">
      <c r="A926" s="538" t="s">
        <v>3511</v>
      </c>
      <c r="C926" s="574"/>
      <c r="D926" s="574"/>
      <c r="E926" s="574"/>
      <c r="F926" s="575"/>
      <c r="G926" s="575"/>
      <c r="H926" s="576"/>
      <c r="M926" s="122"/>
      <c r="N926" s="75"/>
      <c r="P926" s="75"/>
      <c r="R926" s="144"/>
      <c r="S926" s="548"/>
    </row>
    <row r="927">
      <c r="A927" s="538" t="s">
        <v>3511</v>
      </c>
      <c r="C927" s="574"/>
      <c r="D927" s="574"/>
      <c r="E927" s="574"/>
      <c r="F927" s="575"/>
      <c r="G927" s="575"/>
      <c r="H927" s="576"/>
      <c r="M927" s="122"/>
      <c r="N927" s="75"/>
      <c r="P927" s="75"/>
      <c r="R927" s="144"/>
      <c r="S927" s="548"/>
    </row>
    <row r="928">
      <c r="A928" s="538" t="s">
        <v>3511</v>
      </c>
      <c r="C928" s="574"/>
      <c r="D928" s="574"/>
      <c r="E928" s="574"/>
      <c r="F928" s="575"/>
      <c r="G928" s="575"/>
      <c r="H928" s="576"/>
      <c r="M928" s="122"/>
      <c r="N928" s="75"/>
      <c r="P928" s="75"/>
      <c r="R928" s="144"/>
      <c r="S928" s="548"/>
    </row>
    <row r="929">
      <c r="A929" s="538" t="s">
        <v>3511</v>
      </c>
      <c r="C929" s="574"/>
      <c r="D929" s="574"/>
      <c r="E929" s="574"/>
      <c r="F929" s="575"/>
      <c r="G929" s="575"/>
      <c r="H929" s="576"/>
      <c r="M929" s="122"/>
      <c r="N929" s="75"/>
      <c r="P929" s="75"/>
      <c r="R929" s="144"/>
      <c r="S929" s="548"/>
    </row>
    <row r="930">
      <c r="A930" s="538" t="s">
        <v>3511</v>
      </c>
      <c r="C930" s="574"/>
      <c r="D930" s="574"/>
      <c r="E930" s="574"/>
      <c r="F930" s="575"/>
      <c r="G930" s="575"/>
      <c r="H930" s="576"/>
      <c r="M930" s="122"/>
      <c r="N930" s="75"/>
      <c r="P930" s="75"/>
      <c r="R930" s="144"/>
      <c r="S930" s="548"/>
    </row>
    <row r="931">
      <c r="A931" s="538" t="s">
        <v>3511</v>
      </c>
      <c r="C931" s="574"/>
      <c r="D931" s="574"/>
      <c r="E931" s="574"/>
      <c r="F931" s="575"/>
      <c r="G931" s="575"/>
      <c r="H931" s="576"/>
      <c r="M931" s="122"/>
      <c r="N931" s="75"/>
      <c r="P931" s="75"/>
      <c r="R931" s="144"/>
      <c r="S931" s="548"/>
    </row>
    <row r="932">
      <c r="A932" s="538" t="s">
        <v>3511</v>
      </c>
      <c r="C932" s="574"/>
      <c r="D932" s="574"/>
      <c r="E932" s="574"/>
      <c r="F932" s="575"/>
      <c r="G932" s="575"/>
      <c r="H932" s="576"/>
      <c r="M932" s="122"/>
      <c r="N932" s="75"/>
      <c r="P932" s="75"/>
      <c r="R932" s="144"/>
      <c r="S932" s="548"/>
    </row>
    <row r="933">
      <c r="A933" s="538" t="s">
        <v>3511</v>
      </c>
      <c r="C933" s="574"/>
      <c r="D933" s="574"/>
      <c r="E933" s="574"/>
      <c r="F933" s="575"/>
      <c r="G933" s="575"/>
      <c r="H933" s="576"/>
      <c r="M933" s="122"/>
      <c r="N933" s="75"/>
      <c r="P933" s="75"/>
      <c r="R933" s="144"/>
      <c r="S933" s="548"/>
    </row>
    <row r="934">
      <c r="A934" s="538" t="s">
        <v>3511</v>
      </c>
      <c r="C934" s="574"/>
      <c r="D934" s="574"/>
      <c r="E934" s="574"/>
      <c r="F934" s="575"/>
      <c r="G934" s="575"/>
      <c r="H934" s="576"/>
      <c r="M934" s="122"/>
      <c r="N934" s="75"/>
      <c r="P934" s="75"/>
      <c r="R934" s="144"/>
      <c r="S934" s="548"/>
    </row>
    <row r="935">
      <c r="A935" s="538" t="s">
        <v>3511</v>
      </c>
      <c r="C935" s="574"/>
      <c r="D935" s="574"/>
      <c r="E935" s="574"/>
      <c r="F935" s="575"/>
      <c r="G935" s="575"/>
      <c r="H935" s="576"/>
      <c r="M935" s="122"/>
      <c r="N935" s="75"/>
      <c r="P935" s="75"/>
      <c r="R935" s="144"/>
      <c r="S935" s="548"/>
    </row>
    <row r="936">
      <c r="A936" s="538" t="s">
        <v>3511</v>
      </c>
      <c r="C936" s="574"/>
      <c r="D936" s="574"/>
      <c r="E936" s="574"/>
      <c r="F936" s="575"/>
      <c r="G936" s="575"/>
      <c r="H936" s="576"/>
      <c r="M936" s="122"/>
      <c r="N936" s="75"/>
      <c r="P936" s="75"/>
      <c r="R936" s="144"/>
      <c r="S936" s="548"/>
    </row>
    <row r="937">
      <c r="A937" s="538" t="s">
        <v>3511</v>
      </c>
      <c r="C937" s="574"/>
      <c r="D937" s="574"/>
      <c r="E937" s="574"/>
      <c r="F937" s="575"/>
      <c r="G937" s="575"/>
      <c r="H937" s="576"/>
      <c r="M937" s="122"/>
      <c r="N937" s="75"/>
      <c r="P937" s="75"/>
      <c r="R937" s="144"/>
      <c r="S937" s="548"/>
    </row>
    <row r="938">
      <c r="A938" s="538" t="s">
        <v>3511</v>
      </c>
      <c r="C938" s="574"/>
      <c r="D938" s="574"/>
      <c r="E938" s="574"/>
      <c r="F938" s="575"/>
      <c r="G938" s="575"/>
      <c r="H938" s="576"/>
      <c r="M938" s="122"/>
      <c r="N938" s="75"/>
      <c r="P938" s="75"/>
      <c r="R938" s="144"/>
      <c r="S938" s="548"/>
    </row>
    <row r="939">
      <c r="A939" s="538" t="s">
        <v>3511</v>
      </c>
      <c r="C939" s="574"/>
      <c r="D939" s="574"/>
      <c r="E939" s="574"/>
      <c r="F939" s="575"/>
      <c r="G939" s="575"/>
      <c r="H939" s="576"/>
      <c r="M939" s="122"/>
      <c r="N939" s="75"/>
      <c r="P939" s="75"/>
      <c r="R939" s="144"/>
      <c r="S939" s="548"/>
    </row>
    <row r="940">
      <c r="A940" s="538" t="s">
        <v>3511</v>
      </c>
      <c r="C940" s="574"/>
      <c r="D940" s="574"/>
      <c r="E940" s="574"/>
      <c r="F940" s="575"/>
      <c r="G940" s="575"/>
      <c r="H940" s="576"/>
      <c r="M940" s="122"/>
      <c r="N940" s="75"/>
      <c r="P940" s="75"/>
      <c r="R940" s="144"/>
      <c r="S940" s="548"/>
    </row>
    <row r="941">
      <c r="A941" s="538" t="s">
        <v>3511</v>
      </c>
      <c r="C941" s="574"/>
      <c r="D941" s="574"/>
      <c r="E941" s="574"/>
      <c r="F941" s="575"/>
      <c r="G941" s="575"/>
      <c r="H941" s="576"/>
      <c r="M941" s="122"/>
      <c r="N941" s="75"/>
      <c r="P941" s="75"/>
      <c r="R941" s="144"/>
      <c r="S941" s="548"/>
    </row>
    <row r="942">
      <c r="A942" s="538" t="s">
        <v>3511</v>
      </c>
      <c r="C942" s="574"/>
      <c r="D942" s="574"/>
      <c r="E942" s="574"/>
      <c r="F942" s="575"/>
      <c r="G942" s="575"/>
      <c r="H942" s="576"/>
      <c r="M942" s="122"/>
      <c r="N942" s="75"/>
      <c r="P942" s="75"/>
      <c r="R942" s="144"/>
      <c r="S942" s="548"/>
    </row>
    <row r="943">
      <c r="A943" s="538" t="s">
        <v>3511</v>
      </c>
      <c r="C943" s="574"/>
      <c r="D943" s="574"/>
      <c r="E943" s="574"/>
      <c r="F943" s="575"/>
      <c r="G943" s="575"/>
      <c r="H943" s="576"/>
      <c r="M943" s="122"/>
      <c r="N943" s="75"/>
      <c r="P943" s="75"/>
      <c r="R943" s="144"/>
      <c r="S943" s="548"/>
    </row>
    <row r="944">
      <c r="A944" s="538" t="s">
        <v>3511</v>
      </c>
      <c r="C944" s="574"/>
      <c r="D944" s="574"/>
      <c r="E944" s="574"/>
      <c r="F944" s="575"/>
      <c r="G944" s="575"/>
      <c r="H944" s="576"/>
      <c r="M944" s="122"/>
      <c r="N944" s="75"/>
      <c r="P944" s="75"/>
      <c r="R944" s="144"/>
      <c r="S944" s="548"/>
    </row>
    <row r="945">
      <c r="A945" s="538" t="s">
        <v>3511</v>
      </c>
      <c r="C945" s="574"/>
      <c r="D945" s="574"/>
      <c r="E945" s="574"/>
      <c r="F945" s="575"/>
      <c r="G945" s="575"/>
      <c r="H945" s="576"/>
      <c r="M945" s="122"/>
      <c r="N945" s="75"/>
      <c r="P945" s="75"/>
      <c r="R945" s="144"/>
      <c r="S945" s="548"/>
    </row>
    <row r="946">
      <c r="A946" s="538" t="s">
        <v>3511</v>
      </c>
      <c r="C946" s="574"/>
      <c r="D946" s="574"/>
      <c r="E946" s="574"/>
      <c r="F946" s="575"/>
      <c r="G946" s="575"/>
      <c r="H946" s="576"/>
      <c r="M946" s="122"/>
      <c r="N946" s="75"/>
      <c r="P946" s="75"/>
      <c r="R946" s="144"/>
      <c r="S946" s="548"/>
    </row>
    <row r="947">
      <c r="A947" s="538" t="s">
        <v>3511</v>
      </c>
      <c r="C947" s="574"/>
      <c r="D947" s="574"/>
      <c r="E947" s="574"/>
      <c r="F947" s="575"/>
      <c r="G947" s="575"/>
      <c r="H947" s="576"/>
      <c r="M947" s="122"/>
      <c r="N947" s="75"/>
      <c r="P947" s="75"/>
      <c r="R947" s="144"/>
      <c r="S947" s="548"/>
    </row>
    <row r="948">
      <c r="A948" s="538" t="s">
        <v>3511</v>
      </c>
      <c r="C948" s="574"/>
      <c r="D948" s="574"/>
      <c r="E948" s="574"/>
      <c r="F948" s="575"/>
      <c r="G948" s="575"/>
      <c r="H948" s="576"/>
      <c r="M948" s="122"/>
      <c r="N948" s="75"/>
      <c r="P948" s="75"/>
      <c r="R948" s="144"/>
      <c r="S948" s="548"/>
    </row>
    <row r="949">
      <c r="A949" s="538" t="s">
        <v>3511</v>
      </c>
      <c r="C949" s="574"/>
      <c r="D949" s="574"/>
      <c r="E949" s="574"/>
      <c r="F949" s="575"/>
      <c r="G949" s="575"/>
      <c r="H949" s="576"/>
      <c r="M949" s="122"/>
      <c r="N949" s="75"/>
      <c r="P949" s="75"/>
      <c r="R949" s="144"/>
      <c r="S949" s="548"/>
    </row>
    <row r="950">
      <c r="A950" s="538" t="s">
        <v>3511</v>
      </c>
      <c r="C950" s="574"/>
      <c r="D950" s="574"/>
      <c r="E950" s="574"/>
      <c r="F950" s="575"/>
      <c r="G950" s="575"/>
      <c r="H950" s="576"/>
      <c r="M950" s="122"/>
      <c r="N950" s="75"/>
      <c r="P950" s="75"/>
      <c r="R950" s="144"/>
      <c r="S950" s="548"/>
    </row>
    <row r="951">
      <c r="A951" s="538" t="s">
        <v>3511</v>
      </c>
      <c r="C951" s="574"/>
      <c r="D951" s="574"/>
      <c r="E951" s="574"/>
      <c r="F951" s="575"/>
      <c r="G951" s="575"/>
      <c r="H951" s="576"/>
      <c r="M951" s="122"/>
      <c r="N951" s="75"/>
      <c r="P951" s="75"/>
      <c r="R951" s="144"/>
      <c r="S951" s="548"/>
    </row>
    <row r="952">
      <c r="A952" s="538" t="s">
        <v>3511</v>
      </c>
      <c r="C952" s="574"/>
      <c r="D952" s="574"/>
      <c r="E952" s="574"/>
      <c r="F952" s="575"/>
      <c r="G952" s="575"/>
      <c r="H952" s="576"/>
      <c r="M952" s="122"/>
      <c r="N952" s="75"/>
      <c r="P952" s="75"/>
      <c r="R952" s="144"/>
      <c r="S952" s="548"/>
    </row>
    <row r="953">
      <c r="A953" s="538" t="s">
        <v>3511</v>
      </c>
      <c r="C953" s="574"/>
      <c r="D953" s="574"/>
      <c r="E953" s="574"/>
      <c r="F953" s="575"/>
      <c r="G953" s="575"/>
      <c r="H953" s="576"/>
      <c r="M953" s="122"/>
      <c r="N953" s="75"/>
      <c r="P953" s="75"/>
      <c r="R953" s="144"/>
      <c r="S953" s="548"/>
    </row>
    <row r="954">
      <c r="A954" s="538" t="s">
        <v>3511</v>
      </c>
      <c r="C954" s="574"/>
      <c r="D954" s="574"/>
      <c r="E954" s="574"/>
      <c r="F954" s="575"/>
      <c r="G954" s="575"/>
      <c r="H954" s="576"/>
      <c r="M954" s="122"/>
      <c r="N954" s="75"/>
      <c r="P954" s="75"/>
      <c r="R954" s="144"/>
      <c r="S954" s="548"/>
    </row>
    <row r="955">
      <c r="A955" s="538" t="s">
        <v>3511</v>
      </c>
      <c r="C955" s="574"/>
      <c r="D955" s="574"/>
      <c r="E955" s="574"/>
      <c r="F955" s="575"/>
      <c r="G955" s="575"/>
      <c r="H955" s="576"/>
      <c r="M955" s="122"/>
      <c r="N955" s="75"/>
      <c r="P955" s="75"/>
      <c r="R955" s="144"/>
      <c r="S955" s="548"/>
    </row>
    <row r="956">
      <c r="A956" s="538" t="s">
        <v>3511</v>
      </c>
      <c r="C956" s="574"/>
      <c r="D956" s="574"/>
      <c r="E956" s="574"/>
      <c r="F956" s="575"/>
      <c r="G956" s="575"/>
      <c r="H956" s="576"/>
      <c r="M956" s="122"/>
      <c r="N956" s="75"/>
      <c r="P956" s="75"/>
      <c r="R956" s="144"/>
      <c r="S956" s="548"/>
    </row>
    <row r="957">
      <c r="A957" s="538" t="s">
        <v>3511</v>
      </c>
      <c r="C957" s="574"/>
      <c r="D957" s="574"/>
      <c r="E957" s="574"/>
      <c r="F957" s="575"/>
      <c r="G957" s="575"/>
      <c r="H957" s="576"/>
      <c r="M957" s="122"/>
      <c r="N957" s="75"/>
      <c r="P957" s="75"/>
      <c r="R957" s="144"/>
      <c r="S957" s="548"/>
    </row>
    <row r="958">
      <c r="A958" s="538" t="s">
        <v>3511</v>
      </c>
      <c r="C958" s="574"/>
      <c r="D958" s="574"/>
      <c r="E958" s="574"/>
      <c r="F958" s="575"/>
      <c r="G958" s="575"/>
      <c r="H958" s="576"/>
      <c r="M958" s="122"/>
      <c r="N958" s="75"/>
      <c r="P958" s="75"/>
      <c r="R958" s="144"/>
      <c r="S958" s="548"/>
    </row>
    <row r="959">
      <c r="A959" s="538" t="s">
        <v>3511</v>
      </c>
      <c r="C959" s="574"/>
      <c r="D959" s="574"/>
      <c r="E959" s="574"/>
      <c r="F959" s="575"/>
      <c r="G959" s="575"/>
      <c r="H959" s="576"/>
      <c r="M959" s="122"/>
      <c r="N959" s="75"/>
      <c r="P959" s="75"/>
      <c r="R959" s="144"/>
      <c r="S959" s="548"/>
    </row>
    <row r="960">
      <c r="A960" s="538" t="s">
        <v>3511</v>
      </c>
      <c r="C960" s="574"/>
      <c r="D960" s="574"/>
      <c r="E960" s="574"/>
      <c r="F960" s="575"/>
      <c r="G960" s="575"/>
      <c r="H960" s="576"/>
      <c r="M960" s="122"/>
      <c r="N960" s="75"/>
      <c r="P960" s="75"/>
      <c r="R960" s="144"/>
      <c r="S960" s="548"/>
    </row>
    <row r="961">
      <c r="A961" s="538" t="s">
        <v>3511</v>
      </c>
      <c r="C961" s="574"/>
      <c r="D961" s="574"/>
      <c r="E961" s="574"/>
      <c r="F961" s="575"/>
      <c r="G961" s="575"/>
      <c r="H961" s="576"/>
      <c r="M961" s="122"/>
      <c r="N961" s="75"/>
      <c r="P961" s="75"/>
      <c r="R961" s="144"/>
      <c r="S961" s="548"/>
    </row>
    <row r="962">
      <c r="A962" s="538" t="s">
        <v>3511</v>
      </c>
      <c r="C962" s="574"/>
      <c r="D962" s="574"/>
      <c r="E962" s="574"/>
      <c r="F962" s="575"/>
      <c r="G962" s="575"/>
      <c r="H962" s="576"/>
      <c r="M962" s="122"/>
      <c r="N962" s="75"/>
      <c r="P962" s="75"/>
      <c r="R962" s="144"/>
      <c r="S962" s="548"/>
    </row>
    <row r="963">
      <c r="A963" s="538" t="s">
        <v>3511</v>
      </c>
      <c r="C963" s="574"/>
      <c r="D963" s="574"/>
      <c r="E963" s="574"/>
      <c r="F963" s="575"/>
      <c r="G963" s="575"/>
      <c r="H963" s="576"/>
      <c r="M963" s="122"/>
      <c r="N963" s="75"/>
      <c r="P963" s="75"/>
      <c r="R963" s="144"/>
      <c r="S963" s="548"/>
    </row>
    <row r="964">
      <c r="A964" s="538" t="s">
        <v>3511</v>
      </c>
      <c r="C964" s="574"/>
      <c r="D964" s="574"/>
      <c r="E964" s="574"/>
      <c r="F964" s="575"/>
      <c r="G964" s="575"/>
      <c r="H964" s="576"/>
      <c r="M964" s="122"/>
      <c r="N964" s="75"/>
      <c r="P964" s="75"/>
      <c r="R964" s="144"/>
      <c r="S964" s="548"/>
    </row>
    <row r="965">
      <c r="A965" s="538" t="s">
        <v>3511</v>
      </c>
      <c r="C965" s="574"/>
      <c r="D965" s="574"/>
      <c r="E965" s="574"/>
      <c r="F965" s="575"/>
      <c r="G965" s="575"/>
      <c r="H965" s="576"/>
      <c r="M965" s="122"/>
      <c r="N965" s="75"/>
      <c r="P965" s="75"/>
      <c r="R965" s="144"/>
      <c r="S965" s="548"/>
    </row>
    <row r="966">
      <c r="A966" s="538" t="s">
        <v>3511</v>
      </c>
      <c r="C966" s="574"/>
      <c r="D966" s="574"/>
      <c r="E966" s="574"/>
      <c r="F966" s="575"/>
      <c r="G966" s="575"/>
      <c r="H966" s="576"/>
      <c r="M966" s="122"/>
      <c r="N966" s="75"/>
      <c r="P966" s="75"/>
      <c r="R966" s="144"/>
      <c r="S966" s="548"/>
    </row>
    <row r="967">
      <c r="A967" s="538" t="s">
        <v>3511</v>
      </c>
      <c r="C967" s="574"/>
      <c r="D967" s="574"/>
      <c r="E967" s="574"/>
      <c r="F967" s="575"/>
      <c r="G967" s="575"/>
      <c r="H967" s="576"/>
      <c r="M967" s="122"/>
      <c r="N967" s="75"/>
      <c r="P967" s="75"/>
      <c r="R967" s="144"/>
      <c r="S967" s="548"/>
    </row>
    <row r="968">
      <c r="A968" s="538" t="s">
        <v>3511</v>
      </c>
      <c r="C968" s="574"/>
      <c r="D968" s="574"/>
      <c r="E968" s="574"/>
      <c r="F968" s="575"/>
      <c r="G968" s="575"/>
      <c r="H968" s="576"/>
      <c r="M968" s="122"/>
      <c r="N968" s="75"/>
      <c r="P968" s="75"/>
      <c r="R968" s="144"/>
      <c r="S968" s="548"/>
    </row>
    <row r="969">
      <c r="A969" s="538" t="s">
        <v>3511</v>
      </c>
      <c r="C969" s="574"/>
      <c r="D969" s="574"/>
      <c r="E969" s="574"/>
      <c r="F969" s="575"/>
      <c r="G969" s="575"/>
      <c r="H969" s="576"/>
      <c r="M969" s="122"/>
      <c r="N969" s="75"/>
      <c r="P969" s="75"/>
      <c r="R969" s="144"/>
      <c r="S969" s="548"/>
    </row>
    <row r="970">
      <c r="A970" s="538" t="s">
        <v>3511</v>
      </c>
      <c r="C970" s="574"/>
      <c r="D970" s="574"/>
      <c r="E970" s="574"/>
      <c r="F970" s="575"/>
      <c r="G970" s="575"/>
      <c r="H970" s="576"/>
      <c r="M970" s="122"/>
      <c r="N970" s="75"/>
      <c r="P970" s="75"/>
      <c r="R970" s="144"/>
      <c r="S970" s="548"/>
    </row>
    <row r="971">
      <c r="A971" s="538" t="s">
        <v>3511</v>
      </c>
      <c r="C971" s="574"/>
      <c r="D971" s="574"/>
      <c r="E971" s="574"/>
      <c r="F971" s="575"/>
      <c r="G971" s="575"/>
      <c r="H971" s="576"/>
      <c r="M971" s="122"/>
      <c r="N971" s="75"/>
      <c r="P971" s="75"/>
      <c r="R971" s="144"/>
      <c r="S971" s="548"/>
    </row>
    <row r="972">
      <c r="A972" s="538" t="s">
        <v>3511</v>
      </c>
      <c r="C972" s="574"/>
      <c r="D972" s="574"/>
      <c r="E972" s="574"/>
      <c r="F972" s="575"/>
      <c r="G972" s="575"/>
      <c r="H972" s="576"/>
      <c r="M972" s="122"/>
      <c r="N972" s="75"/>
      <c r="P972" s="75"/>
      <c r="R972" s="144"/>
      <c r="S972" s="548"/>
    </row>
    <row r="973">
      <c r="A973" s="538" t="s">
        <v>3511</v>
      </c>
      <c r="C973" s="574"/>
      <c r="D973" s="574"/>
      <c r="E973" s="574"/>
      <c r="F973" s="575"/>
      <c r="G973" s="575"/>
      <c r="H973" s="576"/>
      <c r="M973" s="122"/>
      <c r="N973" s="75"/>
      <c r="P973" s="75"/>
      <c r="R973" s="144"/>
      <c r="S973" s="548"/>
    </row>
    <row r="974">
      <c r="A974" s="538" t="s">
        <v>3511</v>
      </c>
      <c r="C974" s="574"/>
      <c r="D974" s="574"/>
      <c r="E974" s="574"/>
      <c r="F974" s="575"/>
      <c r="G974" s="575"/>
      <c r="H974" s="576"/>
      <c r="M974" s="122"/>
      <c r="N974" s="75"/>
      <c r="P974" s="75"/>
      <c r="R974" s="144"/>
      <c r="S974" s="548"/>
    </row>
    <row r="975">
      <c r="A975" s="538" t="s">
        <v>3511</v>
      </c>
      <c r="C975" s="574"/>
      <c r="D975" s="574"/>
      <c r="E975" s="574"/>
      <c r="F975" s="575"/>
      <c r="G975" s="575"/>
      <c r="H975" s="576"/>
      <c r="M975" s="122"/>
      <c r="N975" s="75"/>
      <c r="P975" s="75"/>
      <c r="R975" s="144"/>
      <c r="S975" s="548"/>
    </row>
    <row r="976">
      <c r="A976" s="538" t="s">
        <v>3511</v>
      </c>
      <c r="C976" s="574"/>
      <c r="D976" s="574"/>
      <c r="E976" s="574"/>
      <c r="F976" s="575"/>
      <c r="G976" s="575"/>
      <c r="H976" s="576"/>
      <c r="M976" s="122"/>
      <c r="N976" s="75"/>
      <c r="P976" s="75"/>
      <c r="R976" s="144"/>
      <c r="S976" s="548"/>
    </row>
    <row r="977">
      <c r="A977" s="538" t="s">
        <v>3511</v>
      </c>
      <c r="C977" s="574"/>
      <c r="D977" s="574"/>
      <c r="E977" s="574"/>
      <c r="F977" s="575"/>
      <c r="G977" s="575"/>
      <c r="H977" s="576"/>
      <c r="M977" s="122"/>
      <c r="N977" s="75"/>
      <c r="P977" s="75"/>
      <c r="R977" s="144"/>
      <c r="S977" s="548"/>
    </row>
    <row r="978">
      <c r="A978" s="538" t="s">
        <v>3511</v>
      </c>
      <c r="C978" s="574"/>
      <c r="D978" s="574"/>
      <c r="E978" s="574"/>
      <c r="F978" s="575"/>
      <c r="G978" s="575"/>
      <c r="H978" s="576"/>
      <c r="M978" s="122"/>
      <c r="N978" s="75"/>
      <c r="P978" s="75"/>
      <c r="R978" s="144"/>
      <c r="S978" s="548"/>
    </row>
    <row r="979">
      <c r="A979" s="538" t="s">
        <v>3511</v>
      </c>
      <c r="C979" s="574"/>
      <c r="D979" s="574"/>
      <c r="E979" s="574"/>
      <c r="F979" s="575"/>
      <c r="G979" s="575"/>
      <c r="H979" s="576"/>
      <c r="M979" s="122"/>
      <c r="N979" s="75"/>
      <c r="P979" s="75"/>
      <c r="R979" s="144"/>
      <c r="S979" s="548"/>
    </row>
    <row r="980">
      <c r="A980" s="538" t="s">
        <v>3511</v>
      </c>
      <c r="C980" s="574"/>
      <c r="D980" s="574"/>
      <c r="E980" s="574"/>
      <c r="F980" s="575"/>
      <c r="G980" s="575"/>
      <c r="H980" s="576"/>
      <c r="M980" s="122"/>
      <c r="N980" s="75"/>
      <c r="P980" s="75"/>
      <c r="R980" s="144"/>
      <c r="S980" s="548"/>
    </row>
    <row r="981">
      <c r="A981" s="538" t="s">
        <v>3511</v>
      </c>
      <c r="C981" s="574"/>
      <c r="D981" s="574"/>
      <c r="E981" s="574"/>
      <c r="F981" s="575"/>
      <c r="G981" s="575"/>
      <c r="H981" s="576"/>
      <c r="M981" s="122"/>
      <c r="N981" s="75"/>
      <c r="P981" s="75"/>
      <c r="R981" s="144"/>
      <c r="S981" s="548"/>
    </row>
    <row r="982">
      <c r="A982" s="538" t="s">
        <v>3511</v>
      </c>
      <c r="C982" s="574"/>
      <c r="D982" s="574"/>
      <c r="E982" s="574"/>
      <c r="F982" s="575"/>
      <c r="G982" s="575"/>
      <c r="H982" s="576"/>
      <c r="M982" s="122"/>
      <c r="N982" s="75"/>
      <c r="P982" s="75"/>
      <c r="R982" s="144"/>
      <c r="S982" s="548"/>
    </row>
    <row r="983">
      <c r="A983" s="538" t="s">
        <v>3511</v>
      </c>
      <c r="C983" s="574"/>
      <c r="D983" s="574"/>
      <c r="E983" s="574"/>
      <c r="F983" s="575"/>
      <c r="G983" s="575"/>
      <c r="H983" s="576"/>
      <c r="M983" s="122"/>
      <c r="N983" s="75"/>
      <c r="P983" s="75"/>
      <c r="R983" s="144"/>
      <c r="S983" s="548"/>
    </row>
    <row r="984">
      <c r="A984" s="538" t="s">
        <v>3511</v>
      </c>
      <c r="C984" s="574"/>
      <c r="D984" s="574"/>
      <c r="E984" s="574"/>
      <c r="F984" s="575"/>
      <c r="G984" s="575"/>
      <c r="H984" s="576"/>
      <c r="M984" s="122"/>
      <c r="N984" s="75"/>
      <c r="P984" s="75"/>
      <c r="R984" s="144"/>
      <c r="S984" s="548"/>
    </row>
    <row r="985">
      <c r="A985" s="538" t="s">
        <v>3511</v>
      </c>
      <c r="C985" s="574"/>
      <c r="D985" s="574"/>
      <c r="E985" s="574"/>
      <c r="F985" s="575"/>
      <c r="G985" s="575"/>
      <c r="H985" s="576"/>
      <c r="M985" s="122"/>
      <c r="N985" s="75"/>
      <c r="P985" s="75"/>
      <c r="R985" s="144"/>
      <c r="S985" s="548"/>
    </row>
    <row r="986">
      <c r="A986" s="538" t="s">
        <v>3511</v>
      </c>
      <c r="C986" s="574"/>
      <c r="D986" s="574"/>
      <c r="E986" s="574"/>
      <c r="F986" s="575"/>
      <c r="G986" s="575"/>
      <c r="H986" s="576"/>
      <c r="M986" s="122"/>
      <c r="N986" s="75"/>
      <c r="P986" s="75"/>
      <c r="R986" s="144"/>
      <c r="S986" s="548"/>
    </row>
    <row r="987">
      <c r="A987" s="538" t="s">
        <v>3511</v>
      </c>
      <c r="C987" s="574"/>
      <c r="D987" s="574"/>
      <c r="E987" s="574"/>
      <c r="F987" s="575"/>
      <c r="G987" s="575"/>
      <c r="H987" s="576"/>
      <c r="M987" s="122"/>
      <c r="N987" s="75"/>
      <c r="P987" s="75"/>
      <c r="R987" s="144"/>
      <c r="S987" s="548"/>
    </row>
    <row r="988">
      <c r="A988" s="538" t="s">
        <v>3511</v>
      </c>
      <c r="C988" s="574"/>
      <c r="D988" s="574"/>
      <c r="E988" s="574"/>
      <c r="F988" s="575"/>
      <c r="G988" s="575"/>
      <c r="H988" s="576"/>
      <c r="M988" s="122"/>
      <c r="N988" s="75"/>
      <c r="P988" s="75"/>
      <c r="R988" s="144"/>
      <c r="S988" s="548"/>
    </row>
  </sheetData>
  <autoFilter ref="$A$1:$U$279"/>
  <mergeCells count="1">
    <mergeCell ref="D3:D4"/>
  </mergeCells>
  <conditionalFormatting sqref="C2:H988">
    <cfRule type="containsBlanks" dxfId="0" priority="1">
      <formula>LEN(TRIM(C2))=0</formula>
    </cfRule>
  </conditionalFormatting>
  <conditionalFormatting sqref="C2:H988">
    <cfRule type="notContainsBlanks" dxfId="0" priority="2">
      <formula>LEN(TRIM(C2))&gt;0</formula>
    </cfRule>
  </conditionalFormatting>
  <dataValidations>
    <dataValidation type="list" allowBlank="1" showErrorMessage="1" sqref="S2:S988">
      <formula1>"진행 중,미팅 완료,계약 완료,보류,거절"</formula1>
    </dataValidation>
    <dataValidation type="list" allowBlank="1" showErrorMessage="1" sqref="N2:N149 N151:N988 P2:P988 R2:R988">
      <formula1>"무응답,읽씹,응답,거절"</formula1>
    </dataValidation>
    <dataValidation type="list" allowBlank="1" showErrorMessage="1" sqref="N150">
      <formula1>"무응답,읽씹,응답,거절"</formula1>
    </dataValidation>
    <dataValidation type="list" allowBlank="1" showErrorMessage="1" sqref="B2:B279">
      <formula1>"미검토,컨펌 필요,발송 예정,진행 중,계약 완료,제외,보류,거절"</formula1>
    </dataValidation>
  </dataValidations>
  <hyperlinks>
    <hyperlink r:id="rId2" ref="F2"/>
    <hyperlink r:id="rId3" ref="F3"/>
    <hyperlink r:id="rId4" ref="F4"/>
    <hyperlink r:id="rId5" ref="F5"/>
    <hyperlink r:id="rId6" ref="I5"/>
    <hyperlink r:id="rId7" ref="F6"/>
    <hyperlink r:id="rId8" ref="I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F26"/>
    <hyperlink r:id="rId29" ref="F27"/>
    <hyperlink r:id="rId30" ref="F28"/>
    <hyperlink r:id="rId31" ref="F29"/>
    <hyperlink r:id="rId32" ref="F30"/>
    <hyperlink r:id="rId33" ref="F31"/>
    <hyperlink r:id="rId34" ref="F32"/>
    <hyperlink r:id="rId35" ref="F33"/>
    <hyperlink r:id="rId36" ref="F34"/>
    <hyperlink r:id="rId37" ref="I34"/>
    <hyperlink r:id="rId38" ref="F35"/>
    <hyperlink r:id="rId39" ref="I35"/>
    <hyperlink r:id="rId40" ref="F36"/>
    <hyperlink r:id="rId41" ref="I36"/>
    <hyperlink r:id="rId42" ref="F37"/>
    <hyperlink r:id="rId43" ref="F38"/>
    <hyperlink r:id="rId44" ref="F39"/>
    <hyperlink r:id="rId45" ref="F40"/>
    <hyperlink r:id="rId46" ref="F41"/>
    <hyperlink r:id="rId47" ref="F42"/>
    <hyperlink r:id="rId48" ref="F43"/>
    <hyperlink r:id="rId49" ref="F44"/>
    <hyperlink r:id="rId50" ref="F45"/>
    <hyperlink r:id="rId51" ref="F46"/>
    <hyperlink r:id="rId52" ref="F47"/>
    <hyperlink r:id="rId53" ref="F48"/>
    <hyperlink r:id="rId54" ref="F49"/>
    <hyperlink r:id="rId55" ref="F50"/>
    <hyperlink r:id="rId56" ref="F51"/>
    <hyperlink r:id="rId57" ref="I51"/>
    <hyperlink r:id="rId58" ref="F52"/>
    <hyperlink r:id="rId59" ref="I52"/>
    <hyperlink r:id="rId60" ref="F53"/>
    <hyperlink r:id="rId61" ref="I53"/>
    <hyperlink r:id="rId62" ref="F54"/>
    <hyperlink r:id="rId63" ref="F55"/>
    <hyperlink r:id="rId64" ref="I55"/>
    <hyperlink r:id="rId65" ref="F56"/>
    <hyperlink r:id="rId66" ref="I56"/>
    <hyperlink r:id="rId67" ref="F57"/>
    <hyperlink r:id="rId68" ref="F58"/>
    <hyperlink r:id="rId69" ref="I58"/>
    <hyperlink r:id="rId70" ref="F59"/>
    <hyperlink r:id="rId71" ref="F60"/>
    <hyperlink r:id="rId72" ref="F61"/>
    <hyperlink r:id="rId73" ref="F62"/>
    <hyperlink r:id="rId74" ref="F63"/>
    <hyperlink r:id="rId75" ref="F64"/>
    <hyperlink r:id="rId76" ref="I64"/>
    <hyperlink r:id="rId77" ref="F65"/>
    <hyperlink r:id="rId78" ref="F66"/>
    <hyperlink r:id="rId79" ref="F67"/>
    <hyperlink r:id="rId80" ref="I67"/>
    <hyperlink r:id="rId81" ref="F68"/>
    <hyperlink r:id="rId82" ref="I68"/>
    <hyperlink r:id="rId83" ref="F69"/>
    <hyperlink r:id="rId84" ref="F70"/>
    <hyperlink r:id="rId85" ref="F71"/>
    <hyperlink r:id="rId86" ref="F72"/>
    <hyperlink r:id="rId87" ref="F73"/>
    <hyperlink r:id="rId88" ref="F74"/>
    <hyperlink r:id="rId89" ref="F75"/>
    <hyperlink r:id="rId90" ref="F76"/>
    <hyperlink r:id="rId91" ref="F77"/>
    <hyperlink r:id="rId92" ref="I77"/>
    <hyperlink r:id="rId93" ref="F78"/>
    <hyperlink r:id="rId94" ref="F79"/>
    <hyperlink r:id="rId95" ref="F80"/>
    <hyperlink r:id="rId96" ref="F81"/>
    <hyperlink r:id="rId97" ref="F82"/>
    <hyperlink r:id="rId98" ref="F83"/>
    <hyperlink r:id="rId99" ref="F84"/>
    <hyperlink r:id="rId100" ref="I84"/>
    <hyperlink r:id="rId101" ref="F85"/>
    <hyperlink r:id="rId102" ref="F86"/>
    <hyperlink r:id="rId103" ref="F87"/>
    <hyperlink r:id="rId104" ref="F88"/>
    <hyperlink r:id="rId105" ref="F89"/>
    <hyperlink r:id="rId106" ref="F90"/>
    <hyperlink r:id="rId107" ref="F91"/>
    <hyperlink r:id="rId108" ref="F92"/>
    <hyperlink r:id="rId109" ref="F93"/>
    <hyperlink r:id="rId110" ref="I93"/>
    <hyperlink r:id="rId111" ref="F94"/>
    <hyperlink r:id="rId112" ref="F95"/>
    <hyperlink r:id="rId113" ref="F96"/>
    <hyperlink r:id="rId114" ref="F97"/>
    <hyperlink r:id="rId115" ref="F98"/>
    <hyperlink r:id="rId116" ref="F99"/>
    <hyperlink r:id="rId117" ref="F100"/>
    <hyperlink r:id="rId118" ref="F101"/>
    <hyperlink r:id="rId119" ref="F102"/>
    <hyperlink r:id="rId120" ref="F103"/>
    <hyperlink r:id="rId121" ref="F104"/>
    <hyperlink r:id="rId122" ref="F105"/>
    <hyperlink r:id="rId123" ref="I105"/>
    <hyperlink r:id="rId124" ref="F106"/>
    <hyperlink r:id="rId125" ref="F107"/>
    <hyperlink r:id="rId126" ref="F108"/>
    <hyperlink r:id="rId127" ref="F109"/>
    <hyperlink r:id="rId128" ref="F110"/>
    <hyperlink r:id="rId129" ref="F111"/>
    <hyperlink r:id="rId130" ref="F112"/>
    <hyperlink r:id="rId131" ref="F113"/>
    <hyperlink r:id="rId132" ref="F114"/>
    <hyperlink r:id="rId133" ref="F115"/>
    <hyperlink r:id="rId134" ref="F116"/>
    <hyperlink r:id="rId135" ref="F117"/>
    <hyperlink r:id="rId136" ref="F118"/>
    <hyperlink r:id="rId137" ref="F119"/>
    <hyperlink r:id="rId138" ref="F120"/>
    <hyperlink r:id="rId139" ref="F121"/>
    <hyperlink r:id="rId140" ref="F122"/>
    <hyperlink r:id="rId141" ref="F123"/>
    <hyperlink r:id="rId142" ref="I123"/>
    <hyperlink r:id="rId143" ref="F124"/>
    <hyperlink r:id="rId144" ref="F125"/>
    <hyperlink r:id="rId145" ref="F126"/>
    <hyperlink r:id="rId146" ref="F127"/>
    <hyperlink r:id="rId147" ref="F128"/>
    <hyperlink r:id="rId148" ref="F129"/>
    <hyperlink r:id="rId149" ref="F130"/>
    <hyperlink r:id="rId150" ref="F131"/>
    <hyperlink r:id="rId151" ref="F132"/>
    <hyperlink r:id="rId152" ref="F133"/>
    <hyperlink r:id="rId153" ref="I133"/>
    <hyperlink r:id="rId154" ref="F134"/>
    <hyperlink r:id="rId155" ref="F135"/>
    <hyperlink r:id="rId156" ref="I135"/>
    <hyperlink r:id="rId157" ref="F136"/>
    <hyperlink r:id="rId158" ref="F137"/>
    <hyperlink r:id="rId159" ref="F138"/>
    <hyperlink r:id="rId160" ref="F139"/>
    <hyperlink r:id="rId161" ref="F140"/>
    <hyperlink r:id="rId162" ref="F141"/>
    <hyperlink r:id="rId163" ref="F142"/>
    <hyperlink r:id="rId164" ref="F143"/>
    <hyperlink r:id="rId165" ref="F144"/>
    <hyperlink r:id="rId166" ref="F145"/>
    <hyperlink r:id="rId167" ref="F146"/>
    <hyperlink r:id="rId168" ref="F147"/>
    <hyperlink r:id="rId169" ref="F148"/>
    <hyperlink r:id="rId170" ref="F149"/>
    <hyperlink r:id="rId171" ref="F150"/>
    <hyperlink r:id="rId172" ref="F151"/>
    <hyperlink r:id="rId173" ref="F152"/>
    <hyperlink r:id="rId174" ref="F153"/>
    <hyperlink r:id="rId175" ref="I153"/>
    <hyperlink r:id="rId176" ref="F154"/>
    <hyperlink r:id="rId177" ref="F155"/>
    <hyperlink r:id="rId178" ref="F156"/>
    <hyperlink r:id="rId179" ref="F157"/>
    <hyperlink r:id="rId180" ref="F158"/>
    <hyperlink r:id="rId181" ref="F159"/>
    <hyperlink r:id="rId182" ref="F160"/>
    <hyperlink r:id="rId183" ref="F161"/>
    <hyperlink r:id="rId184" ref="F162"/>
    <hyperlink r:id="rId185" ref="F163"/>
    <hyperlink r:id="rId186" ref="F164"/>
    <hyperlink r:id="rId187" ref="F165"/>
    <hyperlink r:id="rId188" ref="F166"/>
    <hyperlink r:id="rId189" ref="F167"/>
    <hyperlink r:id="rId190" ref="F168"/>
    <hyperlink r:id="rId191" ref="F169"/>
    <hyperlink r:id="rId192" ref="F170"/>
    <hyperlink r:id="rId193" ref="I170"/>
    <hyperlink r:id="rId194" ref="F171"/>
    <hyperlink r:id="rId195" ref="F172"/>
    <hyperlink r:id="rId196" ref="F173"/>
    <hyperlink r:id="rId197" ref="F174"/>
    <hyperlink r:id="rId198" ref="F175"/>
    <hyperlink r:id="rId199" ref="F176"/>
    <hyperlink r:id="rId200" ref="F177"/>
    <hyperlink r:id="rId201" ref="F178"/>
    <hyperlink r:id="rId202" ref="F179"/>
    <hyperlink r:id="rId203" ref="F180"/>
    <hyperlink r:id="rId204" ref="F181"/>
    <hyperlink r:id="rId205" ref="F182"/>
    <hyperlink r:id="rId206" ref="F183"/>
    <hyperlink r:id="rId207" ref="I183"/>
    <hyperlink r:id="rId208" ref="F184"/>
    <hyperlink r:id="rId209" ref="F185"/>
    <hyperlink r:id="rId210" ref="F186"/>
    <hyperlink r:id="rId211" ref="F187"/>
    <hyperlink r:id="rId212" ref="F188"/>
    <hyperlink r:id="rId213" ref="F189"/>
    <hyperlink r:id="rId214" ref="F190"/>
    <hyperlink r:id="rId215" ref="F191"/>
    <hyperlink r:id="rId216" ref="F192"/>
    <hyperlink r:id="rId217" ref="F193"/>
    <hyperlink r:id="rId218" ref="F194"/>
    <hyperlink r:id="rId219" ref="F195"/>
    <hyperlink r:id="rId220" ref="F196"/>
    <hyperlink r:id="rId221" ref="F197"/>
    <hyperlink r:id="rId222" ref="F198"/>
    <hyperlink r:id="rId223" ref="F199"/>
    <hyperlink r:id="rId224" ref="F200"/>
    <hyperlink r:id="rId225" ref="F201"/>
    <hyperlink r:id="rId226" ref="F202"/>
    <hyperlink r:id="rId227" ref="F203"/>
    <hyperlink r:id="rId228" ref="F204"/>
    <hyperlink r:id="rId229" ref="F205"/>
    <hyperlink r:id="rId230" ref="F206"/>
    <hyperlink r:id="rId231" ref="F207"/>
    <hyperlink r:id="rId232" ref="F208"/>
    <hyperlink r:id="rId233" ref="F209"/>
    <hyperlink r:id="rId234" ref="F210"/>
    <hyperlink r:id="rId235" ref="F211"/>
    <hyperlink r:id="rId236" ref="F212"/>
    <hyperlink r:id="rId237" ref="F213"/>
    <hyperlink r:id="rId238" ref="F214"/>
    <hyperlink r:id="rId239" ref="F215"/>
    <hyperlink r:id="rId240" ref="F216"/>
    <hyperlink r:id="rId241" ref="F217"/>
    <hyperlink r:id="rId242" ref="F218"/>
    <hyperlink r:id="rId243" ref="F219"/>
    <hyperlink r:id="rId244" ref="F220"/>
    <hyperlink r:id="rId245" ref="F221"/>
    <hyperlink r:id="rId246" ref="F222"/>
    <hyperlink r:id="rId247" ref="F223"/>
    <hyperlink r:id="rId248" ref="F224"/>
    <hyperlink r:id="rId249" ref="I231"/>
    <hyperlink r:id="rId250" ref="I233"/>
    <hyperlink r:id="rId251" ref="I235"/>
    <hyperlink r:id="rId252" ref="I247"/>
    <hyperlink r:id="rId253" ref="I249"/>
    <hyperlink r:id="rId254" ref="I258"/>
    <hyperlink r:id="rId255" ref="I274"/>
  </hyperlinks>
  <drawing r:id="rId256"/>
  <legacyDrawing r:id="rId25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2.63"/>
    <col hidden="1" min="3" max="3" width="12.63"/>
    <col customWidth="1" min="4" max="4" width="21.88"/>
    <col hidden="1" min="5" max="5" width="12.63"/>
    <col customWidth="1" min="6" max="6" width="25.0"/>
    <col hidden="1" min="7" max="9" width="12.63"/>
    <col customWidth="1" min="10" max="11" width="22.13"/>
    <col customWidth="1" min="12" max="12" width="31.5"/>
    <col hidden="1" min="13" max="13" width="12.63"/>
    <col customWidth="1" min="15" max="15" width="6.88"/>
    <col customWidth="1" min="16" max="17" width="8.25"/>
  </cols>
  <sheetData>
    <row r="1" ht="30.0" customHeight="1">
      <c r="A1" s="51" t="s">
        <v>3512</v>
      </c>
      <c r="B1" s="53" t="s">
        <v>11</v>
      </c>
      <c r="C1" s="460"/>
      <c r="D1" s="53" t="s">
        <v>38</v>
      </c>
      <c r="E1" s="460"/>
      <c r="F1" s="53" t="s">
        <v>2822</v>
      </c>
      <c r="G1" s="460"/>
      <c r="H1" s="460"/>
      <c r="I1" s="460"/>
      <c r="J1" s="51" t="s">
        <v>44</v>
      </c>
      <c r="K1" s="51" t="s">
        <v>45</v>
      </c>
      <c r="L1" s="51" t="s">
        <v>3513</v>
      </c>
      <c r="M1" s="460"/>
      <c r="N1" s="51" t="s">
        <v>48</v>
      </c>
      <c r="O1" s="51" t="s">
        <v>49</v>
      </c>
      <c r="P1" s="51" t="s">
        <v>111</v>
      </c>
      <c r="Q1" s="51" t="s">
        <v>3514</v>
      </c>
      <c r="R1" s="462" t="s">
        <v>2823</v>
      </c>
      <c r="S1" s="462" t="s">
        <v>52</v>
      </c>
      <c r="T1" s="462" t="s">
        <v>53</v>
      </c>
      <c r="U1" s="462" t="s">
        <v>54</v>
      </c>
      <c r="V1" s="462" t="s">
        <v>55</v>
      </c>
      <c r="W1" s="462" t="s">
        <v>56</v>
      </c>
      <c r="X1" s="463" t="s">
        <v>2824</v>
      </c>
      <c r="Y1" s="463" t="s">
        <v>2825</v>
      </c>
      <c r="Z1" s="463" t="s">
        <v>47</v>
      </c>
    </row>
    <row r="2">
      <c r="A2" s="577">
        <f t="array" ref="A2:A987">IF(B2:B987&lt;&gt;"", ROW(B2:B987)-1, "")</f>
        <v>1</v>
      </c>
      <c r="B2" s="578" t="s">
        <v>21</v>
      </c>
      <c r="C2" s="579"/>
      <c r="D2" s="580" t="s">
        <v>88</v>
      </c>
      <c r="E2" s="581" t="s">
        <v>89</v>
      </c>
      <c r="F2" s="581" t="s">
        <v>90</v>
      </c>
      <c r="G2" s="582" t="s">
        <v>91</v>
      </c>
      <c r="H2" s="583" t="s">
        <v>64</v>
      </c>
      <c r="I2" s="583" t="s">
        <v>65</v>
      </c>
      <c r="J2" s="584" t="s">
        <v>92</v>
      </c>
      <c r="K2" s="585"/>
      <c r="L2" s="586"/>
      <c r="M2" s="587" t="s">
        <v>93</v>
      </c>
      <c r="N2" s="588"/>
      <c r="O2" s="589"/>
      <c r="P2" s="589"/>
      <c r="Q2" s="589"/>
      <c r="R2" s="589"/>
      <c r="S2" s="120"/>
      <c r="T2" s="589"/>
      <c r="U2" s="590"/>
      <c r="V2" s="591"/>
      <c r="W2" s="592"/>
      <c r="X2" s="593" t="s">
        <v>21</v>
      </c>
      <c r="Y2" s="589"/>
      <c r="Z2" s="589"/>
      <c r="AB2" s="403"/>
      <c r="AC2" s="403"/>
    </row>
    <row r="3">
      <c r="A3" s="577">
        <v>2.0</v>
      </c>
      <c r="B3" s="578" t="s">
        <v>21</v>
      </c>
      <c r="C3" s="579"/>
      <c r="D3" s="580" t="s">
        <v>94</v>
      </c>
      <c r="E3" s="581" t="s">
        <v>77</v>
      </c>
      <c r="F3" s="581" t="s">
        <v>95</v>
      </c>
      <c r="G3" s="582" t="s">
        <v>96</v>
      </c>
      <c r="H3" s="583" t="s">
        <v>97</v>
      </c>
      <c r="I3" s="583" t="s">
        <v>98</v>
      </c>
      <c r="J3" s="584" t="s">
        <v>99</v>
      </c>
      <c r="K3" s="584" t="s">
        <v>100</v>
      </c>
      <c r="L3" s="586"/>
      <c r="M3" s="587" t="s">
        <v>93</v>
      </c>
      <c r="N3" s="590"/>
      <c r="O3" s="594"/>
      <c r="P3" s="594"/>
      <c r="Q3" s="594"/>
      <c r="R3" s="594" t="str">
        <f t="shared" ref="R3:R9" si="1">IF(AND(S3=1,T3=0),"DM",IF(AND(S3=0,T3=1),"이메일",IF(AND(S3=1,T3=1),"DM+이메일","")))</f>
        <v/>
      </c>
      <c r="S3" s="120"/>
      <c r="T3" s="589"/>
      <c r="U3" s="590"/>
      <c r="V3" s="591"/>
      <c r="W3" s="592"/>
      <c r="X3" s="593" t="s">
        <v>21</v>
      </c>
      <c r="Y3" s="589"/>
      <c r="Z3" s="589"/>
      <c r="AB3" s="403"/>
      <c r="AC3" s="403"/>
    </row>
    <row r="4">
      <c r="A4" s="577">
        <v>3.0</v>
      </c>
      <c r="B4" s="578" t="s">
        <v>21</v>
      </c>
      <c r="C4" s="579"/>
      <c r="G4" s="582" t="s">
        <v>101</v>
      </c>
      <c r="I4" s="583" t="s">
        <v>102</v>
      </c>
      <c r="J4" s="585"/>
      <c r="K4" s="585"/>
      <c r="L4" s="586"/>
      <c r="M4" s="594"/>
      <c r="N4" s="590"/>
      <c r="O4" s="594"/>
      <c r="P4" s="594"/>
      <c r="Q4" s="594"/>
      <c r="R4" s="594" t="str">
        <f t="shared" si="1"/>
        <v/>
      </c>
      <c r="S4" s="120"/>
      <c r="T4" s="589"/>
      <c r="U4" s="590"/>
      <c r="V4" s="591"/>
      <c r="W4" s="592"/>
      <c r="X4" s="593" t="s">
        <v>21</v>
      </c>
      <c r="Y4" s="589"/>
      <c r="Z4" s="589"/>
      <c r="AB4" s="403"/>
      <c r="AC4" s="403"/>
    </row>
    <row r="5">
      <c r="A5" s="577">
        <v>4.0</v>
      </c>
      <c r="B5" s="578" t="s">
        <v>21</v>
      </c>
      <c r="C5" s="579"/>
      <c r="D5" s="580" t="s">
        <v>103</v>
      </c>
      <c r="E5" s="581" t="s">
        <v>61</v>
      </c>
      <c r="F5" s="581" t="s">
        <v>104</v>
      </c>
      <c r="G5" s="582" t="s">
        <v>105</v>
      </c>
      <c r="H5" s="583" t="s">
        <v>106</v>
      </c>
      <c r="I5" s="594"/>
      <c r="J5" s="585"/>
      <c r="K5" s="585"/>
      <c r="L5" s="586"/>
      <c r="M5" s="595" t="s">
        <v>107</v>
      </c>
      <c r="N5" s="590"/>
      <c r="O5" s="594"/>
      <c r="P5" s="594"/>
      <c r="Q5" s="594"/>
      <c r="R5" s="594" t="str">
        <f t="shared" si="1"/>
        <v/>
      </c>
      <c r="S5" s="120"/>
      <c r="T5" s="589"/>
      <c r="U5" s="590"/>
      <c r="V5" s="591"/>
      <c r="W5" s="592"/>
      <c r="X5" s="593" t="s">
        <v>21</v>
      </c>
      <c r="Y5" s="589"/>
      <c r="Z5" s="589"/>
      <c r="AB5" s="403"/>
      <c r="AC5" s="403"/>
    </row>
    <row r="6">
      <c r="A6" s="464">
        <v>5.0</v>
      </c>
      <c r="B6" s="596" t="s">
        <v>21</v>
      </c>
      <c r="C6" s="480"/>
      <c r="D6" s="597" t="s">
        <v>108</v>
      </c>
      <c r="E6" s="598" t="s">
        <v>109</v>
      </c>
      <c r="F6" s="598" t="s">
        <v>110</v>
      </c>
      <c r="G6" s="599" t="s">
        <v>44</v>
      </c>
      <c r="H6" s="600" t="s">
        <v>106</v>
      </c>
      <c r="I6" s="601"/>
      <c r="J6" s="602" t="s">
        <v>44</v>
      </c>
      <c r="K6" s="603"/>
      <c r="L6" s="604"/>
      <c r="M6" s="605" t="s">
        <v>111</v>
      </c>
      <c r="N6" s="256"/>
      <c r="O6" s="601"/>
      <c r="P6" s="601"/>
      <c r="Q6" s="601"/>
      <c r="R6" s="601" t="str">
        <f t="shared" si="1"/>
        <v/>
      </c>
      <c r="S6" s="175"/>
      <c r="T6" s="356"/>
      <c r="U6" s="256"/>
      <c r="V6" s="606"/>
      <c r="W6" s="607"/>
      <c r="X6" s="608" t="s">
        <v>21</v>
      </c>
      <c r="Y6" s="356"/>
      <c r="Z6" s="356"/>
      <c r="AA6" s="477"/>
      <c r="AB6" s="403"/>
      <c r="AC6" s="403"/>
    </row>
    <row r="7">
      <c r="A7" s="577">
        <v>6.0</v>
      </c>
      <c r="B7" s="578" t="s">
        <v>21</v>
      </c>
      <c r="C7" s="579"/>
      <c r="D7" s="580" t="s">
        <v>112</v>
      </c>
      <c r="E7" s="581" t="s">
        <v>113</v>
      </c>
      <c r="F7" s="581" t="s">
        <v>114</v>
      </c>
      <c r="G7" s="582" t="s">
        <v>115</v>
      </c>
      <c r="H7" s="583" t="s">
        <v>116</v>
      </c>
      <c r="I7" s="583" t="s">
        <v>117</v>
      </c>
      <c r="J7" s="584" t="s">
        <v>118</v>
      </c>
      <c r="K7" s="584" t="s">
        <v>119</v>
      </c>
      <c r="L7" s="609" t="s">
        <v>120</v>
      </c>
      <c r="M7" s="594"/>
      <c r="N7" s="590"/>
      <c r="O7" s="594"/>
      <c r="P7" s="594"/>
      <c r="Q7" s="594"/>
      <c r="R7" s="594" t="str">
        <f t="shared" si="1"/>
        <v/>
      </c>
      <c r="S7" s="120"/>
      <c r="T7" s="589"/>
      <c r="U7" s="590"/>
      <c r="V7" s="591"/>
      <c r="W7" s="592"/>
      <c r="X7" s="593" t="s">
        <v>21</v>
      </c>
      <c r="Y7" s="589"/>
      <c r="Z7" s="589"/>
      <c r="AB7" s="403"/>
      <c r="AC7" s="403"/>
    </row>
    <row r="8">
      <c r="A8" s="577">
        <v>7.0</v>
      </c>
      <c r="B8" s="578" t="s">
        <v>21</v>
      </c>
      <c r="C8" s="579"/>
      <c r="D8" s="580" t="s">
        <v>121</v>
      </c>
      <c r="E8" s="581" t="s">
        <v>122</v>
      </c>
      <c r="F8" s="581" t="s">
        <v>123</v>
      </c>
      <c r="G8" s="582" t="s">
        <v>45</v>
      </c>
      <c r="H8" s="583" t="s">
        <v>124</v>
      </c>
      <c r="I8" s="582" t="s">
        <v>125</v>
      </c>
      <c r="J8" s="585"/>
      <c r="K8" s="584" t="s">
        <v>126</v>
      </c>
      <c r="L8" s="586"/>
      <c r="M8" s="594"/>
      <c r="N8" s="590"/>
      <c r="O8" s="594"/>
      <c r="P8" s="594"/>
      <c r="Q8" s="594"/>
      <c r="R8" s="594" t="str">
        <f t="shared" si="1"/>
        <v/>
      </c>
      <c r="S8" s="120"/>
      <c r="T8" s="589"/>
      <c r="U8" s="590"/>
      <c r="V8" s="591"/>
      <c r="W8" s="592"/>
      <c r="X8" s="593" t="s">
        <v>21</v>
      </c>
      <c r="Y8" s="589"/>
      <c r="Z8" s="589"/>
      <c r="AB8" s="403"/>
      <c r="AC8" s="403"/>
    </row>
    <row r="9">
      <c r="A9" s="577">
        <v>8.0</v>
      </c>
      <c r="B9" s="578" t="s">
        <v>21</v>
      </c>
      <c r="C9" s="579"/>
      <c r="D9" s="580" t="s">
        <v>103</v>
      </c>
      <c r="E9" s="581" t="s">
        <v>109</v>
      </c>
      <c r="F9" s="610" t="s">
        <v>127</v>
      </c>
      <c r="G9" s="582" t="s">
        <v>44</v>
      </c>
      <c r="H9" s="583" t="s">
        <v>64</v>
      </c>
      <c r="I9" s="582" t="s">
        <v>128</v>
      </c>
      <c r="J9" s="584" t="s">
        <v>129</v>
      </c>
      <c r="K9" s="584" t="s">
        <v>130</v>
      </c>
      <c r="L9" s="611" t="s">
        <v>131</v>
      </c>
      <c r="M9" s="587" t="s">
        <v>132</v>
      </c>
      <c r="N9" s="590"/>
      <c r="O9" s="594"/>
      <c r="P9" s="594"/>
      <c r="Q9" s="594"/>
      <c r="R9" s="594" t="str">
        <f t="shared" si="1"/>
        <v/>
      </c>
      <c r="S9" s="120"/>
      <c r="T9" s="589"/>
      <c r="U9" s="590"/>
      <c r="V9" s="591"/>
      <c r="W9" s="592"/>
      <c r="X9" s="593" t="s">
        <v>21</v>
      </c>
      <c r="Y9" s="589"/>
      <c r="Z9" s="589"/>
      <c r="AB9" s="403"/>
      <c r="AC9" s="403"/>
    </row>
    <row r="10">
      <c r="A10" s="491">
        <v>9.0</v>
      </c>
      <c r="B10" s="612" t="s">
        <v>20</v>
      </c>
      <c r="C10" s="494"/>
      <c r="D10" s="613" t="s">
        <v>133</v>
      </c>
      <c r="E10" s="492" t="s">
        <v>77</v>
      </c>
      <c r="F10" s="492" t="s">
        <v>134</v>
      </c>
      <c r="G10" s="512" t="s">
        <v>135</v>
      </c>
      <c r="H10" s="612" t="s">
        <v>64</v>
      </c>
      <c r="I10" s="612" t="s">
        <v>98</v>
      </c>
      <c r="J10" s="493" t="s">
        <v>136</v>
      </c>
      <c r="K10" s="493" t="s">
        <v>137</v>
      </c>
      <c r="L10" s="612" t="s">
        <v>138</v>
      </c>
      <c r="M10" s="494"/>
      <c r="N10" s="495" t="str">
        <f t="shared" ref="N10:N279" si="2">IF(AND(O10=1,P10=0),"DM",IF(AND(O10=0,P10=1),"이메일",IF(AND(O10=1,P10=1),"DM+이메일","")))</f>
        <v>DM+이메일</v>
      </c>
      <c r="O10" s="614">
        <v>1.0</v>
      </c>
      <c r="P10" s="473">
        <v>1.0</v>
      </c>
      <c r="Q10" s="473">
        <v>0.0</v>
      </c>
      <c r="R10" s="535"/>
      <c r="S10" s="474"/>
      <c r="T10" s="474">
        <v>46108.0</v>
      </c>
      <c r="U10" s="473" t="s">
        <v>139</v>
      </c>
      <c r="V10" s="615" t="s">
        <v>218</v>
      </c>
      <c r="W10" s="474"/>
      <c r="X10" s="474"/>
      <c r="Y10" s="476"/>
      <c r="Z10" s="476"/>
      <c r="AA10" s="477"/>
    </row>
    <row r="11">
      <c r="A11" s="491">
        <v>10.0</v>
      </c>
      <c r="B11" s="612" t="s">
        <v>20</v>
      </c>
      <c r="C11" s="494"/>
      <c r="D11" s="613" t="s">
        <v>177</v>
      </c>
      <c r="E11" s="492" t="s">
        <v>69</v>
      </c>
      <c r="F11" s="492" t="s">
        <v>178</v>
      </c>
      <c r="G11" s="494"/>
      <c r="H11" s="612" t="s">
        <v>64</v>
      </c>
      <c r="I11" s="612" t="s">
        <v>125</v>
      </c>
      <c r="J11" s="493" t="s">
        <v>179</v>
      </c>
      <c r="K11" s="493" t="s">
        <v>180</v>
      </c>
      <c r="L11" s="612" t="s">
        <v>181</v>
      </c>
      <c r="M11" s="497" t="s">
        <v>182</v>
      </c>
      <c r="N11" s="495" t="str">
        <f t="shared" si="2"/>
        <v>DM+이메일</v>
      </c>
      <c r="O11" s="495">
        <v>1.0</v>
      </c>
      <c r="P11" s="495">
        <v>1.0</v>
      </c>
      <c r="Q11" s="495">
        <v>0.0</v>
      </c>
      <c r="R11" s="535"/>
      <c r="S11" s="474"/>
      <c r="T11" s="474">
        <v>46108.0</v>
      </c>
      <c r="U11" s="473" t="s">
        <v>139</v>
      </c>
      <c r="V11" s="615" t="s">
        <v>218</v>
      </c>
      <c r="W11" s="474"/>
      <c r="X11" s="474"/>
      <c r="Y11" s="476"/>
      <c r="Z11" s="476"/>
      <c r="AA11" s="477"/>
    </row>
    <row r="12">
      <c r="A12" s="491">
        <v>11.0</v>
      </c>
      <c r="B12" s="612" t="s">
        <v>20</v>
      </c>
      <c r="C12" s="494"/>
      <c r="D12" s="613" t="s">
        <v>211</v>
      </c>
      <c r="E12" s="492" t="s">
        <v>89</v>
      </c>
      <c r="F12" s="492" t="s">
        <v>212</v>
      </c>
      <c r="G12" s="512" t="s">
        <v>213</v>
      </c>
      <c r="H12" s="612" t="s">
        <v>64</v>
      </c>
      <c r="I12" s="612" t="s">
        <v>214</v>
      </c>
      <c r="J12" s="493" t="s">
        <v>215</v>
      </c>
      <c r="K12" s="493" t="s">
        <v>216</v>
      </c>
      <c r="L12" s="612" t="s">
        <v>217</v>
      </c>
      <c r="M12" s="494"/>
      <c r="N12" s="495" t="str">
        <f t="shared" si="2"/>
        <v>DM+이메일</v>
      </c>
      <c r="O12" s="495">
        <v>1.0</v>
      </c>
      <c r="P12" s="495">
        <v>1.0</v>
      </c>
      <c r="Q12" s="495">
        <v>0.0</v>
      </c>
      <c r="R12" s="535"/>
      <c r="S12" s="474"/>
      <c r="T12" s="474">
        <v>46108.0</v>
      </c>
      <c r="U12" s="473" t="s">
        <v>139</v>
      </c>
      <c r="V12" s="615" t="s">
        <v>218</v>
      </c>
      <c r="W12" s="474"/>
      <c r="X12" s="474"/>
      <c r="Y12" s="476"/>
      <c r="Z12" s="476"/>
      <c r="AA12" s="477"/>
    </row>
    <row r="13">
      <c r="A13" s="491">
        <v>12.0</v>
      </c>
      <c r="B13" s="612" t="s">
        <v>20</v>
      </c>
      <c r="C13" s="494"/>
      <c r="D13" s="613" t="s">
        <v>313</v>
      </c>
      <c r="E13" s="492" t="s">
        <v>69</v>
      </c>
      <c r="F13" s="492" t="s">
        <v>314</v>
      </c>
      <c r="G13" s="512" t="s">
        <v>267</v>
      </c>
      <c r="H13" s="612" t="s">
        <v>106</v>
      </c>
      <c r="I13" s="494"/>
      <c r="J13" s="493" t="s">
        <v>315</v>
      </c>
      <c r="K13" s="493" t="s">
        <v>316</v>
      </c>
      <c r="L13" s="612" t="s">
        <v>317</v>
      </c>
      <c r="M13" s="494"/>
      <c r="N13" s="495" t="str">
        <f t="shared" si="2"/>
        <v>DM+이메일</v>
      </c>
      <c r="O13" s="495">
        <v>1.0</v>
      </c>
      <c r="P13" s="495">
        <v>1.0</v>
      </c>
      <c r="Q13" s="495">
        <v>0.0</v>
      </c>
      <c r="R13" s="535"/>
      <c r="S13" s="474"/>
      <c r="T13" s="474">
        <v>46108.0</v>
      </c>
      <c r="U13" s="473" t="s">
        <v>139</v>
      </c>
      <c r="V13" s="615" t="s">
        <v>218</v>
      </c>
      <c r="W13" s="474"/>
      <c r="X13" s="474"/>
      <c r="Y13" s="476"/>
      <c r="Z13" s="476"/>
      <c r="AA13" s="477"/>
    </row>
    <row r="14">
      <c r="A14" s="491">
        <v>13.0</v>
      </c>
      <c r="B14" s="612" t="s">
        <v>20</v>
      </c>
      <c r="C14" s="494"/>
      <c r="D14" s="613" t="s">
        <v>247</v>
      </c>
      <c r="E14" s="492" t="s">
        <v>69</v>
      </c>
      <c r="F14" s="492" t="s">
        <v>318</v>
      </c>
      <c r="G14" s="512" t="s">
        <v>267</v>
      </c>
      <c r="H14" s="612" t="s">
        <v>64</v>
      </c>
      <c r="I14" s="512" t="s">
        <v>319</v>
      </c>
      <c r="J14" s="493" t="s">
        <v>320</v>
      </c>
      <c r="K14" s="493" t="s">
        <v>321</v>
      </c>
      <c r="L14" s="612" t="s">
        <v>322</v>
      </c>
      <c r="M14" s="494"/>
      <c r="N14" s="495" t="str">
        <f t="shared" si="2"/>
        <v>DM+이메일</v>
      </c>
      <c r="O14" s="495">
        <v>1.0</v>
      </c>
      <c r="P14" s="495">
        <v>1.0</v>
      </c>
      <c r="Q14" s="495">
        <v>0.0</v>
      </c>
      <c r="R14" s="535"/>
      <c r="S14" s="474"/>
      <c r="T14" s="474">
        <v>46108.0</v>
      </c>
      <c r="U14" s="473" t="s">
        <v>139</v>
      </c>
      <c r="V14" s="615" t="s">
        <v>218</v>
      </c>
      <c r="W14" s="474"/>
      <c r="X14" s="474"/>
      <c r="Y14" s="476"/>
      <c r="Z14" s="476"/>
      <c r="AA14" s="477"/>
    </row>
    <row r="15">
      <c r="A15" s="538">
        <v>14.0</v>
      </c>
      <c r="B15" s="616" t="s">
        <v>20</v>
      </c>
      <c r="C15" s="544"/>
      <c r="D15" s="617" t="s">
        <v>328</v>
      </c>
      <c r="E15" s="541" t="s">
        <v>69</v>
      </c>
      <c r="F15" s="541" t="s">
        <v>329</v>
      </c>
      <c r="G15" s="618" t="s">
        <v>267</v>
      </c>
      <c r="H15" s="616" t="s">
        <v>64</v>
      </c>
      <c r="I15" s="618" t="s">
        <v>330</v>
      </c>
      <c r="J15" s="542" t="s">
        <v>326</v>
      </c>
      <c r="K15" s="542" t="s">
        <v>327</v>
      </c>
      <c r="L15" s="619"/>
      <c r="M15" s="544"/>
      <c r="N15" s="545" t="str">
        <f t="shared" si="2"/>
        <v>DM</v>
      </c>
      <c r="O15" s="545">
        <v>1.0</v>
      </c>
      <c r="P15" s="545">
        <v>0.0</v>
      </c>
      <c r="Q15" s="545">
        <v>0.0</v>
      </c>
      <c r="R15" s="620"/>
      <c r="S15" s="549"/>
      <c r="T15" s="549">
        <v>46108.0</v>
      </c>
      <c r="U15" s="549"/>
      <c r="V15" s="549"/>
      <c r="W15" s="549"/>
      <c r="X15" s="549"/>
      <c r="Y15" s="548"/>
      <c r="Z15" s="548"/>
    </row>
    <row r="16">
      <c r="A16" s="491">
        <v>15.0</v>
      </c>
      <c r="B16" s="612" t="s">
        <v>20</v>
      </c>
      <c r="C16" s="494"/>
      <c r="D16" s="613" t="s">
        <v>400</v>
      </c>
      <c r="E16" s="492" t="s">
        <v>260</v>
      </c>
      <c r="F16" s="492" t="s">
        <v>401</v>
      </c>
      <c r="G16" s="512" t="s">
        <v>402</v>
      </c>
      <c r="H16" s="612" t="s">
        <v>116</v>
      </c>
      <c r="I16" s="494"/>
      <c r="J16" s="493" t="s">
        <v>402</v>
      </c>
      <c r="K16" s="498"/>
      <c r="L16" s="612" t="s">
        <v>403</v>
      </c>
      <c r="M16" s="494"/>
      <c r="N16" s="495" t="str">
        <f t="shared" si="2"/>
        <v>이메일</v>
      </c>
      <c r="O16" s="495">
        <v>0.0</v>
      </c>
      <c r="P16" s="495">
        <v>1.0</v>
      </c>
      <c r="Q16" s="495">
        <v>0.0</v>
      </c>
      <c r="R16" s="535"/>
      <c r="S16" s="474"/>
      <c r="T16" s="474">
        <v>46108.0</v>
      </c>
      <c r="U16" s="473" t="s">
        <v>139</v>
      </c>
      <c r="V16" s="615" t="s">
        <v>218</v>
      </c>
      <c r="W16" s="474"/>
      <c r="X16" s="474"/>
      <c r="Y16" s="476"/>
      <c r="Z16" s="476"/>
      <c r="AA16" s="477"/>
    </row>
    <row r="17">
      <c r="A17" s="491">
        <v>16.0</v>
      </c>
      <c r="B17" s="612" t="s">
        <v>20</v>
      </c>
      <c r="C17" s="494"/>
      <c r="D17" s="613" t="s">
        <v>404</v>
      </c>
      <c r="E17" s="492" t="s">
        <v>405</v>
      </c>
      <c r="F17" s="492" t="s">
        <v>406</v>
      </c>
      <c r="G17" s="494"/>
      <c r="H17" s="612" t="s">
        <v>97</v>
      </c>
      <c r="I17" s="612" t="s">
        <v>407</v>
      </c>
      <c r="J17" s="493" t="s">
        <v>408</v>
      </c>
      <c r="K17" s="493" t="s">
        <v>409</v>
      </c>
      <c r="L17" s="612" t="s">
        <v>410</v>
      </c>
      <c r="M17" s="497" t="s">
        <v>411</v>
      </c>
      <c r="N17" s="495" t="str">
        <f t="shared" si="2"/>
        <v>DM+이메일</v>
      </c>
      <c r="O17" s="495">
        <v>1.0</v>
      </c>
      <c r="P17" s="495">
        <v>1.0</v>
      </c>
      <c r="Q17" s="495">
        <v>0.0</v>
      </c>
      <c r="R17" s="535"/>
      <c r="S17" s="474"/>
      <c r="T17" s="474">
        <v>46108.0</v>
      </c>
      <c r="U17" s="473" t="s">
        <v>139</v>
      </c>
      <c r="V17" s="615" t="s">
        <v>218</v>
      </c>
      <c r="W17" s="474"/>
      <c r="X17" s="474"/>
      <c r="Y17" s="476"/>
      <c r="Z17" s="476"/>
      <c r="AA17" s="477"/>
    </row>
    <row r="18">
      <c r="A18" s="491">
        <v>17.0</v>
      </c>
      <c r="B18" s="612" t="s">
        <v>20</v>
      </c>
      <c r="C18" s="494"/>
      <c r="D18" s="613" t="s">
        <v>103</v>
      </c>
      <c r="E18" s="492" t="s">
        <v>429</v>
      </c>
      <c r="F18" s="492" t="s">
        <v>430</v>
      </c>
      <c r="G18" s="494"/>
      <c r="H18" s="612" t="s">
        <v>431</v>
      </c>
      <c r="I18" s="494"/>
      <c r="J18" s="493" t="s">
        <v>432</v>
      </c>
      <c r="K18" s="493" t="s">
        <v>433</v>
      </c>
      <c r="L18" s="612" t="s">
        <v>434</v>
      </c>
      <c r="M18" s="494"/>
      <c r="N18" s="495" t="str">
        <f t="shared" si="2"/>
        <v>DM+이메일</v>
      </c>
      <c r="O18" s="495">
        <v>1.0</v>
      </c>
      <c r="P18" s="495">
        <v>1.0</v>
      </c>
      <c r="Q18" s="495">
        <v>0.0</v>
      </c>
      <c r="R18" s="535"/>
      <c r="S18" s="474"/>
      <c r="T18" s="474">
        <v>46108.0</v>
      </c>
      <c r="U18" s="473" t="s">
        <v>139</v>
      </c>
      <c r="V18" s="615" t="s">
        <v>218</v>
      </c>
      <c r="W18" s="474"/>
      <c r="X18" s="474"/>
      <c r="Y18" s="476"/>
      <c r="Z18" s="476"/>
      <c r="AA18" s="477"/>
    </row>
    <row r="19">
      <c r="A19" s="491">
        <v>18.0</v>
      </c>
      <c r="B19" s="612" t="s">
        <v>20</v>
      </c>
      <c r="C19" s="494"/>
      <c r="D19" s="613" t="s">
        <v>435</v>
      </c>
      <c r="E19" s="492" t="s">
        <v>89</v>
      </c>
      <c r="F19" s="492" t="s">
        <v>436</v>
      </c>
      <c r="G19" s="494"/>
      <c r="H19" s="612" t="s">
        <v>124</v>
      </c>
      <c r="I19" s="512" t="s">
        <v>437</v>
      </c>
      <c r="J19" s="493" t="s">
        <v>438</v>
      </c>
      <c r="K19" s="498"/>
      <c r="L19" s="612" t="s">
        <v>439</v>
      </c>
      <c r="M19" s="494"/>
      <c r="N19" s="495" t="str">
        <f t="shared" si="2"/>
        <v>이메일</v>
      </c>
      <c r="O19" s="495">
        <v>0.0</v>
      </c>
      <c r="P19" s="495">
        <v>1.0</v>
      </c>
      <c r="Q19" s="495">
        <v>0.0</v>
      </c>
      <c r="R19" s="535"/>
      <c r="S19" s="474"/>
      <c r="T19" s="474">
        <v>46108.0</v>
      </c>
      <c r="U19" s="473" t="s">
        <v>139</v>
      </c>
      <c r="V19" s="615" t="s">
        <v>218</v>
      </c>
      <c r="W19" s="474"/>
      <c r="X19" s="474"/>
      <c r="Y19" s="476"/>
      <c r="Z19" s="476"/>
      <c r="AA19" s="477"/>
    </row>
    <row r="20">
      <c r="A20" s="491">
        <v>19.0</v>
      </c>
      <c r="B20" s="612" t="s">
        <v>20</v>
      </c>
      <c r="C20" s="494"/>
      <c r="D20" s="613" t="s">
        <v>449</v>
      </c>
      <c r="E20" s="492" t="s">
        <v>109</v>
      </c>
      <c r="F20" s="492" t="s">
        <v>450</v>
      </c>
      <c r="G20" s="512" t="s">
        <v>44</v>
      </c>
      <c r="H20" s="612" t="s">
        <v>124</v>
      </c>
      <c r="I20" s="512" t="s">
        <v>451</v>
      </c>
      <c r="J20" s="493" t="s">
        <v>452</v>
      </c>
      <c r="K20" s="493" t="s">
        <v>453</v>
      </c>
      <c r="L20" s="612" t="s">
        <v>454</v>
      </c>
      <c r="M20" s="494"/>
      <c r="N20" s="495" t="str">
        <f t="shared" si="2"/>
        <v>DM+이메일</v>
      </c>
      <c r="O20" s="495">
        <v>1.0</v>
      </c>
      <c r="P20" s="495">
        <v>1.0</v>
      </c>
      <c r="Q20" s="495">
        <v>0.0</v>
      </c>
      <c r="R20" s="535"/>
      <c r="S20" s="474"/>
      <c r="T20" s="474">
        <v>46108.0</v>
      </c>
      <c r="U20" s="473" t="s">
        <v>139</v>
      </c>
      <c r="V20" s="615" t="s">
        <v>218</v>
      </c>
      <c r="W20" s="474"/>
      <c r="X20" s="474"/>
      <c r="Y20" s="476"/>
      <c r="Z20" s="476"/>
      <c r="AA20" s="477"/>
    </row>
    <row r="21">
      <c r="A21" s="491">
        <v>20.0</v>
      </c>
      <c r="B21" s="612" t="s">
        <v>20</v>
      </c>
      <c r="C21" s="494"/>
      <c r="D21" s="613" t="s">
        <v>435</v>
      </c>
      <c r="E21" s="492" t="s">
        <v>89</v>
      </c>
      <c r="F21" s="492" t="s">
        <v>455</v>
      </c>
      <c r="G21" s="512" t="s">
        <v>456</v>
      </c>
      <c r="H21" s="612" t="s">
        <v>431</v>
      </c>
      <c r="I21" s="494"/>
      <c r="J21" s="493" t="s">
        <v>457</v>
      </c>
      <c r="K21" s="498"/>
      <c r="L21" s="612" t="s">
        <v>458</v>
      </c>
      <c r="M21" s="494"/>
      <c r="N21" s="495" t="str">
        <f t="shared" si="2"/>
        <v>이메일</v>
      </c>
      <c r="O21" s="495">
        <v>0.0</v>
      </c>
      <c r="P21" s="495">
        <v>1.0</v>
      </c>
      <c r="Q21" s="495">
        <v>0.0</v>
      </c>
      <c r="R21" s="535"/>
      <c r="S21" s="474"/>
      <c r="T21" s="474">
        <v>46108.0</v>
      </c>
      <c r="U21" s="473" t="s">
        <v>139</v>
      </c>
      <c r="V21" s="615" t="s">
        <v>218</v>
      </c>
      <c r="W21" s="474"/>
      <c r="X21" s="474"/>
      <c r="Y21" s="476"/>
      <c r="Z21" s="476"/>
      <c r="AA21" s="477"/>
    </row>
    <row r="22">
      <c r="A22" s="491">
        <v>21.0</v>
      </c>
      <c r="B22" s="612" t="s">
        <v>20</v>
      </c>
      <c r="C22" s="494"/>
      <c r="D22" s="613" t="s">
        <v>435</v>
      </c>
      <c r="E22" s="492" t="s">
        <v>89</v>
      </c>
      <c r="F22" s="492" t="s">
        <v>481</v>
      </c>
      <c r="G22" s="494"/>
      <c r="H22" s="612" t="s">
        <v>106</v>
      </c>
      <c r="I22" s="494"/>
      <c r="J22" s="493" t="s">
        <v>482</v>
      </c>
      <c r="K22" s="498"/>
      <c r="L22" s="612" t="s">
        <v>483</v>
      </c>
      <c r="M22" s="494"/>
      <c r="N22" s="495" t="str">
        <f t="shared" si="2"/>
        <v>이메일</v>
      </c>
      <c r="O22" s="495">
        <v>0.0</v>
      </c>
      <c r="P22" s="495">
        <v>1.0</v>
      </c>
      <c r="Q22" s="495">
        <v>0.0</v>
      </c>
      <c r="R22" s="535"/>
      <c r="S22" s="474"/>
      <c r="T22" s="474">
        <v>46108.0</v>
      </c>
      <c r="U22" s="473" t="s">
        <v>139</v>
      </c>
      <c r="V22" s="615" t="s">
        <v>218</v>
      </c>
      <c r="W22" s="474"/>
      <c r="X22" s="474"/>
      <c r="Y22" s="476"/>
      <c r="Z22" s="476"/>
      <c r="AA22" s="477"/>
    </row>
    <row r="23">
      <c r="A23" s="491">
        <v>22.0</v>
      </c>
      <c r="B23" s="612" t="s">
        <v>20</v>
      </c>
      <c r="C23" s="494"/>
      <c r="D23" s="613" t="s">
        <v>508</v>
      </c>
      <c r="E23" s="492" t="s">
        <v>494</v>
      </c>
      <c r="F23" s="492" t="s">
        <v>509</v>
      </c>
      <c r="G23" s="512" t="s">
        <v>496</v>
      </c>
      <c r="H23" s="612" t="s">
        <v>64</v>
      </c>
      <c r="I23" s="612" t="s">
        <v>496</v>
      </c>
      <c r="J23" s="493" t="s">
        <v>510</v>
      </c>
      <c r="K23" s="498"/>
      <c r="L23" s="612" t="s">
        <v>511</v>
      </c>
      <c r="M23" s="497" t="s">
        <v>512</v>
      </c>
      <c r="N23" s="495" t="str">
        <f t="shared" si="2"/>
        <v>이메일</v>
      </c>
      <c r="O23" s="495">
        <v>0.0</v>
      </c>
      <c r="P23" s="495">
        <v>1.0</v>
      </c>
      <c r="Q23" s="495">
        <v>0.0</v>
      </c>
      <c r="R23" s="535"/>
      <c r="S23" s="474"/>
      <c r="T23" s="474">
        <v>46108.0</v>
      </c>
      <c r="U23" s="473" t="s">
        <v>139</v>
      </c>
      <c r="V23" s="615" t="s">
        <v>218</v>
      </c>
      <c r="W23" s="474"/>
      <c r="X23" s="474"/>
      <c r="Y23" s="476"/>
      <c r="Z23" s="476"/>
      <c r="AA23" s="477"/>
    </row>
    <row r="24">
      <c r="A24" s="491">
        <v>23.0</v>
      </c>
      <c r="B24" s="612" t="s">
        <v>20</v>
      </c>
      <c r="C24" s="494"/>
      <c r="D24" s="613" t="s">
        <v>522</v>
      </c>
      <c r="E24" s="492" t="s">
        <v>494</v>
      </c>
      <c r="F24" s="492" t="s">
        <v>523</v>
      </c>
      <c r="G24" s="512" t="s">
        <v>496</v>
      </c>
      <c r="H24" s="612" t="s">
        <v>64</v>
      </c>
      <c r="I24" s="612" t="s">
        <v>496</v>
      </c>
      <c r="J24" s="493" t="s">
        <v>524</v>
      </c>
      <c r="K24" s="498"/>
      <c r="L24" s="612" t="s">
        <v>525</v>
      </c>
      <c r="M24" s="497" t="s">
        <v>512</v>
      </c>
      <c r="N24" s="495" t="str">
        <f t="shared" si="2"/>
        <v>이메일</v>
      </c>
      <c r="O24" s="495">
        <v>0.0</v>
      </c>
      <c r="P24" s="495">
        <v>1.0</v>
      </c>
      <c r="Q24" s="495">
        <v>0.0</v>
      </c>
      <c r="R24" s="535"/>
      <c r="S24" s="474"/>
      <c r="T24" s="474">
        <v>46108.0</v>
      </c>
      <c r="U24" s="473" t="s">
        <v>139</v>
      </c>
      <c r="V24" s="615" t="s">
        <v>218</v>
      </c>
      <c r="W24" s="474"/>
      <c r="X24" s="474"/>
      <c r="Y24" s="476"/>
      <c r="Z24" s="476"/>
      <c r="AA24" s="477"/>
    </row>
    <row r="25">
      <c r="A25" s="491">
        <v>24.0</v>
      </c>
      <c r="B25" s="612" t="s">
        <v>20</v>
      </c>
      <c r="C25" s="494"/>
      <c r="D25" s="613" t="s">
        <v>489</v>
      </c>
      <c r="E25" s="492" t="s">
        <v>531</v>
      </c>
      <c r="F25" s="621" t="s">
        <v>537</v>
      </c>
      <c r="G25" s="512" t="s">
        <v>538</v>
      </c>
      <c r="H25" s="612" t="s">
        <v>106</v>
      </c>
      <c r="I25" s="612" t="s">
        <v>539</v>
      </c>
      <c r="J25" s="493" t="s">
        <v>540</v>
      </c>
      <c r="K25" s="498"/>
      <c r="L25" s="612" t="s">
        <v>541</v>
      </c>
      <c r="M25" s="497" t="s">
        <v>542</v>
      </c>
      <c r="N25" s="495" t="str">
        <f t="shared" si="2"/>
        <v>이메일</v>
      </c>
      <c r="O25" s="495">
        <v>0.0</v>
      </c>
      <c r="P25" s="495">
        <v>1.0</v>
      </c>
      <c r="Q25" s="495">
        <v>0.0</v>
      </c>
      <c r="R25" s="535"/>
      <c r="S25" s="474"/>
      <c r="T25" s="474">
        <v>46108.0</v>
      </c>
      <c r="U25" s="473" t="s">
        <v>139</v>
      </c>
      <c r="V25" s="615" t="s">
        <v>218</v>
      </c>
      <c r="W25" s="474"/>
      <c r="X25" s="474"/>
      <c r="Y25" s="476"/>
      <c r="Z25" s="476"/>
      <c r="AA25" s="477"/>
    </row>
    <row r="26">
      <c r="A26" s="538">
        <v>25.0</v>
      </c>
      <c r="B26" s="616" t="s">
        <v>20</v>
      </c>
      <c r="C26" s="544"/>
      <c r="D26" s="617" t="s">
        <v>546</v>
      </c>
      <c r="E26" s="541" t="s">
        <v>494</v>
      </c>
      <c r="F26" s="541" t="s">
        <v>547</v>
      </c>
      <c r="G26" s="618" t="s">
        <v>548</v>
      </c>
      <c r="H26" s="616" t="s">
        <v>64</v>
      </c>
      <c r="I26" s="616" t="s">
        <v>548</v>
      </c>
      <c r="J26" s="543"/>
      <c r="K26" s="542" t="s">
        <v>549</v>
      </c>
      <c r="L26" s="619"/>
      <c r="M26" s="554" t="s">
        <v>550</v>
      </c>
      <c r="N26" s="545" t="str">
        <f t="shared" si="2"/>
        <v>DM</v>
      </c>
      <c r="O26" s="545">
        <v>1.0</v>
      </c>
      <c r="P26" s="545">
        <v>0.0</v>
      </c>
      <c r="Q26" s="545">
        <v>0.0</v>
      </c>
      <c r="R26" s="620"/>
      <c r="S26" s="549"/>
      <c r="T26" s="549">
        <v>46108.0</v>
      </c>
      <c r="U26" s="549"/>
      <c r="V26" s="549"/>
      <c r="W26" s="549"/>
      <c r="X26" s="549"/>
      <c r="Y26" s="548"/>
      <c r="Z26" s="548"/>
    </row>
    <row r="27">
      <c r="A27" s="538">
        <v>26.0</v>
      </c>
      <c r="B27" s="616" t="s">
        <v>20</v>
      </c>
      <c r="C27" s="544"/>
      <c r="D27" s="617" t="s">
        <v>562</v>
      </c>
      <c r="E27" s="541" t="s">
        <v>69</v>
      </c>
      <c r="F27" s="541" t="s">
        <v>563</v>
      </c>
      <c r="G27" s="618" t="s">
        <v>115</v>
      </c>
      <c r="H27" s="616" t="s">
        <v>64</v>
      </c>
      <c r="I27" s="616" t="s">
        <v>426</v>
      </c>
      <c r="J27" s="542" t="s">
        <v>564</v>
      </c>
      <c r="K27" s="542" t="s">
        <v>565</v>
      </c>
      <c r="L27" s="619"/>
      <c r="M27" s="544"/>
      <c r="N27" s="545" t="str">
        <f t="shared" si="2"/>
        <v>DM</v>
      </c>
      <c r="O27" s="545">
        <v>1.0</v>
      </c>
      <c r="P27" s="545">
        <v>0.0</v>
      </c>
      <c r="Q27" s="545">
        <v>0.0</v>
      </c>
      <c r="R27" s="620"/>
      <c r="S27" s="549"/>
      <c r="T27" s="549">
        <v>46108.0</v>
      </c>
      <c r="U27" s="549"/>
      <c r="V27" s="549"/>
      <c r="W27" s="549"/>
      <c r="X27" s="549"/>
      <c r="Y27" s="548"/>
      <c r="Z27" s="548"/>
    </row>
    <row r="28">
      <c r="A28" s="491">
        <v>27.0</v>
      </c>
      <c r="B28" s="612" t="s">
        <v>20</v>
      </c>
      <c r="C28" s="494"/>
      <c r="D28" s="613" t="s">
        <v>607</v>
      </c>
      <c r="E28" s="492" t="s">
        <v>109</v>
      </c>
      <c r="F28" s="492" t="s">
        <v>608</v>
      </c>
      <c r="G28" s="512" t="s">
        <v>44</v>
      </c>
      <c r="H28" s="612" t="s">
        <v>64</v>
      </c>
      <c r="I28" s="512" t="s">
        <v>609</v>
      </c>
      <c r="J28" s="493" t="s">
        <v>610</v>
      </c>
      <c r="K28" s="493" t="s">
        <v>611</v>
      </c>
      <c r="L28" s="497" t="s">
        <v>612</v>
      </c>
      <c r="M28" s="494"/>
      <c r="N28" s="495" t="str">
        <f t="shared" si="2"/>
        <v>DM+이메일</v>
      </c>
      <c r="O28" s="495">
        <v>1.0</v>
      </c>
      <c r="P28" s="495">
        <v>1.0</v>
      </c>
      <c r="Q28" s="495">
        <v>0.0</v>
      </c>
      <c r="R28" s="535"/>
      <c r="S28" s="474"/>
      <c r="T28" s="474">
        <v>46108.0</v>
      </c>
      <c r="U28" s="473" t="s">
        <v>139</v>
      </c>
      <c r="V28" s="615" t="s">
        <v>218</v>
      </c>
      <c r="W28" s="474"/>
      <c r="X28" s="474"/>
      <c r="Y28" s="476"/>
      <c r="Z28" s="476"/>
      <c r="AA28" s="477"/>
    </row>
    <row r="29">
      <c r="A29" s="491">
        <v>28.0</v>
      </c>
      <c r="B29" s="612" t="s">
        <v>20</v>
      </c>
      <c r="C29" s="494"/>
      <c r="D29" s="613" t="s">
        <v>619</v>
      </c>
      <c r="E29" s="499" t="s">
        <v>260</v>
      </c>
      <c r="F29" s="492" t="s">
        <v>620</v>
      </c>
      <c r="G29" s="612" t="s">
        <v>44</v>
      </c>
      <c r="H29" s="612" t="s">
        <v>116</v>
      </c>
      <c r="I29" s="494"/>
      <c r="J29" s="493" t="s">
        <v>621</v>
      </c>
      <c r="K29" s="498"/>
      <c r="L29" s="497" t="s">
        <v>622</v>
      </c>
      <c r="M29" s="494"/>
      <c r="N29" s="495" t="str">
        <f t="shared" si="2"/>
        <v>이메일</v>
      </c>
      <c r="O29" s="495">
        <v>0.0</v>
      </c>
      <c r="P29" s="495">
        <v>1.0</v>
      </c>
      <c r="Q29" s="495">
        <v>0.0</v>
      </c>
      <c r="R29" s="535"/>
      <c r="S29" s="474"/>
      <c r="T29" s="474">
        <v>46108.0</v>
      </c>
      <c r="U29" s="473" t="s">
        <v>139</v>
      </c>
      <c r="V29" s="615" t="s">
        <v>218</v>
      </c>
      <c r="W29" s="474"/>
      <c r="X29" s="474"/>
      <c r="Y29" s="476"/>
      <c r="Z29" s="476"/>
      <c r="AA29" s="477"/>
    </row>
    <row r="30">
      <c r="A30" s="491">
        <v>29.0</v>
      </c>
      <c r="B30" s="612" t="s">
        <v>20</v>
      </c>
      <c r="C30" s="494"/>
      <c r="D30" s="613" t="s">
        <v>623</v>
      </c>
      <c r="E30" s="499" t="s">
        <v>260</v>
      </c>
      <c r="F30" s="492" t="s">
        <v>624</v>
      </c>
      <c r="G30" s="612" t="s">
        <v>44</v>
      </c>
      <c r="H30" s="612" t="s">
        <v>64</v>
      </c>
      <c r="I30" s="612" t="s">
        <v>125</v>
      </c>
      <c r="J30" s="493" t="s">
        <v>625</v>
      </c>
      <c r="K30" s="493" t="s">
        <v>626</v>
      </c>
      <c r="L30" s="497" t="s">
        <v>627</v>
      </c>
      <c r="M30" s="497" t="s">
        <v>628</v>
      </c>
      <c r="N30" s="495" t="str">
        <f t="shared" si="2"/>
        <v>DM+이메일</v>
      </c>
      <c r="O30" s="495">
        <v>1.0</v>
      </c>
      <c r="P30" s="495">
        <v>1.0</v>
      </c>
      <c r="Q30" s="495">
        <v>0.0</v>
      </c>
      <c r="R30" s="535"/>
      <c r="S30" s="474"/>
      <c r="T30" s="474">
        <v>46108.0</v>
      </c>
      <c r="U30" s="473" t="s">
        <v>139</v>
      </c>
      <c r="V30" s="615" t="s">
        <v>218</v>
      </c>
      <c r="W30" s="474"/>
      <c r="X30" s="474"/>
      <c r="Y30" s="476"/>
      <c r="Z30" s="476"/>
      <c r="AA30" s="477"/>
    </row>
    <row r="31">
      <c r="A31" s="491">
        <v>30.0</v>
      </c>
      <c r="B31" s="612" t="s">
        <v>20</v>
      </c>
      <c r="C31" s="494"/>
      <c r="D31" s="613" t="s">
        <v>435</v>
      </c>
      <c r="E31" s="492" t="s">
        <v>89</v>
      </c>
      <c r="F31" s="492" t="s">
        <v>635</v>
      </c>
      <c r="G31" s="512" t="s">
        <v>636</v>
      </c>
      <c r="H31" s="612" t="s">
        <v>106</v>
      </c>
      <c r="I31" s="494"/>
      <c r="J31" s="493" t="s">
        <v>637</v>
      </c>
      <c r="K31" s="498"/>
      <c r="L31" s="612" t="s">
        <v>638</v>
      </c>
      <c r="M31" s="494"/>
      <c r="N31" s="495" t="str">
        <f t="shared" si="2"/>
        <v>이메일</v>
      </c>
      <c r="O31" s="495">
        <v>0.0</v>
      </c>
      <c r="P31" s="495">
        <v>1.0</v>
      </c>
      <c r="Q31" s="495">
        <v>0.0</v>
      </c>
      <c r="R31" s="535"/>
      <c r="S31" s="474"/>
      <c r="T31" s="474">
        <v>46108.0</v>
      </c>
      <c r="U31" s="473" t="s">
        <v>139</v>
      </c>
      <c r="V31" s="615" t="s">
        <v>218</v>
      </c>
      <c r="W31" s="474"/>
      <c r="X31" s="474"/>
      <c r="Y31" s="476"/>
      <c r="Z31" s="476"/>
      <c r="AA31" s="477"/>
    </row>
    <row r="32">
      <c r="A32" s="491">
        <v>31.0</v>
      </c>
      <c r="B32" s="612" t="s">
        <v>20</v>
      </c>
      <c r="C32" s="494"/>
      <c r="D32" s="613" t="s">
        <v>629</v>
      </c>
      <c r="E32" s="492" t="s">
        <v>405</v>
      </c>
      <c r="F32" s="492" t="s">
        <v>639</v>
      </c>
      <c r="G32" s="512" t="s">
        <v>44</v>
      </c>
      <c r="H32" s="612" t="s">
        <v>64</v>
      </c>
      <c r="I32" s="512" t="s">
        <v>640</v>
      </c>
      <c r="J32" s="493" t="s">
        <v>641</v>
      </c>
      <c r="K32" s="493" t="s">
        <v>642</v>
      </c>
      <c r="L32" s="612" t="s">
        <v>643</v>
      </c>
      <c r="M32" s="497" t="s">
        <v>644</v>
      </c>
      <c r="N32" s="495" t="str">
        <f t="shared" si="2"/>
        <v>DM+이메일</v>
      </c>
      <c r="O32" s="495">
        <v>1.0</v>
      </c>
      <c r="P32" s="495">
        <v>1.0</v>
      </c>
      <c r="Q32" s="495">
        <v>0.0</v>
      </c>
      <c r="R32" s="535"/>
      <c r="S32" s="474"/>
      <c r="T32" s="474">
        <v>46108.0</v>
      </c>
      <c r="U32" s="495" t="s">
        <v>2</v>
      </c>
      <c r="V32" s="474"/>
      <c r="W32" s="474"/>
      <c r="X32" s="474"/>
      <c r="Y32" s="495" t="s">
        <v>645</v>
      </c>
      <c r="Z32" s="476"/>
      <c r="AA32" s="477"/>
    </row>
    <row r="33">
      <c r="A33" s="491">
        <v>32.0</v>
      </c>
      <c r="B33" s="612" t="s">
        <v>20</v>
      </c>
      <c r="C33" s="494"/>
      <c r="D33" s="613" t="s">
        <v>646</v>
      </c>
      <c r="E33" s="492" t="s">
        <v>61</v>
      </c>
      <c r="F33" s="492" t="s">
        <v>174</v>
      </c>
      <c r="G33" s="512" t="s">
        <v>647</v>
      </c>
      <c r="H33" s="612" t="s">
        <v>64</v>
      </c>
      <c r="I33" s="512" t="s">
        <v>648</v>
      </c>
      <c r="J33" s="493" t="s">
        <v>649</v>
      </c>
      <c r="K33" s="498"/>
      <c r="L33" s="497" t="s">
        <v>650</v>
      </c>
      <c r="M33" s="494"/>
      <c r="N33" s="495" t="str">
        <f t="shared" si="2"/>
        <v>이메일</v>
      </c>
      <c r="O33" s="495">
        <v>0.0</v>
      </c>
      <c r="P33" s="495">
        <v>1.0</v>
      </c>
      <c r="Q33" s="495">
        <v>0.0</v>
      </c>
      <c r="R33" s="535"/>
      <c r="S33" s="474"/>
      <c r="T33" s="474">
        <v>46108.0</v>
      </c>
      <c r="U33" s="473" t="s">
        <v>139</v>
      </c>
      <c r="V33" s="615" t="s">
        <v>218</v>
      </c>
      <c r="W33" s="474"/>
      <c r="X33" s="474"/>
      <c r="Y33" s="476"/>
      <c r="Z33" s="476"/>
      <c r="AA33" s="477"/>
    </row>
    <row r="34">
      <c r="A34" s="491">
        <v>33.0</v>
      </c>
      <c r="B34" s="612" t="s">
        <v>20</v>
      </c>
      <c r="C34" s="498"/>
      <c r="D34" s="622" t="s">
        <v>574</v>
      </c>
      <c r="E34" s="503" t="s">
        <v>146</v>
      </c>
      <c r="F34" s="492" t="s">
        <v>651</v>
      </c>
      <c r="G34" s="623" t="s">
        <v>44</v>
      </c>
      <c r="H34" s="624" t="s">
        <v>106</v>
      </c>
      <c r="I34" s="498"/>
      <c r="J34" s="493" t="s">
        <v>652</v>
      </c>
      <c r="K34" s="498"/>
      <c r="L34" s="625" t="s">
        <v>653</v>
      </c>
      <c r="M34" s="504" t="s">
        <v>3515</v>
      </c>
      <c r="N34" s="495" t="str">
        <f t="shared" si="2"/>
        <v>이메일</v>
      </c>
      <c r="O34" s="495">
        <v>0.0</v>
      </c>
      <c r="P34" s="495">
        <v>1.0</v>
      </c>
      <c r="Q34" s="495">
        <v>0.0</v>
      </c>
      <c r="R34" s="535"/>
      <c r="S34" s="474"/>
      <c r="T34" s="474">
        <v>46108.0</v>
      </c>
      <c r="U34" s="473" t="s">
        <v>139</v>
      </c>
      <c r="V34" s="615" t="s">
        <v>218</v>
      </c>
      <c r="W34" s="474"/>
      <c r="X34" s="474"/>
      <c r="Y34" s="476"/>
      <c r="Z34" s="476"/>
      <c r="AA34" s="477"/>
    </row>
    <row r="35">
      <c r="A35" s="491">
        <v>34.0</v>
      </c>
      <c r="B35" s="612" t="s">
        <v>20</v>
      </c>
      <c r="C35" s="494"/>
      <c r="D35" s="613" t="s">
        <v>659</v>
      </c>
      <c r="E35" s="492" t="s">
        <v>513</v>
      </c>
      <c r="F35" s="492" t="s">
        <v>660</v>
      </c>
      <c r="G35" s="512" t="s">
        <v>516</v>
      </c>
      <c r="H35" s="612" t="s">
        <v>106</v>
      </c>
      <c r="I35" s="494"/>
      <c r="J35" s="493" t="s">
        <v>661</v>
      </c>
      <c r="K35" s="498"/>
      <c r="L35" s="497" t="s">
        <v>662</v>
      </c>
      <c r="M35" s="505" t="s">
        <v>663</v>
      </c>
      <c r="N35" s="495" t="str">
        <f t="shared" si="2"/>
        <v>이메일</v>
      </c>
      <c r="O35" s="495">
        <v>0.0</v>
      </c>
      <c r="P35" s="495">
        <v>1.0</v>
      </c>
      <c r="Q35" s="495">
        <v>0.0</v>
      </c>
      <c r="R35" s="535"/>
      <c r="S35" s="474"/>
      <c r="T35" s="474">
        <v>46108.0</v>
      </c>
      <c r="U35" s="473" t="s">
        <v>139</v>
      </c>
      <c r="V35" s="615" t="s">
        <v>218</v>
      </c>
      <c r="W35" s="474"/>
      <c r="X35" s="474"/>
      <c r="Y35" s="476"/>
      <c r="Z35" s="476"/>
      <c r="AA35" s="477"/>
    </row>
    <row r="36">
      <c r="A36" s="491">
        <v>35.0</v>
      </c>
      <c r="B36" s="612" t="s">
        <v>20</v>
      </c>
      <c r="C36" s="494"/>
      <c r="D36" s="613" t="s">
        <v>664</v>
      </c>
      <c r="E36" s="492" t="s">
        <v>146</v>
      </c>
      <c r="F36" s="492" t="s">
        <v>665</v>
      </c>
      <c r="G36" s="512" t="s">
        <v>44</v>
      </c>
      <c r="H36" s="612" t="s">
        <v>64</v>
      </c>
      <c r="I36" s="512" t="s">
        <v>657</v>
      </c>
      <c r="J36" s="493" t="s">
        <v>666</v>
      </c>
      <c r="K36" s="493" t="s">
        <v>667</v>
      </c>
      <c r="L36" s="504" t="s">
        <v>668</v>
      </c>
      <c r="M36" s="504" t="s">
        <v>668</v>
      </c>
      <c r="N36" s="495" t="str">
        <f t="shared" si="2"/>
        <v>DM+이메일</v>
      </c>
      <c r="O36" s="495">
        <v>1.0</v>
      </c>
      <c r="P36" s="495">
        <v>1.0</v>
      </c>
      <c r="Q36" s="495">
        <v>0.0</v>
      </c>
      <c r="R36" s="535"/>
      <c r="S36" s="474"/>
      <c r="T36" s="474">
        <v>46108.0</v>
      </c>
      <c r="U36" s="473" t="s">
        <v>139</v>
      </c>
      <c r="V36" s="615" t="s">
        <v>218</v>
      </c>
      <c r="W36" s="474"/>
      <c r="X36" s="474"/>
      <c r="Y36" s="476"/>
      <c r="Z36" s="476"/>
      <c r="AA36" s="477"/>
    </row>
    <row r="37">
      <c r="A37" s="538">
        <v>36.0</v>
      </c>
      <c r="B37" s="616" t="s">
        <v>20</v>
      </c>
      <c r="C37" s="544"/>
      <c r="D37" s="617" t="s">
        <v>659</v>
      </c>
      <c r="E37" s="541" t="s">
        <v>513</v>
      </c>
      <c r="F37" s="541" t="s">
        <v>669</v>
      </c>
      <c r="G37" s="618" t="s">
        <v>516</v>
      </c>
      <c r="H37" s="616" t="s">
        <v>106</v>
      </c>
      <c r="I37" s="544"/>
      <c r="J37" s="542" t="s">
        <v>670</v>
      </c>
      <c r="K37" s="542" t="s">
        <v>671</v>
      </c>
      <c r="L37" s="619"/>
      <c r="M37" s="554" t="s">
        <v>672</v>
      </c>
      <c r="N37" s="545" t="str">
        <f t="shared" si="2"/>
        <v>DM</v>
      </c>
      <c r="O37" s="545">
        <v>1.0</v>
      </c>
      <c r="P37" s="545">
        <v>0.0</v>
      </c>
      <c r="Q37" s="545">
        <v>0.0</v>
      </c>
      <c r="R37" s="620"/>
      <c r="S37" s="549"/>
      <c r="T37" s="549">
        <v>46108.0</v>
      </c>
      <c r="U37" s="549"/>
      <c r="V37" s="549"/>
      <c r="W37" s="549"/>
      <c r="X37" s="549"/>
      <c r="Y37" s="548"/>
      <c r="Z37" s="548"/>
    </row>
    <row r="38">
      <c r="A38" s="491">
        <v>37.0</v>
      </c>
      <c r="B38" s="612" t="s">
        <v>20</v>
      </c>
      <c r="C38" s="494"/>
      <c r="D38" s="613" t="s">
        <v>256</v>
      </c>
      <c r="E38" s="492" t="s">
        <v>260</v>
      </c>
      <c r="F38" s="492" t="s">
        <v>673</v>
      </c>
      <c r="G38" s="512" t="s">
        <v>674</v>
      </c>
      <c r="H38" s="612" t="s">
        <v>124</v>
      </c>
      <c r="I38" s="612" t="s">
        <v>675</v>
      </c>
      <c r="J38" s="498"/>
      <c r="K38" s="493" t="s">
        <v>676</v>
      </c>
      <c r="L38" s="497" t="s">
        <v>677</v>
      </c>
      <c r="M38" s="494"/>
      <c r="N38" s="495" t="str">
        <f t="shared" si="2"/>
        <v>DM+이메일</v>
      </c>
      <c r="O38" s="495">
        <v>1.0</v>
      </c>
      <c r="P38" s="495">
        <v>1.0</v>
      </c>
      <c r="Q38" s="495">
        <v>0.0</v>
      </c>
      <c r="R38" s="535"/>
      <c r="S38" s="474"/>
      <c r="T38" s="474">
        <v>46108.0</v>
      </c>
      <c r="U38" s="473" t="s">
        <v>139</v>
      </c>
      <c r="V38" s="615" t="s">
        <v>218</v>
      </c>
      <c r="W38" s="474"/>
      <c r="X38" s="474"/>
      <c r="Y38" s="476"/>
      <c r="Z38" s="476"/>
      <c r="AA38" s="477"/>
    </row>
    <row r="39">
      <c r="A39" s="491">
        <v>38.0</v>
      </c>
      <c r="B39" s="612" t="s">
        <v>20</v>
      </c>
      <c r="C39" s="494"/>
      <c r="D39" s="613" t="s">
        <v>678</v>
      </c>
      <c r="E39" s="492" t="s">
        <v>109</v>
      </c>
      <c r="F39" s="492" t="s">
        <v>679</v>
      </c>
      <c r="G39" s="512" t="s">
        <v>115</v>
      </c>
      <c r="H39" s="494"/>
      <c r="I39" s="494"/>
      <c r="J39" s="493" t="s">
        <v>680</v>
      </c>
      <c r="K39" s="493" t="s">
        <v>681</v>
      </c>
      <c r="L39" s="505" t="s">
        <v>682</v>
      </c>
      <c r="M39" s="494"/>
      <c r="N39" s="495" t="str">
        <f t="shared" si="2"/>
        <v>DM+이메일</v>
      </c>
      <c r="O39" s="495">
        <v>1.0</v>
      </c>
      <c r="P39" s="495">
        <v>1.0</v>
      </c>
      <c r="Q39" s="495">
        <v>0.0</v>
      </c>
      <c r="R39" s="535"/>
      <c r="S39" s="474"/>
      <c r="T39" s="474">
        <v>46108.0</v>
      </c>
      <c r="U39" s="473" t="s">
        <v>139</v>
      </c>
      <c r="V39" s="615" t="s">
        <v>218</v>
      </c>
      <c r="W39" s="474"/>
      <c r="X39" s="474"/>
      <c r="Y39" s="476"/>
      <c r="Z39" s="476"/>
      <c r="AA39" s="477"/>
    </row>
    <row r="40">
      <c r="A40" s="491">
        <v>39.0</v>
      </c>
      <c r="B40" s="612" t="s">
        <v>20</v>
      </c>
      <c r="C40" s="494"/>
      <c r="D40" s="613" t="s">
        <v>664</v>
      </c>
      <c r="E40" s="492" t="s">
        <v>69</v>
      </c>
      <c r="F40" s="626" t="s">
        <v>683</v>
      </c>
      <c r="G40" s="512" t="s">
        <v>45</v>
      </c>
      <c r="H40" s="612" t="s">
        <v>124</v>
      </c>
      <c r="I40" s="512" t="s">
        <v>125</v>
      </c>
      <c r="J40" s="498"/>
      <c r="K40" s="493" t="s">
        <v>684</v>
      </c>
      <c r="L40" s="497" t="s">
        <v>685</v>
      </c>
      <c r="M40" s="494"/>
      <c r="N40" s="495" t="str">
        <f t="shared" si="2"/>
        <v>DM+이메일</v>
      </c>
      <c r="O40" s="627">
        <v>1.0</v>
      </c>
      <c r="P40" s="627">
        <v>1.0</v>
      </c>
      <c r="Q40" s="627">
        <v>0.0</v>
      </c>
      <c r="R40" s="535"/>
      <c r="S40" s="474"/>
      <c r="T40" s="474">
        <v>46108.0</v>
      </c>
      <c r="U40" s="473" t="s">
        <v>139</v>
      </c>
      <c r="V40" s="615" t="s">
        <v>218</v>
      </c>
      <c r="W40" s="474"/>
      <c r="X40" s="474"/>
      <c r="Y40" s="476"/>
      <c r="Z40" s="476"/>
      <c r="AA40" s="477"/>
    </row>
    <row r="41">
      <c r="A41" s="538">
        <v>40.0</v>
      </c>
      <c r="B41" s="616" t="s">
        <v>20</v>
      </c>
      <c r="C41" s="544"/>
      <c r="D41" s="617" t="s">
        <v>274</v>
      </c>
      <c r="E41" s="541" t="s">
        <v>69</v>
      </c>
      <c r="F41" s="628" t="s">
        <v>688</v>
      </c>
      <c r="G41" s="618" t="s">
        <v>45</v>
      </c>
      <c r="H41" s="616" t="s">
        <v>124</v>
      </c>
      <c r="I41" s="629" t="s">
        <v>125</v>
      </c>
      <c r="J41" s="542" t="s">
        <v>689</v>
      </c>
      <c r="K41" s="542" t="s">
        <v>690</v>
      </c>
      <c r="L41" s="630"/>
      <c r="M41" s="544"/>
      <c r="N41" s="545" t="str">
        <f t="shared" si="2"/>
        <v>DM</v>
      </c>
      <c r="O41" s="545">
        <v>1.0</v>
      </c>
      <c r="P41" s="545">
        <v>0.0</v>
      </c>
      <c r="Q41" s="545">
        <v>0.0</v>
      </c>
      <c r="R41" s="620"/>
      <c r="S41" s="549"/>
      <c r="T41" s="549">
        <v>46108.0</v>
      </c>
      <c r="U41" s="549"/>
      <c r="V41" s="549"/>
      <c r="W41" s="549"/>
      <c r="X41" s="549"/>
      <c r="Y41" s="548"/>
      <c r="Z41" s="548"/>
    </row>
    <row r="42">
      <c r="A42" s="491">
        <v>41.0</v>
      </c>
      <c r="B42" s="612" t="s">
        <v>20</v>
      </c>
      <c r="C42" s="494"/>
      <c r="D42" s="613" t="s">
        <v>121</v>
      </c>
      <c r="E42" s="492" t="s">
        <v>122</v>
      </c>
      <c r="F42" s="492" t="s">
        <v>691</v>
      </c>
      <c r="G42" s="512" t="s">
        <v>45</v>
      </c>
      <c r="H42" s="612" t="s">
        <v>124</v>
      </c>
      <c r="I42" s="512" t="s">
        <v>125</v>
      </c>
      <c r="J42" s="498"/>
      <c r="K42" s="493" t="s">
        <v>692</v>
      </c>
      <c r="L42" s="497" t="s">
        <v>693</v>
      </c>
      <c r="M42" s="494"/>
      <c r="N42" s="495" t="str">
        <f t="shared" si="2"/>
        <v>DM+이메일</v>
      </c>
      <c r="O42" s="495">
        <v>1.0</v>
      </c>
      <c r="P42" s="495">
        <v>1.0</v>
      </c>
      <c r="Q42" s="495">
        <v>0.0</v>
      </c>
      <c r="R42" s="535"/>
      <c r="S42" s="474"/>
      <c r="T42" s="474">
        <v>46108.0</v>
      </c>
      <c r="U42" s="473" t="s">
        <v>139</v>
      </c>
      <c r="V42" s="615" t="s">
        <v>218</v>
      </c>
      <c r="W42" s="474"/>
      <c r="X42" s="474"/>
      <c r="Y42" s="476"/>
      <c r="Z42" s="476"/>
      <c r="AA42" s="477"/>
    </row>
    <row r="43">
      <c r="A43" s="491">
        <v>42.0</v>
      </c>
      <c r="B43" s="612" t="s">
        <v>20</v>
      </c>
      <c r="C43" s="494"/>
      <c r="D43" s="613" t="s">
        <v>708</v>
      </c>
      <c r="E43" s="492" t="s">
        <v>506</v>
      </c>
      <c r="F43" s="492" t="s">
        <v>709</v>
      </c>
      <c r="G43" s="512" t="s">
        <v>44</v>
      </c>
      <c r="H43" s="612" t="s">
        <v>64</v>
      </c>
      <c r="I43" s="512" t="s">
        <v>125</v>
      </c>
      <c r="J43" s="493" t="s">
        <v>710</v>
      </c>
      <c r="K43" s="493" t="s">
        <v>711</v>
      </c>
      <c r="L43" s="497" t="s">
        <v>712</v>
      </c>
      <c r="M43" s="494"/>
      <c r="N43" s="495" t="str">
        <f t="shared" si="2"/>
        <v>DM+이메일</v>
      </c>
      <c r="O43" s="495">
        <v>1.0</v>
      </c>
      <c r="P43" s="495">
        <v>1.0</v>
      </c>
      <c r="Q43" s="495">
        <v>0.0</v>
      </c>
      <c r="R43" s="535"/>
      <c r="S43" s="474"/>
      <c r="T43" s="474">
        <v>46108.0</v>
      </c>
      <c r="U43" s="473" t="s">
        <v>139</v>
      </c>
      <c r="V43" s="615" t="s">
        <v>218</v>
      </c>
      <c r="W43" s="474"/>
      <c r="X43" s="474"/>
      <c r="Y43" s="476"/>
      <c r="Z43" s="476"/>
      <c r="AA43" s="477"/>
    </row>
    <row r="44">
      <c r="A44" s="491">
        <v>43.0</v>
      </c>
      <c r="B44" s="612" t="s">
        <v>20</v>
      </c>
      <c r="C44" s="494"/>
      <c r="D44" s="613" t="s">
        <v>274</v>
      </c>
      <c r="E44" s="492" t="s">
        <v>69</v>
      </c>
      <c r="F44" s="492" t="s">
        <v>717</v>
      </c>
      <c r="G44" s="512" t="s">
        <v>267</v>
      </c>
      <c r="H44" s="612" t="s">
        <v>124</v>
      </c>
      <c r="I44" s="494"/>
      <c r="J44" s="493" t="s">
        <v>718</v>
      </c>
      <c r="K44" s="493" t="s">
        <v>719</v>
      </c>
      <c r="L44" s="612" t="s">
        <v>720</v>
      </c>
      <c r="M44" s="494"/>
      <c r="N44" s="495" t="str">
        <f t="shared" si="2"/>
        <v>DM+이메일</v>
      </c>
      <c r="O44" s="495">
        <v>1.0</v>
      </c>
      <c r="P44" s="495">
        <v>1.0</v>
      </c>
      <c r="Q44" s="495">
        <v>0.0</v>
      </c>
      <c r="R44" s="535"/>
      <c r="S44" s="474"/>
      <c r="T44" s="474">
        <v>46108.0</v>
      </c>
      <c r="U44" s="473" t="s">
        <v>139</v>
      </c>
      <c r="V44" s="615" t="s">
        <v>218</v>
      </c>
      <c r="W44" s="474"/>
      <c r="X44" s="474"/>
      <c r="Y44" s="476"/>
      <c r="Z44" s="476"/>
      <c r="AA44" s="477"/>
    </row>
    <row r="45">
      <c r="A45" s="491">
        <v>44.0</v>
      </c>
      <c r="B45" s="612" t="s">
        <v>20</v>
      </c>
      <c r="C45" s="494"/>
      <c r="D45" s="613" t="s">
        <v>694</v>
      </c>
      <c r="E45" s="492" t="s">
        <v>531</v>
      </c>
      <c r="F45" s="492" t="s">
        <v>727</v>
      </c>
      <c r="G45" s="512" t="s">
        <v>44</v>
      </c>
      <c r="H45" s="612" t="s">
        <v>124</v>
      </c>
      <c r="I45" s="512" t="s">
        <v>125</v>
      </c>
      <c r="J45" s="493" t="s">
        <v>728</v>
      </c>
      <c r="K45" s="498"/>
      <c r="L45" s="612" t="s">
        <v>729</v>
      </c>
      <c r="M45" s="494"/>
      <c r="N45" s="495" t="str">
        <f t="shared" si="2"/>
        <v>이메일</v>
      </c>
      <c r="O45" s="495">
        <v>0.0</v>
      </c>
      <c r="P45" s="495">
        <v>1.0</v>
      </c>
      <c r="Q45" s="495">
        <v>0.0</v>
      </c>
      <c r="R45" s="535"/>
      <c r="S45" s="474"/>
      <c r="T45" s="474">
        <v>46108.0</v>
      </c>
      <c r="U45" s="473" t="s">
        <v>139</v>
      </c>
      <c r="V45" s="615" t="s">
        <v>218</v>
      </c>
      <c r="W45" s="474"/>
      <c r="X45" s="474"/>
      <c r="Y45" s="476"/>
      <c r="Z45" s="476"/>
      <c r="AA45" s="477"/>
    </row>
    <row r="46">
      <c r="A46" s="491">
        <v>45.0</v>
      </c>
      <c r="B46" s="612" t="s">
        <v>20</v>
      </c>
      <c r="C46" s="494"/>
      <c r="D46" s="613" t="s">
        <v>713</v>
      </c>
      <c r="E46" s="492" t="s">
        <v>69</v>
      </c>
      <c r="F46" s="492" t="s">
        <v>730</v>
      </c>
      <c r="G46" s="512" t="s">
        <v>44</v>
      </c>
      <c r="H46" s="612" t="s">
        <v>124</v>
      </c>
      <c r="I46" s="512" t="s">
        <v>731</v>
      </c>
      <c r="J46" s="493" t="s">
        <v>732</v>
      </c>
      <c r="K46" s="493" t="s">
        <v>733</v>
      </c>
      <c r="L46" s="612" t="s">
        <v>734</v>
      </c>
      <c r="M46" s="494"/>
      <c r="N46" s="495" t="str">
        <f t="shared" si="2"/>
        <v>DM+이메일</v>
      </c>
      <c r="O46" s="495">
        <v>1.0</v>
      </c>
      <c r="P46" s="495">
        <v>1.0</v>
      </c>
      <c r="Q46" s="495">
        <v>0.0</v>
      </c>
      <c r="R46" s="535"/>
      <c r="S46" s="474"/>
      <c r="T46" s="474">
        <v>46108.0</v>
      </c>
      <c r="U46" s="473" t="s">
        <v>139</v>
      </c>
      <c r="V46" s="615" t="s">
        <v>218</v>
      </c>
      <c r="W46" s="474"/>
      <c r="X46" s="474"/>
      <c r="Y46" s="476"/>
      <c r="Z46" s="476"/>
      <c r="AA46" s="477"/>
    </row>
    <row r="47">
      <c r="A47" s="491">
        <v>46.0</v>
      </c>
      <c r="B47" s="612" t="s">
        <v>20</v>
      </c>
      <c r="C47" s="494"/>
      <c r="D47" s="613" t="s">
        <v>713</v>
      </c>
      <c r="E47" s="492" t="s">
        <v>69</v>
      </c>
      <c r="F47" s="492" t="s">
        <v>736</v>
      </c>
      <c r="G47" s="512" t="s">
        <v>115</v>
      </c>
      <c r="H47" s="612" t="s">
        <v>124</v>
      </c>
      <c r="I47" s="512" t="s">
        <v>125</v>
      </c>
      <c r="J47" s="493" t="s">
        <v>737</v>
      </c>
      <c r="K47" s="493" t="s">
        <v>738</v>
      </c>
      <c r="L47" s="612" t="s">
        <v>739</v>
      </c>
      <c r="M47" s="494"/>
      <c r="N47" s="495" t="str">
        <f t="shared" si="2"/>
        <v>DM+이메일</v>
      </c>
      <c r="O47" s="627">
        <v>1.0</v>
      </c>
      <c r="P47" s="627">
        <v>1.0</v>
      </c>
      <c r="Q47" s="627">
        <v>0.0</v>
      </c>
      <c r="R47" s="535"/>
      <c r="S47" s="474"/>
      <c r="T47" s="474">
        <v>46108.0</v>
      </c>
      <c r="U47" s="473" t="s">
        <v>139</v>
      </c>
      <c r="V47" s="615" t="s">
        <v>218</v>
      </c>
      <c r="W47" s="474"/>
      <c r="X47" s="474"/>
      <c r="Y47" s="476"/>
      <c r="Z47" s="476"/>
      <c r="AA47" s="477"/>
    </row>
    <row r="48">
      <c r="A48" s="491">
        <v>47.0</v>
      </c>
      <c r="B48" s="612" t="s">
        <v>20</v>
      </c>
      <c r="C48" s="494"/>
      <c r="D48" s="613" t="s">
        <v>713</v>
      </c>
      <c r="E48" s="492" t="s">
        <v>69</v>
      </c>
      <c r="F48" s="492" t="s">
        <v>747</v>
      </c>
      <c r="G48" s="512" t="s">
        <v>45</v>
      </c>
      <c r="H48" s="612" t="s">
        <v>124</v>
      </c>
      <c r="I48" s="512" t="s">
        <v>125</v>
      </c>
      <c r="J48" s="493" t="s">
        <v>748</v>
      </c>
      <c r="K48" s="493" t="s">
        <v>749</v>
      </c>
      <c r="L48" s="612" t="s">
        <v>750</v>
      </c>
      <c r="M48" s="494"/>
      <c r="N48" s="495" t="str">
        <f t="shared" si="2"/>
        <v>DM+이메일</v>
      </c>
      <c r="O48" s="627">
        <v>1.0</v>
      </c>
      <c r="P48" s="627">
        <v>1.0</v>
      </c>
      <c r="Q48" s="627">
        <v>0.0</v>
      </c>
      <c r="R48" s="535"/>
      <c r="S48" s="474"/>
      <c r="T48" s="474">
        <v>46108.0</v>
      </c>
      <c r="U48" s="473" t="s">
        <v>139</v>
      </c>
      <c r="V48" s="615" t="s">
        <v>218</v>
      </c>
      <c r="W48" s="474"/>
      <c r="X48" s="474"/>
      <c r="Y48" s="476"/>
      <c r="Z48" s="476"/>
      <c r="AA48" s="477"/>
    </row>
    <row r="49">
      <c r="A49" s="491">
        <v>48.0</v>
      </c>
      <c r="B49" s="612" t="s">
        <v>20</v>
      </c>
      <c r="C49" s="494"/>
      <c r="D49" s="613" t="s">
        <v>767</v>
      </c>
      <c r="E49" s="492" t="s">
        <v>69</v>
      </c>
      <c r="F49" s="492" t="s">
        <v>768</v>
      </c>
      <c r="G49" s="512" t="s">
        <v>45</v>
      </c>
      <c r="H49" s="612" t="s">
        <v>124</v>
      </c>
      <c r="I49" s="512" t="s">
        <v>125</v>
      </c>
      <c r="J49" s="498"/>
      <c r="K49" s="493" t="s">
        <v>769</v>
      </c>
      <c r="L49" s="612" t="s">
        <v>770</v>
      </c>
      <c r="M49" s="494"/>
      <c r="N49" s="495" t="str">
        <f t="shared" si="2"/>
        <v>DM+이메일</v>
      </c>
      <c r="O49" s="627">
        <v>1.0</v>
      </c>
      <c r="P49" s="627">
        <v>1.0</v>
      </c>
      <c r="Q49" s="627">
        <v>0.0</v>
      </c>
      <c r="R49" s="535"/>
      <c r="S49" s="474"/>
      <c r="T49" s="474">
        <v>46108.0</v>
      </c>
      <c r="U49" s="473" t="s">
        <v>139</v>
      </c>
      <c r="V49" s="615" t="s">
        <v>218</v>
      </c>
      <c r="W49" s="474"/>
      <c r="X49" s="474"/>
      <c r="Y49" s="476"/>
      <c r="Z49" s="476"/>
      <c r="AA49" s="477"/>
    </row>
    <row r="50">
      <c r="A50" s="491">
        <v>49.0</v>
      </c>
      <c r="B50" s="612" t="s">
        <v>20</v>
      </c>
      <c r="C50" s="494"/>
      <c r="D50" s="613" t="s">
        <v>777</v>
      </c>
      <c r="E50" s="492" t="s">
        <v>353</v>
      </c>
      <c r="F50" s="492" t="s">
        <v>778</v>
      </c>
      <c r="G50" s="512" t="s">
        <v>44</v>
      </c>
      <c r="H50" s="612" t="s">
        <v>106</v>
      </c>
      <c r="I50" s="494"/>
      <c r="J50" s="493" t="s">
        <v>779</v>
      </c>
      <c r="K50" s="498"/>
      <c r="L50" s="612" t="s">
        <v>780</v>
      </c>
      <c r="M50" s="494"/>
      <c r="N50" s="495" t="str">
        <f t="shared" si="2"/>
        <v>이메일</v>
      </c>
      <c r="O50" s="627">
        <v>0.0</v>
      </c>
      <c r="P50" s="627">
        <v>1.0</v>
      </c>
      <c r="Q50" s="627">
        <v>0.0</v>
      </c>
      <c r="R50" s="535"/>
      <c r="S50" s="474"/>
      <c r="T50" s="474">
        <v>46108.0</v>
      </c>
      <c r="U50" s="473" t="s">
        <v>139</v>
      </c>
      <c r="V50" s="615" t="s">
        <v>218</v>
      </c>
      <c r="W50" s="474"/>
      <c r="X50" s="474"/>
      <c r="Y50" s="476"/>
      <c r="Z50" s="476"/>
      <c r="AA50" s="477"/>
    </row>
    <row r="51">
      <c r="A51" s="491">
        <v>50.0</v>
      </c>
      <c r="B51" s="612" t="s">
        <v>20</v>
      </c>
      <c r="C51" s="494"/>
      <c r="D51" s="613" t="s">
        <v>787</v>
      </c>
      <c r="E51" s="492" t="s">
        <v>513</v>
      </c>
      <c r="F51" s="492" t="s">
        <v>788</v>
      </c>
      <c r="G51" s="512" t="s">
        <v>789</v>
      </c>
      <c r="H51" s="612" t="s">
        <v>106</v>
      </c>
      <c r="I51" s="494"/>
      <c r="J51" s="493" t="s">
        <v>790</v>
      </c>
      <c r="K51" s="498"/>
      <c r="L51" s="612" t="s">
        <v>791</v>
      </c>
      <c r="M51" s="505" t="s">
        <v>663</v>
      </c>
      <c r="N51" s="495" t="str">
        <f t="shared" si="2"/>
        <v>이메일</v>
      </c>
      <c r="O51" s="627">
        <v>0.0</v>
      </c>
      <c r="P51" s="627">
        <v>1.0</v>
      </c>
      <c r="Q51" s="627">
        <v>0.0</v>
      </c>
      <c r="R51" s="535"/>
      <c r="S51" s="474"/>
      <c r="T51" s="474">
        <v>46108.0</v>
      </c>
      <c r="U51" s="473" t="s">
        <v>139</v>
      </c>
      <c r="V51" s="615" t="s">
        <v>218</v>
      </c>
      <c r="W51" s="474"/>
      <c r="X51" s="474"/>
      <c r="Y51" s="476"/>
      <c r="Z51" s="476"/>
      <c r="AA51" s="477"/>
    </row>
    <row r="52">
      <c r="A52" s="491">
        <v>51.0</v>
      </c>
      <c r="B52" s="612" t="s">
        <v>20</v>
      </c>
      <c r="C52" s="494"/>
      <c r="D52" s="613" t="s">
        <v>787</v>
      </c>
      <c r="E52" s="492" t="s">
        <v>513</v>
      </c>
      <c r="F52" s="492" t="s">
        <v>792</v>
      </c>
      <c r="G52" s="512" t="s">
        <v>44</v>
      </c>
      <c r="H52" s="612" t="s">
        <v>106</v>
      </c>
      <c r="I52" s="498"/>
      <c r="J52" s="493" t="s">
        <v>793</v>
      </c>
      <c r="K52" s="493" t="s">
        <v>794</v>
      </c>
      <c r="L52" s="624" t="s">
        <v>795</v>
      </c>
      <c r="M52" s="505" t="s">
        <v>663</v>
      </c>
      <c r="N52" s="495" t="str">
        <f t="shared" si="2"/>
        <v>DM+이메일</v>
      </c>
      <c r="O52" s="627">
        <v>1.0</v>
      </c>
      <c r="P52" s="627">
        <v>1.0</v>
      </c>
      <c r="Q52" s="627">
        <v>0.0</v>
      </c>
      <c r="R52" s="535"/>
      <c r="S52" s="474"/>
      <c r="T52" s="474">
        <v>46108.0</v>
      </c>
      <c r="U52" s="473" t="s">
        <v>139</v>
      </c>
      <c r="V52" s="615" t="s">
        <v>218</v>
      </c>
      <c r="W52" s="474"/>
      <c r="X52" s="474"/>
      <c r="Y52" s="476"/>
      <c r="Z52" s="476"/>
      <c r="AA52" s="477"/>
    </row>
    <row r="53">
      <c r="A53" s="491">
        <v>52.0</v>
      </c>
      <c r="B53" s="612" t="s">
        <v>20</v>
      </c>
      <c r="C53" s="494"/>
      <c r="D53" s="613" t="s">
        <v>274</v>
      </c>
      <c r="E53" s="492" t="s">
        <v>353</v>
      </c>
      <c r="F53" s="492" t="s">
        <v>796</v>
      </c>
      <c r="G53" s="512" t="s">
        <v>44</v>
      </c>
      <c r="H53" s="612" t="s">
        <v>106</v>
      </c>
      <c r="I53" s="494"/>
      <c r="J53" s="498"/>
      <c r="K53" s="498"/>
      <c r="L53" s="612" t="s">
        <v>797</v>
      </c>
      <c r="M53" s="505" t="s">
        <v>798</v>
      </c>
      <c r="N53" s="495" t="str">
        <f t="shared" si="2"/>
        <v>이메일</v>
      </c>
      <c r="O53" s="627">
        <v>0.0</v>
      </c>
      <c r="P53" s="627">
        <v>1.0</v>
      </c>
      <c r="Q53" s="627">
        <v>0.0</v>
      </c>
      <c r="R53" s="535"/>
      <c r="S53" s="474"/>
      <c r="T53" s="474">
        <v>46108.0</v>
      </c>
      <c r="U53" s="473" t="s">
        <v>139</v>
      </c>
      <c r="V53" s="615" t="s">
        <v>218</v>
      </c>
      <c r="W53" s="474"/>
      <c r="X53" s="474"/>
      <c r="Y53" s="476"/>
      <c r="Z53" s="476"/>
      <c r="AA53" s="477"/>
    </row>
    <row r="54">
      <c r="A54" s="491">
        <v>53.0</v>
      </c>
      <c r="B54" s="612" t="s">
        <v>20</v>
      </c>
      <c r="C54" s="494"/>
      <c r="D54" s="613" t="s">
        <v>44</v>
      </c>
      <c r="E54" s="492" t="s">
        <v>429</v>
      </c>
      <c r="F54" s="492" t="s">
        <v>799</v>
      </c>
      <c r="G54" s="512" t="s">
        <v>44</v>
      </c>
      <c r="H54" s="612" t="s">
        <v>64</v>
      </c>
      <c r="I54" s="512" t="s">
        <v>800</v>
      </c>
      <c r="J54" s="493" t="s">
        <v>801</v>
      </c>
      <c r="K54" s="498"/>
      <c r="L54" s="624" t="s">
        <v>802</v>
      </c>
      <c r="M54" s="497" t="s">
        <v>803</v>
      </c>
      <c r="N54" s="495" t="str">
        <f t="shared" si="2"/>
        <v>이메일</v>
      </c>
      <c r="O54" s="627">
        <v>0.0</v>
      </c>
      <c r="P54" s="627">
        <v>1.0</v>
      </c>
      <c r="Q54" s="627">
        <v>0.0</v>
      </c>
      <c r="R54" s="535"/>
      <c r="S54" s="474"/>
      <c r="T54" s="474">
        <v>46108.0</v>
      </c>
      <c r="U54" s="473" t="s">
        <v>139</v>
      </c>
      <c r="V54" s="615" t="s">
        <v>218</v>
      </c>
      <c r="W54" s="474"/>
      <c r="X54" s="474"/>
      <c r="Y54" s="476"/>
      <c r="Z54" s="476"/>
      <c r="AA54" s="477"/>
    </row>
    <row r="55">
      <c r="A55" s="491">
        <v>54.0</v>
      </c>
      <c r="B55" s="612" t="s">
        <v>20</v>
      </c>
      <c r="C55" s="494"/>
      <c r="D55" s="613" t="s">
        <v>804</v>
      </c>
      <c r="E55" s="503" t="s">
        <v>260</v>
      </c>
      <c r="F55" s="492" t="s">
        <v>805</v>
      </c>
      <c r="G55" s="512" t="s">
        <v>115</v>
      </c>
      <c r="H55" s="612" t="s">
        <v>64</v>
      </c>
      <c r="I55" s="512" t="s">
        <v>3516</v>
      </c>
      <c r="J55" s="498"/>
      <c r="K55" s="498"/>
      <c r="L55" s="612" t="s">
        <v>803</v>
      </c>
      <c r="M55" s="512" t="s">
        <v>807</v>
      </c>
      <c r="N55" s="495" t="str">
        <f t="shared" si="2"/>
        <v>이메일</v>
      </c>
      <c r="O55" s="627">
        <v>0.0</v>
      </c>
      <c r="P55" s="627">
        <v>1.0</v>
      </c>
      <c r="Q55" s="627">
        <v>0.0</v>
      </c>
      <c r="R55" s="535"/>
      <c r="S55" s="474"/>
      <c r="T55" s="474">
        <v>46108.0</v>
      </c>
      <c r="U55" s="473" t="s">
        <v>139</v>
      </c>
      <c r="V55" s="615" t="s">
        <v>218</v>
      </c>
      <c r="W55" s="474"/>
      <c r="X55" s="474"/>
      <c r="Y55" s="476"/>
      <c r="Z55" s="476"/>
      <c r="AA55" s="477"/>
    </row>
    <row r="56">
      <c r="A56" s="491">
        <v>55.0</v>
      </c>
      <c r="B56" s="612" t="s">
        <v>20</v>
      </c>
      <c r="C56" s="494"/>
      <c r="D56" s="613" t="s">
        <v>103</v>
      </c>
      <c r="E56" s="492" t="s">
        <v>109</v>
      </c>
      <c r="F56" s="621" t="s">
        <v>808</v>
      </c>
      <c r="G56" s="512" t="s">
        <v>44</v>
      </c>
      <c r="H56" s="612" t="s">
        <v>64</v>
      </c>
      <c r="I56" s="512" t="s">
        <v>809</v>
      </c>
      <c r="J56" s="493" t="s">
        <v>810</v>
      </c>
      <c r="K56" s="493" t="s">
        <v>811</v>
      </c>
      <c r="L56" s="612" t="s">
        <v>812</v>
      </c>
      <c r="M56" s="505" t="s">
        <v>813</v>
      </c>
      <c r="N56" s="495" t="str">
        <f t="shared" si="2"/>
        <v>DM+이메일</v>
      </c>
      <c r="O56" s="627">
        <v>1.0</v>
      </c>
      <c r="P56" s="627">
        <v>1.0</v>
      </c>
      <c r="Q56" s="627">
        <v>0.0</v>
      </c>
      <c r="R56" s="535"/>
      <c r="S56" s="474"/>
      <c r="T56" s="474">
        <v>46108.0</v>
      </c>
      <c r="U56" s="473" t="s">
        <v>139</v>
      </c>
      <c r="V56" s="615" t="s">
        <v>218</v>
      </c>
      <c r="W56" s="474"/>
      <c r="X56" s="474"/>
      <c r="Y56" s="476"/>
      <c r="Z56" s="476"/>
      <c r="AA56" s="477"/>
    </row>
    <row r="57">
      <c r="A57" s="491">
        <v>56.0</v>
      </c>
      <c r="B57" s="612" t="s">
        <v>20</v>
      </c>
      <c r="C57" s="494"/>
      <c r="D57" s="613" t="s">
        <v>814</v>
      </c>
      <c r="E57" s="492" t="s">
        <v>109</v>
      </c>
      <c r="F57" s="492" t="s">
        <v>815</v>
      </c>
      <c r="G57" s="512" t="s">
        <v>44</v>
      </c>
      <c r="H57" s="612" t="s">
        <v>106</v>
      </c>
      <c r="I57" s="494"/>
      <c r="J57" s="498"/>
      <c r="K57" s="498"/>
      <c r="L57" s="612" t="s">
        <v>816</v>
      </c>
      <c r="M57" s="494"/>
      <c r="N57" s="495" t="str">
        <f t="shared" si="2"/>
        <v>이메일</v>
      </c>
      <c r="O57" s="627">
        <v>0.0</v>
      </c>
      <c r="P57" s="627">
        <v>1.0</v>
      </c>
      <c r="Q57" s="627">
        <v>0.0</v>
      </c>
      <c r="R57" s="535"/>
      <c r="S57" s="474"/>
      <c r="T57" s="474">
        <v>46108.0</v>
      </c>
      <c r="U57" s="473" t="s">
        <v>139</v>
      </c>
      <c r="V57" s="615" t="s">
        <v>218</v>
      </c>
      <c r="W57" s="474"/>
      <c r="X57" s="474"/>
      <c r="Y57" s="476"/>
      <c r="Z57" s="476"/>
      <c r="AA57" s="477"/>
    </row>
    <row r="58">
      <c r="A58" s="491">
        <v>57.0</v>
      </c>
      <c r="B58" s="612" t="s">
        <v>20</v>
      </c>
      <c r="C58" s="494"/>
      <c r="D58" s="613" t="s">
        <v>817</v>
      </c>
      <c r="E58" s="492" t="s">
        <v>353</v>
      </c>
      <c r="F58" s="492" t="s">
        <v>818</v>
      </c>
      <c r="G58" s="512" t="s">
        <v>267</v>
      </c>
      <c r="H58" s="612" t="s">
        <v>64</v>
      </c>
      <c r="I58" s="512" t="s">
        <v>3517</v>
      </c>
      <c r="J58" s="493" t="s">
        <v>820</v>
      </c>
      <c r="K58" s="498"/>
      <c r="L58" s="612" t="s">
        <v>821</v>
      </c>
      <c r="M58" s="505" t="s">
        <v>822</v>
      </c>
      <c r="N58" s="495" t="str">
        <f t="shared" si="2"/>
        <v>이메일</v>
      </c>
      <c r="O58" s="627">
        <v>0.0</v>
      </c>
      <c r="P58" s="627">
        <v>1.0</v>
      </c>
      <c r="Q58" s="627">
        <v>0.0</v>
      </c>
      <c r="R58" s="535"/>
      <c r="S58" s="474"/>
      <c r="T58" s="474">
        <v>46108.0</v>
      </c>
      <c r="U58" s="473" t="s">
        <v>139</v>
      </c>
      <c r="V58" s="615" t="s">
        <v>218</v>
      </c>
      <c r="W58" s="474"/>
      <c r="X58" s="474"/>
      <c r="Y58" s="476"/>
      <c r="Z58" s="476"/>
      <c r="AA58" s="477"/>
    </row>
    <row r="59">
      <c r="A59" s="491">
        <v>58.0</v>
      </c>
      <c r="B59" s="465" t="s">
        <v>25</v>
      </c>
      <c r="C59" s="494"/>
      <c r="D59" s="613" t="s">
        <v>827</v>
      </c>
      <c r="E59" s="492" t="s">
        <v>405</v>
      </c>
      <c r="F59" s="492" t="s">
        <v>828</v>
      </c>
      <c r="G59" s="512" t="s">
        <v>45</v>
      </c>
      <c r="H59" s="494"/>
      <c r="I59" s="494"/>
      <c r="J59" s="498"/>
      <c r="K59" s="493" t="s">
        <v>829</v>
      </c>
      <c r="L59" s="612" t="s">
        <v>830</v>
      </c>
      <c r="M59" s="494"/>
      <c r="N59" s="495" t="str">
        <f t="shared" si="2"/>
        <v>DM+이메일</v>
      </c>
      <c r="O59" s="627">
        <v>1.0</v>
      </c>
      <c r="P59" s="627">
        <v>1.0</v>
      </c>
      <c r="Q59" s="627">
        <v>0.0</v>
      </c>
      <c r="R59" s="535"/>
      <c r="S59" s="474"/>
      <c r="T59" s="474">
        <v>46108.0</v>
      </c>
      <c r="U59" s="495" t="s">
        <v>25</v>
      </c>
      <c r="V59" s="474"/>
      <c r="W59" s="474"/>
      <c r="X59" s="474"/>
      <c r="Y59" s="476"/>
      <c r="Z59" s="495" t="s">
        <v>831</v>
      </c>
      <c r="AA59" s="477"/>
    </row>
    <row r="60">
      <c r="A60" s="538">
        <v>59.0</v>
      </c>
      <c r="B60" s="616" t="s">
        <v>20</v>
      </c>
      <c r="C60" s="543"/>
      <c r="D60" s="631" t="s">
        <v>659</v>
      </c>
      <c r="E60" s="551" t="s">
        <v>69</v>
      </c>
      <c r="F60" s="632" t="s">
        <v>840</v>
      </c>
      <c r="G60" s="629" t="s">
        <v>45</v>
      </c>
      <c r="H60" s="616" t="s">
        <v>64</v>
      </c>
      <c r="I60" s="629" t="s">
        <v>125</v>
      </c>
      <c r="J60" s="543"/>
      <c r="K60" s="542" t="s">
        <v>841</v>
      </c>
      <c r="L60" s="630"/>
      <c r="M60" s="543"/>
      <c r="N60" s="545" t="str">
        <f t="shared" si="2"/>
        <v>DM</v>
      </c>
      <c r="O60" s="633">
        <v>1.0</v>
      </c>
      <c r="P60" s="633">
        <v>0.0</v>
      </c>
      <c r="Q60" s="633">
        <v>0.0</v>
      </c>
      <c r="R60" s="620"/>
      <c r="S60" s="549"/>
      <c r="T60" s="549">
        <v>46108.0</v>
      </c>
      <c r="U60" s="549"/>
      <c r="V60" s="549"/>
      <c r="W60" s="549"/>
      <c r="X60" s="549"/>
      <c r="Y60" s="548"/>
      <c r="Z60" s="548"/>
    </row>
    <row r="61">
      <c r="A61" s="491">
        <v>60.0</v>
      </c>
      <c r="B61" s="612" t="s">
        <v>20</v>
      </c>
      <c r="C61" s="494"/>
      <c r="D61" s="613" t="s">
        <v>847</v>
      </c>
      <c r="E61" s="492" t="s">
        <v>89</v>
      </c>
      <c r="F61" s="492" t="s">
        <v>848</v>
      </c>
      <c r="G61" s="512" t="s">
        <v>44</v>
      </c>
      <c r="H61" s="612" t="s">
        <v>106</v>
      </c>
      <c r="I61" s="494"/>
      <c r="J61" s="493" t="s">
        <v>849</v>
      </c>
      <c r="K61" s="498"/>
      <c r="L61" s="612" t="s">
        <v>850</v>
      </c>
      <c r="M61" s="494"/>
      <c r="N61" s="495" t="str">
        <f t="shared" si="2"/>
        <v>이메일</v>
      </c>
      <c r="O61" s="627">
        <v>0.0</v>
      </c>
      <c r="P61" s="627">
        <v>1.0</v>
      </c>
      <c r="Q61" s="627">
        <v>0.0</v>
      </c>
      <c r="R61" s="535"/>
      <c r="S61" s="474"/>
      <c r="T61" s="474">
        <v>46108.0</v>
      </c>
      <c r="U61" s="473" t="s">
        <v>139</v>
      </c>
      <c r="V61" s="615" t="s">
        <v>218</v>
      </c>
      <c r="W61" s="474"/>
      <c r="X61" s="474"/>
      <c r="Y61" s="476"/>
      <c r="Z61" s="476"/>
      <c r="AA61" s="477"/>
    </row>
    <row r="62">
      <c r="A62" s="491">
        <v>61.0</v>
      </c>
      <c r="B62" s="612" t="s">
        <v>20</v>
      </c>
      <c r="C62" s="494"/>
      <c r="D62" s="613" t="s">
        <v>767</v>
      </c>
      <c r="E62" s="492" t="s">
        <v>69</v>
      </c>
      <c r="F62" s="492" t="s">
        <v>872</v>
      </c>
      <c r="G62" s="512" t="s">
        <v>45</v>
      </c>
      <c r="H62" s="612" t="s">
        <v>64</v>
      </c>
      <c r="I62" s="512" t="s">
        <v>553</v>
      </c>
      <c r="J62" s="498"/>
      <c r="K62" s="493" t="s">
        <v>873</v>
      </c>
      <c r="L62" s="612" t="s">
        <v>874</v>
      </c>
      <c r="M62" s="494"/>
      <c r="N62" s="495" t="str">
        <f t="shared" si="2"/>
        <v>DM+이메일</v>
      </c>
      <c r="O62" s="627">
        <v>1.0</v>
      </c>
      <c r="P62" s="627">
        <v>1.0</v>
      </c>
      <c r="Q62" s="627">
        <v>0.0</v>
      </c>
      <c r="R62" s="535"/>
      <c r="S62" s="474"/>
      <c r="T62" s="474">
        <v>46108.0</v>
      </c>
      <c r="U62" s="473" t="s">
        <v>139</v>
      </c>
      <c r="V62" s="615" t="s">
        <v>218</v>
      </c>
      <c r="W62" s="474"/>
      <c r="X62" s="474"/>
      <c r="Y62" s="476"/>
      <c r="Z62" s="476"/>
      <c r="AA62" s="477"/>
    </row>
    <row r="63">
      <c r="A63" s="491">
        <v>62.0</v>
      </c>
      <c r="B63" s="612" t="s">
        <v>20</v>
      </c>
      <c r="C63" s="494"/>
      <c r="D63" s="613" t="s">
        <v>121</v>
      </c>
      <c r="E63" s="492" t="s">
        <v>531</v>
      </c>
      <c r="F63" s="492" t="s">
        <v>878</v>
      </c>
      <c r="G63" s="512" t="s">
        <v>44</v>
      </c>
      <c r="H63" s="612" t="s">
        <v>64</v>
      </c>
      <c r="I63" s="512" t="s">
        <v>125</v>
      </c>
      <c r="J63" s="493" t="s">
        <v>879</v>
      </c>
      <c r="K63" s="498"/>
      <c r="L63" s="612" t="s">
        <v>880</v>
      </c>
      <c r="M63" s="494"/>
      <c r="N63" s="495" t="str">
        <f t="shared" si="2"/>
        <v>이메일</v>
      </c>
      <c r="O63" s="627">
        <v>0.0</v>
      </c>
      <c r="P63" s="627">
        <v>1.0</v>
      </c>
      <c r="Q63" s="627">
        <v>0.0</v>
      </c>
      <c r="R63" s="535"/>
      <c r="S63" s="474"/>
      <c r="T63" s="474">
        <v>46108.0</v>
      </c>
      <c r="U63" s="473" t="s">
        <v>139</v>
      </c>
      <c r="V63" s="615" t="s">
        <v>218</v>
      </c>
      <c r="W63" s="474"/>
      <c r="X63" s="474"/>
      <c r="Y63" s="476"/>
      <c r="Z63" s="476"/>
      <c r="AA63" s="477"/>
    </row>
    <row r="64">
      <c r="A64" s="491">
        <v>63.0</v>
      </c>
      <c r="B64" s="612" t="s">
        <v>20</v>
      </c>
      <c r="C64" s="494"/>
      <c r="D64" s="613" t="s">
        <v>121</v>
      </c>
      <c r="E64" s="492" t="s">
        <v>69</v>
      </c>
      <c r="F64" s="492" t="s">
        <v>883</v>
      </c>
      <c r="G64" s="512" t="s">
        <v>44</v>
      </c>
      <c r="H64" s="612" t="s">
        <v>64</v>
      </c>
      <c r="I64" s="512" t="s">
        <v>125</v>
      </c>
      <c r="J64" s="493" t="s">
        <v>884</v>
      </c>
      <c r="K64" s="493" t="s">
        <v>885</v>
      </c>
      <c r="L64" s="612" t="s">
        <v>886</v>
      </c>
      <c r="M64" s="505" t="s">
        <v>267</v>
      </c>
      <c r="N64" s="495" t="str">
        <f t="shared" si="2"/>
        <v>DM+이메일</v>
      </c>
      <c r="O64" s="627">
        <v>1.0</v>
      </c>
      <c r="P64" s="627">
        <v>1.0</v>
      </c>
      <c r="Q64" s="627">
        <v>0.0</v>
      </c>
      <c r="R64" s="535"/>
      <c r="S64" s="474"/>
      <c r="T64" s="474">
        <v>46108.0</v>
      </c>
      <c r="U64" s="473" t="s">
        <v>139</v>
      </c>
      <c r="V64" s="615" t="s">
        <v>218</v>
      </c>
      <c r="W64" s="474"/>
      <c r="X64" s="474"/>
      <c r="Y64" s="476"/>
      <c r="Z64" s="476"/>
      <c r="AA64" s="477"/>
    </row>
    <row r="65">
      <c r="A65" s="491">
        <v>64.0</v>
      </c>
      <c r="B65" s="612" t="s">
        <v>20</v>
      </c>
      <c r="C65" s="494"/>
      <c r="D65" s="613" t="s">
        <v>121</v>
      </c>
      <c r="E65" s="492" t="s">
        <v>69</v>
      </c>
      <c r="F65" s="492" t="s">
        <v>889</v>
      </c>
      <c r="G65" s="512" t="s">
        <v>45</v>
      </c>
      <c r="H65" s="612" t="s">
        <v>64</v>
      </c>
      <c r="I65" s="512" t="s">
        <v>640</v>
      </c>
      <c r="J65" s="498"/>
      <c r="K65" s="493" t="s">
        <v>890</v>
      </c>
      <c r="L65" s="612" t="s">
        <v>891</v>
      </c>
      <c r="M65" s="494"/>
      <c r="N65" s="495" t="str">
        <f t="shared" si="2"/>
        <v>DM+이메일</v>
      </c>
      <c r="O65" s="627">
        <v>1.0</v>
      </c>
      <c r="P65" s="627">
        <v>1.0</v>
      </c>
      <c r="Q65" s="627">
        <v>0.0</v>
      </c>
      <c r="R65" s="535"/>
      <c r="S65" s="474"/>
      <c r="T65" s="474">
        <v>46108.0</v>
      </c>
      <c r="U65" s="473" t="s">
        <v>139</v>
      </c>
      <c r="V65" s="615" t="s">
        <v>218</v>
      </c>
      <c r="W65" s="474"/>
      <c r="X65" s="474"/>
      <c r="Y65" s="476"/>
      <c r="Z65" s="476"/>
      <c r="AA65" s="477"/>
    </row>
    <row r="66">
      <c r="A66" s="491">
        <v>65.0</v>
      </c>
      <c r="B66" s="612" t="s">
        <v>20</v>
      </c>
      <c r="C66" s="494"/>
      <c r="D66" s="613" t="s">
        <v>274</v>
      </c>
      <c r="E66" s="492" t="s">
        <v>353</v>
      </c>
      <c r="F66" s="492" t="s">
        <v>892</v>
      </c>
      <c r="G66" s="512" t="s">
        <v>44</v>
      </c>
      <c r="H66" s="612" t="s">
        <v>64</v>
      </c>
      <c r="I66" s="512" t="s">
        <v>125</v>
      </c>
      <c r="J66" s="493" t="s">
        <v>893</v>
      </c>
      <c r="K66" s="498"/>
      <c r="L66" s="612" t="s">
        <v>894</v>
      </c>
      <c r="M66" s="494"/>
      <c r="N66" s="495" t="str">
        <f t="shared" si="2"/>
        <v>이메일</v>
      </c>
      <c r="O66" s="627">
        <v>0.0</v>
      </c>
      <c r="P66" s="627">
        <v>1.0</v>
      </c>
      <c r="Q66" s="627">
        <v>0.0</v>
      </c>
      <c r="R66" s="535"/>
      <c r="S66" s="474"/>
      <c r="T66" s="474">
        <v>46108.0</v>
      </c>
      <c r="U66" s="473" t="s">
        <v>139</v>
      </c>
      <c r="V66" s="615" t="s">
        <v>218</v>
      </c>
      <c r="W66" s="474"/>
      <c r="X66" s="474"/>
      <c r="Y66" s="476"/>
      <c r="Z66" s="476"/>
      <c r="AA66" s="477"/>
    </row>
    <row r="67">
      <c r="A67" s="491">
        <v>66.0</v>
      </c>
      <c r="B67" s="612" t="s">
        <v>20</v>
      </c>
      <c r="C67" s="494"/>
      <c r="D67" s="613" t="s">
        <v>881</v>
      </c>
      <c r="E67" s="492" t="s">
        <v>332</v>
      </c>
      <c r="F67" s="492" t="s">
        <v>897</v>
      </c>
      <c r="G67" s="512" t="s">
        <v>45</v>
      </c>
      <c r="H67" s="612" t="s">
        <v>106</v>
      </c>
      <c r="I67" s="512" t="s">
        <v>125</v>
      </c>
      <c r="J67" s="498"/>
      <c r="K67" s="498"/>
      <c r="L67" s="612" t="s">
        <v>898</v>
      </c>
      <c r="M67" s="505" t="s">
        <v>535</v>
      </c>
      <c r="N67" s="495" t="str">
        <f t="shared" si="2"/>
        <v>이메일</v>
      </c>
      <c r="O67" s="627">
        <v>0.0</v>
      </c>
      <c r="P67" s="627">
        <v>1.0</v>
      </c>
      <c r="Q67" s="627">
        <v>0.0</v>
      </c>
      <c r="R67" s="535"/>
      <c r="S67" s="474"/>
      <c r="T67" s="474">
        <v>46108.0</v>
      </c>
      <c r="U67" s="473" t="s">
        <v>139</v>
      </c>
      <c r="V67" s="615" t="s">
        <v>218</v>
      </c>
      <c r="W67" s="474"/>
      <c r="X67" s="474"/>
      <c r="Y67" s="476"/>
      <c r="Z67" s="476"/>
      <c r="AA67" s="477"/>
    </row>
    <row r="68">
      <c r="A68" s="491">
        <v>67.0</v>
      </c>
      <c r="B68" s="612" t="s">
        <v>20</v>
      </c>
      <c r="C68" s="498"/>
      <c r="D68" s="613" t="s">
        <v>899</v>
      </c>
      <c r="E68" s="492" t="s">
        <v>353</v>
      </c>
      <c r="F68" s="492" t="s">
        <v>900</v>
      </c>
      <c r="G68" s="512" t="s">
        <v>44</v>
      </c>
      <c r="H68" s="612" t="s">
        <v>64</v>
      </c>
      <c r="I68" s="512" t="s">
        <v>276</v>
      </c>
      <c r="J68" s="493" t="s">
        <v>901</v>
      </c>
      <c r="K68" s="498"/>
      <c r="L68" s="624" t="s">
        <v>902</v>
      </c>
      <c r="M68" s="505" t="s">
        <v>903</v>
      </c>
      <c r="N68" s="495" t="str">
        <f t="shared" si="2"/>
        <v>이메일</v>
      </c>
      <c r="O68" s="627">
        <v>0.0</v>
      </c>
      <c r="P68" s="627">
        <v>1.0</v>
      </c>
      <c r="Q68" s="627">
        <v>0.0</v>
      </c>
      <c r="R68" s="535"/>
      <c r="S68" s="474"/>
      <c r="T68" s="474">
        <v>46108.0</v>
      </c>
      <c r="U68" s="473" t="s">
        <v>139</v>
      </c>
      <c r="V68" s="615" t="s">
        <v>218</v>
      </c>
      <c r="W68" s="474"/>
      <c r="X68" s="474"/>
      <c r="Y68" s="476"/>
      <c r="Z68" s="476"/>
      <c r="AA68" s="477"/>
    </row>
    <row r="69">
      <c r="A69" s="491">
        <v>68.0</v>
      </c>
      <c r="B69" s="612" t="s">
        <v>20</v>
      </c>
      <c r="C69" s="494"/>
      <c r="D69" s="613" t="s">
        <v>904</v>
      </c>
      <c r="E69" s="492" t="s">
        <v>109</v>
      </c>
      <c r="F69" s="492" t="s">
        <v>905</v>
      </c>
      <c r="G69" s="512" t="s">
        <v>44</v>
      </c>
      <c r="H69" s="612" t="s">
        <v>64</v>
      </c>
      <c r="I69" s="512" t="s">
        <v>125</v>
      </c>
      <c r="J69" s="493" t="s">
        <v>906</v>
      </c>
      <c r="K69" s="498"/>
      <c r="L69" s="612" t="s">
        <v>907</v>
      </c>
      <c r="M69" s="494"/>
      <c r="N69" s="495" t="str">
        <f t="shared" si="2"/>
        <v>이메일</v>
      </c>
      <c r="O69" s="627">
        <v>0.0</v>
      </c>
      <c r="P69" s="627">
        <v>1.0</v>
      </c>
      <c r="Q69" s="627">
        <v>0.0</v>
      </c>
      <c r="R69" s="535"/>
      <c r="S69" s="474"/>
      <c r="T69" s="474">
        <v>46108.0</v>
      </c>
      <c r="U69" s="473" t="s">
        <v>139</v>
      </c>
      <c r="V69" s="615" t="s">
        <v>218</v>
      </c>
      <c r="W69" s="474"/>
      <c r="X69" s="474"/>
      <c r="Y69" s="476"/>
      <c r="Z69" s="476"/>
      <c r="AA69" s="477"/>
    </row>
    <row r="70">
      <c r="A70" s="491">
        <v>69.0</v>
      </c>
      <c r="B70" s="612" t="s">
        <v>20</v>
      </c>
      <c r="C70" s="494"/>
      <c r="D70" s="613" t="s">
        <v>914</v>
      </c>
      <c r="E70" s="492" t="s">
        <v>122</v>
      </c>
      <c r="F70" s="492" t="s">
        <v>915</v>
      </c>
      <c r="G70" s="512" t="s">
        <v>45</v>
      </c>
      <c r="H70" s="612" t="s">
        <v>64</v>
      </c>
      <c r="I70" s="512" t="s">
        <v>125</v>
      </c>
      <c r="J70" s="498"/>
      <c r="K70" s="498"/>
      <c r="L70" s="612" t="s">
        <v>916</v>
      </c>
      <c r="M70" s="494"/>
      <c r="N70" s="495" t="str">
        <f t="shared" si="2"/>
        <v>이메일</v>
      </c>
      <c r="O70" s="627">
        <v>0.0</v>
      </c>
      <c r="P70" s="627">
        <v>1.0</v>
      </c>
      <c r="Q70" s="627">
        <v>0.0</v>
      </c>
      <c r="R70" s="535"/>
      <c r="S70" s="474"/>
      <c r="T70" s="474">
        <v>46108.0</v>
      </c>
      <c r="U70" s="473" t="s">
        <v>139</v>
      </c>
      <c r="V70" s="615" t="s">
        <v>218</v>
      </c>
      <c r="W70" s="474"/>
      <c r="X70" s="474"/>
      <c r="Y70" s="476"/>
      <c r="Z70" s="476"/>
      <c r="AA70" s="477"/>
    </row>
    <row r="71">
      <c r="A71" s="491">
        <v>70.0</v>
      </c>
      <c r="B71" s="612" t="s">
        <v>20</v>
      </c>
      <c r="C71" s="494"/>
      <c r="D71" s="613" t="s">
        <v>917</v>
      </c>
      <c r="E71" s="492" t="s">
        <v>122</v>
      </c>
      <c r="F71" s="492" t="s">
        <v>918</v>
      </c>
      <c r="G71" s="512" t="s">
        <v>45</v>
      </c>
      <c r="H71" s="612" t="s">
        <v>64</v>
      </c>
      <c r="I71" s="512" t="s">
        <v>125</v>
      </c>
      <c r="J71" s="498"/>
      <c r="K71" s="498"/>
      <c r="L71" s="612" t="s">
        <v>919</v>
      </c>
      <c r="M71" s="494"/>
      <c r="N71" s="495" t="str">
        <f t="shared" si="2"/>
        <v>이메일</v>
      </c>
      <c r="O71" s="627">
        <v>0.0</v>
      </c>
      <c r="P71" s="627">
        <v>1.0</v>
      </c>
      <c r="Q71" s="627">
        <v>0.0</v>
      </c>
      <c r="R71" s="535"/>
      <c r="S71" s="474"/>
      <c r="T71" s="474">
        <v>46108.0</v>
      </c>
      <c r="U71" s="473" t="s">
        <v>139</v>
      </c>
      <c r="V71" s="615" t="s">
        <v>218</v>
      </c>
      <c r="W71" s="474"/>
      <c r="X71" s="474"/>
      <c r="Y71" s="476"/>
      <c r="Z71" s="476"/>
      <c r="AA71" s="477"/>
    </row>
    <row r="72">
      <c r="A72" s="491">
        <v>71.0</v>
      </c>
      <c r="B72" s="612" t="s">
        <v>20</v>
      </c>
      <c r="C72" s="494"/>
      <c r="D72" s="613" t="s">
        <v>926</v>
      </c>
      <c r="E72" s="492" t="s">
        <v>109</v>
      </c>
      <c r="F72" s="492" t="s">
        <v>927</v>
      </c>
      <c r="G72" s="512" t="s">
        <v>44</v>
      </c>
      <c r="H72" s="612" t="s">
        <v>106</v>
      </c>
      <c r="I72" s="494"/>
      <c r="J72" s="493" t="s">
        <v>928</v>
      </c>
      <c r="K72" s="498"/>
      <c r="L72" s="612" t="s">
        <v>929</v>
      </c>
      <c r="M72" s="494"/>
      <c r="N72" s="495" t="str">
        <f t="shared" si="2"/>
        <v>이메일</v>
      </c>
      <c r="O72" s="627">
        <v>0.0</v>
      </c>
      <c r="P72" s="627">
        <v>1.0</v>
      </c>
      <c r="Q72" s="627">
        <v>0.0</v>
      </c>
      <c r="R72" s="535"/>
      <c r="S72" s="474"/>
      <c r="T72" s="474">
        <v>46108.0</v>
      </c>
      <c r="U72" s="473" t="s">
        <v>139</v>
      </c>
      <c r="V72" s="615" t="s">
        <v>218</v>
      </c>
      <c r="W72" s="474"/>
      <c r="X72" s="474"/>
      <c r="Y72" s="476"/>
      <c r="Z72" s="476"/>
      <c r="AA72" s="477"/>
    </row>
    <row r="73">
      <c r="A73" s="491">
        <v>72.0</v>
      </c>
      <c r="B73" s="612" t="s">
        <v>20</v>
      </c>
      <c r="C73" s="494"/>
      <c r="D73" s="613" t="s">
        <v>713</v>
      </c>
      <c r="E73" s="492" t="s">
        <v>109</v>
      </c>
      <c r="F73" s="492" t="s">
        <v>933</v>
      </c>
      <c r="G73" s="512" t="s">
        <v>44</v>
      </c>
      <c r="H73" s="612" t="s">
        <v>64</v>
      </c>
      <c r="I73" s="512" t="s">
        <v>125</v>
      </c>
      <c r="J73" s="493" t="s">
        <v>373</v>
      </c>
      <c r="K73" s="498"/>
      <c r="L73" s="612" t="s">
        <v>756</v>
      </c>
      <c r="M73" s="494"/>
      <c r="N73" s="495" t="str">
        <f t="shared" si="2"/>
        <v>이메일</v>
      </c>
      <c r="O73" s="627">
        <v>0.0</v>
      </c>
      <c r="P73" s="627">
        <v>1.0</v>
      </c>
      <c r="Q73" s="627">
        <v>0.0</v>
      </c>
      <c r="R73" s="535"/>
      <c r="S73" s="474"/>
      <c r="T73" s="474">
        <v>46108.0</v>
      </c>
      <c r="U73" s="473" t="s">
        <v>139</v>
      </c>
      <c r="V73" s="615" t="s">
        <v>218</v>
      </c>
      <c r="W73" s="474"/>
      <c r="X73" s="474"/>
      <c r="Y73" s="476"/>
      <c r="Z73" s="476"/>
      <c r="AA73" s="477"/>
    </row>
    <row r="74">
      <c r="A74" s="491">
        <v>73.0</v>
      </c>
      <c r="B74" s="612" t="s">
        <v>20</v>
      </c>
      <c r="C74" s="494"/>
      <c r="D74" s="613" t="s">
        <v>938</v>
      </c>
      <c r="E74" s="492" t="s">
        <v>531</v>
      </c>
      <c r="F74" s="492" t="s">
        <v>939</v>
      </c>
      <c r="G74" s="512" t="s">
        <v>44</v>
      </c>
      <c r="H74" s="612" t="s">
        <v>64</v>
      </c>
      <c r="I74" s="512" t="s">
        <v>548</v>
      </c>
      <c r="J74" s="493" t="s">
        <v>940</v>
      </c>
      <c r="K74" s="498"/>
      <c r="L74" s="612" t="s">
        <v>941</v>
      </c>
      <c r="M74" s="494"/>
      <c r="N74" s="495" t="str">
        <f t="shared" si="2"/>
        <v>이메일</v>
      </c>
      <c r="O74" s="627">
        <v>0.0</v>
      </c>
      <c r="P74" s="627">
        <v>1.0</v>
      </c>
      <c r="Q74" s="627">
        <v>0.0</v>
      </c>
      <c r="R74" s="535"/>
      <c r="S74" s="474"/>
      <c r="T74" s="474">
        <v>46108.0</v>
      </c>
      <c r="U74" s="473" t="s">
        <v>139</v>
      </c>
      <c r="V74" s="615" t="s">
        <v>218</v>
      </c>
      <c r="W74" s="474"/>
      <c r="X74" s="474"/>
      <c r="Y74" s="476"/>
      <c r="Z74" s="476"/>
      <c r="AA74" s="477"/>
    </row>
    <row r="75">
      <c r="A75" s="491">
        <v>74.0</v>
      </c>
      <c r="B75" s="612" t="s">
        <v>20</v>
      </c>
      <c r="C75" s="494"/>
      <c r="D75" s="613" t="s">
        <v>121</v>
      </c>
      <c r="E75" s="492" t="s">
        <v>69</v>
      </c>
      <c r="F75" s="492" t="s">
        <v>943</v>
      </c>
      <c r="G75" s="512" t="s">
        <v>44</v>
      </c>
      <c r="H75" s="612" t="s">
        <v>106</v>
      </c>
      <c r="I75" s="494"/>
      <c r="J75" s="493" t="s">
        <v>944</v>
      </c>
      <c r="K75" s="498"/>
      <c r="L75" s="634" t="s">
        <v>945</v>
      </c>
      <c r="M75" s="494"/>
      <c r="N75" s="495" t="str">
        <f t="shared" si="2"/>
        <v>이메일</v>
      </c>
      <c r="O75" s="627">
        <v>0.0</v>
      </c>
      <c r="P75" s="627">
        <v>1.0</v>
      </c>
      <c r="Q75" s="627">
        <v>0.0</v>
      </c>
      <c r="R75" s="535"/>
      <c r="S75" s="474"/>
      <c r="T75" s="474">
        <v>46108.0</v>
      </c>
      <c r="U75" s="473" t="s">
        <v>139</v>
      </c>
      <c r="V75" s="615" t="s">
        <v>218</v>
      </c>
      <c r="W75" s="474"/>
      <c r="X75" s="474"/>
      <c r="Y75" s="476"/>
      <c r="Z75" s="476"/>
      <c r="AA75" s="477"/>
    </row>
    <row r="76">
      <c r="A76" s="491">
        <v>75.0</v>
      </c>
      <c r="B76" s="612" t="s">
        <v>20</v>
      </c>
      <c r="C76" s="494"/>
      <c r="D76" s="613" t="s">
        <v>121</v>
      </c>
      <c r="E76" s="492" t="s">
        <v>69</v>
      </c>
      <c r="F76" s="492" t="s">
        <v>946</v>
      </c>
      <c r="G76" s="512" t="s">
        <v>44</v>
      </c>
      <c r="H76" s="612" t="s">
        <v>64</v>
      </c>
      <c r="I76" s="512" t="s">
        <v>125</v>
      </c>
      <c r="J76" s="493" t="s">
        <v>947</v>
      </c>
      <c r="K76" s="498"/>
      <c r="L76" s="612" t="s">
        <v>948</v>
      </c>
      <c r="M76" s="494"/>
      <c r="N76" s="495" t="str">
        <f t="shared" si="2"/>
        <v>이메일</v>
      </c>
      <c r="O76" s="627">
        <v>0.0</v>
      </c>
      <c r="P76" s="627">
        <v>1.0</v>
      </c>
      <c r="Q76" s="627">
        <v>0.0</v>
      </c>
      <c r="R76" s="535"/>
      <c r="S76" s="474"/>
      <c r="T76" s="474">
        <v>46108.0</v>
      </c>
      <c r="U76" s="473" t="s">
        <v>139</v>
      </c>
      <c r="V76" s="615" t="s">
        <v>218</v>
      </c>
      <c r="W76" s="474"/>
      <c r="X76" s="474"/>
      <c r="Y76" s="476"/>
      <c r="Z76" s="476"/>
      <c r="AA76" s="477"/>
    </row>
    <row r="77">
      <c r="A77" s="491">
        <v>76.0</v>
      </c>
      <c r="B77" s="612" t="s">
        <v>20</v>
      </c>
      <c r="C77" s="494"/>
      <c r="D77" s="613" t="s">
        <v>949</v>
      </c>
      <c r="E77" s="492" t="s">
        <v>89</v>
      </c>
      <c r="F77" s="492" t="s">
        <v>950</v>
      </c>
      <c r="G77" s="512" t="s">
        <v>44</v>
      </c>
      <c r="H77" s="612" t="s">
        <v>106</v>
      </c>
      <c r="I77" s="512" t="s">
        <v>951</v>
      </c>
      <c r="J77" s="493" t="s">
        <v>952</v>
      </c>
      <c r="K77" s="498"/>
      <c r="L77" s="612" t="s">
        <v>953</v>
      </c>
      <c r="M77" s="505" t="s">
        <v>954</v>
      </c>
      <c r="N77" s="495" t="str">
        <f t="shared" si="2"/>
        <v>이메일</v>
      </c>
      <c r="O77" s="627">
        <v>0.0</v>
      </c>
      <c r="P77" s="627">
        <v>1.0</v>
      </c>
      <c r="Q77" s="627">
        <v>0.0</v>
      </c>
      <c r="R77" s="535"/>
      <c r="S77" s="474"/>
      <c r="T77" s="474">
        <v>46108.0</v>
      </c>
      <c r="U77" s="473" t="s">
        <v>139</v>
      </c>
      <c r="V77" s="615" t="s">
        <v>218</v>
      </c>
      <c r="W77" s="474"/>
      <c r="X77" s="474"/>
      <c r="Y77" s="476"/>
      <c r="Z77" s="476"/>
      <c r="AA77" s="477"/>
    </row>
    <row r="78">
      <c r="A78" s="491">
        <v>77.0</v>
      </c>
      <c r="B78" s="612" t="s">
        <v>20</v>
      </c>
      <c r="C78" s="494"/>
      <c r="D78" s="613" t="s">
        <v>435</v>
      </c>
      <c r="E78" s="492" t="s">
        <v>89</v>
      </c>
      <c r="F78" s="492" t="s">
        <v>955</v>
      </c>
      <c r="G78" s="512" t="s">
        <v>44</v>
      </c>
      <c r="H78" s="494"/>
      <c r="I78" s="494"/>
      <c r="J78" s="493" t="s">
        <v>956</v>
      </c>
      <c r="K78" s="493" t="s">
        <v>957</v>
      </c>
      <c r="L78" s="612" t="s">
        <v>958</v>
      </c>
      <c r="M78" s="494"/>
      <c r="N78" s="495" t="str">
        <f t="shared" si="2"/>
        <v>DM+이메일</v>
      </c>
      <c r="O78" s="627">
        <v>1.0</v>
      </c>
      <c r="P78" s="627">
        <v>1.0</v>
      </c>
      <c r="Q78" s="627">
        <v>0.0</v>
      </c>
      <c r="R78" s="535"/>
      <c r="S78" s="474"/>
      <c r="T78" s="474">
        <v>46108.0</v>
      </c>
      <c r="U78" s="473" t="s">
        <v>139</v>
      </c>
      <c r="V78" s="615" t="s">
        <v>218</v>
      </c>
      <c r="W78" s="474"/>
      <c r="X78" s="474"/>
      <c r="Y78" s="476"/>
      <c r="Z78" s="476"/>
      <c r="AA78" s="477"/>
    </row>
    <row r="79">
      <c r="A79" s="491">
        <v>78.0</v>
      </c>
      <c r="B79" s="612" t="s">
        <v>20</v>
      </c>
      <c r="C79" s="494"/>
      <c r="D79" s="613" t="s">
        <v>435</v>
      </c>
      <c r="E79" s="492" t="s">
        <v>69</v>
      </c>
      <c r="F79" s="492" t="s">
        <v>959</v>
      </c>
      <c r="G79" s="512" t="s">
        <v>789</v>
      </c>
      <c r="H79" s="612" t="s">
        <v>64</v>
      </c>
      <c r="I79" s="512" t="s">
        <v>125</v>
      </c>
      <c r="J79" s="498"/>
      <c r="K79" s="498"/>
      <c r="L79" s="624" t="s">
        <v>960</v>
      </c>
      <c r="M79" s="494"/>
      <c r="N79" s="495" t="str">
        <f t="shared" si="2"/>
        <v>이메일</v>
      </c>
      <c r="O79" s="627">
        <v>0.0</v>
      </c>
      <c r="P79" s="627">
        <v>1.0</v>
      </c>
      <c r="Q79" s="627">
        <v>0.0</v>
      </c>
      <c r="R79" s="535"/>
      <c r="S79" s="474"/>
      <c r="T79" s="474">
        <v>46108.0</v>
      </c>
      <c r="U79" s="473" t="s">
        <v>139</v>
      </c>
      <c r="V79" s="615" t="s">
        <v>218</v>
      </c>
      <c r="W79" s="474"/>
      <c r="X79" s="474"/>
      <c r="Y79" s="476"/>
      <c r="Z79" s="476"/>
      <c r="AA79" s="477"/>
    </row>
    <row r="80">
      <c r="A80" s="491">
        <v>79.0</v>
      </c>
      <c r="B80" s="612" t="s">
        <v>20</v>
      </c>
      <c r="C80" s="494"/>
      <c r="D80" s="613" t="s">
        <v>962</v>
      </c>
      <c r="E80" s="492" t="s">
        <v>494</v>
      </c>
      <c r="F80" s="492" t="s">
        <v>963</v>
      </c>
      <c r="G80" s="512" t="s">
        <v>44</v>
      </c>
      <c r="H80" s="612" t="s">
        <v>106</v>
      </c>
      <c r="I80" s="494"/>
      <c r="J80" s="493" t="s">
        <v>964</v>
      </c>
      <c r="K80" s="493" t="s">
        <v>965</v>
      </c>
      <c r="L80" s="634" t="s">
        <v>966</v>
      </c>
      <c r="M80" s="494"/>
      <c r="N80" s="495" t="str">
        <f t="shared" si="2"/>
        <v>DM+이메일</v>
      </c>
      <c r="O80" s="627">
        <v>1.0</v>
      </c>
      <c r="P80" s="627">
        <v>1.0</v>
      </c>
      <c r="Q80" s="627">
        <v>0.0</v>
      </c>
      <c r="R80" s="535"/>
      <c r="S80" s="474"/>
      <c r="T80" s="474">
        <v>46108.0</v>
      </c>
      <c r="U80" s="473" t="s">
        <v>139</v>
      </c>
      <c r="V80" s="615" t="s">
        <v>218</v>
      </c>
      <c r="W80" s="474"/>
      <c r="X80" s="474"/>
      <c r="Y80" s="476"/>
      <c r="Z80" s="476"/>
      <c r="AA80" s="477"/>
    </row>
    <row r="81">
      <c r="A81" s="491">
        <v>80.0</v>
      </c>
      <c r="B81" s="612" t="s">
        <v>20</v>
      </c>
      <c r="C81" s="494"/>
      <c r="D81" s="613" t="s">
        <v>435</v>
      </c>
      <c r="E81" s="492" t="s">
        <v>69</v>
      </c>
      <c r="F81" s="492" t="s">
        <v>967</v>
      </c>
      <c r="G81" s="512" t="s">
        <v>44</v>
      </c>
      <c r="H81" s="612" t="s">
        <v>106</v>
      </c>
      <c r="I81" s="512" t="s">
        <v>951</v>
      </c>
      <c r="J81" s="493" t="s">
        <v>968</v>
      </c>
      <c r="K81" s="498"/>
      <c r="L81" s="612" t="s">
        <v>969</v>
      </c>
      <c r="M81" s="494"/>
      <c r="N81" s="495" t="str">
        <f t="shared" si="2"/>
        <v>이메일</v>
      </c>
      <c r="O81" s="627">
        <v>0.0</v>
      </c>
      <c r="P81" s="627">
        <v>1.0</v>
      </c>
      <c r="Q81" s="627">
        <v>0.0</v>
      </c>
      <c r="R81" s="535"/>
      <c r="S81" s="474"/>
      <c r="T81" s="474">
        <v>46108.0</v>
      </c>
      <c r="U81" s="473" t="s">
        <v>139</v>
      </c>
      <c r="V81" s="615" t="s">
        <v>218</v>
      </c>
      <c r="W81" s="474"/>
      <c r="X81" s="474"/>
      <c r="Y81" s="476"/>
      <c r="Z81" s="476"/>
      <c r="AA81" s="477"/>
    </row>
    <row r="82">
      <c r="A82" s="491">
        <v>81.0</v>
      </c>
      <c r="B82" s="612" t="s">
        <v>20</v>
      </c>
      <c r="C82" s="494"/>
      <c r="D82" s="613" t="s">
        <v>974</v>
      </c>
      <c r="E82" s="492" t="s">
        <v>109</v>
      </c>
      <c r="F82" s="492" t="s">
        <v>975</v>
      </c>
      <c r="G82" s="512" t="s">
        <v>44</v>
      </c>
      <c r="H82" s="494"/>
      <c r="I82" s="512" t="s">
        <v>976</v>
      </c>
      <c r="J82" s="493" t="s">
        <v>977</v>
      </c>
      <c r="K82" s="498"/>
      <c r="L82" s="612" t="s">
        <v>978</v>
      </c>
      <c r="M82" s="494"/>
      <c r="N82" s="495" t="str">
        <f t="shared" si="2"/>
        <v>이메일</v>
      </c>
      <c r="O82" s="627">
        <v>0.0</v>
      </c>
      <c r="P82" s="627">
        <v>1.0</v>
      </c>
      <c r="Q82" s="627">
        <v>0.0</v>
      </c>
      <c r="R82" s="535"/>
      <c r="S82" s="474"/>
      <c r="T82" s="474">
        <v>46108.0</v>
      </c>
      <c r="U82" s="473" t="s">
        <v>139</v>
      </c>
      <c r="V82" s="615" t="s">
        <v>218</v>
      </c>
      <c r="W82" s="474"/>
      <c r="X82" s="474"/>
      <c r="Y82" s="476"/>
      <c r="Z82" s="476"/>
      <c r="AA82" s="477"/>
    </row>
    <row r="83">
      <c r="A83" s="491">
        <v>82.0</v>
      </c>
      <c r="B83" s="612" t="s">
        <v>20</v>
      </c>
      <c r="C83" s="494"/>
      <c r="D83" s="613" t="s">
        <v>985</v>
      </c>
      <c r="E83" s="492" t="s">
        <v>69</v>
      </c>
      <c r="F83" s="492" t="s">
        <v>986</v>
      </c>
      <c r="G83" s="512" t="s">
        <v>44</v>
      </c>
      <c r="H83" s="612" t="s">
        <v>64</v>
      </c>
      <c r="I83" s="512" t="s">
        <v>125</v>
      </c>
      <c r="J83" s="493" t="s">
        <v>987</v>
      </c>
      <c r="K83" s="498"/>
      <c r="L83" s="612" t="s">
        <v>988</v>
      </c>
      <c r="M83" s="494"/>
      <c r="N83" s="495" t="str">
        <f t="shared" si="2"/>
        <v>이메일</v>
      </c>
      <c r="O83" s="627">
        <v>0.0</v>
      </c>
      <c r="P83" s="627">
        <v>1.0</v>
      </c>
      <c r="Q83" s="627">
        <v>0.0</v>
      </c>
      <c r="R83" s="535"/>
      <c r="S83" s="474"/>
      <c r="T83" s="474">
        <v>46108.0</v>
      </c>
      <c r="U83" s="473" t="s">
        <v>139</v>
      </c>
      <c r="V83" s="615" t="s">
        <v>218</v>
      </c>
      <c r="W83" s="474"/>
      <c r="X83" s="474"/>
      <c r="Y83" s="476"/>
      <c r="Z83" s="476"/>
      <c r="AA83" s="477"/>
    </row>
    <row r="84">
      <c r="A84" s="491">
        <v>83.0</v>
      </c>
      <c r="B84" s="612" t="s">
        <v>20</v>
      </c>
      <c r="C84" s="494"/>
      <c r="D84" s="613" t="s">
        <v>574</v>
      </c>
      <c r="E84" s="492" t="s">
        <v>89</v>
      </c>
      <c r="F84" s="492" t="s">
        <v>991</v>
      </c>
      <c r="G84" s="512" t="s">
        <v>44</v>
      </c>
      <c r="H84" s="612" t="s">
        <v>64</v>
      </c>
      <c r="I84" s="512" t="s">
        <v>992</v>
      </c>
      <c r="J84" s="493" t="s">
        <v>993</v>
      </c>
      <c r="K84" s="493" t="s">
        <v>994</v>
      </c>
      <c r="L84" s="612" t="s">
        <v>995</v>
      </c>
      <c r="M84" s="505" t="s">
        <v>996</v>
      </c>
      <c r="N84" s="495" t="str">
        <f t="shared" si="2"/>
        <v>DM+이메일</v>
      </c>
      <c r="O84" s="627">
        <v>1.0</v>
      </c>
      <c r="P84" s="627">
        <v>1.0</v>
      </c>
      <c r="Q84" s="627">
        <v>0.0</v>
      </c>
      <c r="R84" s="535"/>
      <c r="S84" s="474"/>
      <c r="T84" s="474">
        <v>46108.0</v>
      </c>
      <c r="U84" s="473" t="s">
        <v>139</v>
      </c>
      <c r="V84" s="615" t="s">
        <v>218</v>
      </c>
      <c r="W84" s="474"/>
      <c r="X84" s="474"/>
      <c r="Y84" s="476"/>
      <c r="Z84" s="476"/>
      <c r="AA84" s="477"/>
    </row>
    <row r="85">
      <c r="A85" s="491">
        <v>84.0</v>
      </c>
      <c r="B85" s="612" t="s">
        <v>20</v>
      </c>
      <c r="C85" s="494"/>
      <c r="D85" s="613" t="s">
        <v>713</v>
      </c>
      <c r="E85" s="492" t="s">
        <v>122</v>
      </c>
      <c r="F85" s="492" t="s">
        <v>1002</v>
      </c>
      <c r="G85" s="512" t="s">
        <v>45</v>
      </c>
      <c r="H85" s="612" t="s">
        <v>106</v>
      </c>
      <c r="I85" s="494"/>
      <c r="J85" s="498"/>
      <c r="K85" s="493" t="s">
        <v>1003</v>
      </c>
      <c r="L85" s="612" t="s">
        <v>1004</v>
      </c>
      <c r="M85" s="494"/>
      <c r="N85" s="495" t="str">
        <f t="shared" si="2"/>
        <v>DM+이메일</v>
      </c>
      <c r="O85" s="627">
        <v>1.0</v>
      </c>
      <c r="P85" s="627">
        <v>1.0</v>
      </c>
      <c r="Q85" s="627">
        <v>0.0</v>
      </c>
      <c r="R85" s="535"/>
      <c r="S85" s="474"/>
      <c r="T85" s="474">
        <v>46108.0</v>
      </c>
      <c r="U85" s="495" t="s">
        <v>2</v>
      </c>
      <c r="V85" s="474"/>
      <c r="W85" s="474"/>
      <c r="X85" s="474"/>
      <c r="Y85" s="495" t="s">
        <v>645</v>
      </c>
      <c r="Z85" s="476"/>
      <c r="AA85" s="477"/>
    </row>
    <row r="86">
      <c r="A86" s="491">
        <v>85.0</v>
      </c>
      <c r="B86" s="612" t="s">
        <v>20</v>
      </c>
      <c r="C86" s="494"/>
      <c r="D86" s="613" t="s">
        <v>713</v>
      </c>
      <c r="E86" s="492" t="s">
        <v>332</v>
      </c>
      <c r="F86" s="492" t="s">
        <v>1009</v>
      </c>
      <c r="G86" s="512" t="s">
        <v>44</v>
      </c>
      <c r="H86" s="612" t="s">
        <v>106</v>
      </c>
      <c r="I86" s="494"/>
      <c r="J86" s="498"/>
      <c r="K86" s="498"/>
      <c r="L86" s="612" t="s">
        <v>1010</v>
      </c>
      <c r="M86" s="494"/>
      <c r="N86" s="495" t="str">
        <f t="shared" si="2"/>
        <v>이메일</v>
      </c>
      <c r="O86" s="627">
        <v>0.0</v>
      </c>
      <c r="P86" s="627">
        <v>1.0</v>
      </c>
      <c r="Q86" s="627">
        <v>0.0</v>
      </c>
      <c r="R86" s="535"/>
      <c r="S86" s="474"/>
      <c r="T86" s="474">
        <v>46108.0</v>
      </c>
      <c r="U86" s="473" t="s">
        <v>139</v>
      </c>
      <c r="V86" s="615" t="s">
        <v>218</v>
      </c>
      <c r="W86" s="474"/>
      <c r="X86" s="474"/>
      <c r="Y86" s="476"/>
      <c r="Z86" s="476"/>
      <c r="AA86" s="477"/>
    </row>
    <row r="87">
      <c r="A87" s="491">
        <v>86.0</v>
      </c>
      <c r="B87" s="612" t="s">
        <v>20</v>
      </c>
      <c r="C87" s="494"/>
      <c r="D87" s="613" t="s">
        <v>588</v>
      </c>
      <c r="E87" s="492" t="s">
        <v>89</v>
      </c>
      <c r="F87" s="492" t="s">
        <v>3518</v>
      </c>
      <c r="G87" s="512" t="s">
        <v>44</v>
      </c>
      <c r="H87" s="612" t="s">
        <v>106</v>
      </c>
      <c r="I87" s="494"/>
      <c r="J87" s="493" t="s">
        <v>1017</v>
      </c>
      <c r="K87" s="493" t="s">
        <v>1018</v>
      </c>
      <c r="L87" s="612" t="s">
        <v>1019</v>
      </c>
      <c r="M87" s="497" t="s">
        <v>1020</v>
      </c>
      <c r="N87" s="495" t="str">
        <f t="shared" si="2"/>
        <v>DM+이메일</v>
      </c>
      <c r="O87" s="627">
        <v>1.0</v>
      </c>
      <c r="P87" s="627">
        <v>1.0</v>
      </c>
      <c r="Q87" s="627">
        <v>0.0</v>
      </c>
      <c r="R87" s="535"/>
      <c r="S87" s="474"/>
      <c r="T87" s="474">
        <v>46108.0</v>
      </c>
      <c r="U87" s="473" t="s">
        <v>139</v>
      </c>
      <c r="V87" s="615" t="s">
        <v>218</v>
      </c>
      <c r="W87" s="474"/>
      <c r="X87" s="474"/>
      <c r="Y87" s="476"/>
      <c r="Z87" s="476"/>
      <c r="AA87" s="477"/>
    </row>
    <row r="88">
      <c r="A88" s="491">
        <v>87.0</v>
      </c>
      <c r="B88" s="612" t="s">
        <v>20</v>
      </c>
      <c r="C88" s="494"/>
      <c r="D88" s="613" t="s">
        <v>459</v>
      </c>
      <c r="E88" s="492" t="s">
        <v>69</v>
      </c>
      <c r="F88" s="492" t="s">
        <v>1023</v>
      </c>
      <c r="G88" s="512" t="s">
        <v>44</v>
      </c>
      <c r="H88" s="612" t="s">
        <v>106</v>
      </c>
      <c r="I88" s="494"/>
      <c r="J88" s="493" t="s">
        <v>1024</v>
      </c>
      <c r="K88" s="498"/>
      <c r="L88" s="612" t="s">
        <v>1025</v>
      </c>
      <c r="M88" s="494"/>
      <c r="N88" s="495" t="str">
        <f t="shared" si="2"/>
        <v>이메일</v>
      </c>
      <c r="O88" s="627">
        <v>0.0</v>
      </c>
      <c r="P88" s="627">
        <v>1.0</v>
      </c>
      <c r="Q88" s="627">
        <v>0.0</v>
      </c>
      <c r="R88" s="535"/>
      <c r="S88" s="474"/>
      <c r="T88" s="474">
        <v>46108.0</v>
      </c>
      <c r="U88" s="473" t="s">
        <v>139</v>
      </c>
      <c r="V88" s="615" t="s">
        <v>218</v>
      </c>
      <c r="W88" s="474"/>
      <c r="X88" s="474"/>
      <c r="Y88" s="476"/>
      <c r="Z88" s="476"/>
      <c r="AA88" s="477"/>
    </row>
    <row r="89">
      <c r="A89" s="491">
        <v>88.0</v>
      </c>
      <c r="B89" s="612" t="s">
        <v>20</v>
      </c>
      <c r="C89" s="494"/>
      <c r="D89" s="613" t="s">
        <v>1054</v>
      </c>
      <c r="E89" s="492" t="s">
        <v>506</v>
      </c>
      <c r="F89" s="492" t="s">
        <v>1055</v>
      </c>
      <c r="G89" s="512" t="s">
        <v>553</v>
      </c>
      <c r="H89" s="612" t="s">
        <v>431</v>
      </c>
      <c r="I89" s="494"/>
      <c r="J89" s="498"/>
      <c r="K89" s="493" t="s">
        <v>1056</v>
      </c>
      <c r="L89" s="612" t="s">
        <v>1057</v>
      </c>
      <c r="M89" s="494"/>
      <c r="N89" s="495" t="str">
        <f t="shared" si="2"/>
        <v>DM+이메일</v>
      </c>
      <c r="O89" s="627">
        <v>1.0</v>
      </c>
      <c r="P89" s="627">
        <v>1.0</v>
      </c>
      <c r="Q89" s="627">
        <v>0.0</v>
      </c>
      <c r="R89" s="535"/>
      <c r="S89" s="474"/>
      <c r="T89" s="474">
        <v>46108.0</v>
      </c>
      <c r="U89" s="473" t="s">
        <v>139</v>
      </c>
      <c r="V89" s="615" t="s">
        <v>218</v>
      </c>
      <c r="W89" s="474"/>
      <c r="X89" s="474"/>
      <c r="Y89" s="476"/>
      <c r="Z89" s="476"/>
      <c r="AA89" s="477"/>
    </row>
    <row r="90">
      <c r="A90" s="491">
        <v>89.0</v>
      </c>
      <c r="B90" s="612" t="s">
        <v>20</v>
      </c>
      <c r="C90" s="494"/>
      <c r="D90" s="613" t="s">
        <v>1058</v>
      </c>
      <c r="E90" s="492" t="s">
        <v>1059</v>
      </c>
      <c r="F90" s="621" t="s">
        <v>698</v>
      </c>
      <c r="G90" s="512" t="s">
        <v>44</v>
      </c>
      <c r="H90" s="612" t="s">
        <v>431</v>
      </c>
      <c r="I90" s="494"/>
      <c r="J90" s="493" t="s">
        <v>1060</v>
      </c>
      <c r="K90" s="498"/>
      <c r="L90" s="634" t="s">
        <v>701</v>
      </c>
      <c r="M90" s="497" t="s">
        <v>1061</v>
      </c>
      <c r="N90" s="495" t="str">
        <f t="shared" si="2"/>
        <v>이메일</v>
      </c>
      <c r="O90" s="627">
        <v>0.0</v>
      </c>
      <c r="P90" s="627">
        <v>1.0</v>
      </c>
      <c r="Q90" s="627">
        <v>0.0</v>
      </c>
      <c r="R90" s="535"/>
      <c r="S90" s="474"/>
      <c r="T90" s="474">
        <v>46108.0</v>
      </c>
      <c r="U90" s="473" t="s">
        <v>139</v>
      </c>
      <c r="V90" s="615" t="s">
        <v>218</v>
      </c>
      <c r="W90" s="474"/>
      <c r="X90" s="474"/>
      <c r="Y90" s="476"/>
      <c r="Z90" s="476"/>
      <c r="AA90" s="477"/>
    </row>
    <row r="91">
      <c r="A91" s="491">
        <v>90.0</v>
      </c>
      <c r="B91" s="612" t="s">
        <v>20</v>
      </c>
      <c r="C91" s="494"/>
      <c r="D91" s="613" t="s">
        <v>1065</v>
      </c>
      <c r="E91" s="492" t="s">
        <v>1063</v>
      </c>
      <c r="F91" s="621" t="s">
        <v>742</v>
      </c>
      <c r="G91" s="512" t="s">
        <v>1066</v>
      </c>
      <c r="H91" s="612" t="s">
        <v>64</v>
      </c>
      <c r="I91" s="512" t="s">
        <v>1067</v>
      </c>
      <c r="J91" s="493" t="s">
        <v>1068</v>
      </c>
      <c r="K91" s="493" t="s">
        <v>1069</v>
      </c>
      <c r="L91" s="612" t="s">
        <v>1070</v>
      </c>
      <c r="M91" s="494"/>
      <c r="N91" s="495" t="str">
        <f t="shared" si="2"/>
        <v>DM+이메일</v>
      </c>
      <c r="O91" s="627">
        <v>1.0</v>
      </c>
      <c r="P91" s="627">
        <v>1.0</v>
      </c>
      <c r="Q91" s="627">
        <v>0.0</v>
      </c>
      <c r="R91" s="535"/>
      <c r="S91" s="474"/>
      <c r="T91" s="474">
        <v>46108.0</v>
      </c>
      <c r="U91" s="473" t="s">
        <v>139</v>
      </c>
      <c r="V91" s="615" t="s">
        <v>218</v>
      </c>
      <c r="W91" s="474"/>
      <c r="X91" s="474"/>
      <c r="Y91" s="476"/>
      <c r="Z91" s="476"/>
      <c r="AA91" s="477"/>
    </row>
    <row r="92">
      <c r="A92" s="491">
        <v>91.0</v>
      </c>
      <c r="B92" s="612" t="s">
        <v>20</v>
      </c>
      <c r="C92" s="494"/>
      <c r="D92" s="613" t="s">
        <v>1091</v>
      </c>
      <c r="E92" s="492" t="s">
        <v>1072</v>
      </c>
      <c r="F92" s="492" t="s">
        <v>1092</v>
      </c>
      <c r="G92" s="512" t="s">
        <v>44</v>
      </c>
      <c r="H92" s="612" t="s">
        <v>64</v>
      </c>
      <c r="I92" s="512" t="s">
        <v>1093</v>
      </c>
      <c r="J92" s="493" t="s">
        <v>1094</v>
      </c>
      <c r="K92" s="498"/>
      <c r="L92" s="612" t="s">
        <v>1095</v>
      </c>
      <c r="M92" s="494"/>
      <c r="N92" s="495" t="str">
        <f t="shared" si="2"/>
        <v>이메일</v>
      </c>
      <c r="O92" s="627">
        <v>0.0</v>
      </c>
      <c r="P92" s="627">
        <v>1.0</v>
      </c>
      <c r="Q92" s="627">
        <v>0.0</v>
      </c>
      <c r="R92" s="535"/>
      <c r="S92" s="474"/>
      <c r="T92" s="474">
        <v>46108.0</v>
      </c>
      <c r="U92" s="473" t="s">
        <v>139</v>
      </c>
      <c r="V92" s="615" t="s">
        <v>218</v>
      </c>
      <c r="W92" s="474"/>
      <c r="X92" s="474"/>
      <c r="Y92" s="476"/>
      <c r="Z92" s="476"/>
      <c r="AA92" s="477"/>
    </row>
    <row r="93">
      <c r="A93" s="491">
        <v>92.0</v>
      </c>
      <c r="B93" s="612" t="s">
        <v>20</v>
      </c>
      <c r="C93" s="494"/>
      <c r="D93" s="613" t="s">
        <v>1104</v>
      </c>
      <c r="E93" s="492" t="s">
        <v>353</v>
      </c>
      <c r="F93" s="492" t="s">
        <v>1105</v>
      </c>
      <c r="G93" s="512" t="s">
        <v>44</v>
      </c>
      <c r="H93" s="612" t="s">
        <v>64</v>
      </c>
      <c r="I93" s="512" t="s">
        <v>807</v>
      </c>
      <c r="J93" s="493" t="s">
        <v>1106</v>
      </c>
      <c r="K93" s="498"/>
      <c r="L93" s="612" t="s">
        <v>1107</v>
      </c>
      <c r="M93" s="505" t="s">
        <v>1108</v>
      </c>
      <c r="N93" s="495" t="str">
        <f t="shared" si="2"/>
        <v>이메일</v>
      </c>
      <c r="O93" s="627">
        <v>0.0</v>
      </c>
      <c r="P93" s="627">
        <v>1.0</v>
      </c>
      <c r="Q93" s="627">
        <v>0.0</v>
      </c>
      <c r="R93" s="535"/>
      <c r="S93" s="474"/>
      <c r="T93" s="474">
        <v>46108.0</v>
      </c>
      <c r="U93" s="473" t="s">
        <v>139</v>
      </c>
      <c r="V93" s="615" t="s">
        <v>218</v>
      </c>
      <c r="W93" s="474"/>
      <c r="X93" s="474"/>
      <c r="Y93" s="476"/>
      <c r="Z93" s="476"/>
      <c r="AA93" s="477"/>
    </row>
    <row r="94">
      <c r="A94" s="491">
        <v>93.0</v>
      </c>
      <c r="B94" s="612" t="s">
        <v>20</v>
      </c>
      <c r="C94" s="494"/>
      <c r="D94" s="613" t="s">
        <v>1109</v>
      </c>
      <c r="E94" s="492" t="s">
        <v>1110</v>
      </c>
      <c r="F94" s="492" t="s">
        <v>1111</v>
      </c>
      <c r="G94" s="512" t="s">
        <v>44</v>
      </c>
      <c r="H94" s="612" t="s">
        <v>106</v>
      </c>
      <c r="I94" s="494"/>
      <c r="J94" s="493" t="s">
        <v>1112</v>
      </c>
      <c r="K94" s="493" t="s">
        <v>1113</v>
      </c>
      <c r="L94" s="612" t="s">
        <v>1114</v>
      </c>
      <c r="M94" s="494"/>
      <c r="N94" s="495" t="str">
        <f t="shared" si="2"/>
        <v>DM+이메일</v>
      </c>
      <c r="O94" s="495">
        <v>1.0</v>
      </c>
      <c r="P94" s="495">
        <v>1.0</v>
      </c>
      <c r="Q94" s="495">
        <v>0.0</v>
      </c>
      <c r="R94" s="535"/>
      <c r="S94" s="474"/>
      <c r="T94" s="474">
        <v>46108.0</v>
      </c>
      <c r="U94" s="473" t="s">
        <v>139</v>
      </c>
      <c r="V94" s="615" t="s">
        <v>218</v>
      </c>
      <c r="W94" s="474"/>
      <c r="X94" s="474"/>
      <c r="Y94" s="476"/>
      <c r="Z94" s="476"/>
      <c r="AA94" s="477"/>
    </row>
    <row r="95">
      <c r="A95" s="491">
        <v>94.0</v>
      </c>
      <c r="B95" s="612" t="s">
        <v>20</v>
      </c>
      <c r="C95" s="494"/>
      <c r="D95" s="613" t="s">
        <v>938</v>
      </c>
      <c r="E95" s="492" t="s">
        <v>1110</v>
      </c>
      <c r="F95" s="492" t="s">
        <v>1115</v>
      </c>
      <c r="G95" s="512" t="s">
        <v>1116</v>
      </c>
      <c r="H95" s="612" t="s">
        <v>106</v>
      </c>
      <c r="I95" s="494"/>
      <c r="J95" s="493" t="s">
        <v>1117</v>
      </c>
      <c r="K95" s="498"/>
      <c r="L95" s="612" t="s">
        <v>1118</v>
      </c>
      <c r="M95" s="494"/>
      <c r="N95" s="495" t="str">
        <f t="shared" si="2"/>
        <v>이메일</v>
      </c>
      <c r="O95" s="627">
        <v>0.0</v>
      </c>
      <c r="P95" s="627">
        <v>1.0</v>
      </c>
      <c r="Q95" s="627">
        <v>0.0</v>
      </c>
      <c r="R95" s="535"/>
      <c r="S95" s="474"/>
      <c r="T95" s="474">
        <v>46108.0</v>
      </c>
      <c r="U95" s="473" t="s">
        <v>139</v>
      </c>
      <c r="V95" s="615" t="s">
        <v>218</v>
      </c>
      <c r="W95" s="474"/>
      <c r="X95" s="474"/>
      <c r="Y95" s="476"/>
      <c r="Z95" s="476"/>
      <c r="AA95" s="477"/>
    </row>
    <row r="96">
      <c r="A96" s="491">
        <v>95.0</v>
      </c>
      <c r="B96" s="612" t="s">
        <v>20</v>
      </c>
      <c r="C96" s="494"/>
      <c r="D96" s="613" t="s">
        <v>1119</v>
      </c>
      <c r="E96" s="492" t="s">
        <v>1110</v>
      </c>
      <c r="F96" s="492" t="s">
        <v>1120</v>
      </c>
      <c r="G96" s="512" t="s">
        <v>1066</v>
      </c>
      <c r="H96" s="612" t="s">
        <v>64</v>
      </c>
      <c r="I96" s="512" t="s">
        <v>1121</v>
      </c>
      <c r="J96" s="493" t="s">
        <v>1122</v>
      </c>
      <c r="K96" s="493" t="s">
        <v>1123</v>
      </c>
      <c r="L96" s="612" t="s">
        <v>1124</v>
      </c>
      <c r="M96" s="494"/>
      <c r="N96" s="495" t="str">
        <f t="shared" si="2"/>
        <v>DM+이메일</v>
      </c>
      <c r="O96" s="627">
        <v>1.0</v>
      </c>
      <c r="P96" s="627">
        <v>1.0</v>
      </c>
      <c r="Q96" s="627">
        <v>0.0</v>
      </c>
      <c r="R96" s="535"/>
      <c r="S96" s="474"/>
      <c r="T96" s="474">
        <v>46108.0</v>
      </c>
      <c r="U96" s="473" t="s">
        <v>139</v>
      </c>
      <c r="V96" s="615" t="s">
        <v>218</v>
      </c>
      <c r="W96" s="474"/>
      <c r="X96" s="474"/>
      <c r="Y96" s="476"/>
      <c r="Z96" s="476"/>
      <c r="AA96" s="477"/>
    </row>
    <row r="97">
      <c r="A97" s="538">
        <v>96.0</v>
      </c>
      <c r="B97" s="616" t="s">
        <v>20</v>
      </c>
      <c r="C97" s="544"/>
      <c r="D97" s="617" t="s">
        <v>1125</v>
      </c>
      <c r="E97" s="541" t="s">
        <v>69</v>
      </c>
      <c r="F97" s="541" t="s">
        <v>1126</v>
      </c>
      <c r="G97" s="618" t="s">
        <v>44</v>
      </c>
      <c r="H97" s="616" t="s">
        <v>106</v>
      </c>
      <c r="I97" s="618" t="s">
        <v>3519</v>
      </c>
      <c r="J97" s="542" t="s">
        <v>1128</v>
      </c>
      <c r="K97" s="543"/>
      <c r="L97" s="616" t="s">
        <v>1129</v>
      </c>
      <c r="M97" s="544"/>
      <c r="N97" s="545" t="str">
        <f t="shared" si="2"/>
        <v>DM</v>
      </c>
      <c r="O97" s="633">
        <v>1.0</v>
      </c>
      <c r="P97" s="633">
        <v>0.0</v>
      </c>
      <c r="Q97" s="633">
        <v>0.0</v>
      </c>
      <c r="R97" s="620"/>
      <c r="S97" s="549"/>
      <c r="T97" s="549">
        <v>46108.0</v>
      </c>
      <c r="U97" s="549"/>
      <c r="V97" s="549"/>
      <c r="W97" s="549"/>
      <c r="X97" s="549"/>
      <c r="Y97" s="548"/>
      <c r="Z97" s="548"/>
    </row>
    <row r="98">
      <c r="A98" s="538">
        <v>97.0</v>
      </c>
      <c r="B98" s="616" t="s">
        <v>20</v>
      </c>
      <c r="C98" s="544"/>
      <c r="D98" s="617" t="s">
        <v>1130</v>
      </c>
      <c r="E98" s="541" t="s">
        <v>69</v>
      </c>
      <c r="F98" s="541" t="s">
        <v>1131</v>
      </c>
      <c r="G98" s="618" t="s">
        <v>44</v>
      </c>
      <c r="H98" s="616" t="s">
        <v>64</v>
      </c>
      <c r="I98" s="618" t="s">
        <v>3520</v>
      </c>
      <c r="J98" s="542" t="s">
        <v>1133</v>
      </c>
      <c r="K98" s="543"/>
      <c r="L98" s="616" t="s">
        <v>1134</v>
      </c>
      <c r="M98" s="544"/>
      <c r="N98" s="545" t="str">
        <f t="shared" si="2"/>
        <v>DM</v>
      </c>
      <c r="O98" s="633">
        <v>1.0</v>
      </c>
      <c r="P98" s="633">
        <v>0.0</v>
      </c>
      <c r="Q98" s="633">
        <v>0.0</v>
      </c>
      <c r="R98" s="620"/>
      <c r="S98" s="549"/>
      <c r="T98" s="549">
        <v>46108.0</v>
      </c>
      <c r="U98" s="549"/>
      <c r="V98" s="549"/>
      <c r="W98" s="549"/>
      <c r="X98" s="549"/>
      <c r="Y98" s="548"/>
      <c r="Z98" s="548"/>
    </row>
    <row r="99">
      <c r="A99" s="538">
        <v>98.0</v>
      </c>
      <c r="B99" s="616" t="s">
        <v>20</v>
      </c>
      <c r="C99" s="544"/>
      <c r="D99" s="617" t="s">
        <v>1062</v>
      </c>
      <c r="E99" s="541" t="s">
        <v>1063</v>
      </c>
      <c r="F99" s="541" t="s">
        <v>1144</v>
      </c>
      <c r="G99" s="618" t="s">
        <v>44</v>
      </c>
      <c r="H99" s="616" t="s">
        <v>64</v>
      </c>
      <c r="I99" s="618" t="s">
        <v>1145</v>
      </c>
      <c r="J99" s="542" t="s">
        <v>1146</v>
      </c>
      <c r="K99" s="543"/>
      <c r="L99" s="616" t="s">
        <v>1147</v>
      </c>
      <c r="M99" s="544"/>
      <c r="N99" s="545" t="str">
        <f t="shared" si="2"/>
        <v>DM</v>
      </c>
      <c r="O99" s="633">
        <v>1.0</v>
      </c>
      <c r="P99" s="633">
        <v>0.0</v>
      </c>
      <c r="Q99" s="633">
        <v>0.0</v>
      </c>
      <c r="R99" s="620"/>
      <c r="S99" s="549"/>
      <c r="T99" s="549">
        <v>46108.0</v>
      </c>
      <c r="U99" s="549"/>
      <c r="V99" s="549"/>
      <c r="W99" s="549"/>
      <c r="X99" s="549"/>
      <c r="Y99" s="548"/>
      <c r="Z99" s="548"/>
    </row>
    <row r="100">
      <c r="A100" s="538">
        <v>99.0</v>
      </c>
      <c r="B100" s="616" t="s">
        <v>20</v>
      </c>
      <c r="C100" s="544"/>
      <c r="D100" s="617" t="s">
        <v>1151</v>
      </c>
      <c r="E100" s="541" t="s">
        <v>531</v>
      </c>
      <c r="F100" s="541" t="s">
        <v>1152</v>
      </c>
      <c r="G100" s="618" t="s">
        <v>44</v>
      </c>
      <c r="H100" s="616" t="s">
        <v>106</v>
      </c>
      <c r="I100" s="544"/>
      <c r="J100" s="542" t="s">
        <v>1153</v>
      </c>
      <c r="K100" s="543"/>
      <c r="L100" s="616" t="s">
        <v>1154</v>
      </c>
      <c r="M100" s="544"/>
      <c r="N100" s="545" t="str">
        <f t="shared" si="2"/>
        <v>DM</v>
      </c>
      <c r="O100" s="633">
        <v>1.0</v>
      </c>
      <c r="P100" s="633">
        <v>0.0</v>
      </c>
      <c r="Q100" s="633">
        <v>0.0</v>
      </c>
      <c r="R100" s="620"/>
      <c r="S100" s="549"/>
      <c r="T100" s="549">
        <v>46108.0</v>
      </c>
      <c r="U100" s="549"/>
      <c r="V100" s="549"/>
      <c r="W100" s="549"/>
      <c r="X100" s="549"/>
      <c r="Y100" s="548"/>
      <c r="Z100" s="548"/>
    </row>
    <row r="101">
      <c r="A101" s="538">
        <v>100.0</v>
      </c>
      <c r="B101" s="616" t="s">
        <v>20</v>
      </c>
      <c r="C101" s="544"/>
      <c r="D101" s="617" t="s">
        <v>1155</v>
      </c>
      <c r="E101" s="541" t="s">
        <v>531</v>
      </c>
      <c r="F101" s="541" t="s">
        <v>1156</v>
      </c>
      <c r="G101" s="618" t="s">
        <v>44</v>
      </c>
      <c r="H101" s="616" t="s">
        <v>106</v>
      </c>
      <c r="I101" s="543"/>
      <c r="J101" s="542" t="s">
        <v>1157</v>
      </c>
      <c r="K101" s="543"/>
      <c r="L101" s="616" t="s">
        <v>1158</v>
      </c>
      <c r="M101" s="544"/>
      <c r="N101" s="545" t="str">
        <f t="shared" si="2"/>
        <v>DM</v>
      </c>
      <c r="O101" s="633">
        <v>1.0</v>
      </c>
      <c r="P101" s="633">
        <v>0.0</v>
      </c>
      <c r="Q101" s="633">
        <v>0.0</v>
      </c>
      <c r="R101" s="620"/>
      <c r="S101" s="549"/>
      <c r="T101" s="549">
        <v>46108.0</v>
      </c>
      <c r="U101" s="549"/>
      <c r="V101" s="549"/>
      <c r="W101" s="549"/>
      <c r="X101" s="549"/>
      <c r="Y101" s="548"/>
      <c r="Z101" s="548"/>
    </row>
    <row r="102">
      <c r="A102" s="538">
        <v>101.0</v>
      </c>
      <c r="B102" s="616" t="s">
        <v>20</v>
      </c>
      <c r="C102" s="543"/>
      <c r="D102" s="631" t="s">
        <v>1159</v>
      </c>
      <c r="E102" s="541" t="s">
        <v>513</v>
      </c>
      <c r="F102" s="551" t="s">
        <v>1160</v>
      </c>
      <c r="G102" s="629" t="s">
        <v>44</v>
      </c>
      <c r="H102" s="616" t="s">
        <v>64</v>
      </c>
      <c r="I102" s="618" t="s">
        <v>663</v>
      </c>
      <c r="J102" s="542" t="s">
        <v>1161</v>
      </c>
      <c r="K102" s="543"/>
      <c r="L102" s="635" t="s">
        <v>1162</v>
      </c>
      <c r="M102" s="554" t="s">
        <v>1163</v>
      </c>
      <c r="N102" s="545" t="str">
        <f t="shared" si="2"/>
        <v>DM</v>
      </c>
      <c r="O102" s="633">
        <v>1.0</v>
      </c>
      <c r="P102" s="633">
        <v>0.0</v>
      </c>
      <c r="Q102" s="633">
        <v>0.0</v>
      </c>
      <c r="R102" s="620"/>
      <c r="S102" s="549"/>
      <c r="T102" s="549">
        <v>46108.0</v>
      </c>
      <c r="U102" s="549"/>
      <c r="V102" s="549"/>
      <c r="W102" s="549"/>
      <c r="X102" s="549"/>
      <c r="Y102" s="548"/>
      <c r="Z102" s="548"/>
    </row>
    <row r="103">
      <c r="A103" s="491">
        <v>102.0</v>
      </c>
      <c r="B103" s="612" t="s">
        <v>20</v>
      </c>
      <c r="C103" s="494"/>
      <c r="D103" s="613" t="s">
        <v>938</v>
      </c>
      <c r="E103" s="492" t="s">
        <v>578</v>
      </c>
      <c r="F103" s="492" t="s">
        <v>1166</v>
      </c>
      <c r="G103" s="512" t="s">
        <v>44</v>
      </c>
      <c r="H103" s="494"/>
      <c r="I103" s="512" t="s">
        <v>1031</v>
      </c>
      <c r="J103" s="493" t="s">
        <v>1167</v>
      </c>
      <c r="K103" s="493" t="s">
        <v>1168</v>
      </c>
      <c r="L103" s="612" t="s">
        <v>1169</v>
      </c>
      <c r="M103" s="494"/>
      <c r="N103" s="495" t="str">
        <f t="shared" si="2"/>
        <v>DM+이메일</v>
      </c>
      <c r="O103" s="627">
        <v>1.0</v>
      </c>
      <c r="P103" s="627">
        <v>1.0</v>
      </c>
      <c r="Q103" s="627">
        <v>0.0</v>
      </c>
      <c r="R103" s="535"/>
      <c r="S103" s="474"/>
      <c r="T103" s="474">
        <v>46108.0</v>
      </c>
      <c r="U103" s="473" t="s">
        <v>139</v>
      </c>
      <c r="V103" s="615" t="s">
        <v>218</v>
      </c>
      <c r="W103" s="474"/>
      <c r="X103" s="474"/>
      <c r="Y103" s="476"/>
      <c r="Z103" s="476"/>
      <c r="AA103" s="477"/>
    </row>
    <row r="104">
      <c r="A104" s="491">
        <v>103.0</v>
      </c>
      <c r="B104" s="612" t="s">
        <v>20</v>
      </c>
      <c r="C104" s="494"/>
      <c r="D104" s="613" t="s">
        <v>1026</v>
      </c>
      <c r="E104" s="492" t="s">
        <v>429</v>
      </c>
      <c r="F104" s="492" t="s">
        <v>1170</v>
      </c>
      <c r="G104" s="512" t="s">
        <v>44</v>
      </c>
      <c r="H104" s="612" t="s">
        <v>64</v>
      </c>
      <c r="I104" s="512" t="s">
        <v>201</v>
      </c>
      <c r="J104" s="493" t="s">
        <v>1171</v>
      </c>
      <c r="K104" s="498"/>
      <c r="L104" s="612" t="s">
        <v>1172</v>
      </c>
      <c r="M104" s="494"/>
      <c r="N104" s="495" t="str">
        <f t="shared" si="2"/>
        <v>이메일</v>
      </c>
      <c r="O104" s="627">
        <v>0.0</v>
      </c>
      <c r="P104" s="627">
        <v>1.0</v>
      </c>
      <c r="Q104" s="627">
        <v>0.0</v>
      </c>
      <c r="R104" s="535"/>
      <c r="S104" s="474"/>
      <c r="T104" s="474">
        <v>46108.0</v>
      </c>
      <c r="U104" s="473" t="s">
        <v>139</v>
      </c>
      <c r="V104" s="615" t="s">
        <v>218</v>
      </c>
      <c r="W104" s="474"/>
      <c r="X104" s="474"/>
      <c r="Y104" s="476"/>
      <c r="Z104" s="476"/>
      <c r="AA104" s="477"/>
    </row>
    <row r="105">
      <c r="A105" s="491">
        <v>104.0</v>
      </c>
      <c r="B105" s="612" t="s">
        <v>20</v>
      </c>
      <c r="C105" s="494"/>
      <c r="D105" s="613" t="s">
        <v>1173</v>
      </c>
      <c r="E105" s="492" t="s">
        <v>429</v>
      </c>
      <c r="F105" s="621" t="s">
        <v>1174</v>
      </c>
      <c r="G105" s="512" t="s">
        <v>44</v>
      </c>
      <c r="H105" s="612" t="s">
        <v>64</v>
      </c>
      <c r="I105" s="512" t="s">
        <v>1175</v>
      </c>
      <c r="J105" s="493" t="s">
        <v>1176</v>
      </c>
      <c r="K105" s="498"/>
      <c r="L105" s="612" t="s">
        <v>1177</v>
      </c>
      <c r="M105" s="505" t="s">
        <v>3127</v>
      </c>
      <c r="N105" s="495" t="str">
        <f t="shared" si="2"/>
        <v>이메일</v>
      </c>
      <c r="O105" s="627">
        <v>0.0</v>
      </c>
      <c r="P105" s="627">
        <v>1.0</v>
      </c>
      <c r="Q105" s="627">
        <v>0.0</v>
      </c>
      <c r="R105" s="535"/>
      <c r="S105" s="474"/>
      <c r="T105" s="474">
        <v>46108.0</v>
      </c>
      <c r="U105" s="473" t="s">
        <v>139</v>
      </c>
      <c r="V105" s="615" t="s">
        <v>218</v>
      </c>
      <c r="W105" s="473" t="s">
        <v>2</v>
      </c>
      <c r="X105" s="473" t="s">
        <v>20</v>
      </c>
      <c r="Y105" s="476"/>
      <c r="Z105" s="394" t="s">
        <v>1178</v>
      </c>
      <c r="AA105" s="477"/>
    </row>
    <row r="106">
      <c r="A106" s="538">
        <v>105.0</v>
      </c>
      <c r="B106" s="616" t="s">
        <v>20</v>
      </c>
      <c r="C106" s="544"/>
      <c r="D106" s="617" t="s">
        <v>1184</v>
      </c>
      <c r="E106" s="541" t="s">
        <v>1180</v>
      </c>
      <c r="F106" s="541" t="s">
        <v>1185</v>
      </c>
      <c r="G106" s="618" t="s">
        <v>44</v>
      </c>
      <c r="H106" s="616" t="s">
        <v>64</v>
      </c>
      <c r="I106" s="618" t="s">
        <v>1186</v>
      </c>
      <c r="J106" s="543"/>
      <c r="K106" s="542" t="s">
        <v>1187</v>
      </c>
      <c r="L106" s="619"/>
      <c r="M106" s="544"/>
      <c r="N106" s="545" t="str">
        <f t="shared" si="2"/>
        <v>DM</v>
      </c>
      <c r="O106" s="633">
        <v>1.0</v>
      </c>
      <c r="P106" s="633">
        <v>0.0</v>
      </c>
      <c r="Q106" s="633">
        <v>0.0</v>
      </c>
      <c r="R106" s="620"/>
      <c r="S106" s="549"/>
      <c r="T106" s="549">
        <v>46108.0</v>
      </c>
      <c r="U106" s="549"/>
      <c r="V106" s="549"/>
      <c r="W106" s="549"/>
      <c r="X106" s="549"/>
      <c r="Y106" s="548"/>
      <c r="Z106" s="548"/>
    </row>
    <row r="107">
      <c r="A107" s="491">
        <v>106.0</v>
      </c>
      <c r="B107" s="612" t="s">
        <v>20</v>
      </c>
      <c r="C107" s="494"/>
      <c r="D107" s="613" t="s">
        <v>1188</v>
      </c>
      <c r="E107" s="492" t="s">
        <v>1189</v>
      </c>
      <c r="F107" s="492" t="s">
        <v>1190</v>
      </c>
      <c r="G107" s="512" t="s">
        <v>1191</v>
      </c>
      <c r="H107" s="612" t="s">
        <v>64</v>
      </c>
      <c r="I107" s="512" t="s">
        <v>44</v>
      </c>
      <c r="J107" s="493" t="s">
        <v>1192</v>
      </c>
      <c r="K107" s="493" t="s">
        <v>1193</v>
      </c>
      <c r="L107" s="612" t="s">
        <v>1194</v>
      </c>
      <c r="M107" s="494"/>
      <c r="N107" s="495" t="str">
        <f t="shared" si="2"/>
        <v>DM+이메일</v>
      </c>
      <c r="O107" s="627">
        <v>1.0</v>
      </c>
      <c r="P107" s="627">
        <v>1.0</v>
      </c>
      <c r="Q107" s="627">
        <v>0.0</v>
      </c>
      <c r="R107" s="535"/>
      <c r="S107" s="474"/>
      <c r="T107" s="474">
        <v>46108.0</v>
      </c>
      <c r="U107" s="473" t="s">
        <v>139</v>
      </c>
      <c r="V107" s="615" t="s">
        <v>218</v>
      </c>
      <c r="W107" s="474"/>
      <c r="X107" s="474"/>
      <c r="Y107" s="476"/>
      <c r="Z107" s="476"/>
      <c r="AA107" s="477"/>
    </row>
    <row r="108">
      <c r="A108" s="491">
        <v>107.0</v>
      </c>
      <c r="B108" s="612" t="s">
        <v>20</v>
      </c>
      <c r="C108" s="494"/>
      <c r="D108" s="613" t="s">
        <v>911</v>
      </c>
      <c r="E108" s="492" t="s">
        <v>109</v>
      </c>
      <c r="F108" s="492" t="s">
        <v>1203</v>
      </c>
      <c r="G108" s="512" t="s">
        <v>44</v>
      </c>
      <c r="H108" s="612" t="s">
        <v>64</v>
      </c>
      <c r="I108" s="512" t="s">
        <v>1201</v>
      </c>
      <c r="J108" s="493" t="s">
        <v>1204</v>
      </c>
      <c r="K108" s="498"/>
      <c r="L108" s="612" t="s">
        <v>1205</v>
      </c>
      <c r="M108" s="494"/>
      <c r="N108" s="495" t="str">
        <f t="shared" si="2"/>
        <v>이메일</v>
      </c>
      <c r="O108" s="627">
        <v>0.0</v>
      </c>
      <c r="P108" s="627">
        <v>1.0</v>
      </c>
      <c r="Q108" s="627">
        <v>0.0</v>
      </c>
      <c r="R108" s="535"/>
      <c r="S108" s="474"/>
      <c r="T108" s="474">
        <v>46108.0</v>
      </c>
      <c r="U108" s="473" t="s">
        <v>139</v>
      </c>
      <c r="V108" s="615" t="s">
        <v>218</v>
      </c>
      <c r="W108" s="474"/>
      <c r="X108" s="474"/>
      <c r="Y108" s="476"/>
      <c r="Z108" s="476"/>
      <c r="AA108" s="477"/>
    </row>
    <row r="109">
      <c r="A109" s="491">
        <v>108.0</v>
      </c>
      <c r="B109" s="612" t="s">
        <v>20</v>
      </c>
      <c r="C109" s="494"/>
      <c r="D109" s="613" t="s">
        <v>1213</v>
      </c>
      <c r="E109" s="492" t="s">
        <v>506</v>
      </c>
      <c r="F109" s="492" t="s">
        <v>1214</v>
      </c>
      <c r="G109" s="512" t="s">
        <v>486</v>
      </c>
      <c r="H109" s="612" t="s">
        <v>124</v>
      </c>
      <c r="I109" s="512" t="s">
        <v>1215</v>
      </c>
      <c r="J109" s="493" t="s">
        <v>1216</v>
      </c>
      <c r="K109" s="498"/>
      <c r="L109" s="612" t="s">
        <v>1217</v>
      </c>
      <c r="M109" s="497" t="s">
        <v>1218</v>
      </c>
      <c r="N109" s="495" t="str">
        <f t="shared" si="2"/>
        <v>이메일</v>
      </c>
      <c r="O109" s="627">
        <v>0.0</v>
      </c>
      <c r="P109" s="627">
        <v>1.0</v>
      </c>
      <c r="Q109" s="627">
        <v>0.0</v>
      </c>
      <c r="R109" s="535"/>
      <c r="S109" s="474"/>
      <c r="T109" s="474">
        <v>46108.0</v>
      </c>
      <c r="U109" s="473" t="s">
        <v>139</v>
      </c>
      <c r="V109" s="615" t="s">
        <v>218</v>
      </c>
      <c r="W109" s="474"/>
      <c r="X109" s="474"/>
      <c r="Y109" s="476"/>
      <c r="Z109" s="476"/>
      <c r="AA109" s="477"/>
    </row>
    <row r="110">
      <c r="A110" s="491">
        <v>109.0</v>
      </c>
      <c r="B110" s="612" t="s">
        <v>20</v>
      </c>
      <c r="C110" s="494"/>
      <c r="D110" s="613" t="s">
        <v>1225</v>
      </c>
      <c r="E110" s="492" t="s">
        <v>506</v>
      </c>
      <c r="F110" s="492" t="s">
        <v>1226</v>
      </c>
      <c r="G110" s="512" t="s">
        <v>486</v>
      </c>
      <c r="H110" s="612" t="s">
        <v>124</v>
      </c>
      <c r="I110" s="512" t="s">
        <v>553</v>
      </c>
      <c r="J110" s="498"/>
      <c r="K110" s="493" t="s">
        <v>1227</v>
      </c>
      <c r="L110" s="624" t="s">
        <v>1228</v>
      </c>
      <c r="M110" s="494"/>
      <c r="N110" s="495" t="str">
        <f t="shared" si="2"/>
        <v>DM+이메일</v>
      </c>
      <c r="O110" s="627">
        <v>1.0</v>
      </c>
      <c r="P110" s="627">
        <v>1.0</v>
      </c>
      <c r="Q110" s="627">
        <v>0.0</v>
      </c>
      <c r="R110" s="535"/>
      <c r="S110" s="474"/>
      <c r="T110" s="474">
        <v>46108.0</v>
      </c>
      <c r="U110" s="473" t="s">
        <v>139</v>
      </c>
      <c r="V110" s="615" t="s">
        <v>218</v>
      </c>
      <c r="W110" s="474"/>
      <c r="X110" s="474"/>
      <c r="Y110" s="476"/>
      <c r="Z110" s="476"/>
      <c r="AA110" s="477"/>
    </row>
    <row r="111">
      <c r="A111" s="538">
        <v>110.0</v>
      </c>
      <c r="B111" s="616" t="s">
        <v>20</v>
      </c>
      <c r="C111" s="544"/>
      <c r="D111" s="617" t="s">
        <v>1213</v>
      </c>
      <c r="E111" s="541" t="s">
        <v>494</v>
      </c>
      <c r="F111" s="541" t="s">
        <v>1229</v>
      </c>
      <c r="G111" s="618" t="s">
        <v>789</v>
      </c>
      <c r="H111" s="616" t="s">
        <v>124</v>
      </c>
      <c r="I111" s="618" t="s">
        <v>3521</v>
      </c>
      <c r="J111" s="543"/>
      <c r="K111" s="542" t="s">
        <v>1231</v>
      </c>
      <c r="L111" s="619"/>
      <c r="M111" s="544"/>
      <c r="N111" s="545" t="str">
        <f t="shared" si="2"/>
        <v>DM</v>
      </c>
      <c r="O111" s="633">
        <v>1.0</v>
      </c>
      <c r="P111" s="633">
        <v>0.0</v>
      </c>
      <c r="Q111" s="633">
        <v>0.0</v>
      </c>
      <c r="R111" s="620"/>
      <c r="S111" s="549"/>
      <c r="T111" s="549">
        <v>46108.0</v>
      </c>
      <c r="U111" s="549"/>
      <c r="V111" s="549"/>
      <c r="W111" s="549"/>
      <c r="X111" s="549"/>
      <c r="Y111" s="548"/>
      <c r="Z111" s="548"/>
    </row>
    <row r="112">
      <c r="A112" s="538">
        <v>111.0</v>
      </c>
      <c r="B112" s="616" t="s">
        <v>20</v>
      </c>
      <c r="C112" s="544"/>
      <c r="D112" s="617" t="s">
        <v>938</v>
      </c>
      <c r="E112" s="541" t="s">
        <v>531</v>
      </c>
      <c r="F112" s="541" t="s">
        <v>1232</v>
      </c>
      <c r="G112" s="618" t="s">
        <v>1031</v>
      </c>
      <c r="H112" s="616" t="s">
        <v>124</v>
      </c>
      <c r="I112" s="618" t="s">
        <v>1031</v>
      </c>
      <c r="J112" s="543"/>
      <c r="K112" s="543"/>
      <c r="L112" s="619"/>
      <c r="M112" s="544"/>
      <c r="N112" s="545" t="str">
        <f t="shared" si="2"/>
        <v/>
      </c>
      <c r="O112" s="633">
        <v>0.0</v>
      </c>
      <c r="P112" s="633">
        <v>0.0</v>
      </c>
      <c r="Q112" s="633">
        <v>0.0</v>
      </c>
      <c r="R112" s="620"/>
      <c r="S112" s="549"/>
      <c r="T112" s="549">
        <v>46108.0</v>
      </c>
      <c r="U112" s="549"/>
      <c r="V112" s="549"/>
      <c r="W112" s="549"/>
      <c r="X112" s="549"/>
      <c r="Y112" s="548"/>
      <c r="Z112" s="548"/>
    </row>
    <row r="113">
      <c r="A113" s="538">
        <v>112.0</v>
      </c>
      <c r="B113" s="616" t="s">
        <v>20</v>
      </c>
      <c r="C113" s="544"/>
      <c r="D113" s="617" t="s">
        <v>938</v>
      </c>
      <c r="E113" s="541" t="s">
        <v>531</v>
      </c>
      <c r="F113" s="636" t="s">
        <v>1233</v>
      </c>
      <c r="G113" s="618" t="s">
        <v>1031</v>
      </c>
      <c r="H113" s="616" t="s">
        <v>124</v>
      </c>
      <c r="I113" s="618" t="s">
        <v>1031</v>
      </c>
      <c r="J113" s="543"/>
      <c r="K113" s="543"/>
      <c r="L113" s="619"/>
      <c r="M113" s="544"/>
      <c r="N113" s="545" t="str">
        <f t="shared" si="2"/>
        <v/>
      </c>
      <c r="O113" s="633">
        <v>0.0</v>
      </c>
      <c r="P113" s="633">
        <v>0.0</v>
      </c>
      <c r="Q113" s="633">
        <v>0.0</v>
      </c>
      <c r="R113" s="620"/>
      <c r="S113" s="549"/>
      <c r="T113" s="549">
        <v>46108.0</v>
      </c>
      <c r="U113" s="549"/>
      <c r="V113" s="549"/>
      <c r="W113" s="549"/>
      <c r="X113" s="549"/>
      <c r="Y113" s="548"/>
      <c r="Z113" s="548"/>
    </row>
    <row r="114">
      <c r="A114" s="538">
        <v>113.0</v>
      </c>
      <c r="B114" s="616" t="s">
        <v>20</v>
      </c>
      <c r="C114" s="544"/>
      <c r="D114" s="617" t="s">
        <v>646</v>
      </c>
      <c r="E114" s="541" t="s">
        <v>531</v>
      </c>
      <c r="F114" s="636" t="s">
        <v>870</v>
      </c>
      <c r="G114" s="618" t="s">
        <v>1031</v>
      </c>
      <c r="H114" s="616" t="s">
        <v>124</v>
      </c>
      <c r="I114" s="618" t="s">
        <v>1031</v>
      </c>
      <c r="J114" s="543"/>
      <c r="K114" s="543"/>
      <c r="L114" s="619"/>
      <c r="M114" s="544"/>
      <c r="N114" s="545" t="str">
        <f t="shared" si="2"/>
        <v/>
      </c>
      <c r="O114" s="633">
        <v>0.0</v>
      </c>
      <c r="P114" s="633">
        <v>0.0</v>
      </c>
      <c r="Q114" s="633">
        <v>0.0</v>
      </c>
      <c r="R114" s="620"/>
      <c r="S114" s="549"/>
      <c r="T114" s="549">
        <v>46108.0</v>
      </c>
      <c r="U114" s="549"/>
      <c r="V114" s="549"/>
      <c r="W114" s="549"/>
      <c r="X114" s="549"/>
      <c r="Y114" s="548"/>
      <c r="Z114" s="548"/>
    </row>
    <row r="115">
      <c r="A115" s="538">
        <v>114.0</v>
      </c>
      <c r="B115" s="616" t="s">
        <v>20</v>
      </c>
      <c r="C115" s="544"/>
      <c r="D115" s="617" t="s">
        <v>1234</v>
      </c>
      <c r="E115" s="541" t="s">
        <v>531</v>
      </c>
      <c r="F115" s="541" t="s">
        <v>1235</v>
      </c>
      <c r="G115" s="618" t="s">
        <v>1031</v>
      </c>
      <c r="H115" s="616" t="s">
        <v>124</v>
      </c>
      <c r="I115" s="618" t="s">
        <v>1031</v>
      </c>
      <c r="J115" s="543"/>
      <c r="K115" s="543"/>
      <c r="L115" s="619"/>
      <c r="M115" s="544"/>
      <c r="N115" s="545" t="str">
        <f t="shared" si="2"/>
        <v/>
      </c>
      <c r="O115" s="633">
        <v>0.0</v>
      </c>
      <c r="P115" s="633">
        <v>0.0</v>
      </c>
      <c r="Q115" s="633">
        <v>0.0</v>
      </c>
      <c r="R115" s="620"/>
      <c r="S115" s="549"/>
      <c r="T115" s="549">
        <v>46108.0</v>
      </c>
      <c r="U115" s="549"/>
      <c r="V115" s="549"/>
      <c r="W115" s="549"/>
      <c r="X115" s="549"/>
      <c r="Y115" s="548"/>
      <c r="Z115" s="548"/>
    </row>
    <row r="116">
      <c r="A116" s="538">
        <v>115.0</v>
      </c>
      <c r="B116" s="616" t="s">
        <v>20</v>
      </c>
      <c r="C116" s="544"/>
      <c r="D116" s="617" t="s">
        <v>938</v>
      </c>
      <c r="E116" s="541" t="s">
        <v>531</v>
      </c>
      <c r="F116" s="541" t="s">
        <v>1236</v>
      </c>
      <c r="G116" s="618" t="s">
        <v>1031</v>
      </c>
      <c r="H116" s="616" t="s">
        <v>124</v>
      </c>
      <c r="I116" s="618" t="s">
        <v>1031</v>
      </c>
      <c r="J116" s="543"/>
      <c r="K116" s="543"/>
      <c r="L116" s="619"/>
      <c r="M116" s="544"/>
      <c r="N116" s="545" t="str">
        <f t="shared" si="2"/>
        <v/>
      </c>
      <c r="O116" s="633">
        <v>0.0</v>
      </c>
      <c r="P116" s="633">
        <v>0.0</v>
      </c>
      <c r="Q116" s="633">
        <v>0.0</v>
      </c>
      <c r="R116" s="620"/>
      <c r="S116" s="549"/>
      <c r="T116" s="549">
        <v>46108.0</v>
      </c>
      <c r="U116" s="549"/>
      <c r="V116" s="549"/>
      <c r="W116" s="549"/>
      <c r="X116" s="549"/>
      <c r="Y116" s="548"/>
      <c r="Z116" s="548"/>
    </row>
    <row r="117">
      <c r="A117" s="538">
        <v>116.0</v>
      </c>
      <c r="B117" s="616" t="s">
        <v>20</v>
      </c>
      <c r="C117" s="544"/>
      <c r="D117" s="617" t="s">
        <v>1237</v>
      </c>
      <c r="E117" s="541" t="s">
        <v>531</v>
      </c>
      <c r="F117" s="541" t="s">
        <v>1238</v>
      </c>
      <c r="G117" s="618" t="s">
        <v>1031</v>
      </c>
      <c r="H117" s="616" t="s">
        <v>124</v>
      </c>
      <c r="I117" s="618" t="s">
        <v>1031</v>
      </c>
      <c r="J117" s="543"/>
      <c r="K117" s="543"/>
      <c r="L117" s="619"/>
      <c r="M117" s="544"/>
      <c r="N117" s="545" t="str">
        <f t="shared" si="2"/>
        <v/>
      </c>
      <c r="O117" s="633">
        <v>0.0</v>
      </c>
      <c r="P117" s="633">
        <v>0.0</v>
      </c>
      <c r="Q117" s="633">
        <v>0.0</v>
      </c>
      <c r="R117" s="620"/>
      <c r="S117" s="549"/>
      <c r="T117" s="549">
        <v>46108.0</v>
      </c>
      <c r="U117" s="549"/>
      <c r="V117" s="549"/>
      <c r="W117" s="549"/>
      <c r="X117" s="549"/>
      <c r="Y117" s="548"/>
      <c r="Z117" s="548"/>
    </row>
    <row r="118">
      <c r="A118" s="538">
        <v>117.0</v>
      </c>
      <c r="B118" s="616" t="s">
        <v>20</v>
      </c>
      <c r="C118" s="544"/>
      <c r="D118" s="617" t="s">
        <v>938</v>
      </c>
      <c r="E118" s="541" t="s">
        <v>531</v>
      </c>
      <c r="F118" s="541" t="s">
        <v>1239</v>
      </c>
      <c r="G118" s="618" t="s">
        <v>1031</v>
      </c>
      <c r="H118" s="616" t="s">
        <v>124</v>
      </c>
      <c r="I118" s="618" t="s">
        <v>1031</v>
      </c>
      <c r="J118" s="543"/>
      <c r="K118" s="543"/>
      <c r="L118" s="619"/>
      <c r="M118" s="544"/>
      <c r="N118" s="545" t="str">
        <f t="shared" si="2"/>
        <v/>
      </c>
      <c r="O118" s="633">
        <v>0.0</v>
      </c>
      <c r="P118" s="633">
        <v>0.0</v>
      </c>
      <c r="Q118" s="633">
        <v>0.0</v>
      </c>
      <c r="R118" s="620"/>
      <c r="S118" s="549"/>
      <c r="T118" s="549">
        <v>46108.0</v>
      </c>
      <c r="U118" s="549"/>
      <c r="V118" s="549"/>
      <c r="W118" s="549"/>
      <c r="X118" s="549"/>
      <c r="Y118" s="548"/>
      <c r="Z118" s="548"/>
    </row>
    <row r="119">
      <c r="A119" s="538">
        <v>118.0</v>
      </c>
      <c r="B119" s="616" t="s">
        <v>20</v>
      </c>
      <c r="C119" s="544"/>
      <c r="D119" s="617" t="s">
        <v>1237</v>
      </c>
      <c r="E119" s="541" t="s">
        <v>531</v>
      </c>
      <c r="F119" s="541" t="s">
        <v>1240</v>
      </c>
      <c r="G119" s="618" t="s">
        <v>1031</v>
      </c>
      <c r="H119" s="616" t="s">
        <v>124</v>
      </c>
      <c r="I119" s="618" t="s">
        <v>1031</v>
      </c>
      <c r="J119" s="543"/>
      <c r="K119" s="543"/>
      <c r="L119" s="619"/>
      <c r="M119" s="544"/>
      <c r="N119" s="545" t="str">
        <f t="shared" si="2"/>
        <v/>
      </c>
      <c r="O119" s="633">
        <v>0.0</v>
      </c>
      <c r="P119" s="633">
        <v>0.0</v>
      </c>
      <c r="Q119" s="633">
        <v>0.0</v>
      </c>
      <c r="R119" s="620"/>
      <c r="S119" s="549"/>
      <c r="T119" s="549">
        <v>46108.0</v>
      </c>
      <c r="U119" s="549"/>
      <c r="V119" s="549"/>
      <c r="W119" s="549"/>
      <c r="X119" s="549"/>
      <c r="Y119" s="548"/>
      <c r="Z119" s="548"/>
    </row>
    <row r="120">
      <c r="A120" s="491">
        <v>119.0</v>
      </c>
      <c r="B120" s="612" t="s">
        <v>20</v>
      </c>
      <c r="C120" s="494"/>
      <c r="D120" s="613" t="s">
        <v>1242</v>
      </c>
      <c r="E120" s="492" t="s">
        <v>353</v>
      </c>
      <c r="F120" s="492" t="s">
        <v>1243</v>
      </c>
      <c r="G120" s="512" t="s">
        <v>44</v>
      </c>
      <c r="H120" s="612" t="s">
        <v>64</v>
      </c>
      <c r="I120" s="512" t="s">
        <v>1244</v>
      </c>
      <c r="J120" s="493" t="s">
        <v>1245</v>
      </c>
      <c r="K120" s="493" t="s">
        <v>1246</v>
      </c>
      <c r="L120" s="612" t="s">
        <v>1247</v>
      </c>
      <c r="M120" s="494"/>
      <c r="N120" s="495" t="str">
        <f t="shared" si="2"/>
        <v>DM+이메일</v>
      </c>
      <c r="O120" s="627">
        <v>1.0</v>
      </c>
      <c r="P120" s="627">
        <v>1.0</v>
      </c>
      <c r="Q120" s="627">
        <v>0.0</v>
      </c>
      <c r="R120" s="535"/>
      <c r="S120" s="474"/>
      <c r="T120" s="474">
        <v>46108.0</v>
      </c>
      <c r="U120" s="473" t="s">
        <v>139</v>
      </c>
      <c r="V120" s="615" t="s">
        <v>218</v>
      </c>
      <c r="W120" s="474"/>
      <c r="X120" s="474"/>
      <c r="Y120" s="476"/>
      <c r="Z120" s="476"/>
      <c r="AA120" s="477"/>
    </row>
    <row r="121">
      <c r="A121" s="491">
        <v>120.0</v>
      </c>
      <c r="B121" s="612" t="s">
        <v>20</v>
      </c>
      <c r="C121" s="494"/>
      <c r="D121" s="613" t="s">
        <v>574</v>
      </c>
      <c r="E121" s="492" t="s">
        <v>69</v>
      </c>
      <c r="F121" s="492" t="s">
        <v>1248</v>
      </c>
      <c r="G121" s="512" t="s">
        <v>44</v>
      </c>
      <c r="H121" s="612" t="s">
        <v>431</v>
      </c>
      <c r="I121" s="498"/>
      <c r="J121" s="493" t="s">
        <v>1249</v>
      </c>
      <c r="K121" s="498"/>
      <c r="L121" s="612" t="s">
        <v>1250</v>
      </c>
      <c r="M121" s="494"/>
      <c r="N121" s="495" t="str">
        <f t="shared" si="2"/>
        <v>이메일</v>
      </c>
      <c r="O121" s="627">
        <v>0.0</v>
      </c>
      <c r="P121" s="627">
        <v>1.0</v>
      </c>
      <c r="Q121" s="627">
        <v>0.0</v>
      </c>
      <c r="R121" s="535"/>
      <c r="S121" s="474"/>
      <c r="T121" s="474">
        <v>46108.0</v>
      </c>
      <c r="U121" s="473" t="s">
        <v>139</v>
      </c>
      <c r="V121" s="615" t="s">
        <v>218</v>
      </c>
      <c r="W121" s="474"/>
      <c r="X121" s="474"/>
      <c r="Y121" s="476"/>
      <c r="Z121" s="476"/>
      <c r="AA121" s="477"/>
    </row>
    <row r="122">
      <c r="A122" s="491">
        <v>121.0</v>
      </c>
      <c r="B122" s="612" t="s">
        <v>20</v>
      </c>
      <c r="C122" s="494"/>
      <c r="D122" s="613" t="s">
        <v>574</v>
      </c>
      <c r="E122" s="492" t="s">
        <v>69</v>
      </c>
      <c r="F122" s="503" t="s">
        <v>1251</v>
      </c>
      <c r="G122" s="512" t="s">
        <v>44</v>
      </c>
      <c r="H122" s="612" t="s">
        <v>64</v>
      </c>
      <c r="I122" s="512" t="s">
        <v>1252</v>
      </c>
      <c r="J122" s="493" t="s">
        <v>1253</v>
      </c>
      <c r="K122" s="498"/>
      <c r="L122" s="612" t="s">
        <v>1254</v>
      </c>
      <c r="M122" s="494"/>
      <c r="N122" s="495" t="str">
        <f t="shared" si="2"/>
        <v>이메일</v>
      </c>
      <c r="O122" s="627">
        <v>0.0</v>
      </c>
      <c r="P122" s="627">
        <v>1.0</v>
      </c>
      <c r="Q122" s="627">
        <v>0.0</v>
      </c>
      <c r="R122" s="535"/>
      <c r="S122" s="474"/>
      <c r="T122" s="474">
        <v>46108.0</v>
      </c>
      <c r="U122" s="473" t="s">
        <v>139</v>
      </c>
      <c r="V122" s="615" t="s">
        <v>218</v>
      </c>
      <c r="W122" s="474"/>
      <c r="X122" s="474"/>
      <c r="Y122" s="476"/>
      <c r="Z122" s="476"/>
      <c r="AA122" s="477"/>
    </row>
    <row r="123">
      <c r="A123" s="491">
        <v>122.0</v>
      </c>
      <c r="B123" s="612" t="s">
        <v>20</v>
      </c>
      <c r="C123" s="494"/>
      <c r="D123" s="613" t="s">
        <v>1258</v>
      </c>
      <c r="E123" s="492" t="s">
        <v>1110</v>
      </c>
      <c r="F123" s="492" t="s">
        <v>1259</v>
      </c>
      <c r="G123" s="512" t="s">
        <v>44</v>
      </c>
      <c r="H123" s="494"/>
      <c r="I123" s="494"/>
      <c r="J123" s="493" t="s">
        <v>1260</v>
      </c>
      <c r="K123" s="493" t="s">
        <v>1261</v>
      </c>
      <c r="L123" s="612" t="s">
        <v>1262</v>
      </c>
      <c r="M123" s="505" t="s">
        <v>3522</v>
      </c>
      <c r="N123" s="495" t="str">
        <f t="shared" si="2"/>
        <v>DM+이메일</v>
      </c>
      <c r="O123" s="627">
        <v>1.0</v>
      </c>
      <c r="P123" s="627">
        <v>1.0</v>
      </c>
      <c r="Q123" s="627">
        <v>0.0</v>
      </c>
      <c r="R123" s="535"/>
      <c r="S123" s="474"/>
      <c r="T123" s="474">
        <v>46108.0</v>
      </c>
      <c r="U123" s="473" t="s">
        <v>139</v>
      </c>
      <c r="V123" s="615" t="s">
        <v>218</v>
      </c>
      <c r="W123" s="474"/>
      <c r="X123" s="474"/>
      <c r="Y123" s="476"/>
      <c r="Z123" s="476"/>
      <c r="AA123" s="477"/>
    </row>
    <row r="124">
      <c r="A124" s="491">
        <v>123.0</v>
      </c>
      <c r="B124" s="612" t="s">
        <v>20</v>
      </c>
      <c r="C124" s="494"/>
      <c r="D124" s="613" t="s">
        <v>1264</v>
      </c>
      <c r="E124" s="492" t="s">
        <v>531</v>
      </c>
      <c r="F124" s="492" t="s">
        <v>1265</v>
      </c>
      <c r="G124" s="512" t="s">
        <v>44</v>
      </c>
      <c r="H124" s="612" t="s">
        <v>64</v>
      </c>
      <c r="I124" s="512" t="s">
        <v>992</v>
      </c>
      <c r="J124" s="493" t="s">
        <v>1266</v>
      </c>
      <c r="K124" s="498"/>
      <c r="L124" s="612" t="s">
        <v>1267</v>
      </c>
      <c r="M124" s="494"/>
      <c r="N124" s="495" t="str">
        <f t="shared" si="2"/>
        <v>이메일</v>
      </c>
      <c r="O124" s="627">
        <v>0.0</v>
      </c>
      <c r="P124" s="627">
        <v>1.0</v>
      </c>
      <c r="Q124" s="627">
        <v>0.0</v>
      </c>
      <c r="R124" s="535"/>
      <c r="S124" s="474"/>
      <c r="T124" s="474">
        <v>46108.0</v>
      </c>
      <c r="U124" s="473" t="s">
        <v>139</v>
      </c>
      <c r="V124" s="615" t="s">
        <v>218</v>
      </c>
      <c r="W124" s="474"/>
      <c r="X124" s="474"/>
      <c r="Y124" s="476"/>
      <c r="Z124" s="476"/>
      <c r="AA124" s="477"/>
    </row>
    <row r="125">
      <c r="A125" s="491">
        <v>124.0</v>
      </c>
      <c r="B125" s="612" t="s">
        <v>20</v>
      </c>
      <c r="C125" s="494"/>
      <c r="D125" s="613" t="s">
        <v>574</v>
      </c>
      <c r="E125" s="492" t="s">
        <v>332</v>
      </c>
      <c r="F125" s="492" t="s">
        <v>1270</v>
      </c>
      <c r="G125" s="637" t="s">
        <v>1271</v>
      </c>
      <c r="H125" s="612" t="s">
        <v>106</v>
      </c>
      <c r="I125" s="494"/>
      <c r="J125" s="493" t="s">
        <v>1272</v>
      </c>
      <c r="K125" s="493" t="s">
        <v>1273</v>
      </c>
      <c r="L125" s="612" t="s">
        <v>1274</v>
      </c>
      <c r="M125" s="497" t="s">
        <v>1275</v>
      </c>
      <c r="N125" s="495" t="str">
        <f t="shared" si="2"/>
        <v>DM+이메일</v>
      </c>
      <c r="O125" s="627">
        <v>1.0</v>
      </c>
      <c r="P125" s="627">
        <v>1.0</v>
      </c>
      <c r="Q125" s="627">
        <v>0.0</v>
      </c>
      <c r="R125" s="535"/>
      <c r="S125" s="474"/>
      <c r="T125" s="474">
        <v>46108.0</v>
      </c>
      <c r="U125" s="473" t="s">
        <v>139</v>
      </c>
      <c r="V125" s="615" t="s">
        <v>218</v>
      </c>
      <c r="W125" s="474"/>
      <c r="X125" s="474"/>
      <c r="Y125" s="476"/>
      <c r="Z125" s="476"/>
      <c r="AA125" s="477"/>
    </row>
    <row r="126">
      <c r="A126" s="491">
        <v>125.0</v>
      </c>
      <c r="B126" s="612" t="s">
        <v>20</v>
      </c>
      <c r="C126" s="494"/>
      <c r="D126" s="613" t="s">
        <v>574</v>
      </c>
      <c r="E126" s="492" t="s">
        <v>332</v>
      </c>
      <c r="F126" s="492" t="s">
        <v>1276</v>
      </c>
      <c r="G126" s="512" t="s">
        <v>1271</v>
      </c>
      <c r="H126" s="612" t="s">
        <v>1277</v>
      </c>
      <c r="I126" s="512" t="s">
        <v>1278</v>
      </c>
      <c r="J126" s="493" t="s">
        <v>1279</v>
      </c>
      <c r="K126" s="498"/>
      <c r="L126" s="612" t="s">
        <v>1280</v>
      </c>
      <c r="M126" s="497" t="s">
        <v>1281</v>
      </c>
      <c r="N126" s="495" t="str">
        <f t="shared" si="2"/>
        <v>이메일</v>
      </c>
      <c r="O126" s="627">
        <v>0.0</v>
      </c>
      <c r="P126" s="627">
        <v>1.0</v>
      </c>
      <c r="Q126" s="627">
        <v>0.0</v>
      </c>
      <c r="R126" s="535"/>
      <c r="S126" s="474"/>
      <c r="T126" s="474">
        <v>46108.0</v>
      </c>
      <c r="U126" s="473" t="s">
        <v>139</v>
      </c>
      <c r="V126" s="615" t="s">
        <v>218</v>
      </c>
      <c r="W126" s="474"/>
      <c r="X126" s="474"/>
      <c r="Y126" s="476"/>
      <c r="Z126" s="476"/>
      <c r="AA126" s="477"/>
    </row>
    <row r="127">
      <c r="A127" s="538">
        <v>126.0</v>
      </c>
      <c r="B127" s="616" t="s">
        <v>20</v>
      </c>
      <c r="C127" s="544"/>
      <c r="D127" s="617" t="s">
        <v>938</v>
      </c>
      <c r="E127" s="541" t="s">
        <v>429</v>
      </c>
      <c r="F127" s="636" t="s">
        <v>1287</v>
      </c>
      <c r="G127" s="618" t="s">
        <v>648</v>
      </c>
      <c r="H127" s="616" t="s">
        <v>64</v>
      </c>
      <c r="I127" s="618" t="s">
        <v>648</v>
      </c>
      <c r="J127" s="543"/>
      <c r="K127" s="543"/>
      <c r="L127" s="619"/>
      <c r="M127" s="554" t="s">
        <v>1288</v>
      </c>
      <c r="N127" s="545" t="str">
        <f t="shared" si="2"/>
        <v/>
      </c>
      <c r="O127" s="633">
        <v>0.0</v>
      </c>
      <c r="P127" s="633">
        <v>0.0</v>
      </c>
      <c r="Q127" s="633">
        <v>0.0</v>
      </c>
      <c r="R127" s="620"/>
      <c r="S127" s="549"/>
      <c r="T127" s="549">
        <v>46108.0</v>
      </c>
      <c r="U127" s="549"/>
      <c r="V127" s="549"/>
      <c r="W127" s="549"/>
      <c r="X127" s="549"/>
      <c r="Y127" s="548"/>
      <c r="Z127" s="548"/>
    </row>
    <row r="128">
      <c r="A128" s="491">
        <v>127.0</v>
      </c>
      <c r="B128" s="612" t="s">
        <v>20</v>
      </c>
      <c r="C128" s="494"/>
      <c r="D128" s="613" t="s">
        <v>1289</v>
      </c>
      <c r="E128" s="492" t="s">
        <v>429</v>
      </c>
      <c r="F128" s="492" t="s">
        <v>1290</v>
      </c>
      <c r="G128" s="512" t="s">
        <v>44</v>
      </c>
      <c r="H128" s="612" t="s">
        <v>64</v>
      </c>
      <c r="I128" s="512" t="s">
        <v>992</v>
      </c>
      <c r="J128" s="493" t="s">
        <v>1291</v>
      </c>
      <c r="K128" s="493" t="s">
        <v>1292</v>
      </c>
      <c r="L128" s="612" t="s">
        <v>1293</v>
      </c>
      <c r="M128" s="494"/>
      <c r="N128" s="495" t="str">
        <f t="shared" si="2"/>
        <v>DM+이메일</v>
      </c>
      <c r="O128" s="627">
        <v>1.0</v>
      </c>
      <c r="P128" s="627">
        <v>1.0</v>
      </c>
      <c r="Q128" s="627">
        <v>0.0</v>
      </c>
      <c r="R128" s="535"/>
      <c r="S128" s="474"/>
      <c r="T128" s="474">
        <v>46108.0</v>
      </c>
      <c r="U128" s="473" t="s">
        <v>139</v>
      </c>
      <c r="V128" s="615" t="s">
        <v>218</v>
      </c>
      <c r="W128" s="474"/>
      <c r="X128" s="474"/>
      <c r="Y128" s="476"/>
      <c r="Z128" s="476"/>
      <c r="AA128" s="477"/>
    </row>
    <row r="129">
      <c r="A129" s="491">
        <v>128.0</v>
      </c>
      <c r="B129" s="612" t="s">
        <v>20</v>
      </c>
      <c r="C129" s="494"/>
      <c r="D129" s="613" t="s">
        <v>1125</v>
      </c>
      <c r="E129" s="492" t="s">
        <v>1072</v>
      </c>
      <c r="F129" s="492" t="s">
        <v>1294</v>
      </c>
      <c r="G129" s="512" t="s">
        <v>44</v>
      </c>
      <c r="H129" s="612" t="s">
        <v>64</v>
      </c>
      <c r="I129" s="512" t="s">
        <v>1098</v>
      </c>
      <c r="J129" s="493" t="s">
        <v>1295</v>
      </c>
      <c r="K129" s="498"/>
      <c r="L129" s="612" t="s">
        <v>1296</v>
      </c>
      <c r="M129" s="497" t="s">
        <v>1297</v>
      </c>
      <c r="N129" s="495" t="str">
        <f t="shared" si="2"/>
        <v>이메일</v>
      </c>
      <c r="O129" s="627">
        <v>0.0</v>
      </c>
      <c r="P129" s="627">
        <v>1.0</v>
      </c>
      <c r="Q129" s="627">
        <v>0.0</v>
      </c>
      <c r="R129" s="535"/>
      <c r="S129" s="474"/>
      <c r="T129" s="474">
        <v>46108.0</v>
      </c>
      <c r="U129" s="473" t="s">
        <v>139</v>
      </c>
      <c r="V129" s="615" t="s">
        <v>218</v>
      </c>
      <c r="W129" s="474"/>
      <c r="X129" s="474"/>
      <c r="Y129" s="476"/>
      <c r="Z129" s="476"/>
      <c r="AA129" s="477"/>
    </row>
    <row r="130">
      <c r="A130" s="491">
        <v>129.0</v>
      </c>
      <c r="B130" s="612" t="s">
        <v>20</v>
      </c>
      <c r="C130" s="494"/>
      <c r="D130" s="613" t="s">
        <v>938</v>
      </c>
      <c r="E130" s="492" t="s">
        <v>1072</v>
      </c>
      <c r="F130" s="492" t="s">
        <v>1298</v>
      </c>
      <c r="G130" s="512" t="s">
        <v>44</v>
      </c>
      <c r="H130" s="612" t="s">
        <v>64</v>
      </c>
      <c r="I130" s="512" t="s">
        <v>1098</v>
      </c>
      <c r="J130" s="493" t="s">
        <v>1299</v>
      </c>
      <c r="K130" s="498"/>
      <c r="L130" s="612" t="s">
        <v>1300</v>
      </c>
      <c r="M130" s="494"/>
      <c r="N130" s="495" t="str">
        <f t="shared" si="2"/>
        <v>이메일</v>
      </c>
      <c r="O130" s="627">
        <v>0.0</v>
      </c>
      <c r="P130" s="627">
        <v>1.0</v>
      </c>
      <c r="Q130" s="627">
        <v>0.0</v>
      </c>
      <c r="R130" s="535"/>
      <c r="S130" s="474"/>
      <c r="T130" s="474">
        <v>46108.0</v>
      </c>
      <c r="U130" s="473" t="s">
        <v>139</v>
      </c>
      <c r="V130" s="615" t="s">
        <v>218</v>
      </c>
      <c r="W130" s="474"/>
      <c r="X130" s="474"/>
      <c r="Y130" s="476"/>
      <c r="Z130" s="476"/>
      <c r="AA130" s="477"/>
    </row>
    <row r="131">
      <c r="A131" s="491">
        <v>130.0</v>
      </c>
      <c r="B131" s="612" t="s">
        <v>20</v>
      </c>
      <c r="C131" s="494"/>
      <c r="D131" s="613" t="s">
        <v>1301</v>
      </c>
      <c r="E131" s="492" t="s">
        <v>1072</v>
      </c>
      <c r="F131" s="492" t="s">
        <v>1302</v>
      </c>
      <c r="G131" s="512" t="s">
        <v>44</v>
      </c>
      <c r="H131" s="612" t="s">
        <v>106</v>
      </c>
      <c r="I131" s="494"/>
      <c r="J131" s="493" t="s">
        <v>1303</v>
      </c>
      <c r="K131" s="498"/>
      <c r="L131" s="612" t="s">
        <v>1304</v>
      </c>
      <c r="M131" s="494"/>
      <c r="N131" s="495" t="str">
        <f t="shared" si="2"/>
        <v>이메일</v>
      </c>
      <c r="O131" s="627">
        <v>0.0</v>
      </c>
      <c r="P131" s="627">
        <v>1.0</v>
      </c>
      <c r="Q131" s="627">
        <v>0.0</v>
      </c>
      <c r="R131" s="535"/>
      <c r="S131" s="474"/>
      <c r="T131" s="474">
        <v>46108.0</v>
      </c>
      <c r="U131" s="473" t="s">
        <v>139</v>
      </c>
      <c r="V131" s="615" t="s">
        <v>218</v>
      </c>
      <c r="W131" s="474"/>
      <c r="X131" s="474"/>
      <c r="Y131" s="476"/>
      <c r="Z131" s="476"/>
      <c r="AA131" s="477"/>
    </row>
    <row r="132">
      <c r="A132" s="491">
        <v>131.0</v>
      </c>
      <c r="B132" s="612" t="s">
        <v>20</v>
      </c>
      <c r="C132" s="494"/>
      <c r="D132" s="613" t="s">
        <v>574</v>
      </c>
      <c r="E132" s="492" t="s">
        <v>1210</v>
      </c>
      <c r="F132" s="492" t="s">
        <v>1305</v>
      </c>
      <c r="G132" s="512" t="s">
        <v>44</v>
      </c>
      <c r="H132" s="612" t="s">
        <v>106</v>
      </c>
      <c r="I132" s="494"/>
      <c r="J132" s="493" t="s">
        <v>1306</v>
      </c>
      <c r="K132" s="498"/>
      <c r="L132" s="634" t="s">
        <v>1307</v>
      </c>
      <c r="M132" s="494"/>
      <c r="N132" s="495" t="str">
        <f t="shared" si="2"/>
        <v>이메일</v>
      </c>
      <c r="O132" s="627">
        <v>0.0</v>
      </c>
      <c r="P132" s="627">
        <v>1.0</v>
      </c>
      <c r="Q132" s="627">
        <v>0.0</v>
      </c>
      <c r="R132" s="535"/>
      <c r="S132" s="474"/>
      <c r="T132" s="474">
        <v>46108.0</v>
      </c>
      <c r="U132" s="473" t="s">
        <v>139</v>
      </c>
      <c r="V132" s="615" t="s">
        <v>218</v>
      </c>
      <c r="W132" s="474"/>
      <c r="X132" s="474"/>
      <c r="Y132" s="476"/>
      <c r="Z132" s="476"/>
      <c r="AA132" s="477"/>
    </row>
    <row r="133">
      <c r="A133" s="491">
        <v>132.0</v>
      </c>
      <c r="B133" s="612" t="s">
        <v>20</v>
      </c>
      <c r="C133" s="494"/>
      <c r="D133" s="613" t="s">
        <v>949</v>
      </c>
      <c r="E133" s="492" t="s">
        <v>494</v>
      </c>
      <c r="F133" s="492" t="s">
        <v>1308</v>
      </c>
      <c r="G133" s="512" t="s">
        <v>44</v>
      </c>
      <c r="H133" s="612" t="s">
        <v>64</v>
      </c>
      <c r="I133" s="512" t="s">
        <v>1309</v>
      </c>
      <c r="J133" s="493" t="s">
        <v>1310</v>
      </c>
      <c r="K133" s="493" t="s">
        <v>1311</v>
      </c>
      <c r="L133" s="612" t="s">
        <v>1312</v>
      </c>
      <c r="M133" s="505" t="s">
        <v>1313</v>
      </c>
      <c r="N133" s="495" t="str">
        <f t="shared" si="2"/>
        <v>DM+이메일</v>
      </c>
      <c r="O133" s="627">
        <v>1.0</v>
      </c>
      <c r="P133" s="627">
        <v>1.0</v>
      </c>
      <c r="Q133" s="627">
        <v>0.0</v>
      </c>
      <c r="R133" s="535"/>
      <c r="S133" s="474"/>
      <c r="T133" s="474">
        <v>46108.0</v>
      </c>
      <c r="U133" s="473" t="s">
        <v>139</v>
      </c>
      <c r="V133" s="615" t="s">
        <v>218</v>
      </c>
      <c r="W133" s="474"/>
      <c r="X133" s="474"/>
      <c r="Y133" s="476"/>
      <c r="Z133" s="476"/>
      <c r="AA133" s="477"/>
    </row>
    <row r="134">
      <c r="A134" s="491">
        <v>133.0</v>
      </c>
      <c r="B134" s="612" t="s">
        <v>20</v>
      </c>
      <c r="C134" s="494"/>
      <c r="D134" s="613" t="s">
        <v>713</v>
      </c>
      <c r="E134" s="492" t="s">
        <v>578</v>
      </c>
      <c r="F134" s="492" t="s">
        <v>1314</v>
      </c>
      <c r="G134" s="512" t="s">
        <v>789</v>
      </c>
      <c r="H134" s="612" t="s">
        <v>106</v>
      </c>
      <c r="I134" s="494"/>
      <c r="J134" s="498"/>
      <c r="K134" s="493" t="s">
        <v>1315</v>
      </c>
      <c r="L134" s="612" t="s">
        <v>1316</v>
      </c>
      <c r="M134" s="494"/>
      <c r="N134" s="495" t="str">
        <f t="shared" si="2"/>
        <v>DM+이메일</v>
      </c>
      <c r="O134" s="627">
        <v>1.0</v>
      </c>
      <c r="P134" s="627">
        <v>1.0</v>
      </c>
      <c r="Q134" s="627">
        <v>0.0</v>
      </c>
      <c r="R134" s="535"/>
      <c r="S134" s="474"/>
      <c r="T134" s="474">
        <v>46108.0</v>
      </c>
      <c r="U134" s="473" t="s">
        <v>139</v>
      </c>
      <c r="V134" s="615" t="s">
        <v>218</v>
      </c>
      <c r="W134" s="474"/>
      <c r="X134" s="474"/>
      <c r="Y134" s="476"/>
      <c r="Z134" s="476"/>
      <c r="AA134" s="477"/>
    </row>
    <row r="135">
      <c r="A135" s="491">
        <v>134.0</v>
      </c>
      <c r="B135" s="612" t="s">
        <v>20</v>
      </c>
      <c r="C135" s="494"/>
      <c r="D135" s="613" t="s">
        <v>713</v>
      </c>
      <c r="E135" s="492" t="s">
        <v>1199</v>
      </c>
      <c r="F135" s="492" t="s">
        <v>1320</v>
      </c>
      <c r="G135" s="512" t="s">
        <v>45</v>
      </c>
      <c r="H135" s="612" t="s">
        <v>106</v>
      </c>
      <c r="I135" s="494"/>
      <c r="J135" s="493" t="s">
        <v>1321</v>
      </c>
      <c r="K135" s="493" t="s">
        <v>1322</v>
      </c>
      <c r="L135" s="612" t="s">
        <v>1323</v>
      </c>
      <c r="M135" s="505" t="s">
        <v>256</v>
      </c>
      <c r="N135" s="495" t="str">
        <f t="shared" si="2"/>
        <v>DM+이메일</v>
      </c>
      <c r="O135" s="627">
        <v>1.0</v>
      </c>
      <c r="P135" s="627">
        <v>1.0</v>
      </c>
      <c r="Q135" s="627">
        <v>0.0</v>
      </c>
      <c r="R135" s="535"/>
      <c r="S135" s="474"/>
      <c r="T135" s="474">
        <v>46108.0</v>
      </c>
      <c r="U135" s="473" t="s">
        <v>139</v>
      </c>
      <c r="V135" s="615" t="s">
        <v>218</v>
      </c>
      <c r="W135" s="474"/>
      <c r="X135" s="474"/>
      <c r="Y135" s="476"/>
      <c r="Z135" s="476"/>
      <c r="AA135" s="477"/>
    </row>
    <row r="136">
      <c r="A136" s="491">
        <v>135.0</v>
      </c>
      <c r="B136" s="612" t="s">
        <v>20</v>
      </c>
      <c r="C136" s="494"/>
      <c r="D136" s="613" t="s">
        <v>1328</v>
      </c>
      <c r="E136" s="492" t="s">
        <v>1063</v>
      </c>
      <c r="F136" s="492" t="s">
        <v>1329</v>
      </c>
      <c r="G136" s="512" t="s">
        <v>789</v>
      </c>
      <c r="H136" s="612" t="s">
        <v>64</v>
      </c>
      <c r="I136" s="512" t="s">
        <v>594</v>
      </c>
      <c r="J136" s="493" t="s">
        <v>1330</v>
      </c>
      <c r="K136" s="493" t="s">
        <v>1331</v>
      </c>
      <c r="L136" s="634" t="s">
        <v>1332</v>
      </c>
      <c r="M136" s="494"/>
      <c r="N136" s="495" t="str">
        <f t="shared" si="2"/>
        <v>DM+이메일</v>
      </c>
      <c r="O136" s="627">
        <v>1.0</v>
      </c>
      <c r="P136" s="627">
        <v>1.0</v>
      </c>
      <c r="Q136" s="627">
        <v>0.0</v>
      </c>
      <c r="R136" s="535"/>
      <c r="S136" s="474"/>
      <c r="T136" s="474">
        <v>46108.0</v>
      </c>
      <c r="U136" s="473" t="s">
        <v>139</v>
      </c>
      <c r="V136" s="615" t="s">
        <v>218</v>
      </c>
      <c r="W136" s="474"/>
      <c r="X136" s="474"/>
      <c r="Y136" s="476"/>
      <c r="Z136" s="476"/>
      <c r="AA136" s="477"/>
    </row>
    <row r="137">
      <c r="A137" s="491">
        <v>136.0</v>
      </c>
      <c r="B137" s="612" t="s">
        <v>20</v>
      </c>
      <c r="C137" s="494"/>
      <c r="D137" s="613" t="s">
        <v>1333</v>
      </c>
      <c r="E137" s="492" t="s">
        <v>109</v>
      </c>
      <c r="F137" s="492" t="s">
        <v>1334</v>
      </c>
      <c r="G137" s="512" t="s">
        <v>44</v>
      </c>
      <c r="H137" s="612" t="s">
        <v>64</v>
      </c>
      <c r="I137" s="512" t="s">
        <v>98</v>
      </c>
      <c r="J137" s="493" t="s">
        <v>1335</v>
      </c>
      <c r="K137" s="498"/>
      <c r="L137" s="612" t="s">
        <v>1336</v>
      </c>
      <c r="M137" s="494"/>
      <c r="N137" s="495" t="str">
        <f t="shared" si="2"/>
        <v>이메일</v>
      </c>
      <c r="O137" s="627">
        <v>0.0</v>
      </c>
      <c r="P137" s="627">
        <v>1.0</v>
      </c>
      <c r="Q137" s="627">
        <v>0.0</v>
      </c>
      <c r="R137" s="535"/>
      <c r="S137" s="474"/>
      <c r="T137" s="474">
        <v>46108.0</v>
      </c>
      <c r="U137" s="473" t="s">
        <v>139</v>
      </c>
      <c r="V137" s="615" t="s">
        <v>218</v>
      </c>
      <c r="W137" s="474"/>
      <c r="X137" s="474"/>
      <c r="Y137" s="476"/>
      <c r="Z137" s="476"/>
      <c r="AA137" s="477"/>
    </row>
    <row r="138">
      <c r="A138" s="491">
        <v>137.0</v>
      </c>
      <c r="B138" s="612" t="s">
        <v>20</v>
      </c>
      <c r="C138" s="494"/>
      <c r="D138" s="613" t="s">
        <v>1337</v>
      </c>
      <c r="E138" s="492" t="s">
        <v>109</v>
      </c>
      <c r="F138" s="492" t="s">
        <v>1338</v>
      </c>
      <c r="G138" s="512" t="s">
        <v>44</v>
      </c>
      <c r="H138" s="612" t="s">
        <v>106</v>
      </c>
      <c r="I138" s="494"/>
      <c r="J138" s="493" t="s">
        <v>1339</v>
      </c>
      <c r="K138" s="498"/>
      <c r="L138" s="612" t="s">
        <v>1340</v>
      </c>
      <c r="M138" s="494"/>
      <c r="N138" s="495" t="str">
        <f t="shared" si="2"/>
        <v>이메일</v>
      </c>
      <c r="O138" s="627">
        <v>0.0</v>
      </c>
      <c r="P138" s="627">
        <v>1.0</v>
      </c>
      <c r="Q138" s="627">
        <v>0.0</v>
      </c>
      <c r="R138" s="535"/>
      <c r="S138" s="474"/>
      <c r="T138" s="474">
        <v>46108.0</v>
      </c>
      <c r="U138" s="473" t="s">
        <v>139</v>
      </c>
      <c r="V138" s="615" t="s">
        <v>218</v>
      </c>
      <c r="W138" s="474"/>
      <c r="X138" s="474"/>
      <c r="Y138" s="476"/>
      <c r="Z138" s="476"/>
      <c r="AA138" s="477"/>
    </row>
    <row r="139">
      <c r="A139" s="491">
        <v>138.0</v>
      </c>
      <c r="B139" s="612" t="s">
        <v>20</v>
      </c>
      <c r="C139" s="494"/>
      <c r="D139" s="613" t="s">
        <v>1343</v>
      </c>
      <c r="E139" s="492" t="s">
        <v>1059</v>
      </c>
      <c r="F139" s="492" t="s">
        <v>1344</v>
      </c>
      <c r="G139" s="512" t="s">
        <v>44</v>
      </c>
      <c r="H139" s="612" t="s">
        <v>106</v>
      </c>
      <c r="I139" s="494"/>
      <c r="J139" s="493" t="s">
        <v>1345</v>
      </c>
      <c r="K139" s="493" t="s">
        <v>1346</v>
      </c>
      <c r="L139" s="634" t="s">
        <v>1347</v>
      </c>
      <c r="M139" s="494"/>
      <c r="N139" s="495" t="str">
        <f t="shared" si="2"/>
        <v>DM+이메일</v>
      </c>
      <c r="O139" s="627">
        <v>1.0</v>
      </c>
      <c r="P139" s="627">
        <v>1.0</v>
      </c>
      <c r="Q139" s="627">
        <v>0.0</v>
      </c>
      <c r="R139" s="535"/>
      <c r="S139" s="474"/>
      <c r="T139" s="474">
        <v>46108.0</v>
      </c>
      <c r="U139" s="473" t="s">
        <v>139</v>
      </c>
      <c r="V139" s="615" t="s">
        <v>218</v>
      </c>
      <c r="W139" s="474"/>
      <c r="X139" s="474"/>
      <c r="Y139" s="476"/>
      <c r="Z139" s="476"/>
      <c r="AA139" s="477"/>
    </row>
    <row r="140">
      <c r="A140" s="491">
        <v>139.0</v>
      </c>
      <c r="B140" s="612" t="s">
        <v>20</v>
      </c>
      <c r="C140" s="494"/>
      <c r="D140" s="613" t="s">
        <v>574</v>
      </c>
      <c r="E140" s="492" t="s">
        <v>513</v>
      </c>
      <c r="F140" s="492" t="s">
        <v>1348</v>
      </c>
      <c r="G140" s="512" t="s">
        <v>44</v>
      </c>
      <c r="H140" s="612" t="s">
        <v>106</v>
      </c>
      <c r="I140" s="494"/>
      <c r="J140" s="493" t="s">
        <v>1349</v>
      </c>
      <c r="K140" s="493" t="s">
        <v>1350</v>
      </c>
      <c r="L140" s="634" t="s">
        <v>1351</v>
      </c>
      <c r="M140" s="497" t="s">
        <v>1352</v>
      </c>
      <c r="N140" s="495" t="str">
        <f t="shared" si="2"/>
        <v>DM+이메일</v>
      </c>
      <c r="O140" s="627">
        <v>1.0</v>
      </c>
      <c r="P140" s="627">
        <v>1.0</v>
      </c>
      <c r="Q140" s="627">
        <v>0.0</v>
      </c>
      <c r="R140" s="535"/>
      <c r="S140" s="474"/>
      <c r="T140" s="474">
        <v>46108.0</v>
      </c>
      <c r="U140" s="473" t="s">
        <v>139</v>
      </c>
      <c r="V140" s="615" t="s">
        <v>218</v>
      </c>
      <c r="W140" s="474"/>
      <c r="X140" s="474"/>
      <c r="Y140" s="476"/>
      <c r="Z140" s="476"/>
      <c r="AA140" s="477"/>
    </row>
    <row r="141">
      <c r="A141" s="491">
        <v>140.0</v>
      </c>
      <c r="B141" s="612" t="s">
        <v>20</v>
      </c>
      <c r="C141" s="494"/>
      <c r="D141" s="613" t="s">
        <v>938</v>
      </c>
      <c r="E141" s="492" t="s">
        <v>506</v>
      </c>
      <c r="F141" s="492" t="s">
        <v>1355</v>
      </c>
      <c r="G141" s="512" t="s">
        <v>553</v>
      </c>
      <c r="H141" s="612" t="s">
        <v>106</v>
      </c>
      <c r="I141" s="494"/>
      <c r="J141" s="498"/>
      <c r="K141" s="493" t="s">
        <v>1356</v>
      </c>
      <c r="L141" s="612" t="s">
        <v>1357</v>
      </c>
      <c r="M141" s="494"/>
      <c r="N141" s="495" t="str">
        <f t="shared" si="2"/>
        <v>DM+이메일</v>
      </c>
      <c r="O141" s="627">
        <v>1.0</v>
      </c>
      <c r="P141" s="627">
        <v>1.0</v>
      </c>
      <c r="Q141" s="627">
        <v>0.0</v>
      </c>
      <c r="R141" s="535"/>
      <c r="S141" s="474"/>
      <c r="T141" s="474">
        <v>46108.0</v>
      </c>
      <c r="U141" s="473" t="s">
        <v>139</v>
      </c>
      <c r="V141" s="615" t="s">
        <v>218</v>
      </c>
      <c r="W141" s="474"/>
      <c r="X141" s="474"/>
      <c r="Y141" s="476"/>
      <c r="Z141" s="476"/>
      <c r="AA141" s="477"/>
    </row>
    <row r="142">
      <c r="A142" s="491">
        <v>141.0</v>
      </c>
      <c r="B142" s="612" t="s">
        <v>20</v>
      </c>
      <c r="C142" s="494"/>
      <c r="D142" s="613" t="s">
        <v>1358</v>
      </c>
      <c r="E142" s="492" t="s">
        <v>506</v>
      </c>
      <c r="F142" s="492" t="s">
        <v>1359</v>
      </c>
      <c r="G142" s="512" t="s">
        <v>45</v>
      </c>
      <c r="H142" s="612" t="s">
        <v>106</v>
      </c>
      <c r="I142" s="494"/>
      <c r="J142" s="493" t="s">
        <v>1360</v>
      </c>
      <c r="K142" s="493" t="s">
        <v>1361</v>
      </c>
      <c r="L142" s="612" t="s">
        <v>1362</v>
      </c>
      <c r="M142" s="497" t="s">
        <v>1363</v>
      </c>
      <c r="N142" s="495" t="str">
        <f t="shared" si="2"/>
        <v>DM+이메일</v>
      </c>
      <c r="O142" s="627">
        <v>1.0</v>
      </c>
      <c r="P142" s="627">
        <v>1.0</v>
      </c>
      <c r="Q142" s="627">
        <v>0.0</v>
      </c>
      <c r="R142" s="535"/>
      <c r="S142" s="474"/>
      <c r="T142" s="474">
        <v>46108.0</v>
      </c>
      <c r="U142" s="473" t="s">
        <v>139</v>
      </c>
      <c r="V142" s="615" t="s">
        <v>218</v>
      </c>
      <c r="W142" s="474"/>
      <c r="X142" s="474"/>
      <c r="Y142" s="476"/>
      <c r="Z142" s="476"/>
      <c r="AA142" s="477"/>
    </row>
    <row r="143">
      <c r="A143" s="491">
        <v>142.0</v>
      </c>
      <c r="B143" s="612" t="s">
        <v>20</v>
      </c>
      <c r="C143" s="494"/>
      <c r="D143" s="613" t="s">
        <v>1366</v>
      </c>
      <c r="E143" s="492" t="s">
        <v>69</v>
      </c>
      <c r="F143" s="492" t="s">
        <v>1367</v>
      </c>
      <c r="G143" s="512" t="s">
        <v>115</v>
      </c>
      <c r="H143" s="612" t="s">
        <v>64</v>
      </c>
      <c r="I143" s="512" t="s">
        <v>276</v>
      </c>
      <c r="J143" s="498"/>
      <c r="K143" s="493" t="s">
        <v>1368</v>
      </c>
      <c r="L143" s="612" t="s">
        <v>1369</v>
      </c>
      <c r="M143" s="494"/>
      <c r="N143" s="495" t="str">
        <f t="shared" si="2"/>
        <v>DM+이메일</v>
      </c>
      <c r="O143" s="627">
        <v>1.0</v>
      </c>
      <c r="P143" s="627">
        <v>1.0</v>
      </c>
      <c r="Q143" s="627">
        <v>0.0</v>
      </c>
      <c r="R143" s="535"/>
      <c r="S143" s="474"/>
      <c r="T143" s="474">
        <v>46108.0</v>
      </c>
      <c r="U143" s="473" t="s">
        <v>139</v>
      </c>
      <c r="V143" s="615" t="s">
        <v>218</v>
      </c>
      <c r="W143" s="473" t="s">
        <v>2</v>
      </c>
      <c r="X143" s="474"/>
      <c r="Y143" s="476"/>
      <c r="Z143" s="476"/>
      <c r="AA143" s="477"/>
    </row>
    <row r="144">
      <c r="A144" s="538">
        <v>143.0</v>
      </c>
      <c r="B144" s="616" t="s">
        <v>20</v>
      </c>
      <c r="C144" s="544"/>
      <c r="D144" s="617" t="s">
        <v>1372</v>
      </c>
      <c r="E144" s="541" t="s">
        <v>1370</v>
      </c>
      <c r="F144" s="541" t="s">
        <v>1373</v>
      </c>
      <c r="G144" s="618" t="s">
        <v>1031</v>
      </c>
      <c r="H144" s="616" t="s">
        <v>106</v>
      </c>
      <c r="I144" s="618" t="s">
        <v>1031</v>
      </c>
      <c r="J144" s="543"/>
      <c r="K144" s="543"/>
      <c r="L144" s="619"/>
      <c r="M144" s="544"/>
      <c r="N144" s="545" t="str">
        <f t="shared" si="2"/>
        <v/>
      </c>
      <c r="O144" s="633">
        <v>0.0</v>
      </c>
      <c r="P144" s="633">
        <v>0.0</v>
      </c>
      <c r="Q144" s="633">
        <v>0.0</v>
      </c>
      <c r="R144" s="620"/>
      <c r="S144" s="549"/>
      <c r="T144" s="549">
        <v>46108.0</v>
      </c>
      <c r="U144" s="549"/>
      <c r="V144" s="549"/>
      <c r="W144" s="549"/>
      <c r="X144" s="549"/>
      <c r="Y144" s="548"/>
      <c r="Z144" s="548"/>
    </row>
    <row r="145">
      <c r="A145" s="538">
        <v>144.0</v>
      </c>
      <c r="B145" s="616" t="s">
        <v>20</v>
      </c>
      <c r="C145" s="544"/>
      <c r="D145" s="617" t="s">
        <v>1374</v>
      </c>
      <c r="E145" s="551" t="s">
        <v>1180</v>
      </c>
      <c r="F145" s="541" t="s">
        <v>1375</v>
      </c>
      <c r="G145" s="618" t="s">
        <v>553</v>
      </c>
      <c r="H145" s="616" t="s">
        <v>106</v>
      </c>
      <c r="I145" s="544"/>
      <c r="J145" s="543"/>
      <c r="K145" s="542" t="s">
        <v>1376</v>
      </c>
      <c r="L145" s="619"/>
      <c r="M145" s="544"/>
      <c r="N145" s="545" t="str">
        <f t="shared" si="2"/>
        <v>DM</v>
      </c>
      <c r="O145" s="633">
        <v>1.0</v>
      </c>
      <c r="P145" s="633">
        <v>0.0</v>
      </c>
      <c r="Q145" s="633">
        <v>0.0</v>
      </c>
      <c r="R145" s="620"/>
      <c r="S145" s="549"/>
      <c r="T145" s="549">
        <v>46108.0</v>
      </c>
      <c r="U145" s="549"/>
      <c r="V145" s="549"/>
      <c r="W145" s="549"/>
      <c r="X145" s="549"/>
      <c r="Y145" s="548"/>
      <c r="Z145" s="548"/>
    </row>
    <row r="146">
      <c r="A146" s="538">
        <v>145.0</v>
      </c>
      <c r="B146" s="616" t="s">
        <v>20</v>
      </c>
      <c r="C146" s="544"/>
      <c r="D146" s="617" t="s">
        <v>938</v>
      </c>
      <c r="E146" s="551" t="s">
        <v>1377</v>
      </c>
      <c r="F146" s="541" t="s">
        <v>1378</v>
      </c>
      <c r="G146" s="543"/>
      <c r="H146" s="543"/>
      <c r="I146" s="543"/>
      <c r="J146" s="543"/>
      <c r="K146" s="543"/>
      <c r="L146" s="619"/>
      <c r="M146" s="554" t="s">
        <v>1379</v>
      </c>
      <c r="N146" s="545" t="str">
        <f t="shared" si="2"/>
        <v/>
      </c>
      <c r="O146" s="633">
        <v>0.0</v>
      </c>
      <c r="P146" s="633">
        <v>0.0</v>
      </c>
      <c r="Q146" s="633">
        <v>0.0</v>
      </c>
      <c r="R146" s="620"/>
      <c r="S146" s="549"/>
      <c r="T146" s="549">
        <v>46108.0</v>
      </c>
      <c r="U146" s="549"/>
      <c r="V146" s="549"/>
      <c r="W146" s="549"/>
      <c r="X146" s="549"/>
      <c r="Y146" s="548"/>
      <c r="Z146" s="548"/>
    </row>
    <row r="147">
      <c r="A147" s="538">
        <v>146.0</v>
      </c>
      <c r="B147" s="616" t="s">
        <v>20</v>
      </c>
      <c r="C147" s="544"/>
      <c r="D147" s="617" t="s">
        <v>1386</v>
      </c>
      <c r="E147" s="541" t="s">
        <v>531</v>
      </c>
      <c r="F147" s="541" t="s">
        <v>1387</v>
      </c>
      <c r="G147" s="618" t="s">
        <v>548</v>
      </c>
      <c r="H147" s="616" t="s">
        <v>64</v>
      </c>
      <c r="I147" s="618" t="s">
        <v>548</v>
      </c>
      <c r="J147" s="543"/>
      <c r="K147" s="542" t="s">
        <v>1388</v>
      </c>
      <c r="L147" s="619"/>
      <c r="M147" s="544"/>
      <c r="N147" s="545" t="str">
        <f t="shared" si="2"/>
        <v>DM</v>
      </c>
      <c r="O147" s="633">
        <v>1.0</v>
      </c>
      <c r="P147" s="633">
        <v>0.0</v>
      </c>
      <c r="Q147" s="633">
        <v>0.0</v>
      </c>
      <c r="R147" s="620"/>
      <c r="S147" s="549"/>
      <c r="T147" s="549">
        <v>46108.0</v>
      </c>
      <c r="U147" s="546" t="s">
        <v>2</v>
      </c>
      <c r="V147" s="549"/>
      <c r="W147" s="549"/>
      <c r="X147" s="549"/>
      <c r="Y147" s="410" t="s">
        <v>3523</v>
      </c>
      <c r="Z147" s="548"/>
    </row>
    <row r="148">
      <c r="A148" s="538">
        <v>147.0</v>
      </c>
      <c r="B148" s="616" t="s">
        <v>20</v>
      </c>
      <c r="C148" s="544"/>
      <c r="D148" s="617" t="s">
        <v>1389</v>
      </c>
      <c r="E148" s="541" t="s">
        <v>332</v>
      </c>
      <c r="F148" s="541" t="s">
        <v>1390</v>
      </c>
      <c r="G148" s="618" t="s">
        <v>45</v>
      </c>
      <c r="H148" s="616" t="s">
        <v>106</v>
      </c>
      <c r="I148" s="544"/>
      <c r="J148" s="542" t="s">
        <v>1391</v>
      </c>
      <c r="K148" s="542" t="s">
        <v>1392</v>
      </c>
      <c r="L148" s="619"/>
      <c r="M148" s="554" t="s">
        <v>1393</v>
      </c>
      <c r="N148" s="545" t="str">
        <f t="shared" si="2"/>
        <v>DM</v>
      </c>
      <c r="O148" s="633">
        <v>1.0</v>
      </c>
      <c r="P148" s="633">
        <v>0.0</v>
      </c>
      <c r="Q148" s="633">
        <v>0.0</v>
      </c>
      <c r="R148" s="620"/>
      <c r="S148" s="549"/>
      <c r="T148" s="549">
        <v>46108.0</v>
      </c>
      <c r="U148" s="549"/>
      <c r="V148" s="549"/>
      <c r="W148" s="549"/>
      <c r="X148" s="549"/>
      <c r="Y148" s="548"/>
      <c r="Z148" s="548"/>
    </row>
    <row r="149">
      <c r="A149" s="538">
        <v>148.0</v>
      </c>
      <c r="B149" s="616" t="s">
        <v>20</v>
      </c>
      <c r="C149" s="543"/>
      <c r="D149" s="631" t="s">
        <v>1394</v>
      </c>
      <c r="E149" s="541" t="s">
        <v>332</v>
      </c>
      <c r="F149" s="541" t="s">
        <v>1395</v>
      </c>
      <c r="G149" s="618" t="s">
        <v>45</v>
      </c>
      <c r="H149" s="616" t="s">
        <v>64</v>
      </c>
      <c r="I149" s="618" t="s">
        <v>1396</v>
      </c>
      <c r="J149" s="543"/>
      <c r="K149" s="542" t="s">
        <v>1397</v>
      </c>
      <c r="L149" s="619"/>
      <c r="M149" s="554" t="s">
        <v>1398</v>
      </c>
      <c r="N149" s="545" t="str">
        <f t="shared" si="2"/>
        <v>DM</v>
      </c>
      <c r="O149" s="633">
        <v>1.0</v>
      </c>
      <c r="P149" s="633">
        <v>0.0</v>
      </c>
      <c r="Q149" s="633">
        <v>0.0</v>
      </c>
      <c r="R149" s="620"/>
      <c r="S149" s="549"/>
      <c r="T149" s="549">
        <v>46108.0</v>
      </c>
      <c r="U149" s="549"/>
      <c r="V149" s="549"/>
      <c r="W149" s="549"/>
      <c r="X149" s="549"/>
      <c r="Y149" s="548"/>
      <c r="Z149" s="548"/>
    </row>
    <row r="150">
      <c r="A150" s="538">
        <v>149.0</v>
      </c>
      <c r="B150" s="616" t="s">
        <v>20</v>
      </c>
      <c r="C150" s="544"/>
      <c r="D150" s="617" t="s">
        <v>881</v>
      </c>
      <c r="E150" s="541" t="s">
        <v>1072</v>
      </c>
      <c r="F150" s="541" t="s">
        <v>1406</v>
      </c>
      <c r="G150" s="618" t="s">
        <v>548</v>
      </c>
      <c r="H150" s="616" t="s">
        <v>64</v>
      </c>
      <c r="I150" s="618" t="s">
        <v>548</v>
      </c>
      <c r="J150" s="543"/>
      <c r="K150" s="542" t="s">
        <v>1407</v>
      </c>
      <c r="L150" s="619"/>
      <c r="M150" s="544"/>
      <c r="N150" s="545" t="str">
        <f t="shared" si="2"/>
        <v>DM</v>
      </c>
      <c r="O150" s="633">
        <v>1.0</v>
      </c>
      <c r="P150" s="633">
        <v>0.0</v>
      </c>
      <c r="Q150" s="633">
        <v>0.0</v>
      </c>
      <c r="R150" s="620"/>
      <c r="S150" s="549"/>
      <c r="T150" s="549">
        <v>46108.0</v>
      </c>
      <c r="U150" s="549"/>
      <c r="V150" s="549"/>
      <c r="W150" s="549"/>
      <c r="X150" s="549"/>
      <c r="Y150" s="548"/>
      <c r="Z150" s="548"/>
    </row>
    <row r="151">
      <c r="A151" s="491">
        <v>150.0</v>
      </c>
      <c r="B151" s="612" t="s">
        <v>20</v>
      </c>
      <c r="C151" s="494"/>
      <c r="D151" s="613" t="s">
        <v>1408</v>
      </c>
      <c r="E151" s="492" t="s">
        <v>1072</v>
      </c>
      <c r="F151" s="492" t="s">
        <v>1409</v>
      </c>
      <c r="G151" s="512" t="s">
        <v>648</v>
      </c>
      <c r="H151" s="612" t="s">
        <v>64</v>
      </c>
      <c r="I151" s="512" t="s">
        <v>1410</v>
      </c>
      <c r="J151" s="498"/>
      <c r="K151" s="498"/>
      <c r="L151" s="612" t="s">
        <v>1411</v>
      </c>
      <c r="M151" s="497" t="s">
        <v>1412</v>
      </c>
      <c r="N151" s="495" t="str">
        <f t="shared" si="2"/>
        <v>이메일</v>
      </c>
      <c r="O151" s="627">
        <v>0.0</v>
      </c>
      <c r="P151" s="627">
        <v>1.0</v>
      </c>
      <c r="Q151" s="627">
        <v>0.0</v>
      </c>
      <c r="R151" s="535"/>
      <c r="S151" s="474"/>
      <c r="T151" s="474">
        <v>46108.0</v>
      </c>
      <c r="U151" s="473" t="s">
        <v>139</v>
      </c>
      <c r="V151" s="615" t="s">
        <v>218</v>
      </c>
      <c r="W151" s="474"/>
      <c r="X151" s="474"/>
      <c r="Y151" s="476"/>
      <c r="Z151" s="476"/>
      <c r="AA151" s="477"/>
    </row>
    <row r="152">
      <c r="A152" s="491">
        <v>151.0</v>
      </c>
      <c r="B152" s="612" t="s">
        <v>20</v>
      </c>
      <c r="C152" s="494"/>
      <c r="D152" s="613" t="s">
        <v>574</v>
      </c>
      <c r="E152" s="492" t="s">
        <v>1110</v>
      </c>
      <c r="F152" s="492" t="s">
        <v>1419</v>
      </c>
      <c r="G152" s="512" t="s">
        <v>44</v>
      </c>
      <c r="H152" s="494"/>
      <c r="I152" s="494"/>
      <c r="J152" s="493" t="s">
        <v>1420</v>
      </c>
      <c r="K152" s="498"/>
      <c r="L152" s="612" t="s">
        <v>1421</v>
      </c>
      <c r="M152" s="494"/>
      <c r="N152" s="495" t="str">
        <f t="shared" si="2"/>
        <v>이메일</v>
      </c>
      <c r="O152" s="627">
        <v>0.0</v>
      </c>
      <c r="P152" s="627">
        <v>1.0</v>
      </c>
      <c r="Q152" s="627">
        <v>0.0</v>
      </c>
      <c r="R152" s="535"/>
      <c r="S152" s="474"/>
      <c r="T152" s="474">
        <v>46108.0</v>
      </c>
      <c r="U152" s="473" t="s">
        <v>139</v>
      </c>
      <c r="V152" s="615" t="s">
        <v>218</v>
      </c>
      <c r="W152" s="474"/>
      <c r="X152" s="474"/>
      <c r="Y152" s="476"/>
      <c r="Z152" s="476"/>
      <c r="AA152" s="477"/>
    </row>
    <row r="153">
      <c r="A153" s="491">
        <v>152.0</v>
      </c>
      <c r="B153" s="612" t="s">
        <v>20</v>
      </c>
      <c r="C153" s="494"/>
      <c r="D153" s="613" t="s">
        <v>1432</v>
      </c>
      <c r="E153" s="492" t="s">
        <v>429</v>
      </c>
      <c r="F153" s="492" t="s">
        <v>1433</v>
      </c>
      <c r="G153" s="512" t="s">
        <v>648</v>
      </c>
      <c r="H153" s="612" t="s">
        <v>64</v>
      </c>
      <c r="I153" s="512" t="s">
        <v>462</v>
      </c>
      <c r="J153" s="493" t="s">
        <v>1434</v>
      </c>
      <c r="K153" s="493" t="s">
        <v>1435</v>
      </c>
      <c r="L153" s="612" t="s">
        <v>1436</v>
      </c>
      <c r="M153" s="505" t="s">
        <v>822</v>
      </c>
      <c r="N153" s="495" t="str">
        <f t="shared" si="2"/>
        <v>DM+이메일</v>
      </c>
      <c r="O153" s="627">
        <v>1.0</v>
      </c>
      <c r="P153" s="627">
        <v>1.0</v>
      </c>
      <c r="Q153" s="627">
        <v>0.0</v>
      </c>
      <c r="R153" s="535"/>
      <c r="S153" s="474"/>
      <c r="T153" s="474">
        <v>46108.0</v>
      </c>
      <c r="U153" s="473" t="s">
        <v>139</v>
      </c>
      <c r="V153" s="615" t="s">
        <v>218</v>
      </c>
      <c r="W153" s="474"/>
      <c r="X153" s="474"/>
      <c r="Y153" s="476"/>
      <c r="Z153" s="476"/>
      <c r="AA153" s="477"/>
    </row>
    <row r="154">
      <c r="A154" s="491">
        <v>153.0</v>
      </c>
      <c r="B154" s="612" t="s">
        <v>20</v>
      </c>
      <c r="C154" s="494"/>
      <c r="D154" s="613" t="s">
        <v>1437</v>
      </c>
      <c r="E154" s="492" t="s">
        <v>429</v>
      </c>
      <c r="F154" s="492" t="s">
        <v>1438</v>
      </c>
      <c r="G154" s="512" t="s">
        <v>636</v>
      </c>
      <c r="H154" s="612" t="s">
        <v>106</v>
      </c>
      <c r="I154" s="512" t="s">
        <v>1439</v>
      </c>
      <c r="J154" s="493" t="s">
        <v>1440</v>
      </c>
      <c r="K154" s="493" t="s">
        <v>1441</v>
      </c>
      <c r="L154" s="612" t="s">
        <v>1442</v>
      </c>
      <c r="M154" s="494"/>
      <c r="N154" s="495" t="str">
        <f t="shared" si="2"/>
        <v>DM+이메일</v>
      </c>
      <c r="O154" s="627">
        <v>1.0</v>
      </c>
      <c r="P154" s="627">
        <v>1.0</v>
      </c>
      <c r="Q154" s="627">
        <v>0.0</v>
      </c>
      <c r="R154" s="535"/>
      <c r="S154" s="474"/>
      <c r="T154" s="474">
        <v>46108.0</v>
      </c>
      <c r="U154" s="473" t="s">
        <v>139</v>
      </c>
      <c r="V154" s="615" t="s">
        <v>218</v>
      </c>
      <c r="W154" s="474"/>
      <c r="X154" s="474"/>
      <c r="Y154" s="476"/>
      <c r="Z154" s="476"/>
      <c r="AA154" s="477"/>
    </row>
    <row r="155">
      <c r="A155" s="538">
        <v>154.0</v>
      </c>
      <c r="B155" s="616" t="s">
        <v>20</v>
      </c>
      <c r="C155" s="544"/>
      <c r="D155" s="617" t="s">
        <v>1443</v>
      </c>
      <c r="E155" s="541" t="s">
        <v>1063</v>
      </c>
      <c r="F155" s="638" t="s">
        <v>1444</v>
      </c>
      <c r="G155" s="618" t="s">
        <v>44</v>
      </c>
      <c r="H155" s="616" t="s">
        <v>64</v>
      </c>
      <c r="I155" s="618" t="s">
        <v>115</v>
      </c>
      <c r="J155" s="542" t="s">
        <v>1445</v>
      </c>
      <c r="K155" s="542" t="s">
        <v>1446</v>
      </c>
      <c r="L155" s="619"/>
      <c r="M155" s="544"/>
      <c r="N155" s="545" t="str">
        <f t="shared" si="2"/>
        <v>DM</v>
      </c>
      <c r="O155" s="633">
        <v>1.0</v>
      </c>
      <c r="P155" s="633">
        <v>0.0</v>
      </c>
      <c r="Q155" s="633">
        <v>0.0</v>
      </c>
      <c r="R155" s="620"/>
      <c r="S155" s="549"/>
      <c r="T155" s="549">
        <v>46108.0</v>
      </c>
      <c r="U155" s="549"/>
      <c r="V155" s="549"/>
      <c r="W155" s="549"/>
      <c r="X155" s="549"/>
      <c r="Y155" s="548"/>
      <c r="Z155" s="548"/>
    </row>
    <row r="156">
      <c r="A156" s="491">
        <v>155.0</v>
      </c>
      <c r="B156" s="612" t="s">
        <v>20</v>
      </c>
      <c r="C156" s="494"/>
      <c r="D156" s="639" t="s">
        <v>3524</v>
      </c>
      <c r="E156" s="492" t="s">
        <v>1063</v>
      </c>
      <c r="F156" s="621" t="s">
        <v>1447</v>
      </c>
      <c r="G156" s="512" t="s">
        <v>44</v>
      </c>
      <c r="H156" s="612" t="s">
        <v>64</v>
      </c>
      <c r="I156" s="512" t="s">
        <v>648</v>
      </c>
      <c r="J156" s="493" t="s">
        <v>1448</v>
      </c>
      <c r="K156" s="498"/>
      <c r="L156" s="612" t="s">
        <v>1449</v>
      </c>
      <c r="M156" s="494"/>
      <c r="N156" s="495" t="str">
        <f t="shared" si="2"/>
        <v>이메일</v>
      </c>
      <c r="O156" s="627">
        <v>0.0</v>
      </c>
      <c r="P156" s="627">
        <v>1.0</v>
      </c>
      <c r="Q156" s="627">
        <v>0.0</v>
      </c>
      <c r="R156" s="535"/>
      <c r="S156" s="474"/>
      <c r="T156" s="474">
        <v>46108.0</v>
      </c>
      <c r="U156" s="473" t="s">
        <v>139</v>
      </c>
      <c r="V156" s="615" t="s">
        <v>218</v>
      </c>
      <c r="W156" s="474"/>
      <c r="X156" s="474"/>
      <c r="Y156" s="476"/>
      <c r="Z156" s="476"/>
      <c r="AA156" s="477"/>
    </row>
    <row r="157">
      <c r="A157" s="538">
        <v>156.0</v>
      </c>
      <c r="B157" s="616" t="s">
        <v>20</v>
      </c>
      <c r="C157" s="544"/>
      <c r="D157" s="617" t="s">
        <v>574</v>
      </c>
      <c r="E157" s="541" t="s">
        <v>122</v>
      </c>
      <c r="F157" s="541" t="s">
        <v>1455</v>
      </c>
      <c r="G157" s="618" t="s">
        <v>44</v>
      </c>
      <c r="H157" s="616" t="s">
        <v>64</v>
      </c>
      <c r="I157" s="544"/>
      <c r="J157" s="542" t="s">
        <v>1456</v>
      </c>
      <c r="K157" s="543"/>
      <c r="L157" s="619"/>
      <c r="M157" s="544"/>
      <c r="N157" s="545" t="str">
        <f t="shared" si="2"/>
        <v/>
      </c>
      <c r="O157" s="633">
        <v>0.0</v>
      </c>
      <c r="P157" s="633">
        <v>0.0</v>
      </c>
      <c r="Q157" s="633">
        <v>0.0</v>
      </c>
      <c r="R157" s="620"/>
      <c r="S157" s="549"/>
      <c r="T157" s="549">
        <v>46108.0</v>
      </c>
      <c r="U157" s="549"/>
      <c r="V157" s="549"/>
      <c r="W157" s="549"/>
      <c r="X157" s="549"/>
      <c r="Y157" s="548"/>
      <c r="Z157" s="548"/>
    </row>
    <row r="158">
      <c r="A158" s="491">
        <v>157.0</v>
      </c>
      <c r="B158" s="612" t="s">
        <v>20</v>
      </c>
      <c r="C158" s="494"/>
      <c r="D158" s="613" t="s">
        <v>1493</v>
      </c>
      <c r="E158" s="492" t="s">
        <v>1494</v>
      </c>
      <c r="F158" s="492" t="s">
        <v>1495</v>
      </c>
      <c r="G158" s="512" t="s">
        <v>44</v>
      </c>
      <c r="H158" s="612" t="s">
        <v>106</v>
      </c>
      <c r="I158" s="494"/>
      <c r="J158" s="493" t="s">
        <v>1496</v>
      </c>
      <c r="K158" s="493" t="s">
        <v>1497</v>
      </c>
      <c r="L158" s="612" t="s">
        <v>1498</v>
      </c>
      <c r="M158" s="494"/>
      <c r="N158" s="495" t="str">
        <f t="shared" si="2"/>
        <v>DM+이메일</v>
      </c>
      <c r="O158" s="627">
        <v>1.0</v>
      </c>
      <c r="P158" s="627">
        <v>1.0</v>
      </c>
      <c r="Q158" s="627">
        <v>0.0</v>
      </c>
      <c r="R158" s="535"/>
      <c r="S158" s="474"/>
      <c r="T158" s="474">
        <v>46108.0</v>
      </c>
      <c r="U158" s="473" t="s">
        <v>139</v>
      </c>
      <c r="V158" s="615" t="s">
        <v>218</v>
      </c>
      <c r="W158" s="474"/>
      <c r="X158" s="474"/>
      <c r="Y158" s="476"/>
      <c r="Z158" s="476"/>
      <c r="AA158" s="477"/>
    </row>
    <row r="159">
      <c r="A159" s="491">
        <v>158.0</v>
      </c>
      <c r="B159" s="612" t="s">
        <v>20</v>
      </c>
      <c r="C159" s="494"/>
      <c r="D159" s="613" t="s">
        <v>1519</v>
      </c>
      <c r="E159" s="492" t="s">
        <v>69</v>
      </c>
      <c r="F159" s="492" t="s">
        <v>1520</v>
      </c>
      <c r="G159" s="512" t="s">
        <v>44</v>
      </c>
      <c r="H159" s="612" t="s">
        <v>106</v>
      </c>
      <c r="I159" s="494"/>
      <c r="J159" s="493" t="s">
        <v>1521</v>
      </c>
      <c r="K159" s="498"/>
      <c r="L159" s="612" t="s">
        <v>1522</v>
      </c>
      <c r="M159" s="494"/>
      <c r="N159" s="495" t="str">
        <f t="shared" si="2"/>
        <v>이메일</v>
      </c>
      <c r="O159" s="627">
        <v>0.0</v>
      </c>
      <c r="P159" s="627">
        <v>1.0</v>
      </c>
      <c r="Q159" s="627">
        <v>0.0</v>
      </c>
      <c r="R159" s="535"/>
      <c r="S159" s="474"/>
      <c r="T159" s="474">
        <v>46108.0</v>
      </c>
      <c r="U159" s="473" t="s">
        <v>139</v>
      </c>
      <c r="V159" s="615" t="s">
        <v>218</v>
      </c>
      <c r="W159" s="474"/>
      <c r="X159" s="474"/>
      <c r="Y159" s="476"/>
      <c r="Z159" s="476"/>
      <c r="AA159" s="477"/>
    </row>
    <row r="160">
      <c r="A160" s="491">
        <v>159.0</v>
      </c>
      <c r="B160" s="612" t="s">
        <v>20</v>
      </c>
      <c r="C160" s="494"/>
      <c r="D160" s="613" t="s">
        <v>1519</v>
      </c>
      <c r="E160" s="492" t="s">
        <v>69</v>
      </c>
      <c r="F160" s="492" t="s">
        <v>1523</v>
      </c>
      <c r="G160" s="512" t="s">
        <v>44</v>
      </c>
      <c r="H160" s="612" t="s">
        <v>106</v>
      </c>
      <c r="I160" s="494"/>
      <c r="J160" s="493" t="s">
        <v>1524</v>
      </c>
      <c r="K160" s="498"/>
      <c r="L160" s="612" t="s">
        <v>1525</v>
      </c>
      <c r="M160" s="494"/>
      <c r="N160" s="495" t="str">
        <f t="shared" si="2"/>
        <v>이메일</v>
      </c>
      <c r="O160" s="627">
        <v>0.0</v>
      </c>
      <c r="P160" s="627">
        <v>1.0</v>
      </c>
      <c r="Q160" s="627">
        <v>0.0</v>
      </c>
      <c r="R160" s="535"/>
      <c r="S160" s="474"/>
      <c r="T160" s="474">
        <v>46108.0</v>
      </c>
      <c r="U160" s="473" t="s">
        <v>139</v>
      </c>
      <c r="V160" s="615" t="s">
        <v>218</v>
      </c>
      <c r="W160" s="474"/>
      <c r="X160" s="474"/>
      <c r="Y160" s="476"/>
      <c r="Z160" s="476"/>
      <c r="AA160" s="477"/>
    </row>
    <row r="161">
      <c r="A161" s="538">
        <v>160.0</v>
      </c>
      <c r="B161" s="616" t="s">
        <v>20</v>
      </c>
      <c r="C161" s="544"/>
      <c r="D161" s="617" t="s">
        <v>1528</v>
      </c>
      <c r="E161" s="541" t="s">
        <v>1370</v>
      </c>
      <c r="F161" s="541" t="s">
        <v>1529</v>
      </c>
      <c r="G161" s="618" t="s">
        <v>1031</v>
      </c>
      <c r="H161" s="616" t="s">
        <v>64</v>
      </c>
      <c r="I161" s="618" t="s">
        <v>1031</v>
      </c>
      <c r="J161" s="543"/>
      <c r="K161" s="543"/>
      <c r="L161" s="619"/>
      <c r="M161" s="554" t="s">
        <v>1530</v>
      </c>
      <c r="N161" s="545" t="str">
        <f t="shared" si="2"/>
        <v/>
      </c>
      <c r="O161" s="633">
        <v>0.0</v>
      </c>
      <c r="P161" s="633">
        <v>0.0</v>
      </c>
      <c r="Q161" s="633">
        <v>0.0</v>
      </c>
      <c r="R161" s="620"/>
      <c r="S161" s="549"/>
      <c r="T161" s="549">
        <v>46108.0</v>
      </c>
      <c r="U161" s="549"/>
      <c r="V161" s="549"/>
      <c r="W161" s="549"/>
      <c r="X161" s="549"/>
      <c r="Y161" s="548"/>
      <c r="Z161" s="548"/>
    </row>
    <row r="162">
      <c r="A162" s="491">
        <v>161.0</v>
      </c>
      <c r="B162" s="612" t="s">
        <v>20</v>
      </c>
      <c r="C162" s="494"/>
      <c r="D162" s="613" t="s">
        <v>1531</v>
      </c>
      <c r="E162" s="492" t="s">
        <v>1110</v>
      </c>
      <c r="F162" s="503" t="s">
        <v>1532</v>
      </c>
      <c r="G162" s="512" t="s">
        <v>1533</v>
      </c>
      <c r="H162" s="494"/>
      <c r="I162" s="494"/>
      <c r="J162" s="493" t="s">
        <v>1534</v>
      </c>
      <c r="K162" s="498"/>
      <c r="L162" s="612" t="s">
        <v>1535</v>
      </c>
      <c r="M162" s="494"/>
      <c r="N162" s="495" t="str">
        <f t="shared" si="2"/>
        <v>이메일</v>
      </c>
      <c r="O162" s="627">
        <v>0.0</v>
      </c>
      <c r="P162" s="627">
        <v>1.0</v>
      </c>
      <c r="Q162" s="627">
        <v>0.0</v>
      </c>
      <c r="R162" s="535"/>
      <c r="S162" s="474"/>
      <c r="T162" s="474">
        <v>46108.0</v>
      </c>
      <c r="U162" s="473" t="s">
        <v>139</v>
      </c>
      <c r="V162" s="615" t="s">
        <v>218</v>
      </c>
      <c r="W162" s="474"/>
      <c r="X162" s="474"/>
      <c r="Y162" s="476"/>
      <c r="Z162" s="476"/>
      <c r="AA162" s="477"/>
    </row>
    <row r="163">
      <c r="A163" s="491">
        <v>162.0</v>
      </c>
      <c r="B163" s="612" t="s">
        <v>20</v>
      </c>
      <c r="C163" s="494"/>
      <c r="D163" s="613" t="s">
        <v>1536</v>
      </c>
      <c r="E163" s="492" t="s">
        <v>1110</v>
      </c>
      <c r="F163" s="492" t="s">
        <v>1537</v>
      </c>
      <c r="G163" s="512" t="s">
        <v>636</v>
      </c>
      <c r="H163" s="494"/>
      <c r="I163" s="494"/>
      <c r="J163" s="493" t="s">
        <v>1538</v>
      </c>
      <c r="K163" s="493" t="s">
        <v>1539</v>
      </c>
      <c r="L163" s="612" t="s">
        <v>1540</v>
      </c>
      <c r="M163" s="494"/>
      <c r="N163" s="495" t="str">
        <f t="shared" si="2"/>
        <v>DM+이메일</v>
      </c>
      <c r="O163" s="627">
        <v>1.0</v>
      </c>
      <c r="P163" s="627">
        <v>1.0</v>
      </c>
      <c r="Q163" s="627">
        <v>0.0</v>
      </c>
      <c r="R163" s="535"/>
      <c r="S163" s="474"/>
      <c r="T163" s="474">
        <v>46108.0</v>
      </c>
      <c r="U163" s="473" t="s">
        <v>139</v>
      </c>
      <c r="V163" s="615" t="s">
        <v>218</v>
      </c>
      <c r="W163" s="474"/>
      <c r="X163" s="474"/>
      <c r="Y163" s="476"/>
      <c r="Z163" s="476"/>
      <c r="AA163" s="477"/>
    </row>
    <row r="164">
      <c r="A164" s="491">
        <v>163.0</v>
      </c>
      <c r="B164" s="612" t="s">
        <v>20</v>
      </c>
      <c r="C164" s="494"/>
      <c r="D164" s="613" t="s">
        <v>294</v>
      </c>
      <c r="E164" s="492" t="s">
        <v>1110</v>
      </c>
      <c r="F164" s="492" t="s">
        <v>1541</v>
      </c>
      <c r="G164" s="512" t="s">
        <v>636</v>
      </c>
      <c r="H164" s="612" t="s">
        <v>64</v>
      </c>
      <c r="I164" s="512" t="s">
        <v>3525</v>
      </c>
      <c r="J164" s="493" t="s">
        <v>1543</v>
      </c>
      <c r="K164" s="493" t="s">
        <v>1544</v>
      </c>
      <c r="L164" s="612" t="s">
        <v>1545</v>
      </c>
      <c r="M164" s="494"/>
      <c r="N164" s="495" t="str">
        <f t="shared" si="2"/>
        <v>DM+이메일</v>
      </c>
      <c r="O164" s="627">
        <v>1.0</v>
      </c>
      <c r="P164" s="627">
        <v>1.0</v>
      </c>
      <c r="Q164" s="627">
        <v>0.0</v>
      </c>
      <c r="R164" s="535"/>
      <c r="S164" s="474"/>
      <c r="T164" s="474">
        <v>46108.0</v>
      </c>
      <c r="U164" s="473" t="s">
        <v>139</v>
      </c>
      <c r="V164" s="615" t="s">
        <v>218</v>
      </c>
      <c r="W164" s="474"/>
      <c r="X164" s="474"/>
      <c r="Y164" s="476"/>
      <c r="Z164" s="476"/>
      <c r="AA164" s="477"/>
    </row>
    <row r="165">
      <c r="A165" s="491">
        <v>164.0</v>
      </c>
      <c r="B165" s="612" t="s">
        <v>20</v>
      </c>
      <c r="C165" s="494"/>
      <c r="D165" s="613" t="s">
        <v>1443</v>
      </c>
      <c r="E165" s="492" t="s">
        <v>1189</v>
      </c>
      <c r="F165" s="492" t="s">
        <v>1546</v>
      </c>
      <c r="G165" s="512" t="s">
        <v>1031</v>
      </c>
      <c r="H165" s="612" t="s">
        <v>106</v>
      </c>
      <c r="I165" s="494"/>
      <c r="J165" s="493" t="s">
        <v>1547</v>
      </c>
      <c r="K165" s="498"/>
      <c r="L165" s="623" t="s">
        <v>1548</v>
      </c>
      <c r="M165" s="494"/>
      <c r="N165" s="495" t="str">
        <f t="shared" si="2"/>
        <v>이메일</v>
      </c>
      <c r="O165" s="627">
        <v>0.0</v>
      </c>
      <c r="P165" s="627">
        <v>1.0</v>
      </c>
      <c r="Q165" s="627">
        <v>0.0</v>
      </c>
      <c r="R165" s="535"/>
      <c r="S165" s="474"/>
      <c r="T165" s="474">
        <v>46108.0</v>
      </c>
      <c r="U165" s="473" t="s">
        <v>139</v>
      </c>
      <c r="V165" s="615" t="s">
        <v>218</v>
      </c>
      <c r="W165" s="474"/>
      <c r="X165" s="474"/>
      <c r="Y165" s="476"/>
      <c r="Z165" s="476"/>
      <c r="AA165" s="477"/>
    </row>
    <row r="166">
      <c r="A166" s="491">
        <v>165.0</v>
      </c>
      <c r="B166" s="612" t="s">
        <v>20</v>
      </c>
      <c r="C166" s="494"/>
      <c r="D166" s="613" t="s">
        <v>1549</v>
      </c>
      <c r="E166" s="492" t="s">
        <v>1189</v>
      </c>
      <c r="F166" s="640" t="s">
        <v>1550</v>
      </c>
      <c r="G166" s="641" t="s">
        <v>1031</v>
      </c>
      <c r="H166" s="612" t="s">
        <v>106</v>
      </c>
      <c r="I166" s="494"/>
      <c r="J166" s="493" t="s">
        <v>1551</v>
      </c>
      <c r="K166" s="498"/>
      <c r="L166" s="623" t="s">
        <v>3526</v>
      </c>
      <c r="M166" s="498"/>
      <c r="N166" s="495" t="str">
        <f t="shared" si="2"/>
        <v>이메일</v>
      </c>
      <c r="O166" s="627">
        <v>0.0</v>
      </c>
      <c r="P166" s="627">
        <v>1.0</v>
      </c>
      <c r="Q166" s="627">
        <v>0.0</v>
      </c>
      <c r="R166" s="535"/>
      <c r="S166" s="474"/>
      <c r="T166" s="474">
        <v>46108.0</v>
      </c>
      <c r="U166" s="473" t="s">
        <v>139</v>
      </c>
      <c r="V166" s="615" t="s">
        <v>218</v>
      </c>
      <c r="W166" s="474"/>
      <c r="X166" s="474"/>
      <c r="Y166" s="476"/>
      <c r="Z166" s="476"/>
      <c r="AA166" s="477"/>
    </row>
    <row r="167">
      <c r="A167" s="491">
        <v>166.0</v>
      </c>
      <c r="B167" s="612" t="s">
        <v>20</v>
      </c>
      <c r="C167" s="494"/>
      <c r="D167" s="613" t="s">
        <v>1519</v>
      </c>
      <c r="E167" s="492" t="s">
        <v>1072</v>
      </c>
      <c r="F167" s="492" t="s">
        <v>1562</v>
      </c>
      <c r="G167" s="512" t="s">
        <v>44</v>
      </c>
      <c r="H167" s="612" t="s">
        <v>106</v>
      </c>
      <c r="I167" s="612" t="s">
        <v>106</v>
      </c>
      <c r="J167" s="493" t="s">
        <v>1563</v>
      </c>
      <c r="K167" s="498"/>
      <c r="L167" s="612" t="s">
        <v>1564</v>
      </c>
      <c r="M167" s="494"/>
      <c r="N167" s="495" t="str">
        <f t="shared" si="2"/>
        <v>이메일</v>
      </c>
      <c r="O167" s="627">
        <v>0.0</v>
      </c>
      <c r="P167" s="627">
        <v>1.0</v>
      </c>
      <c r="Q167" s="627">
        <v>0.0</v>
      </c>
      <c r="R167" s="535"/>
      <c r="S167" s="474"/>
      <c r="T167" s="474">
        <v>46108.0</v>
      </c>
      <c r="U167" s="473" t="s">
        <v>139</v>
      </c>
      <c r="V167" s="615" t="s">
        <v>218</v>
      </c>
      <c r="W167" s="474"/>
      <c r="X167" s="474"/>
      <c r="Y167" s="476"/>
      <c r="Z167" s="476"/>
      <c r="AA167" s="477"/>
    </row>
    <row r="168">
      <c r="A168" s="491">
        <v>167.0</v>
      </c>
      <c r="B168" s="612" t="s">
        <v>20</v>
      </c>
      <c r="C168" s="494"/>
      <c r="D168" s="613" t="s">
        <v>1565</v>
      </c>
      <c r="E168" s="492" t="s">
        <v>1072</v>
      </c>
      <c r="F168" s="492" t="s">
        <v>1566</v>
      </c>
      <c r="G168" s="512" t="s">
        <v>636</v>
      </c>
      <c r="H168" s="612" t="s">
        <v>106</v>
      </c>
      <c r="I168" s="612" t="s">
        <v>106</v>
      </c>
      <c r="J168" s="493" t="s">
        <v>1567</v>
      </c>
      <c r="K168" s="498"/>
      <c r="L168" s="612" t="s">
        <v>1568</v>
      </c>
      <c r="M168" s="497" t="s">
        <v>1569</v>
      </c>
      <c r="N168" s="495" t="str">
        <f t="shared" si="2"/>
        <v>이메일</v>
      </c>
      <c r="O168" s="627">
        <v>0.0</v>
      </c>
      <c r="P168" s="627">
        <v>1.0</v>
      </c>
      <c r="Q168" s="627">
        <v>0.0</v>
      </c>
      <c r="R168" s="535"/>
      <c r="S168" s="474"/>
      <c r="T168" s="474">
        <v>46108.0</v>
      </c>
      <c r="U168" s="473" t="s">
        <v>139</v>
      </c>
      <c r="V168" s="615" t="s">
        <v>218</v>
      </c>
      <c r="W168" s="474"/>
      <c r="X168" s="474"/>
      <c r="Y168" s="476"/>
      <c r="Z168" s="476"/>
      <c r="AA168" s="477"/>
    </row>
    <row r="169">
      <c r="A169" s="491">
        <v>168.0</v>
      </c>
      <c r="B169" s="612" t="s">
        <v>20</v>
      </c>
      <c r="C169" s="494"/>
      <c r="D169" s="613" t="s">
        <v>1570</v>
      </c>
      <c r="E169" s="503" t="s">
        <v>109</v>
      </c>
      <c r="F169" s="492" t="s">
        <v>1571</v>
      </c>
      <c r="G169" s="512" t="s">
        <v>44</v>
      </c>
      <c r="H169" s="612" t="s">
        <v>64</v>
      </c>
      <c r="I169" s="512" t="s">
        <v>674</v>
      </c>
      <c r="J169" s="493" t="s">
        <v>1572</v>
      </c>
      <c r="K169" s="498"/>
      <c r="L169" s="612" t="s">
        <v>1383</v>
      </c>
      <c r="M169" s="494"/>
      <c r="N169" s="495" t="str">
        <f t="shared" si="2"/>
        <v>이메일</v>
      </c>
      <c r="O169" s="627">
        <v>0.0</v>
      </c>
      <c r="P169" s="627">
        <v>1.0</v>
      </c>
      <c r="Q169" s="627">
        <v>0.0</v>
      </c>
      <c r="R169" s="535"/>
      <c r="S169" s="474"/>
      <c r="T169" s="474">
        <v>46108.0</v>
      </c>
      <c r="U169" s="473" t="s">
        <v>139</v>
      </c>
      <c r="V169" s="615" t="s">
        <v>218</v>
      </c>
      <c r="W169" s="474"/>
      <c r="X169" s="474"/>
      <c r="Y169" s="476"/>
      <c r="Z169" s="476"/>
      <c r="AA169" s="477"/>
    </row>
    <row r="170">
      <c r="A170" s="538">
        <v>169.0</v>
      </c>
      <c r="B170" s="616" t="s">
        <v>20</v>
      </c>
      <c r="C170" s="544"/>
      <c r="D170" s="617" t="s">
        <v>1576</v>
      </c>
      <c r="E170" s="541" t="s">
        <v>494</v>
      </c>
      <c r="F170" s="541" t="s">
        <v>1577</v>
      </c>
      <c r="G170" s="618" t="s">
        <v>789</v>
      </c>
      <c r="H170" s="616" t="s">
        <v>106</v>
      </c>
      <c r="I170" s="544"/>
      <c r="J170" s="543"/>
      <c r="K170" s="542" t="s">
        <v>1578</v>
      </c>
      <c r="L170" s="619"/>
      <c r="M170" s="618" t="s">
        <v>1579</v>
      </c>
      <c r="N170" s="545" t="str">
        <f t="shared" si="2"/>
        <v>DM</v>
      </c>
      <c r="O170" s="633">
        <v>1.0</v>
      </c>
      <c r="P170" s="633">
        <v>0.0</v>
      </c>
      <c r="Q170" s="633">
        <v>0.0</v>
      </c>
      <c r="R170" s="620"/>
      <c r="S170" s="549"/>
      <c r="T170" s="549">
        <v>46108.0</v>
      </c>
      <c r="U170" s="549"/>
      <c r="V170" s="549"/>
      <c r="W170" s="549"/>
      <c r="X170" s="549"/>
      <c r="Y170" s="548"/>
      <c r="Z170" s="548"/>
    </row>
    <row r="171">
      <c r="A171" s="491">
        <v>170.0</v>
      </c>
      <c r="B171" s="612" t="s">
        <v>20</v>
      </c>
      <c r="C171" s="494"/>
      <c r="D171" s="613" t="s">
        <v>471</v>
      </c>
      <c r="E171" s="492" t="s">
        <v>353</v>
      </c>
      <c r="F171" s="492" t="s">
        <v>1583</v>
      </c>
      <c r="G171" s="512" t="s">
        <v>44</v>
      </c>
      <c r="H171" s="612" t="s">
        <v>106</v>
      </c>
      <c r="I171" s="494"/>
      <c r="J171" s="493" t="s">
        <v>1584</v>
      </c>
      <c r="K171" s="498"/>
      <c r="L171" s="612" t="s">
        <v>1585</v>
      </c>
      <c r="M171" s="494"/>
      <c r="N171" s="495" t="str">
        <f t="shared" si="2"/>
        <v>이메일</v>
      </c>
      <c r="O171" s="627">
        <v>0.0</v>
      </c>
      <c r="P171" s="627">
        <v>1.0</v>
      </c>
      <c r="Q171" s="627">
        <v>0.0</v>
      </c>
      <c r="R171" s="535"/>
      <c r="S171" s="474"/>
      <c r="T171" s="474">
        <v>46108.0</v>
      </c>
      <c r="U171" s="473" t="s">
        <v>139</v>
      </c>
      <c r="V171" s="615" t="s">
        <v>218</v>
      </c>
      <c r="W171" s="474"/>
      <c r="X171" s="474"/>
      <c r="Y171" s="476"/>
      <c r="Z171" s="476"/>
      <c r="AA171" s="477"/>
    </row>
    <row r="172">
      <c r="A172" s="491">
        <v>171.0</v>
      </c>
      <c r="B172" s="612" t="s">
        <v>20</v>
      </c>
      <c r="C172" s="494"/>
      <c r="D172" s="613" t="s">
        <v>471</v>
      </c>
      <c r="E172" s="492" t="s">
        <v>353</v>
      </c>
      <c r="F172" s="492" t="s">
        <v>1586</v>
      </c>
      <c r="G172" s="512" t="s">
        <v>44</v>
      </c>
      <c r="H172" s="612" t="s">
        <v>106</v>
      </c>
      <c r="I172" s="494"/>
      <c r="J172" s="493" t="s">
        <v>1587</v>
      </c>
      <c r="K172" s="498"/>
      <c r="L172" s="612" t="s">
        <v>1588</v>
      </c>
      <c r="M172" s="494"/>
      <c r="N172" s="495" t="str">
        <f t="shared" si="2"/>
        <v>이메일</v>
      </c>
      <c r="O172" s="627">
        <v>0.0</v>
      </c>
      <c r="P172" s="627">
        <v>1.0</v>
      </c>
      <c r="Q172" s="627">
        <v>0.0</v>
      </c>
      <c r="R172" s="535"/>
      <c r="S172" s="474"/>
      <c r="T172" s="474">
        <v>46108.0</v>
      </c>
      <c r="U172" s="473" t="s">
        <v>139</v>
      </c>
      <c r="V172" s="615" t="s">
        <v>218</v>
      </c>
      <c r="W172" s="474"/>
      <c r="X172" s="474"/>
      <c r="Y172" s="476"/>
      <c r="Z172" s="476"/>
      <c r="AA172" s="477"/>
    </row>
    <row r="173">
      <c r="A173" s="538">
        <v>172.0</v>
      </c>
      <c r="B173" s="616" t="s">
        <v>20</v>
      </c>
      <c r="C173" s="544"/>
      <c r="D173" s="617" t="s">
        <v>636</v>
      </c>
      <c r="E173" s="541" t="s">
        <v>578</v>
      </c>
      <c r="F173" s="541" t="s">
        <v>1589</v>
      </c>
      <c r="G173" s="618" t="s">
        <v>789</v>
      </c>
      <c r="H173" s="616" t="s">
        <v>106</v>
      </c>
      <c r="I173" s="544"/>
      <c r="J173" s="543"/>
      <c r="K173" s="542" t="s">
        <v>1590</v>
      </c>
      <c r="L173" s="619"/>
      <c r="M173" s="544"/>
      <c r="N173" s="545" t="str">
        <f t="shared" si="2"/>
        <v>DM</v>
      </c>
      <c r="O173" s="633">
        <v>1.0</v>
      </c>
      <c r="P173" s="633">
        <v>0.0</v>
      </c>
      <c r="Q173" s="633">
        <v>0.0</v>
      </c>
      <c r="R173" s="620"/>
      <c r="S173" s="549"/>
      <c r="T173" s="549">
        <v>46108.0</v>
      </c>
      <c r="U173" s="545" t="s">
        <v>2</v>
      </c>
      <c r="V173" s="549"/>
      <c r="W173" s="549"/>
      <c r="X173" s="549"/>
      <c r="Y173" s="548"/>
      <c r="Z173" s="548"/>
    </row>
    <row r="174">
      <c r="A174" s="538">
        <v>173.0</v>
      </c>
      <c r="B174" s="616" t="s">
        <v>20</v>
      </c>
      <c r="C174" s="544"/>
      <c r="D174" s="617" t="s">
        <v>938</v>
      </c>
      <c r="E174" s="541" t="s">
        <v>1199</v>
      </c>
      <c r="F174" s="541" t="s">
        <v>1600</v>
      </c>
      <c r="G174" s="616" t="s">
        <v>1601</v>
      </c>
      <c r="H174" s="616" t="s">
        <v>106</v>
      </c>
      <c r="I174" s="544"/>
      <c r="J174" s="542" t="s">
        <v>1602</v>
      </c>
      <c r="K174" s="542" t="s">
        <v>1603</v>
      </c>
      <c r="L174" s="619"/>
      <c r="M174" s="544"/>
      <c r="N174" s="545" t="str">
        <f t="shared" si="2"/>
        <v>DM</v>
      </c>
      <c r="O174" s="633">
        <v>1.0</v>
      </c>
      <c r="P174" s="633">
        <v>0.0</v>
      </c>
      <c r="Q174" s="633">
        <v>0.0</v>
      </c>
      <c r="R174" s="620"/>
      <c r="S174" s="549"/>
      <c r="T174" s="549">
        <v>46108.0</v>
      </c>
      <c r="U174" s="549"/>
      <c r="V174" s="549"/>
      <c r="W174" s="549"/>
      <c r="X174" s="549"/>
      <c r="Y174" s="548"/>
      <c r="Z174" s="548"/>
    </row>
    <row r="175">
      <c r="A175" s="491">
        <v>174.0</v>
      </c>
      <c r="B175" s="612" t="s">
        <v>20</v>
      </c>
      <c r="C175" s="494"/>
      <c r="D175" s="613" t="s">
        <v>1604</v>
      </c>
      <c r="E175" s="492" t="s">
        <v>1180</v>
      </c>
      <c r="F175" s="492" t="s">
        <v>1605</v>
      </c>
      <c r="G175" s="512" t="s">
        <v>44</v>
      </c>
      <c r="H175" s="612" t="s">
        <v>106</v>
      </c>
      <c r="I175" s="494"/>
      <c r="J175" s="493" t="s">
        <v>1606</v>
      </c>
      <c r="K175" s="498"/>
      <c r="L175" s="612" t="s">
        <v>1607</v>
      </c>
      <c r="M175" s="494"/>
      <c r="N175" s="495" t="str">
        <f t="shared" si="2"/>
        <v>이메일</v>
      </c>
      <c r="O175" s="627">
        <v>0.0</v>
      </c>
      <c r="P175" s="627">
        <v>1.0</v>
      </c>
      <c r="Q175" s="627">
        <v>0.0</v>
      </c>
      <c r="R175" s="535"/>
      <c r="S175" s="474"/>
      <c r="T175" s="474">
        <v>46108.0</v>
      </c>
      <c r="U175" s="473" t="s">
        <v>139</v>
      </c>
      <c r="V175" s="615" t="s">
        <v>218</v>
      </c>
      <c r="W175" s="474"/>
      <c r="X175" s="474"/>
      <c r="Y175" s="476"/>
      <c r="Z175" s="476"/>
      <c r="AA175" s="477"/>
    </row>
    <row r="176">
      <c r="A176" s="491">
        <v>175.0</v>
      </c>
      <c r="B176" s="612" t="s">
        <v>20</v>
      </c>
      <c r="C176" s="494"/>
      <c r="D176" s="613" t="s">
        <v>1604</v>
      </c>
      <c r="E176" s="492" t="s">
        <v>531</v>
      </c>
      <c r="F176" s="492" t="s">
        <v>1613</v>
      </c>
      <c r="G176" s="512" t="s">
        <v>44</v>
      </c>
      <c r="H176" s="612" t="s">
        <v>64</v>
      </c>
      <c r="I176" s="512" t="s">
        <v>3527</v>
      </c>
      <c r="J176" s="493" t="s">
        <v>1615</v>
      </c>
      <c r="K176" s="498"/>
      <c r="L176" s="612" t="s">
        <v>1616</v>
      </c>
      <c r="M176" s="494"/>
      <c r="N176" s="495" t="str">
        <f t="shared" si="2"/>
        <v>이메일</v>
      </c>
      <c r="O176" s="627">
        <v>0.0</v>
      </c>
      <c r="P176" s="627">
        <v>1.0</v>
      </c>
      <c r="Q176" s="627">
        <v>0.0</v>
      </c>
      <c r="R176" s="535"/>
      <c r="S176" s="474"/>
      <c r="T176" s="474">
        <v>46108.0</v>
      </c>
      <c r="U176" s="473" t="s">
        <v>139</v>
      </c>
      <c r="V176" s="615" t="s">
        <v>218</v>
      </c>
      <c r="W176" s="474"/>
      <c r="X176" s="474"/>
      <c r="Y176" s="476"/>
      <c r="Z176" s="476"/>
      <c r="AA176" s="477"/>
    </row>
    <row r="177">
      <c r="A177" s="491">
        <v>176.0</v>
      </c>
      <c r="B177" s="612" t="s">
        <v>20</v>
      </c>
      <c r="C177" s="494"/>
      <c r="D177" s="613" t="s">
        <v>1620</v>
      </c>
      <c r="E177" s="492" t="s">
        <v>1377</v>
      </c>
      <c r="F177" s="492" t="s">
        <v>1621</v>
      </c>
      <c r="G177" s="512" t="s">
        <v>44</v>
      </c>
      <c r="H177" s="612" t="s">
        <v>106</v>
      </c>
      <c r="I177" s="494"/>
      <c r="J177" s="498"/>
      <c r="K177" s="498"/>
      <c r="L177" s="612" t="s">
        <v>1622</v>
      </c>
      <c r="M177" s="494"/>
      <c r="N177" s="495" t="str">
        <f t="shared" si="2"/>
        <v>이메일</v>
      </c>
      <c r="O177" s="627">
        <v>0.0</v>
      </c>
      <c r="P177" s="627">
        <v>1.0</v>
      </c>
      <c r="Q177" s="627">
        <v>0.0</v>
      </c>
      <c r="R177" s="535"/>
      <c r="S177" s="474"/>
      <c r="T177" s="474">
        <v>46108.0</v>
      </c>
      <c r="U177" s="473" t="s">
        <v>139</v>
      </c>
      <c r="V177" s="615" t="s">
        <v>218</v>
      </c>
      <c r="W177" s="474"/>
      <c r="X177" s="474"/>
      <c r="Y177" s="476"/>
      <c r="Z177" s="476"/>
      <c r="AA177" s="477"/>
    </row>
    <row r="178">
      <c r="A178" s="491">
        <v>177.0</v>
      </c>
      <c r="B178" s="612" t="s">
        <v>20</v>
      </c>
      <c r="C178" s="494"/>
      <c r="D178" s="613" t="s">
        <v>1631</v>
      </c>
      <c r="E178" s="492" t="s">
        <v>1072</v>
      </c>
      <c r="F178" s="492" t="s">
        <v>1632</v>
      </c>
      <c r="G178" s="512" t="s">
        <v>44</v>
      </c>
      <c r="H178" s="612" t="s">
        <v>106</v>
      </c>
      <c r="I178" s="494"/>
      <c r="J178" s="493" t="s">
        <v>1633</v>
      </c>
      <c r="K178" s="493" t="s">
        <v>1634</v>
      </c>
      <c r="L178" s="612" t="s">
        <v>1635</v>
      </c>
      <c r="M178" s="494"/>
      <c r="N178" s="495" t="str">
        <f t="shared" si="2"/>
        <v>DM+이메일</v>
      </c>
      <c r="O178" s="627">
        <v>1.0</v>
      </c>
      <c r="P178" s="627">
        <v>1.0</v>
      </c>
      <c r="Q178" s="627">
        <v>0.0</v>
      </c>
      <c r="R178" s="535"/>
      <c r="S178" s="474"/>
      <c r="T178" s="474">
        <v>46108.0</v>
      </c>
      <c r="U178" s="473" t="s">
        <v>139</v>
      </c>
      <c r="V178" s="615" t="s">
        <v>218</v>
      </c>
      <c r="W178" s="474"/>
      <c r="X178" s="474"/>
      <c r="Y178" s="476"/>
      <c r="Z178" s="476"/>
      <c r="AA178" s="477"/>
    </row>
    <row r="179">
      <c r="A179" s="538">
        <v>178.0</v>
      </c>
      <c r="B179" s="616" t="s">
        <v>20</v>
      </c>
      <c r="C179" s="544"/>
      <c r="D179" s="617" t="s">
        <v>1636</v>
      </c>
      <c r="E179" s="541" t="s">
        <v>578</v>
      </c>
      <c r="F179" s="541" t="s">
        <v>1637</v>
      </c>
      <c r="G179" s="618" t="s">
        <v>789</v>
      </c>
      <c r="H179" s="616" t="s">
        <v>106</v>
      </c>
      <c r="I179" s="544"/>
      <c r="J179" s="543"/>
      <c r="K179" s="542" t="s">
        <v>1638</v>
      </c>
      <c r="L179" s="619"/>
      <c r="M179" s="544"/>
      <c r="N179" s="545" t="str">
        <f t="shared" si="2"/>
        <v>DM</v>
      </c>
      <c r="O179" s="633">
        <v>1.0</v>
      </c>
      <c r="P179" s="633">
        <v>0.0</v>
      </c>
      <c r="Q179" s="633">
        <v>0.0</v>
      </c>
      <c r="R179" s="620"/>
      <c r="S179" s="549"/>
      <c r="T179" s="549">
        <v>46108.0</v>
      </c>
      <c r="U179" s="549"/>
      <c r="V179" s="549"/>
      <c r="W179" s="549"/>
      <c r="X179" s="549"/>
      <c r="Y179" s="548"/>
      <c r="Z179" s="548"/>
    </row>
    <row r="180">
      <c r="A180" s="538">
        <v>179.0</v>
      </c>
      <c r="B180" s="616" t="s">
        <v>20</v>
      </c>
      <c r="C180" s="544"/>
      <c r="D180" s="617" t="s">
        <v>588</v>
      </c>
      <c r="E180" s="541" t="s">
        <v>578</v>
      </c>
      <c r="F180" s="541" t="s">
        <v>1639</v>
      </c>
      <c r="G180" s="618" t="s">
        <v>789</v>
      </c>
      <c r="H180" s="616" t="s">
        <v>64</v>
      </c>
      <c r="I180" s="618" t="s">
        <v>1640</v>
      </c>
      <c r="J180" s="543"/>
      <c r="K180" s="542" t="s">
        <v>1641</v>
      </c>
      <c r="L180" s="619"/>
      <c r="M180" s="544"/>
      <c r="N180" s="545" t="str">
        <f t="shared" si="2"/>
        <v>DM</v>
      </c>
      <c r="O180" s="633">
        <v>1.0</v>
      </c>
      <c r="P180" s="633">
        <v>0.0</v>
      </c>
      <c r="Q180" s="633">
        <v>0.0</v>
      </c>
      <c r="R180" s="620"/>
      <c r="S180" s="549"/>
      <c r="T180" s="549">
        <v>46108.0</v>
      </c>
      <c r="U180" s="549"/>
      <c r="V180" s="549"/>
      <c r="W180" s="549"/>
      <c r="X180" s="549"/>
      <c r="Y180" s="548"/>
      <c r="Z180" s="548"/>
    </row>
    <row r="181">
      <c r="A181" s="491">
        <v>180.0</v>
      </c>
      <c r="B181" s="612" t="s">
        <v>20</v>
      </c>
      <c r="C181" s="494"/>
      <c r="D181" s="613" t="s">
        <v>1650</v>
      </c>
      <c r="E181" s="492" t="s">
        <v>332</v>
      </c>
      <c r="F181" s="492" t="s">
        <v>1651</v>
      </c>
      <c r="G181" s="494"/>
      <c r="H181" s="612" t="s">
        <v>64</v>
      </c>
      <c r="I181" s="512" t="s">
        <v>657</v>
      </c>
      <c r="J181" s="493" t="s">
        <v>1652</v>
      </c>
      <c r="K181" s="498"/>
      <c r="L181" s="612" t="s">
        <v>1653</v>
      </c>
      <c r="M181" s="497" t="s">
        <v>1654</v>
      </c>
      <c r="N181" s="495" t="str">
        <f t="shared" si="2"/>
        <v>이메일</v>
      </c>
      <c r="O181" s="627">
        <v>0.0</v>
      </c>
      <c r="P181" s="627">
        <v>1.0</v>
      </c>
      <c r="Q181" s="627">
        <v>0.0</v>
      </c>
      <c r="R181" s="535"/>
      <c r="S181" s="474"/>
      <c r="T181" s="474">
        <v>46108.0</v>
      </c>
      <c r="U181" s="473" t="s">
        <v>139</v>
      </c>
      <c r="V181" s="615" t="s">
        <v>218</v>
      </c>
      <c r="W181" s="474"/>
      <c r="X181" s="474"/>
      <c r="Y181" s="476"/>
      <c r="Z181" s="476"/>
      <c r="AA181" s="477"/>
    </row>
    <row r="182">
      <c r="A182" s="491">
        <v>181.0</v>
      </c>
      <c r="B182" s="612" t="s">
        <v>20</v>
      </c>
      <c r="C182" s="494"/>
      <c r="D182" s="613" t="s">
        <v>1668</v>
      </c>
      <c r="E182" s="492" t="s">
        <v>1110</v>
      </c>
      <c r="F182" s="503" t="s">
        <v>1669</v>
      </c>
      <c r="G182" s="512" t="s">
        <v>44</v>
      </c>
      <c r="H182" s="494"/>
      <c r="I182" s="512" t="s">
        <v>648</v>
      </c>
      <c r="J182" s="493" t="s">
        <v>1670</v>
      </c>
      <c r="K182" s="493" t="s">
        <v>1671</v>
      </c>
      <c r="L182" s="612" t="s">
        <v>1672</v>
      </c>
      <c r="M182" s="494"/>
      <c r="N182" s="495" t="str">
        <f t="shared" si="2"/>
        <v>DM+이메일</v>
      </c>
      <c r="O182" s="627">
        <v>1.0</v>
      </c>
      <c r="P182" s="627">
        <v>1.0</v>
      </c>
      <c r="Q182" s="627">
        <v>0.0</v>
      </c>
      <c r="R182" s="535"/>
      <c r="S182" s="474"/>
      <c r="T182" s="474">
        <v>46108.0</v>
      </c>
      <c r="U182" s="473" t="s">
        <v>139</v>
      </c>
      <c r="V182" s="615" t="s">
        <v>218</v>
      </c>
      <c r="W182" s="474"/>
      <c r="X182" s="474"/>
      <c r="Y182" s="476"/>
      <c r="Z182" s="476"/>
      <c r="AA182" s="477"/>
    </row>
    <row r="183">
      <c r="A183" s="491">
        <v>182.0</v>
      </c>
      <c r="B183" s="612" t="s">
        <v>20</v>
      </c>
      <c r="C183" s="494"/>
      <c r="D183" s="613" t="s">
        <v>1679</v>
      </c>
      <c r="E183" s="492" t="s">
        <v>1370</v>
      </c>
      <c r="F183" s="492" t="s">
        <v>1680</v>
      </c>
      <c r="G183" s="512" t="s">
        <v>1660</v>
      </c>
      <c r="H183" s="612" t="s">
        <v>64</v>
      </c>
      <c r="I183" s="512" t="s">
        <v>1660</v>
      </c>
      <c r="J183" s="498"/>
      <c r="K183" s="498"/>
      <c r="L183" s="612" t="s">
        <v>1681</v>
      </c>
      <c r="M183" s="505" t="s">
        <v>3528</v>
      </c>
      <c r="N183" s="495" t="str">
        <f t="shared" si="2"/>
        <v>이메일</v>
      </c>
      <c r="O183" s="627">
        <v>0.0</v>
      </c>
      <c r="P183" s="627">
        <v>1.0</v>
      </c>
      <c r="Q183" s="627">
        <v>0.0</v>
      </c>
      <c r="R183" s="535"/>
      <c r="S183" s="474"/>
      <c r="T183" s="474">
        <v>46108.0</v>
      </c>
      <c r="U183" s="473" t="s">
        <v>139</v>
      </c>
      <c r="V183" s="615" t="s">
        <v>218</v>
      </c>
      <c r="W183" s="474"/>
      <c r="X183" s="474"/>
      <c r="Y183" s="476"/>
      <c r="Z183" s="476"/>
      <c r="AA183" s="477"/>
    </row>
    <row r="184">
      <c r="A184" s="491">
        <v>183.0</v>
      </c>
      <c r="B184" s="612" t="s">
        <v>20</v>
      </c>
      <c r="C184" s="494"/>
      <c r="D184" s="613" t="s">
        <v>938</v>
      </c>
      <c r="E184" s="492" t="s">
        <v>531</v>
      </c>
      <c r="F184" s="492" t="s">
        <v>1700</v>
      </c>
      <c r="G184" s="512" t="s">
        <v>44</v>
      </c>
      <c r="H184" s="612" t="s">
        <v>64</v>
      </c>
      <c r="I184" s="512" t="s">
        <v>992</v>
      </c>
      <c r="J184" s="493" t="s">
        <v>1701</v>
      </c>
      <c r="K184" s="498"/>
      <c r="L184" s="612" t="s">
        <v>1702</v>
      </c>
      <c r="M184" s="494"/>
      <c r="N184" s="495" t="str">
        <f t="shared" si="2"/>
        <v>이메일</v>
      </c>
      <c r="O184" s="627">
        <v>0.0</v>
      </c>
      <c r="P184" s="627">
        <v>1.0</v>
      </c>
      <c r="Q184" s="627">
        <v>0.0</v>
      </c>
      <c r="R184" s="535"/>
      <c r="S184" s="474"/>
      <c r="T184" s="474">
        <v>46108.0</v>
      </c>
      <c r="U184" s="473" t="s">
        <v>139</v>
      </c>
      <c r="V184" s="615" t="s">
        <v>218</v>
      </c>
      <c r="W184" s="474"/>
      <c r="X184" s="474"/>
      <c r="Y184" s="476"/>
      <c r="Z184" s="476"/>
      <c r="AA184" s="477"/>
    </row>
    <row r="185">
      <c r="A185" s="491">
        <v>184.0</v>
      </c>
      <c r="B185" s="612" t="s">
        <v>20</v>
      </c>
      <c r="C185" s="494"/>
      <c r="D185" s="613" t="s">
        <v>200</v>
      </c>
      <c r="E185" s="492" t="s">
        <v>332</v>
      </c>
      <c r="F185" s="492" t="s">
        <v>1726</v>
      </c>
      <c r="G185" s="512" t="s">
        <v>1727</v>
      </c>
      <c r="H185" s="612" t="s">
        <v>64</v>
      </c>
      <c r="I185" s="512" t="s">
        <v>594</v>
      </c>
      <c r="J185" s="493" t="s">
        <v>1728</v>
      </c>
      <c r="K185" s="498"/>
      <c r="L185" s="612" t="s">
        <v>1729</v>
      </c>
      <c r="M185" s="494"/>
      <c r="N185" s="495" t="str">
        <f t="shared" si="2"/>
        <v>이메일</v>
      </c>
      <c r="O185" s="627">
        <v>0.0</v>
      </c>
      <c r="P185" s="627">
        <v>1.0</v>
      </c>
      <c r="Q185" s="627">
        <v>0.0</v>
      </c>
      <c r="R185" s="535"/>
      <c r="S185" s="474"/>
      <c r="T185" s="474">
        <v>46108.0</v>
      </c>
      <c r="U185" s="473" t="s">
        <v>139</v>
      </c>
      <c r="V185" s="615" t="s">
        <v>218</v>
      </c>
      <c r="W185" s="474"/>
      <c r="X185" s="474"/>
      <c r="Y185" s="476"/>
      <c r="Z185" s="476"/>
      <c r="AA185" s="477"/>
    </row>
    <row r="186">
      <c r="A186" s="491">
        <v>185.0</v>
      </c>
      <c r="B186" s="612" t="s">
        <v>20</v>
      </c>
      <c r="C186" s="612" t="s">
        <v>1733</v>
      </c>
      <c r="D186" s="613" t="s">
        <v>574</v>
      </c>
      <c r="E186" s="503" t="s">
        <v>69</v>
      </c>
      <c r="F186" s="492" t="s">
        <v>1734</v>
      </c>
      <c r="G186" s="512" t="s">
        <v>44</v>
      </c>
      <c r="H186" s="612" t="s">
        <v>106</v>
      </c>
      <c r="I186" s="494"/>
      <c r="J186" s="493" t="s">
        <v>1735</v>
      </c>
      <c r="K186" s="498"/>
      <c r="L186" s="612" t="s">
        <v>1736</v>
      </c>
      <c r="M186" s="494"/>
      <c r="N186" s="495" t="str">
        <f t="shared" si="2"/>
        <v>이메일</v>
      </c>
      <c r="O186" s="627">
        <v>0.0</v>
      </c>
      <c r="P186" s="627">
        <v>1.0</v>
      </c>
      <c r="Q186" s="627">
        <v>0.0</v>
      </c>
      <c r="R186" s="535"/>
      <c r="S186" s="474"/>
      <c r="T186" s="474">
        <v>46108.0</v>
      </c>
      <c r="U186" s="473" t="s">
        <v>139</v>
      </c>
      <c r="V186" s="615" t="s">
        <v>218</v>
      </c>
      <c r="W186" s="474"/>
      <c r="X186" s="474"/>
      <c r="Y186" s="476"/>
      <c r="Z186" s="476"/>
      <c r="AA186" s="477"/>
    </row>
    <row r="187">
      <c r="A187" s="491">
        <v>186.0</v>
      </c>
      <c r="B187" s="612" t="s">
        <v>20</v>
      </c>
      <c r="C187" s="494"/>
      <c r="D187" s="613" t="s">
        <v>294</v>
      </c>
      <c r="E187" s="492" t="s">
        <v>1110</v>
      </c>
      <c r="F187" s="492" t="s">
        <v>1737</v>
      </c>
      <c r="G187" s="512" t="s">
        <v>44</v>
      </c>
      <c r="H187" s="612" t="s">
        <v>64</v>
      </c>
      <c r="I187" s="512" t="s">
        <v>1252</v>
      </c>
      <c r="J187" s="493" t="s">
        <v>1738</v>
      </c>
      <c r="K187" s="498"/>
      <c r="L187" s="634" t="s">
        <v>1739</v>
      </c>
      <c r="M187" s="494"/>
      <c r="N187" s="495" t="str">
        <f t="shared" si="2"/>
        <v>이메일</v>
      </c>
      <c r="O187" s="627">
        <v>0.0</v>
      </c>
      <c r="P187" s="627">
        <v>1.0</v>
      </c>
      <c r="Q187" s="627">
        <v>0.0</v>
      </c>
      <c r="R187" s="535"/>
      <c r="S187" s="474"/>
      <c r="T187" s="474">
        <v>46108.0</v>
      </c>
      <c r="U187" s="473" t="s">
        <v>139</v>
      </c>
      <c r="V187" s="615" t="s">
        <v>218</v>
      </c>
      <c r="W187" s="474"/>
      <c r="X187" s="474"/>
      <c r="Y187" s="476"/>
      <c r="Z187" s="476"/>
      <c r="AA187" s="477"/>
    </row>
    <row r="188">
      <c r="A188" s="538">
        <v>187.0</v>
      </c>
      <c r="B188" s="616" t="s">
        <v>20</v>
      </c>
      <c r="C188" s="544"/>
      <c r="D188" s="617" t="s">
        <v>1749</v>
      </c>
      <c r="E188" s="541" t="s">
        <v>429</v>
      </c>
      <c r="F188" s="541" t="s">
        <v>1750</v>
      </c>
      <c r="G188" s="618" t="s">
        <v>789</v>
      </c>
      <c r="H188" s="616" t="s">
        <v>64</v>
      </c>
      <c r="I188" s="618" t="s">
        <v>674</v>
      </c>
      <c r="J188" s="542" t="s">
        <v>1751</v>
      </c>
      <c r="K188" s="542" t="s">
        <v>1752</v>
      </c>
      <c r="L188" s="619"/>
      <c r="M188" s="544"/>
      <c r="N188" s="545" t="str">
        <f t="shared" si="2"/>
        <v>DM</v>
      </c>
      <c r="O188" s="633">
        <v>1.0</v>
      </c>
      <c r="P188" s="633">
        <v>0.0</v>
      </c>
      <c r="Q188" s="633">
        <v>0.0</v>
      </c>
      <c r="R188" s="620"/>
      <c r="S188" s="549"/>
      <c r="T188" s="549">
        <v>46108.0</v>
      </c>
      <c r="U188" s="549"/>
      <c r="V188" s="549"/>
      <c r="W188" s="549"/>
      <c r="X188" s="549"/>
      <c r="Y188" s="548"/>
      <c r="Z188" s="548"/>
    </row>
    <row r="189">
      <c r="A189" s="491">
        <v>188.0</v>
      </c>
      <c r="B189" s="612" t="s">
        <v>20</v>
      </c>
      <c r="C189" s="494"/>
      <c r="D189" s="613" t="s">
        <v>899</v>
      </c>
      <c r="E189" s="492" t="s">
        <v>531</v>
      </c>
      <c r="F189" s="492" t="s">
        <v>1762</v>
      </c>
      <c r="G189" s="512" t="s">
        <v>44</v>
      </c>
      <c r="H189" s="612" t="s">
        <v>106</v>
      </c>
      <c r="I189" s="494"/>
      <c r="J189" s="493" t="s">
        <v>1763</v>
      </c>
      <c r="K189" s="498"/>
      <c r="L189" s="612" t="s">
        <v>1764</v>
      </c>
      <c r="M189" s="494"/>
      <c r="N189" s="495" t="str">
        <f t="shared" si="2"/>
        <v>이메일</v>
      </c>
      <c r="O189" s="627">
        <v>0.0</v>
      </c>
      <c r="P189" s="627">
        <v>1.0</v>
      </c>
      <c r="Q189" s="627">
        <v>0.0</v>
      </c>
      <c r="R189" s="535"/>
      <c r="S189" s="474"/>
      <c r="T189" s="474">
        <v>46108.0</v>
      </c>
      <c r="U189" s="473" t="s">
        <v>139</v>
      </c>
      <c r="V189" s="615" t="s">
        <v>218</v>
      </c>
      <c r="W189" s="474"/>
      <c r="X189" s="474"/>
      <c r="Y189" s="476"/>
      <c r="Z189" s="476"/>
      <c r="AA189" s="477"/>
    </row>
    <row r="190">
      <c r="A190" s="491">
        <v>189.0</v>
      </c>
      <c r="B190" s="612" t="s">
        <v>20</v>
      </c>
      <c r="C190" s="494"/>
      <c r="D190" s="613" t="s">
        <v>1767</v>
      </c>
      <c r="E190" s="492" t="s">
        <v>1377</v>
      </c>
      <c r="F190" s="492" t="s">
        <v>1768</v>
      </c>
      <c r="G190" s="512" t="s">
        <v>45</v>
      </c>
      <c r="H190" s="612" t="s">
        <v>64</v>
      </c>
      <c r="I190" s="512" t="s">
        <v>1486</v>
      </c>
      <c r="J190" s="493" t="s">
        <v>1769</v>
      </c>
      <c r="K190" s="493" t="s">
        <v>1770</v>
      </c>
      <c r="L190" s="612" t="s">
        <v>1771</v>
      </c>
      <c r="M190" s="494"/>
      <c r="N190" s="495" t="str">
        <f t="shared" si="2"/>
        <v>DM+이메일</v>
      </c>
      <c r="O190" s="627">
        <v>1.0</v>
      </c>
      <c r="P190" s="627">
        <v>1.0</v>
      </c>
      <c r="Q190" s="627">
        <v>0.0</v>
      </c>
      <c r="R190" s="535"/>
      <c r="S190" s="474"/>
      <c r="T190" s="474">
        <v>46108.0</v>
      </c>
      <c r="U190" s="473" t="s">
        <v>139</v>
      </c>
      <c r="V190" s="615" t="s">
        <v>218</v>
      </c>
      <c r="W190" s="474"/>
      <c r="X190" s="474"/>
      <c r="Y190" s="476"/>
      <c r="Z190" s="476"/>
      <c r="AA190" s="477"/>
    </row>
    <row r="191">
      <c r="A191" s="491">
        <v>190.0</v>
      </c>
      <c r="B191" s="612" t="s">
        <v>20</v>
      </c>
      <c r="C191" s="494"/>
      <c r="D191" s="613" t="s">
        <v>1443</v>
      </c>
      <c r="E191" s="492" t="s">
        <v>353</v>
      </c>
      <c r="F191" s="492" t="s">
        <v>1775</v>
      </c>
      <c r="G191" s="512" t="s">
        <v>44</v>
      </c>
      <c r="H191" s="612" t="s">
        <v>106</v>
      </c>
      <c r="I191" s="494"/>
      <c r="J191" s="493" t="s">
        <v>1776</v>
      </c>
      <c r="K191" s="498"/>
      <c r="L191" s="612" t="s">
        <v>1777</v>
      </c>
      <c r="M191" s="497" t="s">
        <v>1778</v>
      </c>
      <c r="N191" s="495" t="str">
        <f t="shared" si="2"/>
        <v>이메일</v>
      </c>
      <c r="O191" s="627">
        <v>0.0</v>
      </c>
      <c r="P191" s="627">
        <v>1.0</v>
      </c>
      <c r="Q191" s="627">
        <v>0.0</v>
      </c>
      <c r="R191" s="535"/>
      <c r="S191" s="474"/>
      <c r="T191" s="474">
        <v>46108.0</v>
      </c>
      <c r="U191" s="473" t="s">
        <v>139</v>
      </c>
      <c r="V191" s="615" t="s">
        <v>218</v>
      </c>
      <c r="W191" s="474"/>
      <c r="X191" s="474"/>
      <c r="Y191" s="476"/>
      <c r="Z191" s="476"/>
      <c r="AA191" s="477"/>
    </row>
    <row r="192">
      <c r="A192" s="491">
        <v>191.0</v>
      </c>
      <c r="B192" s="612" t="s">
        <v>20</v>
      </c>
      <c r="C192" s="494"/>
      <c r="D192" s="613" t="s">
        <v>1779</v>
      </c>
      <c r="E192" s="492" t="s">
        <v>353</v>
      </c>
      <c r="F192" s="492" t="s">
        <v>1780</v>
      </c>
      <c r="G192" s="512" t="s">
        <v>44</v>
      </c>
      <c r="H192" s="612" t="s">
        <v>106</v>
      </c>
      <c r="I192" s="494"/>
      <c r="J192" s="493" t="s">
        <v>1781</v>
      </c>
      <c r="K192" s="498"/>
      <c r="L192" s="612" t="s">
        <v>1782</v>
      </c>
      <c r="M192" s="497" t="s">
        <v>1778</v>
      </c>
      <c r="N192" s="495" t="str">
        <f t="shared" si="2"/>
        <v>이메일</v>
      </c>
      <c r="O192" s="627">
        <v>0.0</v>
      </c>
      <c r="P192" s="627">
        <v>1.0</v>
      </c>
      <c r="Q192" s="627">
        <v>0.0</v>
      </c>
      <c r="R192" s="535"/>
      <c r="S192" s="474"/>
      <c r="T192" s="474">
        <v>46108.0</v>
      </c>
      <c r="U192" s="473" t="s">
        <v>139</v>
      </c>
      <c r="V192" s="615" t="s">
        <v>218</v>
      </c>
      <c r="W192" s="474"/>
      <c r="X192" s="474"/>
      <c r="Y192" s="476"/>
      <c r="Z192" s="476"/>
      <c r="AA192" s="477"/>
    </row>
    <row r="193">
      <c r="A193" s="491">
        <v>192.0</v>
      </c>
      <c r="B193" s="612" t="s">
        <v>20</v>
      </c>
      <c r="C193" s="494"/>
      <c r="D193" s="613" t="s">
        <v>1783</v>
      </c>
      <c r="E193" s="492" t="s">
        <v>1072</v>
      </c>
      <c r="F193" s="492" t="s">
        <v>1784</v>
      </c>
      <c r="G193" s="512" t="s">
        <v>44</v>
      </c>
      <c r="H193" s="612" t="s">
        <v>106</v>
      </c>
      <c r="I193" s="494"/>
      <c r="J193" s="493" t="s">
        <v>1785</v>
      </c>
      <c r="K193" s="498"/>
      <c r="L193" s="612" t="s">
        <v>1786</v>
      </c>
      <c r="M193" s="494"/>
      <c r="N193" s="495" t="str">
        <f t="shared" si="2"/>
        <v>이메일</v>
      </c>
      <c r="O193" s="627">
        <v>0.0</v>
      </c>
      <c r="P193" s="627">
        <v>1.0</v>
      </c>
      <c r="Q193" s="627">
        <v>0.0</v>
      </c>
      <c r="R193" s="535"/>
      <c r="S193" s="474"/>
      <c r="T193" s="474">
        <v>46108.0</v>
      </c>
      <c r="U193" s="473" t="s">
        <v>139</v>
      </c>
      <c r="V193" s="615" t="s">
        <v>218</v>
      </c>
      <c r="W193" s="474"/>
      <c r="X193" s="474"/>
      <c r="Y193" s="476"/>
      <c r="Z193" s="476"/>
      <c r="AA193" s="477"/>
    </row>
    <row r="194">
      <c r="A194" s="491">
        <v>193.0</v>
      </c>
      <c r="B194" s="612" t="s">
        <v>20</v>
      </c>
      <c r="C194" s="494"/>
      <c r="D194" s="613" t="s">
        <v>1787</v>
      </c>
      <c r="E194" s="492" t="s">
        <v>1072</v>
      </c>
      <c r="F194" s="492" t="s">
        <v>1788</v>
      </c>
      <c r="G194" s="512" t="s">
        <v>44</v>
      </c>
      <c r="H194" s="612" t="s">
        <v>106</v>
      </c>
      <c r="I194" s="494"/>
      <c r="J194" s="493" t="s">
        <v>1789</v>
      </c>
      <c r="K194" s="493" t="s">
        <v>1790</v>
      </c>
      <c r="L194" s="612" t="s">
        <v>1791</v>
      </c>
      <c r="M194" s="494"/>
      <c r="N194" s="495" t="str">
        <f t="shared" si="2"/>
        <v>DM+이메일</v>
      </c>
      <c r="O194" s="627">
        <v>1.0</v>
      </c>
      <c r="P194" s="627">
        <v>1.0</v>
      </c>
      <c r="Q194" s="627">
        <v>0.0</v>
      </c>
      <c r="R194" s="535"/>
      <c r="S194" s="474"/>
      <c r="T194" s="474">
        <v>46108.0</v>
      </c>
      <c r="U194" s="473" t="s">
        <v>139</v>
      </c>
      <c r="V194" s="615" t="s">
        <v>218</v>
      </c>
      <c r="W194" s="474"/>
      <c r="X194" s="474"/>
      <c r="Y194" s="476"/>
      <c r="Z194" s="476"/>
      <c r="AA194" s="477"/>
    </row>
    <row r="195">
      <c r="A195" s="491">
        <v>194.0</v>
      </c>
      <c r="B195" s="612" t="s">
        <v>20</v>
      </c>
      <c r="C195" s="494"/>
      <c r="D195" s="613" t="s">
        <v>1798</v>
      </c>
      <c r="E195" s="492" t="s">
        <v>1063</v>
      </c>
      <c r="F195" s="492" t="s">
        <v>1799</v>
      </c>
      <c r="G195" s="512" t="s">
        <v>44</v>
      </c>
      <c r="H195" s="612" t="s">
        <v>106</v>
      </c>
      <c r="I195" s="512" t="s">
        <v>1800</v>
      </c>
      <c r="J195" s="493" t="s">
        <v>1801</v>
      </c>
      <c r="K195" s="498"/>
      <c r="L195" s="612" t="s">
        <v>1802</v>
      </c>
      <c r="M195" s="494"/>
      <c r="N195" s="495" t="str">
        <f t="shared" si="2"/>
        <v>이메일</v>
      </c>
      <c r="O195" s="627">
        <v>0.0</v>
      </c>
      <c r="P195" s="627">
        <v>1.0</v>
      </c>
      <c r="Q195" s="627">
        <v>0.0</v>
      </c>
      <c r="R195" s="535"/>
      <c r="S195" s="474"/>
      <c r="T195" s="474">
        <v>46108.0</v>
      </c>
      <c r="U195" s="473" t="s">
        <v>139</v>
      </c>
      <c r="V195" s="615" t="s">
        <v>218</v>
      </c>
      <c r="W195" s="474"/>
      <c r="X195" s="474"/>
      <c r="Y195" s="476"/>
      <c r="Z195" s="476"/>
      <c r="AA195" s="477"/>
    </row>
    <row r="196">
      <c r="A196" s="491">
        <v>195.0</v>
      </c>
      <c r="B196" s="612" t="s">
        <v>20</v>
      </c>
      <c r="C196" s="624" t="s">
        <v>1733</v>
      </c>
      <c r="D196" s="613" t="s">
        <v>787</v>
      </c>
      <c r="E196" s="492" t="s">
        <v>1494</v>
      </c>
      <c r="F196" s="492" t="s">
        <v>1803</v>
      </c>
      <c r="G196" s="512" t="s">
        <v>44</v>
      </c>
      <c r="H196" s="612" t="s">
        <v>64</v>
      </c>
      <c r="I196" s="512" t="s">
        <v>657</v>
      </c>
      <c r="J196" s="493" t="s">
        <v>1804</v>
      </c>
      <c r="K196" s="498"/>
      <c r="L196" s="612" t="s">
        <v>1805</v>
      </c>
      <c r="M196" s="494"/>
      <c r="N196" s="495" t="str">
        <f t="shared" si="2"/>
        <v>이메일</v>
      </c>
      <c r="O196" s="627">
        <v>0.0</v>
      </c>
      <c r="P196" s="627">
        <v>1.0</v>
      </c>
      <c r="Q196" s="627">
        <v>0.0</v>
      </c>
      <c r="R196" s="535"/>
      <c r="S196" s="474"/>
      <c r="T196" s="474">
        <v>46108.0</v>
      </c>
      <c r="U196" s="473" t="s">
        <v>139</v>
      </c>
      <c r="V196" s="615" t="s">
        <v>218</v>
      </c>
      <c r="W196" s="474"/>
      <c r="X196" s="474"/>
      <c r="Y196" s="476"/>
      <c r="Z196" s="476"/>
      <c r="AA196" s="477"/>
    </row>
    <row r="197">
      <c r="A197" s="491">
        <v>196.0</v>
      </c>
      <c r="B197" s="612" t="s">
        <v>20</v>
      </c>
      <c r="C197" s="494"/>
      <c r="D197" s="613" t="s">
        <v>881</v>
      </c>
      <c r="E197" s="492" t="s">
        <v>353</v>
      </c>
      <c r="F197" s="492" t="s">
        <v>1812</v>
      </c>
      <c r="G197" s="512" t="s">
        <v>272</v>
      </c>
      <c r="H197" s="612" t="s">
        <v>64</v>
      </c>
      <c r="I197" s="512" t="s">
        <v>276</v>
      </c>
      <c r="J197" s="493" t="s">
        <v>1813</v>
      </c>
      <c r="K197" s="493" t="s">
        <v>1814</v>
      </c>
      <c r="L197" s="612" t="s">
        <v>1815</v>
      </c>
      <c r="M197" s="494"/>
      <c r="N197" s="495" t="str">
        <f t="shared" si="2"/>
        <v>DM+이메일</v>
      </c>
      <c r="O197" s="627">
        <v>1.0</v>
      </c>
      <c r="P197" s="627">
        <v>1.0</v>
      </c>
      <c r="Q197" s="627">
        <v>0.0</v>
      </c>
      <c r="R197" s="535"/>
      <c r="S197" s="474"/>
      <c r="T197" s="474">
        <v>46108.0</v>
      </c>
      <c r="U197" s="473" t="s">
        <v>139</v>
      </c>
      <c r="V197" s="615" t="s">
        <v>218</v>
      </c>
      <c r="W197" s="474"/>
      <c r="X197" s="474"/>
      <c r="Y197" s="476"/>
      <c r="Z197" s="476"/>
      <c r="AA197" s="477"/>
    </row>
    <row r="198">
      <c r="A198" s="491">
        <v>197.0</v>
      </c>
      <c r="B198" s="612" t="s">
        <v>20</v>
      </c>
      <c r="C198" s="612" t="s">
        <v>1733</v>
      </c>
      <c r="D198" s="613" t="s">
        <v>1821</v>
      </c>
      <c r="E198" s="492" t="s">
        <v>506</v>
      </c>
      <c r="F198" s="492" t="s">
        <v>1822</v>
      </c>
      <c r="G198" s="512" t="s">
        <v>44</v>
      </c>
      <c r="H198" s="612" t="s">
        <v>64</v>
      </c>
      <c r="I198" s="623" t="s">
        <v>640</v>
      </c>
      <c r="J198" s="493" t="s">
        <v>1823</v>
      </c>
      <c r="K198" s="498"/>
      <c r="L198" s="612" t="s">
        <v>1824</v>
      </c>
      <c r="M198" s="494"/>
      <c r="N198" s="495" t="str">
        <f t="shared" si="2"/>
        <v>이메일</v>
      </c>
      <c r="O198" s="627">
        <v>0.0</v>
      </c>
      <c r="P198" s="627">
        <v>1.0</v>
      </c>
      <c r="Q198" s="627">
        <v>0.0</v>
      </c>
      <c r="R198" s="535"/>
      <c r="S198" s="474"/>
      <c r="T198" s="474">
        <v>46108.0</v>
      </c>
      <c r="U198" s="473" t="s">
        <v>139</v>
      </c>
      <c r="V198" s="615" t="s">
        <v>218</v>
      </c>
      <c r="W198" s="473" t="s">
        <v>25</v>
      </c>
      <c r="X198" s="473" t="s">
        <v>25</v>
      </c>
      <c r="Y198" s="476"/>
      <c r="Z198" s="476"/>
      <c r="AA198" s="477"/>
    </row>
    <row r="199">
      <c r="A199" s="491">
        <v>198.0</v>
      </c>
      <c r="B199" s="612" t="s">
        <v>20</v>
      </c>
      <c r="C199" s="494"/>
      <c r="D199" s="613" t="s">
        <v>1825</v>
      </c>
      <c r="E199" s="492" t="s">
        <v>506</v>
      </c>
      <c r="F199" s="492" t="s">
        <v>1826</v>
      </c>
      <c r="G199" s="512" t="s">
        <v>44</v>
      </c>
      <c r="H199" s="612" t="s">
        <v>64</v>
      </c>
      <c r="I199" s="623" t="s">
        <v>640</v>
      </c>
      <c r="J199" s="493" t="s">
        <v>1827</v>
      </c>
      <c r="K199" s="493" t="s">
        <v>1828</v>
      </c>
      <c r="L199" s="612" t="s">
        <v>1829</v>
      </c>
      <c r="M199" s="494"/>
      <c r="N199" s="495" t="str">
        <f t="shared" si="2"/>
        <v>DM+이메일</v>
      </c>
      <c r="O199" s="627">
        <v>1.0</v>
      </c>
      <c r="P199" s="627">
        <v>1.0</v>
      </c>
      <c r="Q199" s="627">
        <v>0.0</v>
      </c>
      <c r="R199" s="535"/>
      <c r="S199" s="474"/>
      <c r="T199" s="474">
        <v>46108.0</v>
      </c>
      <c r="U199" s="473" t="s">
        <v>139</v>
      </c>
      <c r="V199" s="615" t="s">
        <v>218</v>
      </c>
      <c r="W199" s="474"/>
      <c r="X199" s="474"/>
      <c r="Y199" s="476"/>
      <c r="Z199" s="476"/>
      <c r="AA199" s="477"/>
    </row>
    <row r="200">
      <c r="A200" s="491">
        <v>199.0</v>
      </c>
      <c r="B200" s="612" t="s">
        <v>20</v>
      </c>
      <c r="C200" s="494"/>
      <c r="D200" s="613" t="s">
        <v>1846</v>
      </c>
      <c r="E200" s="492" t="s">
        <v>69</v>
      </c>
      <c r="F200" s="492" t="s">
        <v>1847</v>
      </c>
      <c r="G200" s="512" t="s">
        <v>44</v>
      </c>
      <c r="H200" s="612" t="s">
        <v>106</v>
      </c>
      <c r="I200" s="494"/>
      <c r="J200" s="493" t="s">
        <v>1848</v>
      </c>
      <c r="K200" s="498"/>
      <c r="L200" s="612" t="s">
        <v>1849</v>
      </c>
      <c r="M200" s="494"/>
      <c r="N200" s="495" t="str">
        <f t="shared" si="2"/>
        <v>이메일</v>
      </c>
      <c r="O200" s="627">
        <v>0.0</v>
      </c>
      <c r="P200" s="627">
        <v>1.0</v>
      </c>
      <c r="Q200" s="627">
        <v>0.0</v>
      </c>
      <c r="R200" s="535"/>
      <c r="S200" s="474"/>
      <c r="T200" s="474">
        <v>46108.0</v>
      </c>
      <c r="U200" s="473" t="s">
        <v>139</v>
      </c>
      <c r="V200" s="615" t="s">
        <v>218</v>
      </c>
      <c r="W200" s="474"/>
      <c r="X200" s="474"/>
      <c r="Y200" s="476"/>
      <c r="Z200" s="476"/>
      <c r="AA200" s="477"/>
    </row>
    <row r="201">
      <c r="A201" s="491">
        <v>200.0</v>
      </c>
      <c r="B201" s="612" t="s">
        <v>20</v>
      </c>
      <c r="C201" s="494"/>
      <c r="D201" s="613" t="s">
        <v>899</v>
      </c>
      <c r="E201" s="492" t="s">
        <v>1063</v>
      </c>
      <c r="F201" s="492" t="s">
        <v>1880</v>
      </c>
      <c r="G201" s="512" t="s">
        <v>1852</v>
      </c>
      <c r="H201" s="612" t="s">
        <v>64</v>
      </c>
      <c r="I201" s="512" t="s">
        <v>1881</v>
      </c>
      <c r="J201" s="493" t="s">
        <v>1882</v>
      </c>
      <c r="K201" s="498"/>
      <c r="L201" s="612" t="s">
        <v>1883</v>
      </c>
      <c r="M201" s="494"/>
      <c r="N201" s="495" t="str">
        <f t="shared" si="2"/>
        <v>이메일</v>
      </c>
      <c r="O201" s="627">
        <v>0.0</v>
      </c>
      <c r="P201" s="627">
        <v>1.0</v>
      </c>
      <c r="Q201" s="627">
        <v>0.0</v>
      </c>
      <c r="R201" s="535"/>
      <c r="S201" s="474"/>
      <c r="T201" s="474">
        <v>46108.0</v>
      </c>
      <c r="U201" s="473" t="s">
        <v>139</v>
      </c>
      <c r="V201" s="615" t="s">
        <v>218</v>
      </c>
      <c r="W201" s="474"/>
      <c r="X201" s="474"/>
      <c r="Y201" s="476"/>
      <c r="Z201" s="476"/>
      <c r="AA201" s="477"/>
    </row>
    <row r="202">
      <c r="A202" s="491">
        <v>201.0</v>
      </c>
      <c r="B202" s="612" t="s">
        <v>20</v>
      </c>
      <c r="C202" s="494"/>
      <c r="D202" s="613" t="s">
        <v>1884</v>
      </c>
      <c r="E202" s="492" t="s">
        <v>1063</v>
      </c>
      <c r="F202" s="492" t="s">
        <v>1885</v>
      </c>
      <c r="G202" s="512" t="s">
        <v>44</v>
      </c>
      <c r="H202" s="612" t="s">
        <v>106</v>
      </c>
      <c r="I202" s="612" t="s">
        <v>106</v>
      </c>
      <c r="J202" s="493" t="s">
        <v>1886</v>
      </c>
      <c r="K202" s="498"/>
      <c r="L202" s="612" t="s">
        <v>1887</v>
      </c>
      <c r="M202" s="494"/>
      <c r="N202" s="495" t="str">
        <f t="shared" si="2"/>
        <v>이메일</v>
      </c>
      <c r="O202" s="627">
        <v>0.0</v>
      </c>
      <c r="P202" s="627">
        <v>1.0</v>
      </c>
      <c r="Q202" s="627">
        <v>0.0</v>
      </c>
      <c r="R202" s="535"/>
      <c r="S202" s="474"/>
      <c r="T202" s="474">
        <v>46108.0</v>
      </c>
      <c r="U202" s="473" t="s">
        <v>139</v>
      </c>
      <c r="V202" s="615" t="s">
        <v>218</v>
      </c>
      <c r="W202" s="474"/>
      <c r="X202" s="474"/>
      <c r="Y202" s="476"/>
      <c r="Z202" s="476"/>
      <c r="AA202" s="477"/>
    </row>
    <row r="203">
      <c r="A203" s="491">
        <v>202.0</v>
      </c>
      <c r="B203" s="612" t="s">
        <v>20</v>
      </c>
      <c r="C203" s="494"/>
      <c r="D203" s="613" t="s">
        <v>1894</v>
      </c>
      <c r="E203" s="492" t="s">
        <v>531</v>
      </c>
      <c r="F203" s="492" t="s">
        <v>1895</v>
      </c>
      <c r="G203" s="512" t="s">
        <v>44</v>
      </c>
      <c r="H203" s="612" t="s">
        <v>106</v>
      </c>
      <c r="I203" s="494"/>
      <c r="J203" s="493" t="s">
        <v>1896</v>
      </c>
      <c r="K203" s="498"/>
      <c r="L203" s="612" t="s">
        <v>1897</v>
      </c>
      <c r="M203" s="494"/>
      <c r="N203" s="495" t="str">
        <f t="shared" si="2"/>
        <v>이메일</v>
      </c>
      <c r="O203" s="627">
        <v>0.0</v>
      </c>
      <c r="P203" s="627">
        <v>1.0</v>
      </c>
      <c r="Q203" s="627">
        <v>0.0</v>
      </c>
      <c r="R203" s="535"/>
      <c r="S203" s="474"/>
      <c r="T203" s="474">
        <v>46108.0</v>
      </c>
      <c r="U203" s="473" t="s">
        <v>139</v>
      </c>
      <c r="V203" s="615" t="s">
        <v>218</v>
      </c>
      <c r="W203" s="474"/>
      <c r="X203" s="474"/>
      <c r="Y203" s="476"/>
      <c r="Z203" s="476"/>
      <c r="AA203" s="477"/>
    </row>
    <row r="204">
      <c r="A204" s="491">
        <v>203.0</v>
      </c>
      <c r="B204" s="612" t="s">
        <v>20</v>
      </c>
      <c r="C204" s="494"/>
      <c r="D204" s="613" t="s">
        <v>1898</v>
      </c>
      <c r="E204" s="492" t="s">
        <v>1110</v>
      </c>
      <c r="F204" s="492" t="s">
        <v>1899</v>
      </c>
      <c r="G204" s="512" t="s">
        <v>1660</v>
      </c>
      <c r="H204" s="612" t="s">
        <v>64</v>
      </c>
      <c r="I204" s="512" t="s">
        <v>115</v>
      </c>
      <c r="J204" s="493" t="s">
        <v>1900</v>
      </c>
      <c r="K204" s="498"/>
      <c r="L204" s="612" t="s">
        <v>1901</v>
      </c>
      <c r="M204" s="494"/>
      <c r="N204" s="495" t="str">
        <f t="shared" si="2"/>
        <v>이메일</v>
      </c>
      <c r="O204" s="627">
        <v>0.0</v>
      </c>
      <c r="P204" s="627">
        <v>1.0</v>
      </c>
      <c r="Q204" s="627">
        <v>0.0</v>
      </c>
      <c r="R204" s="535"/>
      <c r="S204" s="474"/>
      <c r="T204" s="474">
        <v>46108.0</v>
      </c>
      <c r="U204" s="473" t="s">
        <v>139</v>
      </c>
      <c r="V204" s="615" t="s">
        <v>218</v>
      </c>
      <c r="W204" s="474"/>
      <c r="X204" s="474"/>
      <c r="Y204" s="476"/>
      <c r="Z204" s="476"/>
      <c r="AA204" s="477"/>
    </row>
    <row r="205">
      <c r="A205" s="491">
        <v>204.0</v>
      </c>
      <c r="B205" s="612" t="s">
        <v>20</v>
      </c>
      <c r="C205" s="494"/>
      <c r="D205" s="613" t="s">
        <v>1902</v>
      </c>
      <c r="E205" s="492" t="s">
        <v>1110</v>
      </c>
      <c r="F205" s="492" t="s">
        <v>1903</v>
      </c>
      <c r="G205" s="512" t="s">
        <v>1903</v>
      </c>
      <c r="H205" s="612" t="s">
        <v>64</v>
      </c>
      <c r="I205" s="494"/>
      <c r="J205" s="493" t="s">
        <v>1904</v>
      </c>
      <c r="K205" s="498"/>
      <c r="L205" s="612" t="s">
        <v>1905</v>
      </c>
      <c r="M205" s="494"/>
      <c r="N205" s="495" t="str">
        <f t="shared" si="2"/>
        <v>이메일</v>
      </c>
      <c r="O205" s="627">
        <v>0.0</v>
      </c>
      <c r="P205" s="627">
        <v>1.0</v>
      </c>
      <c r="Q205" s="627">
        <v>0.0</v>
      </c>
      <c r="R205" s="535"/>
      <c r="S205" s="474"/>
      <c r="T205" s="474">
        <v>46108.0</v>
      </c>
      <c r="U205" s="473" t="s">
        <v>139</v>
      </c>
      <c r="V205" s="615" t="s">
        <v>218</v>
      </c>
      <c r="W205" s="474"/>
      <c r="X205" s="474"/>
      <c r="Y205" s="476"/>
      <c r="Z205" s="476"/>
      <c r="AA205" s="477"/>
    </row>
    <row r="206">
      <c r="A206" s="491">
        <v>205.0</v>
      </c>
      <c r="B206" s="612" t="s">
        <v>20</v>
      </c>
      <c r="C206" s="494"/>
      <c r="D206" s="613" t="s">
        <v>1906</v>
      </c>
      <c r="E206" s="492" t="s">
        <v>109</v>
      </c>
      <c r="F206" s="492" t="s">
        <v>1907</v>
      </c>
      <c r="G206" s="512" t="s">
        <v>44</v>
      </c>
      <c r="H206" s="612" t="s">
        <v>64</v>
      </c>
      <c r="I206" s="512" t="s">
        <v>648</v>
      </c>
      <c r="J206" s="493" t="s">
        <v>1908</v>
      </c>
      <c r="K206" s="498"/>
      <c r="L206" s="612" t="s">
        <v>1909</v>
      </c>
      <c r="M206" s="494"/>
      <c r="N206" s="495" t="str">
        <f t="shared" si="2"/>
        <v>이메일</v>
      </c>
      <c r="O206" s="627">
        <v>0.0</v>
      </c>
      <c r="P206" s="627">
        <v>1.0</v>
      </c>
      <c r="Q206" s="627">
        <v>0.0</v>
      </c>
      <c r="R206" s="535"/>
      <c r="S206" s="474"/>
      <c r="T206" s="474">
        <v>46108.0</v>
      </c>
      <c r="U206" s="473" t="s">
        <v>139</v>
      </c>
      <c r="V206" s="615" t="s">
        <v>218</v>
      </c>
      <c r="W206" s="474"/>
      <c r="X206" s="474"/>
      <c r="Y206" s="476"/>
      <c r="Z206" s="476"/>
      <c r="AA206" s="477"/>
    </row>
    <row r="207">
      <c r="A207" s="491">
        <v>206.0</v>
      </c>
      <c r="B207" s="612" t="s">
        <v>20</v>
      </c>
      <c r="C207" s="612" t="s">
        <v>1733</v>
      </c>
      <c r="D207" s="613" t="s">
        <v>1915</v>
      </c>
      <c r="E207" s="492" t="s">
        <v>109</v>
      </c>
      <c r="F207" s="492" t="s">
        <v>1916</v>
      </c>
      <c r="G207" s="512" t="s">
        <v>44</v>
      </c>
      <c r="H207" s="612" t="s">
        <v>64</v>
      </c>
      <c r="I207" s="623" t="s">
        <v>648</v>
      </c>
      <c r="J207" s="498"/>
      <c r="K207" s="498"/>
      <c r="L207" s="612" t="s">
        <v>1917</v>
      </c>
      <c r="M207" s="494"/>
      <c r="N207" s="495" t="str">
        <f t="shared" si="2"/>
        <v>이메일</v>
      </c>
      <c r="O207" s="627">
        <v>0.0</v>
      </c>
      <c r="P207" s="627">
        <v>1.0</v>
      </c>
      <c r="Q207" s="627">
        <v>0.0</v>
      </c>
      <c r="R207" s="535"/>
      <c r="S207" s="474"/>
      <c r="T207" s="474">
        <v>46108.0</v>
      </c>
      <c r="U207" s="473" t="s">
        <v>139</v>
      </c>
      <c r="V207" s="615" t="s">
        <v>218</v>
      </c>
      <c r="W207" s="474"/>
      <c r="X207" s="474"/>
      <c r="Y207" s="476"/>
      <c r="Z207" s="476"/>
      <c r="AA207" s="477"/>
    </row>
    <row r="208">
      <c r="A208" s="491">
        <v>207.0</v>
      </c>
      <c r="B208" s="612" t="s">
        <v>20</v>
      </c>
      <c r="C208" s="494"/>
      <c r="D208" s="613" t="s">
        <v>1918</v>
      </c>
      <c r="E208" s="492" t="s">
        <v>429</v>
      </c>
      <c r="F208" s="492" t="s">
        <v>1919</v>
      </c>
      <c r="G208" s="512" t="s">
        <v>44</v>
      </c>
      <c r="H208" s="612" t="s">
        <v>64</v>
      </c>
      <c r="I208" s="512" t="s">
        <v>648</v>
      </c>
      <c r="J208" s="493" t="s">
        <v>1920</v>
      </c>
      <c r="K208" s="498"/>
      <c r="L208" s="612" t="s">
        <v>1921</v>
      </c>
      <c r="M208" s="494"/>
      <c r="N208" s="495" t="str">
        <f t="shared" si="2"/>
        <v>이메일</v>
      </c>
      <c r="O208" s="627">
        <v>0.0</v>
      </c>
      <c r="P208" s="627">
        <v>1.0</v>
      </c>
      <c r="Q208" s="627">
        <v>0.0</v>
      </c>
      <c r="R208" s="535"/>
      <c r="S208" s="474"/>
      <c r="T208" s="474">
        <v>46108.0</v>
      </c>
      <c r="U208" s="473" t="s">
        <v>139</v>
      </c>
      <c r="V208" s="615" t="s">
        <v>218</v>
      </c>
      <c r="W208" s="474"/>
      <c r="X208" s="474"/>
      <c r="Y208" s="476"/>
      <c r="Z208" s="476"/>
      <c r="AA208" s="477"/>
    </row>
    <row r="209">
      <c r="A209" s="491">
        <v>208.0</v>
      </c>
      <c r="B209" s="612" t="s">
        <v>20</v>
      </c>
      <c r="C209" s="494"/>
      <c r="D209" s="613" t="s">
        <v>1922</v>
      </c>
      <c r="E209" s="492" t="s">
        <v>429</v>
      </c>
      <c r="F209" s="492" t="s">
        <v>1923</v>
      </c>
      <c r="G209" s="512" t="s">
        <v>648</v>
      </c>
      <c r="H209" s="612" t="s">
        <v>64</v>
      </c>
      <c r="I209" s="512" t="s">
        <v>1924</v>
      </c>
      <c r="J209" s="493" t="s">
        <v>1925</v>
      </c>
      <c r="K209" s="498"/>
      <c r="L209" s="612" t="s">
        <v>1926</v>
      </c>
      <c r="M209" s="494"/>
      <c r="N209" s="495" t="str">
        <f t="shared" si="2"/>
        <v>이메일</v>
      </c>
      <c r="O209" s="627">
        <v>0.0</v>
      </c>
      <c r="P209" s="627">
        <v>1.0</v>
      </c>
      <c r="Q209" s="627">
        <v>0.0</v>
      </c>
      <c r="R209" s="535"/>
      <c r="S209" s="474"/>
      <c r="T209" s="474">
        <v>46108.0</v>
      </c>
      <c r="U209" s="473" t="s">
        <v>139</v>
      </c>
      <c r="V209" s="615" t="s">
        <v>218</v>
      </c>
      <c r="W209" s="474"/>
      <c r="X209" s="474"/>
      <c r="Y209" s="476"/>
      <c r="Z209" s="476"/>
      <c r="AA209" s="477"/>
    </row>
    <row r="210">
      <c r="A210" s="491">
        <v>209.0</v>
      </c>
      <c r="B210" s="612" t="s">
        <v>20</v>
      </c>
      <c r="C210" s="494"/>
      <c r="D210" s="613" t="s">
        <v>1943</v>
      </c>
      <c r="E210" s="492" t="s">
        <v>69</v>
      </c>
      <c r="F210" s="492" t="s">
        <v>1946</v>
      </c>
      <c r="G210" s="512" t="s">
        <v>44</v>
      </c>
      <c r="H210" s="612" t="s">
        <v>106</v>
      </c>
      <c r="I210" s="498"/>
      <c r="J210" s="493" t="s">
        <v>1947</v>
      </c>
      <c r="K210" s="498"/>
      <c r="L210" s="612" t="s">
        <v>1948</v>
      </c>
      <c r="M210" s="494"/>
      <c r="N210" s="495" t="str">
        <f t="shared" si="2"/>
        <v>이메일</v>
      </c>
      <c r="O210" s="627">
        <v>0.0</v>
      </c>
      <c r="P210" s="627">
        <v>1.0</v>
      </c>
      <c r="Q210" s="627">
        <v>0.0</v>
      </c>
      <c r="R210" s="535"/>
      <c r="S210" s="474"/>
      <c r="T210" s="474">
        <v>46108.0</v>
      </c>
      <c r="U210" s="473" t="s">
        <v>139</v>
      </c>
      <c r="V210" s="615" t="s">
        <v>218</v>
      </c>
      <c r="W210" s="474"/>
      <c r="X210" s="474"/>
      <c r="Y210" s="476"/>
      <c r="Z210" s="476"/>
      <c r="AA210" s="477"/>
    </row>
    <row r="211">
      <c r="A211" s="491">
        <v>210.0</v>
      </c>
      <c r="B211" s="612" t="s">
        <v>20</v>
      </c>
      <c r="C211" s="612" t="s">
        <v>1733</v>
      </c>
      <c r="D211" s="613" t="s">
        <v>1965</v>
      </c>
      <c r="E211" s="492" t="s">
        <v>353</v>
      </c>
      <c r="F211" s="492" t="s">
        <v>1966</v>
      </c>
      <c r="G211" s="512" t="s">
        <v>44</v>
      </c>
      <c r="H211" s="612" t="s">
        <v>64</v>
      </c>
      <c r="I211" s="494"/>
      <c r="J211" s="493" t="s">
        <v>1967</v>
      </c>
      <c r="K211" s="493" t="s">
        <v>1968</v>
      </c>
      <c r="L211" s="634" t="s">
        <v>1969</v>
      </c>
      <c r="M211" s="494"/>
      <c r="N211" s="495" t="str">
        <f t="shared" si="2"/>
        <v>DM+이메일</v>
      </c>
      <c r="O211" s="627">
        <v>1.0</v>
      </c>
      <c r="P211" s="627">
        <v>1.0</v>
      </c>
      <c r="Q211" s="627">
        <v>0.0</v>
      </c>
      <c r="R211" s="535"/>
      <c r="S211" s="474"/>
      <c r="T211" s="474">
        <v>46108.0</v>
      </c>
      <c r="U211" s="473" t="s">
        <v>139</v>
      </c>
      <c r="V211" s="615" t="s">
        <v>218</v>
      </c>
      <c r="W211" s="474"/>
      <c r="X211" s="474"/>
      <c r="Y211" s="476"/>
      <c r="Z211" s="476"/>
      <c r="AA211" s="477"/>
    </row>
    <row r="212">
      <c r="A212" s="491">
        <v>211.0</v>
      </c>
      <c r="B212" s="612" t="s">
        <v>20</v>
      </c>
      <c r="C212" s="494"/>
      <c r="D212" s="613" t="s">
        <v>1970</v>
      </c>
      <c r="E212" s="492" t="s">
        <v>353</v>
      </c>
      <c r="F212" s="492" t="s">
        <v>1971</v>
      </c>
      <c r="G212" s="512" t="s">
        <v>98</v>
      </c>
      <c r="H212" s="498"/>
      <c r="I212" s="512" t="s">
        <v>98</v>
      </c>
      <c r="J212" s="498"/>
      <c r="K212" s="493" t="s">
        <v>1972</v>
      </c>
      <c r="L212" s="612" t="s">
        <v>1973</v>
      </c>
      <c r="M212" s="494"/>
      <c r="N212" s="495" t="str">
        <f t="shared" si="2"/>
        <v>DM+이메일</v>
      </c>
      <c r="O212" s="627">
        <v>1.0</v>
      </c>
      <c r="P212" s="627">
        <v>1.0</v>
      </c>
      <c r="Q212" s="627">
        <v>0.0</v>
      </c>
      <c r="R212" s="535"/>
      <c r="S212" s="474"/>
      <c r="T212" s="474">
        <v>46108.0</v>
      </c>
      <c r="U212" s="473" t="s">
        <v>139</v>
      </c>
      <c r="V212" s="615" t="s">
        <v>218</v>
      </c>
      <c r="W212" s="474"/>
      <c r="X212" s="474"/>
      <c r="Y212" s="476"/>
      <c r="Z212" s="476"/>
      <c r="AA212" s="477"/>
    </row>
    <row r="213">
      <c r="A213" s="491">
        <v>212.0</v>
      </c>
      <c r="B213" s="612" t="s">
        <v>20</v>
      </c>
      <c r="C213" s="494"/>
      <c r="D213" s="613" t="s">
        <v>1981</v>
      </c>
      <c r="E213" s="492" t="s">
        <v>1072</v>
      </c>
      <c r="F213" s="492" t="s">
        <v>1982</v>
      </c>
      <c r="G213" s="512" t="s">
        <v>44</v>
      </c>
      <c r="H213" s="612" t="s">
        <v>106</v>
      </c>
      <c r="I213" s="494"/>
      <c r="J213" s="493" t="s">
        <v>1983</v>
      </c>
      <c r="K213" s="498"/>
      <c r="L213" s="612" t="s">
        <v>937</v>
      </c>
      <c r="M213" s="494"/>
      <c r="N213" s="495" t="str">
        <f t="shared" si="2"/>
        <v>이메일</v>
      </c>
      <c r="O213" s="627">
        <v>0.0</v>
      </c>
      <c r="P213" s="627">
        <v>1.0</v>
      </c>
      <c r="Q213" s="627">
        <v>0.0</v>
      </c>
      <c r="R213" s="535"/>
      <c r="S213" s="474"/>
      <c r="T213" s="474">
        <v>46108.0</v>
      </c>
      <c r="U213" s="473" t="s">
        <v>139</v>
      </c>
      <c r="V213" s="615" t="s">
        <v>218</v>
      </c>
      <c r="W213" s="474"/>
      <c r="X213" s="474"/>
      <c r="Y213" s="476"/>
      <c r="Z213" s="476"/>
      <c r="AA213" s="477"/>
    </row>
    <row r="214">
      <c r="A214" s="491">
        <v>213.0</v>
      </c>
      <c r="B214" s="612" t="s">
        <v>20</v>
      </c>
      <c r="C214" s="494"/>
      <c r="D214" s="613" t="s">
        <v>1987</v>
      </c>
      <c r="E214" s="492" t="s">
        <v>1494</v>
      </c>
      <c r="F214" s="492" t="s">
        <v>1988</v>
      </c>
      <c r="G214" s="512" t="s">
        <v>44</v>
      </c>
      <c r="H214" s="612" t="s">
        <v>64</v>
      </c>
      <c r="I214" s="512" t="s">
        <v>1989</v>
      </c>
      <c r="J214" s="493" t="s">
        <v>1990</v>
      </c>
      <c r="K214" s="498"/>
      <c r="L214" s="623" t="s">
        <v>1991</v>
      </c>
      <c r="M214" s="494"/>
      <c r="N214" s="495" t="str">
        <f t="shared" si="2"/>
        <v>이메일</v>
      </c>
      <c r="O214" s="627">
        <v>0.0</v>
      </c>
      <c r="P214" s="627">
        <v>1.0</v>
      </c>
      <c r="Q214" s="627">
        <v>0.0</v>
      </c>
      <c r="R214" s="535"/>
      <c r="S214" s="474"/>
      <c r="T214" s="474">
        <v>46108.0</v>
      </c>
      <c r="U214" s="473" t="s">
        <v>139</v>
      </c>
      <c r="V214" s="615" t="s">
        <v>218</v>
      </c>
      <c r="W214" s="474"/>
      <c r="X214" s="474"/>
      <c r="Y214" s="476"/>
      <c r="Z214" s="476"/>
      <c r="AA214" s="477"/>
    </row>
    <row r="215">
      <c r="A215" s="491">
        <v>214.0</v>
      </c>
      <c r="B215" s="465" t="s">
        <v>23</v>
      </c>
      <c r="C215" s="494"/>
      <c r="D215" s="613" t="s">
        <v>787</v>
      </c>
      <c r="E215" s="492" t="s">
        <v>1180</v>
      </c>
      <c r="F215" s="492" t="s">
        <v>1992</v>
      </c>
      <c r="G215" s="512" t="s">
        <v>44</v>
      </c>
      <c r="H215" s="612" t="s">
        <v>106</v>
      </c>
      <c r="I215" s="494"/>
      <c r="J215" s="493" t="s">
        <v>1993</v>
      </c>
      <c r="K215" s="498"/>
      <c r="L215" s="642" t="s">
        <v>1994</v>
      </c>
      <c r="M215" s="494"/>
      <c r="N215" s="495" t="str">
        <f t="shared" si="2"/>
        <v>이메일</v>
      </c>
      <c r="O215" s="627">
        <v>0.0</v>
      </c>
      <c r="P215" s="627">
        <v>1.0</v>
      </c>
      <c r="Q215" s="627">
        <v>0.0</v>
      </c>
      <c r="R215" s="535"/>
      <c r="S215" s="474"/>
      <c r="T215" s="474">
        <v>46108.0</v>
      </c>
      <c r="U215" s="473" t="s">
        <v>139</v>
      </c>
      <c r="V215" s="615" t="s">
        <v>218</v>
      </c>
      <c r="W215" s="473" t="s">
        <v>25</v>
      </c>
      <c r="X215" s="473" t="s">
        <v>25</v>
      </c>
      <c r="Y215" s="476"/>
      <c r="Z215" s="394" t="s">
        <v>1995</v>
      </c>
      <c r="AA215" s="477"/>
    </row>
    <row r="216">
      <c r="A216" s="491">
        <v>215.0</v>
      </c>
      <c r="B216" s="612" t="s">
        <v>20</v>
      </c>
      <c r="C216" s="494"/>
      <c r="D216" s="613" t="s">
        <v>1996</v>
      </c>
      <c r="E216" s="492" t="s">
        <v>1110</v>
      </c>
      <c r="F216" s="492" t="s">
        <v>1999</v>
      </c>
      <c r="G216" s="512" t="s">
        <v>44</v>
      </c>
      <c r="H216" s="612" t="s">
        <v>106</v>
      </c>
      <c r="I216" s="494"/>
      <c r="J216" s="493" t="s">
        <v>2000</v>
      </c>
      <c r="K216" s="498"/>
      <c r="L216" s="612" t="s">
        <v>2001</v>
      </c>
      <c r="M216" s="494"/>
      <c r="N216" s="495" t="str">
        <f t="shared" si="2"/>
        <v>이메일</v>
      </c>
      <c r="O216" s="627">
        <v>0.0</v>
      </c>
      <c r="P216" s="627">
        <v>1.0</v>
      </c>
      <c r="Q216" s="627">
        <v>0.0</v>
      </c>
      <c r="R216" s="535"/>
      <c r="S216" s="474"/>
      <c r="T216" s="474">
        <v>46108.0</v>
      </c>
      <c r="U216" s="473" t="s">
        <v>139</v>
      </c>
      <c r="V216" s="615" t="s">
        <v>218</v>
      </c>
      <c r="W216" s="474"/>
      <c r="X216" s="474"/>
      <c r="Y216" s="476"/>
      <c r="Z216" s="476"/>
      <c r="AA216" s="477"/>
    </row>
    <row r="217">
      <c r="A217" s="491">
        <v>216.0</v>
      </c>
      <c r="B217" s="612" t="s">
        <v>20</v>
      </c>
      <c r="C217" s="494"/>
      <c r="D217" s="613" t="s">
        <v>2021</v>
      </c>
      <c r="E217" s="492" t="s">
        <v>2022</v>
      </c>
      <c r="F217" s="492" t="s">
        <v>2023</v>
      </c>
      <c r="G217" s="512" t="s">
        <v>44</v>
      </c>
      <c r="H217" s="612" t="s">
        <v>64</v>
      </c>
      <c r="I217" s="512" t="s">
        <v>2010</v>
      </c>
      <c r="J217" s="493" t="s">
        <v>2024</v>
      </c>
      <c r="K217" s="498"/>
      <c r="L217" s="612" t="s">
        <v>2025</v>
      </c>
      <c r="M217" s="494"/>
      <c r="N217" s="495" t="str">
        <f t="shared" si="2"/>
        <v>이메일</v>
      </c>
      <c r="O217" s="627">
        <v>0.0</v>
      </c>
      <c r="P217" s="627">
        <v>1.0</v>
      </c>
      <c r="Q217" s="627">
        <v>0.0</v>
      </c>
      <c r="R217" s="535"/>
      <c r="S217" s="474"/>
      <c r="T217" s="474">
        <v>46108.0</v>
      </c>
      <c r="U217" s="473" t="s">
        <v>139</v>
      </c>
      <c r="V217" s="615" t="s">
        <v>218</v>
      </c>
      <c r="W217" s="474"/>
      <c r="X217" s="474"/>
      <c r="Y217" s="476"/>
      <c r="Z217" s="476"/>
      <c r="AA217" s="477"/>
    </row>
    <row r="218">
      <c r="A218" s="491">
        <v>217.0</v>
      </c>
      <c r="B218" s="612" t="s">
        <v>20</v>
      </c>
      <c r="C218" s="494"/>
      <c r="D218" s="613" t="s">
        <v>2043</v>
      </c>
      <c r="E218" s="492" t="s">
        <v>1370</v>
      </c>
      <c r="F218" s="492" t="s">
        <v>2044</v>
      </c>
      <c r="G218" s="512" t="s">
        <v>44</v>
      </c>
      <c r="H218" s="612" t="s">
        <v>106</v>
      </c>
      <c r="I218" s="494"/>
      <c r="J218" s="493" t="s">
        <v>2045</v>
      </c>
      <c r="K218" s="498"/>
      <c r="L218" s="612" t="s">
        <v>2046</v>
      </c>
      <c r="M218" s="494"/>
      <c r="N218" s="495" t="str">
        <f t="shared" si="2"/>
        <v>이메일</v>
      </c>
      <c r="O218" s="627">
        <v>0.0</v>
      </c>
      <c r="P218" s="627">
        <v>1.0</v>
      </c>
      <c r="Q218" s="627">
        <v>0.0</v>
      </c>
      <c r="R218" s="535"/>
      <c r="S218" s="474"/>
      <c r="T218" s="474">
        <v>46108.0</v>
      </c>
      <c r="U218" s="473" t="s">
        <v>139</v>
      </c>
      <c r="V218" s="615" t="s">
        <v>218</v>
      </c>
      <c r="W218" s="474"/>
      <c r="X218" s="474"/>
      <c r="Y218" s="476"/>
      <c r="Z218" s="476"/>
      <c r="AA218" s="477"/>
    </row>
    <row r="219">
      <c r="A219" s="491">
        <v>218.0</v>
      </c>
      <c r="B219" s="612" t="s">
        <v>20</v>
      </c>
      <c r="C219" s="612" t="s">
        <v>1733</v>
      </c>
      <c r="D219" s="613" t="s">
        <v>1961</v>
      </c>
      <c r="E219" s="492" t="s">
        <v>1072</v>
      </c>
      <c r="F219" s="492" t="s">
        <v>2047</v>
      </c>
      <c r="G219" s="512" t="s">
        <v>44</v>
      </c>
      <c r="H219" s="612" t="s">
        <v>106</v>
      </c>
      <c r="I219" s="612" t="s">
        <v>106</v>
      </c>
      <c r="J219" s="493" t="s">
        <v>2048</v>
      </c>
      <c r="K219" s="498"/>
      <c r="L219" s="612" t="s">
        <v>2049</v>
      </c>
      <c r="M219" s="494"/>
      <c r="N219" s="495" t="str">
        <f t="shared" si="2"/>
        <v>이메일</v>
      </c>
      <c r="O219" s="627">
        <v>0.0</v>
      </c>
      <c r="P219" s="627">
        <v>1.0</v>
      </c>
      <c r="Q219" s="627">
        <v>0.0</v>
      </c>
      <c r="R219" s="535"/>
      <c r="S219" s="474"/>
      <c r="T219" s="474">
        <v>46108.0</v>
      </c>
      <c r="U219" s="473" t="s">
        <v>139</v>
      </c>
      <c r="V219" s="615" t="s">
        <v>218</v>
      </c>
      <c r="W219" s="474"/>
      <c r="X219" s="474"/>
      <c r="Y219" s="476"/>
      <c r="Z219" s="476"/>
      <c r="AA219" s="477"/>
    </row>
    <row r="220">
      <c r="A220" s="538">
        <v>219.0</v>
      </c>
      <c r="B220" s="616" t="s">
        <v>20</v>
      </c>
      <c r="C220" s="544"/>
      <c r="D220" s="617" t="s">
        <v>938</v>
      </c>
      <c r="E220" s="541" t="s">
        <v>578</v>
      </c>
      <c r="F220" s="541" t="s">
        <v>2050</v>
      </c>
      <c r="G220" s="618" t="s">
        <v>789</v>
      </c>
      <c r="H220" s="544"/>
      <c r="I220" s="618" t="s">
        <v>2051</v>
      </c>
      <c r="J220" s="542" t="s">
        <v>2052</v>
      </c>
      <c r="K220" s="542" t="s">
        <v>2053</v>
      </c>
      <c r="L220" s="619"/>
      <c r="M220" s="544"/>
      <c r="N220" s="545" t="str">
        <f t="shared" si="2"/>
        <v>DM</v>
      </c>
      <c r="O220" s="633">
        <v>1.0</v>
      </c>
      <c r="P220" s="633">
        <v>0.0</v>
      </c>
      <c r="Q220" s="633">
        <v>0.0</v>
      </c>
      <c r="R220" s="620"/>
      <c r="S220" s="549"/>
      <c r="T220" s="549">
        <v>46108.0</v>
      </c>
      <c r="U220" s="549"/>
      <c r="V220" s="549"/>
      <c r="W220" s="549"/>
      <c r="X220" s="549"/>
      <c r="Y220" s="548"/>
      <c r="Z220" s="548"/>
    </row>
    <row r="221">
      <c r="A221" s="491">
        <v>220.0</v>
      </c>
      <c r="B221" s="612" t="s">
        <v>20</v>
      </c>
      <c r="C221" s="494"/>
      <c r="D221" s="613" t="s">
        <v>2064</v>
      </c>
      <c r="E221" s="492" t="s">
        <v>109</v>
      </c>
      <c r="F221" s="492" t="s">
        <v>2065</v>
      </c>
      <c r="G221" s="512" t="s">
        <v>44</v>
      </c>
      <c r="H221" s="612" t="s">
        <v>106</v>
      </c>
      <c r="I221" s="494"/>
      <c r="J221" s="493" t="s">
        <v>2066</v>
      </c>
      <c r="K221" s="493" t="s">
        <v>2067</v>
      </c>
      <c r="L221" s="612" t="s">
        <v>2068</v>
      </c>
      <c r="M221" s="494"/>
      <c r="N221" s="495" t="str">
        <f t="shared" si="2"/>
        <v>DM+이메일</v>
      </c>
      <c r="O221" s="627">
        <v>1.0</v>
      </c>
      <c r="P221" s="627">
        <v>1.0</v>
      </c>
      <c r="Q221" s="627">
        <v>0.0</v>
      </c>
      <c r="R221" s="535"/>
      <c r="S221" s="474"/>
      <c r="T221" s="474">
        <v>46108.0</v>
      </c>
      <c r="U221" s="473" t="s">
        <v>139</v>
      </c>
      <c r="V221" s="615" t="s">
        <v>218</v>
      </c>
      <c r="W221" s="474"/>
      <c r="X221" s="474"/>
      <c r="Y221" s="476"/>
      <c r="Z221" s="476"/>
      <c r="AA221" s="477"/>
    </row>
    <row r="222">
      <c r="A222" s="491">
        <v>221.0</v>
      </c>
      <c r="B222" s="612" t="s">
        <v>20</v>
      </c>
      <c r="C222" s="494"/>
      <c r="D222" s="613" t="s">
        <v>2079</v>
      </c>
      <c r="E222" s="492" t="s">
        <v>494</v>
      </c>
      <c r="F222" s="492" t="s">
        <v>2080</v>
      </c>
      <c r="G222" s="512" t="s">
        <v>44</v>
      </c>
      <c r="H222" s="612" t="s">
        <v>106</v>
      </c>
      <c r="I222" s="494"/>
      <c r="J222" s="493" t="s">
        <v>2081</v>
      </c>
      <c r="K222" s="493" t="s">
        <v>2082</v>
      </c>
      <c r="L222" s="643" t="s">
        <v>2083</v>
      </c>
      <c r="M222" s="494"/>
      <c r="N222" s="495" t="str">
        <f t="shared" si="2"/>
        <v>DM+이메일</v>
      </c>
      <c r="O222" s="627">
        <v>1.0</v>
      </c>
      <c r="P222" s="627">
        <v>1.0</v>
      </c>
      <c r="Q222" s="627">
        <v>0.0</v>
      </c>
      <c r="R222" s="535"/>
      <c r="S222" s="474"/>
      <c r="T222" s="474">
        <v>46108.0</v>
      </c>
      <c r="U222" s="473" t="s">
        <v>139</v>
      </c>
      <c r="V222" s="615" t="s">
        <v>218</v>
      </c>
      <c r="W222" s="474"/>
      <c r="X222" s="474"/>
      <c r="Y222" s="476"/>
      <c r="Z222" s="476"/>
      <c r="AA222" s="477"/>
    </row>
    <row r="223">
      <c r="A223" s="491">
        <v>222.0</v>
      </c>
      <c r="B223" s="612" t="s">
        <v>20</v>
      </c>
      <c r="C223" s="494"/>
      <c r="D223" s="613" t="s">
        <v>2088</v>
      </c>
      <c r="E223" s="492" t="s">
        <v>109</v>
      </c>
      <c r="F223" s="492" t="s">
        <v>2089</v>
      </c>
      <c r="G223" s="512" t="s">
        <v>44</v>
      </c>
      <c r="H223" s="494"/>
      <c r="I223" s="512" t="s">
        <v>2051</v>
      </c>
      <c r="J223" s="493" t="s">
        <v>2090</v>
      </c>
      <c r="K223" s="498"/>
      <c r="L223" s="612" t="s">
        <v>2091</v>
      </c>
      <c r="M223" s="494"/>
      <c r="N223" s="495" t="str">
        <f t="shared" si="2"/>
        <v>이메일</v>
      </c>
      <c r="O223" s="627">
        <v>0.0</v>
      </c>
      <c r="P223" s="627">
        <v>1.0</v>
      </c>
      <c r="Q223" s="627">
        <v>0.0</v>
      </c>
      <c r="R223" s="535"/>
      <c r="S223" s="474"/>
      <c r="T223" s="474">
        <v>46108.0</v>
      </c>
      <c r="U223" s="473" t="s">
        <v>139</v>
      </c>
      <c r="V223" s="615" t="s">
        <v>218</v>
      </c>
      <c r="W223" s="474"/>
      <c r="X223" s="474"/>
      <c r="Y223" s="476"/>
      <c r="Z223" s="476"/>
      <c r="AA223" s="477"/>
    </row>
    <row r="224">
      <c r="A224" s="491">
        <v>223.0</v>
      </c>
      <c r="B224" s="612" t="s">
        <v>20</v>
      </c>
      <c r="C224" s="494"/>
      <c r="D224" s="613" t="s">
        <v>574</v>
      </c>
      <c r="E224" s="492" t="s">
        <v>61</v>
      </c>
      <c r="F224" s="492" t="s">
        <v>2092</v>
      </c>
      <c r="G224" s="512" t="s">
        <v>44</v>
      </c>
      <c r="H224" s="612" t="s">
        <v>106</v>
      </c>
      <c r="I224" s="494"/>
      <c r="J224" s="493" t="s">
        <v>2093</v>
      </c>
      <c r="K224" s="493" t="s">
        <v>2094</v>
      </c>
      <c r="L224" s="612" t="s">
        <v>2095</v>
      </c>
      <c r="M224" s="494"/>
      <c r="N224" s="495" t="str">
        <f t="shared" si="2"/>
        <v>DM+이메일</v>
      </c>
      <c r="O224" s="627">
        <v>1.0</v>
      </c>
      <c r="P224" s="627">
        <v>1.0</v>
      </c>
      <c r="Q224" s="627">
        <v>0.0</v>
      </c>
      <c r="R224" s="535"/>
      <c r="S224" s="474"/>
      <c r="T224" s="474">
        <v>46108.0</v>
      </c>
      <c r="U224" s="473" t="s">
        <v>139</v>
      </c>
      <c r="V224" s="615" t="s">
        <v>218</v>
      </c>
      <c r="W224" s="474"/>
      <c r="X224" s="474"/>
      <c r="Y224" s="476"/>
      <c r="Z224" s="476"/>
      <c r="AA224" s="477"/>
    </row>
    <row r="225">
      <c r="A225" s="491">
        <v>224.0</v>
      </c>
      <c r="B225" s="612" t="s">
        <v>20</v>
      </c>
      <c r="C225" s="494"/>
      <c r="D225" s="613" t="s">
        <v>1922</v>
      </c>
      <c r="E225" s="492" t="s">
        <v>69</v>
      </c>
      <c r="F225" s="492" t="s">
        <v>2096</v>
      </c>
      <c r="G225" s="512" t="s">
        <v>44</v>
      </c>
      <c r="H225" s="612" t="s">
        <v>106</v>
      </c>
      <c r="I225" s="494"/>
      <c r="J225" s="493" t="s">
        <v>2097</v>
      </c>
      <c r="K225" s="498"/>
      <c r="L225" s="612" t="s">
        <v>2098</v>
      </c>
      <c r="M225" s="494"/>
      <c r="N225" s="495" t="str">
        <f t="shared" si="2"/>
        <v>이메일</v>
      </c>
      <c r="O225" s="627">
        <v>0.0</v>
      </c>
      <c r="P225" s="627">
        <v>1.0</v>
      </c>
      <c r="Q225" s="627">
        <v>0.0</v>
      </c>
      <c r="R225" s="535"/>
      <c r="S225" s="474"/>
      <c r="T225" s="474">
        <v>46108.0</v>
      </c>
      <c r="U225" s="473" t="s">
        <v>139</v>
      </c>
      <c r="V225" s="615" t="s">
        <v>218</v>
      </c>
      <c r="W225" s="474"/>
      <c r="X225" s="474"/>
      <c r="Y225" s="476"/>
      <c r="Z225" s="476"/>
      <c r="AA225" s="477"/>
    </row>
    <row r="226">
      <c r="A226" s="491">
        <v>225.0</v>
      </c>
      <c r="B226" s="612" t="s">
        <v>20</v>
      </c>
      <c r="C226" s="494"/>
      <c r="D226" s="613" t="s">
        <v>1922</v>
      </c>
      <c r="E226" s="492" t="s">
        <v>69</v>
      </c>
      <c r="F226" s="492" t="s">
        <v>2099</v>
      </c>
      <c r="G226" s="512" t="s">
        <v>44</v>
      </c>
      <c r="H226" s="612" t="s">
        <v>106</v>
      </c>
      <c r="I226" s="494"/>
      <c r="J226" s="493" t="s">
        <v>2100</v>
      </c>
      <c r="K226" s="498"/>
      <c r="L226" s="612" t="s">
        <v>2101</v>
      </c>
      <c r="M226" s="494"/>
      <c r="N226" s="495" t="str">
        <f t="shared" si="2"/>
        <v>이메일</v>
      </c>
      <c r="O226" s="627">
        <v>0.0</v>
      </c>
      <c r="P226" s="627">
        <v>1.0</v>
      </c>
      <c r="Q226" s="627">
        <v>0.0</v>
      </c>
      <c r="R226" s="535"/>
      <c r="S226" s="474"/>
      <c r="T226" s="474">
        <v>46108.0</v>
      </c>
      <c r="U226" s="473" t="s">
        <v>139</v>
      </c>
      <c r="V226" s="615" t="s">
        <v>218</v>
      </c>
      <c r="W226" s="474"/>
      <c r="X226" s="474"/>
      <c r="Y226" s="476"/>
      <c r="Z226" s="476"/>
      <c r="AA226" s="477"/>
    </row>
    <row r="227">
      <c r="A227" s="491">
        <v>226.0</v>
      </c>
      <c r="B227" s="612" t="s">
        <v>20</v>
      </c>
      <c r="C227" s="494"/>
      <c r="D227" s="613" t="s">
        <v>2107</v>
      </c>
      <c r="E227" s="492" t="s">
        <v>1063</v>
      </c>
      <c r="F227" s="492" t="s">
        <v>2108</v>
      </c>
      <c r="G227" s="512" t="s">
        <v>44</v>
      </c>
      <c r="H227" s="612" t="s">
        <v>106</v>
      </c>
      <c r="I227" s="494"/>
      <c r="J227" s="493" t="s">
        <v>2109</v>
      </c>
      <c r="K227" s="498"/>
      <c r="L227" s="612" t="s">
        <v>2110</v>
      </c>
      <c r="M227" s="494"/>
      <c r="N227" s="495" t="str">
        <f t="shared" si="2"/>
        <v>이메일</v>
      </c>
      <c r="O227" s="627">
        <v>0.0</v>
      </c>
      <c r="P227" s="627">
        <v>1.0</v>
      </c>
      <c r="Q227" s="627">
        <v>0.0</v>
      </c>
      <c r="R227" s="535"/>
      <c r="S227" s="474"/>
      <c r="T227" s="474">
        <v>46108.0</v>
      </c>
      <c r="U227" s="473" t="s">
        <v>139</v>
      </c>
      <c r="V227" s="615" t="s">
        <v>218</v>
      </c>
      <c r="W227" s="474"/>
      <c r="X227" s="474"/>
      <c r="Y227" s="476"/>
      <c r="Z227" s="476"/>
      <c r="AA227" s="477"/>
    </row>
    <row r="228">
      <c r="A228" s="491">
        <v>227.0</v>
      </c>
      <c r="B228" s="612" t="s">
        <v>20</v>
      </c>
      <c r="C228" s="494"/>
      <c r="D228" s="613" t="s">
        <v>2177</v>
      </c>
      <c r="E228" s="492" t="s">
        <v>429</v>
      </c>
      <c r="F228" s="492" t="s">
        <v>2178</v>
      </c>
      <c r="G228" s="512" t="s">
        <v>115</v>
      </c>
      <c r="H228" s="612" t="s">
        <v>106</v>
      </c>
      <c r="I228" s="512" t="s">
        <v>2179</v>
      </c>
      <c r="J228" s="493" t="s">
        <v>2180</v>
      </c>
      <c r="K228" s="493" t="s">
        <v>2181</v>
      </c>
      <c r="L228" s="612" t="s">
        <v>2182</v>
      </c>
      <c r="M228" s="494"/>
      <c r="N228" s="495" t="str">
        <f t="shared" si="2"/>
        <v>DM+이메일</v>
      </c>
      <c r="O228" s="627">
        <v>1.0</v>
      </c>
      <c r="P228" s="627">
        <v>1.0</v>
      </c>
      <c r="Q228" s="627">
        <v>0.0</v>
      </c>
      <c r="R228" s="535"/>
      <c r="S228" s="474"/>
      <c r="T228" s="474">
        <v>46108.0</v>
      </c>
      <c r="U228" s="473" t="s">
        <v>139</v>
      </c>
      <c r="V228" s="615" t="s">
        <v>218</v>
      </c>
      <c r="W228" s="474"/>
      <c r="X228" s="474"/>
      <c r="Y228" s="476"/>
      <c r="Z228" s="476"/>
      <c r="AA228" s="477"/>
    </row>
    <row r="229">
      <c r="A229" s="491">
        <v>228.0</v>
      </c>
      <c r="B229" s="612" t="s">
        <v>20</v>
      </c>
      <c r="C229" s="612" t="s">
        <v>1733</v>
      </c>
      <c r="D229" s="613" t="s">
        <v>713</v>
      </c>
      <c r="E229" s="492" t="s">
        <v>69</v>
      </c>
      <c r="F229" s="492" t="s">
        <v>2202</v>
      </c>
      <c r="G229" s="512" t="s">
        <v>44</v>
      </c>
      <c r="H229" s="612" t="s">
        <v>106</v>
      </c>
      <c r="I229" s="494"/>
      <c r="J229" s="493" t="s">
        <v>2203</v>
      </c>
      <c r="K229" s="498"/>
      <c r="L229" s="612" t="s">
        <v>2204</v>
      </c>
      <c r="M229" s="494"/>
      <c r="N229" s="495" t="str">
        <f t="shared" si="2"/>
        <v>이메일</v>
      </c>
      <c r="O229" s="627">
        <v>0.0</v>
      </c>
      <c r="P229" s="627">
        <v>1.0</v>
      </c>
      <c r="Q229" s="627">
        <v>0.0</v>
      </c>
      <c r="R229" s="535"/>
      <c r="S229" s="474"/>
      <c r="T229" s="474">
        <v>46108.0</v>
      </c>
      <c r="U229" s="473" t="s">
        <v>139</v>
      </c>
      <c r="V229" s="615" t="s">
        <v>218</v>
      </c>
      <c r="W229" s="474"/>
      <c r="X229" s="474"/>
      <c r="Y229" s="476"/>
      <c r="Z229" s="476"/>
      <c r="AA229" s="477"/>
    </row>
    <row r="230">
      <c r="A230" s="491">
        <v>229.0</v>
      </c>
      <c r="B230" s="612" t="s">
        <v>20</v>
      </c>
      <c r="C230" s="494"/>
      <c r="D230" s="613" t="s">
        <v>2221</v>
      </c>
      <c r="E230" s="492" t="s">
        <v>429</v>
      </c>
      <c r="F230" s="492" t="s">
        <v>2222</v>
      </c>
      <c r="G230" s="512" t="s">
        <v>45</v>
      </c>
      <c r="H230" s="612" t="s">
        <v>64</v>
      </c>
      <c r="I230" s="512" t="s">
        <v>648</v>
      </c>
      <c r="J230" s="493" t="s">
        <v>2223</v>
      </c>
      <c r="K230" s="498"/>
      <c r="L230" s="612" t="s">
        <v>2224</v>
      </c>
      <c r="M230" s="494"/>
      <c r="N230" s="495" t="str">
        <f t="shared" si="2"/>
        <v>이메일</v>
      </c>
      <c r="O230" s="495">
        <v>0.0</v>
      </c>
      <c r="P230" s="495">
        <v>1.0</v>
      </c>
      <c r="Q230" s="495">
        <v>0.0</v>
      </c>
      <c r="R230" s="535"/>
      <c r="S230" s="474"/>
      <c r="T230" s="474">
        <v>46108.0</v>
      </c>
      <c r="U230" s="473" t="s">
        <v>139</v>
      </c>
      <c r="V230" s="615" t="s">
        <v>218</v>
      </c>
      <c r="W230" s="473" t="s">
        <v>2</v>
      </c>
      <c r="X230" s="474"/>
      <c r="Y230" s="394" t="s">
        <v>3529</v>
      </c>
      <c r="Z230" s="476"/>
      <c r="AA230" s="477"/>
    </row>
    <row r="231">
      <c r="A231" s="491">
        <v>230.0</v>
      </c>
      <c r="B231" s="465" t="s">
        <v>25</v>
      </c>
      <c r="C231" s="494"/>
      <c r="D231" s="613" t="s">
        <v>1961</v>
      </c>
      <c r="E231" s="492" t="s">
        <v>1370</v>
      </c>
      <c r="F231" s="492" t="s">
        <v>2228</v>
      </c>
      <c r="G231" s="512" t="s">
        <v>44</v>
      </c>
      <c r="H231" s="612" t="s">
        <v>106</v>
      </c>
      <c r="I231" s="494"/>
      <c r="J231" s="493" t="s">
        <v>2229</v>
      </c>
      <c r="K231" s="493" t="s">
        <v>2230</v>
      </c>
      <c r="L231" s="612" t="s">
        <v>2231</v>
      </c>
      <c r="M231" s="505" t="s">
        <v>3530</v>
      </c>
      <c r="N231" s="495" t="str">
        <f t="shared" si="2"/>
        <v>DM+이메일</v>
      </c>
      <c r="O231" s="495">
        <v>1.0</v>
      </c>
      <c r="P231" s="495">
        <v>1.0</v>
      </c>
      <c r="Q231" s="495">
        <v>0.0</v>
      </c>
      <c r="R231" s="535"/>
      <c r="S231" s="474"/>
      <c r="T231" s="474">
        <v>46108.0</v>
      </c>
      <c r="U231" s="495" t="s">
        <v>25</v>
      </c>
      <c r="V231" s="474"/>
      <c r="W231" s="474"/>
      <c r="X231" s="474"/>
      <c r="Y231" s="476"/>
      <c r="Z231" s="495" t="s">
        <v>2233</v>
      </c>
      <c r="AA231" s="477"/>
    </row>
    <row r="232">
      <c r="A232" s="491">
        <v>231.0</v>
      </c>
      <c r="B232" s="612" t="s">
        <v>20</v>
      </c>
      <c r="C232" s="494"/>
      <c r="D232" s="613" t="s">
        <v>2238</v>
      </c>
      <c r="E232" s="492" t="s">
        <v>506</v>
      </c>
      <c r="F232" s="492" t="s">
        <v>2239</v>
      </c>
      <c r="G232" s="512" t="s">
        <v>44</v>
      </c>
      <c r="H232" s="612" t="s">
        <v>106</v>
      </c>
      <c r="I232" s="494"/>
      <c r="J232" s="493" t="s">
        <v>2240</v>
      </c>
      <c r="K232" s="498"/>
      <c r="L232" s="624" t="s">
        <v>2241</v>
      </c>
      <c r="M232" s="494"/>
      <c r="N232" s="495" t="str">
        <f t="shared" si="2"/>
        <v>이메일</v>
      </c>
      <c r="O232" s="495">
        <v>0.0</v>
      </c>
      <c r="P232" s="495">
        <v>1.0</v>
      </c>
      <c r="Q232" s="495">
        <v>0.0</v>
      </c>
      <c r="R232" s="535"/>
      <c r="S232" s="474"/>
      <c r="T232" s="474">
        <v>46108.0</v>
      </c>
      <c r="U232" s="473" t="s">
        <v>139</v>
      </c>
      <c r="V232" s="615" t="s">
        <v>218</v>
      </c>
      <c r="W232" s="474"/>
      <c r="X232" s="474"/>
      <c r="Y232" s="476"/>
      <c r="Z232" s="476"/>
      <c r="AA232" s="477"/>
    </row>
    <row r="233">
      <c r="A233" s="491">
        <v>232.0</v>
      </c>
      <c r="B233" s="612" t="s">
        <v>20</v>
      </c>
      <c r="C233" s="494"/>
      <c r="D233" s="613" t="s">
        <v>2257</v>
      </c>
      <c r="E233" s="492" t="s">
        <v>494</v>
      </c>
      <c r="F233" s="492" t="s">
        <v>2258</v>
      </c>
      <c r="G233" s="512" t="s">
        <v>44</v>
      </c>
      <c r="H233" s="612" t="s">
        <v>64</v>
      </c>
      <c r="I233" s="512" t="s">
        <v>648</v>
      </c>
      <c r="J233" s="493" t="s">
        <v>1724</v>
      </c>
      <c r="K233" s="498"/>
      <c r="L233" s="612" t="s">
        <v>1725</v>
      </c>
      <c r="M233" s="505" t="s">
        <v>3531</v>
      </c>
      <c r="N233" s="495" t="str">
        <f t="shared" si="2"/>
        <v>이메일</v>
      </c>
      <c r="O233" s="627">
        <v>0.0</v>
      </c>
      <c r="P233" s="627">
        <v>1.0</v>
      </c>
      <c r="Q233" s="627">
        <v>0.0</v>
      </c>
      <c r="R233" s="535"/>
      <c r="S233" s="474"/>
      <c r="T233" s="474">
        <v>46108.0</v>
      </c>
      <c r="U233" s="473" t="s">
        <v>139</v>
      </c>
      <c r="V233" s="615" t="s">
        <v>218</v>
      </c>
      <c r="W233" s="474"/>
      <c r="X233" s="474"/>
      <c r="Y233" s="476"/>
      <c r="Z233" s="476"/>
      <c r="AA233" s="477"/>
    </row>
    <row r="234">
      <c r="A234" s="538">
        <v>233.0</v>
      </c>
      <c r="B234" s="616" t="s">
        <v>20</v>
      </c>
      <c r="C234" s="544"/>
      <c r="D234" s="617" t="s">
        <v>1026</v>
      </c>
      <c r="E234" s="541" t="s">
        <v>332</v>
      </c>
      <c r="F234" s="541" t="s">
        <v>2376</v>
      </c>
      <c r="G234" s="618" t="s">
        <v>1031</v>
      </c>
      <c r="H234" s="616" t="s">
        <v>106</v>
      </c>
      <c r="I234" s="616" t="s">
        <v>106</v>
      </c>
      <c r="J234" s="543"/>
      <c r="K234" s="543"/>
      <c r="L234" s="619"/>
      <c r="M234" s="554" t="s">
        <v>2377</v>
      </c>
      <c r="N234" s="545" t="str">
        <f t="shared" si="2"/>
        <v/>
      </c>
      <c r="O234" s="545">
        <v>0.0</v>
      </c>
      <c r="P234" s="545">
        <v>0.0</v>
      </c>
      <c r="Q234" s="545">
        <v>0.0</v>
      </c>
      <c r="R234" s="620"/>
      <c r="S234" s="549"/>
      <c r="T234" s="549">
        <v>46108.0</v>
      </c>
      <c r="U234" s="549"/>
      <c r="V234" s="549"/>
      <c r="W234" s="549"/>
      <c r="X234" s="549"/>
      <c r="Y234" s="548"/>
      <c r="Z234" s="548"/>
    </row>
    <row r="235">
      <c r="A235" s="538">
        <v>234.0</v>
      </c>
      <c r="B235" s="616" t="s">
        <v>20</v>
      </c>
      <c r="C235" s="544"/>
      <c r="D235" s="617" t="s">
        <v>2179</v>
      </c>
      <c r="E235" s="541" t="s">
        <v>1072</v>
      </c>
      <c r="F235" s="541" t="s">
        <v>2466</v>
      </c>
      <c r="G235" s="618" t="s">
        <v>44</v>
      </c>
      <c r="H235" s="544"/>
      <c r="I235" s="618" t="s">
        <v>731</v>
      </c>
      <c r="J235" s="543"/>
      <c r="K235" s="543"/>
      <c r="L235" s="619"/>
      <c r="M235" s="550" t="s">
        <v>2467</v>
      </c>
      <c r="N235" s="545" t="str">
        <f t="shared" si="2"/>
        <v/>
      </c>
      <c r="O235" s="633">
        <v>0.0</v>
      </c>
      <c r="P235" s="633">
        <v>0.0</v>
      </c>
      <c r="Q235" s="633">
        <v>0.0</v>
      </c>
      <c r="R235" s="620"/>
      <c r="S235" s="549"/>
      <c r="T235" s="549">
        <v>46108.0</v>
      </c>
      <c r="U235" s="549"/>
      <c r="V235" s="549"/>
      <c r="W235" s="549"/>
      <c r="X235" s="549"/>
      <c r="Y235" s="548"/>
      <c r="Z235" s="548"/>
    </row>
    <row r="236">
      <c r="A236" s="538">
        <v>235.0</v>
      </c>
      <c r="B236" s="616" t="s">
        <v>20</v>
      </c>
      <c r="C236" s="544"/>
      <c r="D236" s="617" t="s">
        <v>2623</v>
      </c>
      <c r="E236" s="553"/>
      <c r="F236" s="541" t="s">
        <v>2624</v>
      </c>
      <c r="G236" s="618" t="s">
        <v>2625</v>
      </c>
      <c r="H236" s="616" t="s">
        <v>64</v>
      </c>
      <c r="I236" s="618" t="s">
        <v>2625</v>
      </c>
      <c r="J236" s="544"/>
      <c r="K236" s="556" t="s">
        <v>2626</v>
      </c>
      <c r="L236" s="619"/>
      <c r="M236" s="544"/>
      <c r="N236" s="545" t="str">
        <f t="shared" si="2"/>
        <v/>
      </c>
      <c r="O236" s="546">
        <v>0.0</v>
      </c>
      <c r="P236" s="545">
        <v>0.0</v>
      </c>
      <c r="Q236" s="545">
        <v>0.0</v>
      </c>
      <c r="R236" s="620"/>
      <c r="S236" s="549"/>
      <c r="T236" s="549">
        <v>46108.0</v>
      </c>
      <c r="U236" s="549"/>
      <c r="V236" s="549"/>
      <c r="W236" s="549"/>
      <c r="X236" s="549"/>
      <c r="Y236" s="548"/>
      <c r="Z236" s="548"/>
    </row>
    <row r="237">
      <c r="A237" s="491">
        <v>236.0</v>
      </c>
      <c r="B237" s="612" t="s">
        <v>20</v>
      </c>
      <c r="C237" s="494"/>
      <c r="D237" s="613" t="s">
        <v>508</v>
      </c>
      <c r="E237" s="644"/>
      <c r="F237" s="492" t="s">
        <v>2627</v>
      </c>
      <c r="G237" s="512" t="s">
        <v>2628</v>
      </c>
      <c r="H237" s="612" t="s">
        <v>64</v>
      </c>
      <c r="I237" s="512" t="s">
        <v>2629</v>
      </c>
      <c r="J237" s="645" t="s">
        <v>2630</v>
      </c>
      <c r="K237" s="494"/>
      <c r="L237" s="612" t="s">
        <v>2631</v>
      </c>
      <c r="M237" s="494"/>
      <c r="N237" s="495" t="str">
        <f t="shared" si="2"/>
        <v>이메일</v>
      </c>
      <c r="O237" s="495">
        <v>0.0</v>
      </c>
      <c r="P237" s="495">
        <v>1.0</v>
      </c>
      <c r="Q237" s="495">
        <v>0.0</v>
      </c>
      <c r="R237" s="535"/>
      <c r="S237" s="474"/>
      <c r="T237" s="474">
        <v>46108.0</v>
      </c>
      <c r="U237" s="473" t="s">
        <v>139</v>
      </c>
      <c r="V237" s="615" t="s">
        <v>218</v>
      </c>
      <c r="W237" s="474"/>
      <c r="X237" s="474"/>
      <c r="Y237" s="476"/>
      <c r="Z237" s="476"/>
      <c r="AA237" s="477"/>
    </row>
    <row r="238">
      <c r="A238" s="491">
        <v>237.0</v>
      </c>
      <c r="B238" s="612" t="s">
        <v>20</v>
      </c>
      <c r="C238" s="413" t="s">
        <v>2524</v>
      </c>
      <c r="D238" s="646" t="s">
        <v>2525</v>
      </c>
      <c r="E238" s="647" t="s">
        <v>531</v>
      </c>
      <c r="F238" s="648" t="s">
        <v>2526</v>
      </c>
      <c r="G238" s="390" t="s">
        <v>44</v>
      </c>
      <c r="H238" s="389" t="s">
        <v>64</v>
      </c>
      <c r="I238" s="390" t="s">
        <v>3532</v>
      </c>
      <c r="J238" s="412" t="s">
        <v>2528</v>
      </c>
      <c r="K238" s="649" t="s">
        <v>2529</v>
      </c>
      <c r="L238" s="650" t="s">
        <v>2530</v>
      </c>
      <c r="M238" s="388"/>
      <c r="N238" s="495" t="str">
        <f t="shared" si="2"/>
        <v>DM+이메일</v>
      </c>
      <c r="O238" s="495">
        <v>1.0</v>
      </c>
      <c r="P238" s="495">
        <v>1.0</v>
      </c>
      <c r="Q238" s="495">
        <v>0.0</v>
      </c>
      <c r="R238" s="474">
        <v>46108.0</v>
      </c>
      <c r="S238" s="474"/>
      <c r="T238" s="651"/>
      <c r="U238" s="474"/>
      <c r="V238" s="474"/>
      <c r="W238" s="474"/>
      <c r="X238" s="474"/>
      <c r="Y238" s="476"/>
      <c r="Z238" s="476"/>
      <c r="AA238" s="477"/>
    </row>
    <row r="239">
      <c r="A239" s="491">
        <v>238.0</v>
      </c>
      <c r="B239" s="612" t="s">
        <v>20</v>
      </c>
      <c r="C239" s="389" t="s">
        <v>2536</v>
      </c>
      <c r="D239" s="646" t="s">
        <v>949</v>
      </c>
      <c r="E239" s="648" t="s">
        <v>494</v>
      </c>
      <c r="F239" s="648" t="s">
        <v>2537</v>
      </c>
      <c r="G239" s="390" t="s">
        <v>674</v>
      </c>
      <c r="H239" s="389" t="s">
        <v>106</v>
      </c>
      <c r="I239" s="388"/>
      <c r="J239" s="412" t="s">
        <v>2538</v>
      </c>
      <c r="K239" s="652"/>
      <c r="L239" s="650" t="s">
        <v>2539</v>
      </c>
      <c r="M239" s="388"/>
      <c r="N239" s="495" t="str">
        <f t="shared" si="2"/>
        <v>이메일</v>
      </c>
      <c r="O239" s="495">
        <v>0.0</v>
      </c>
      <c r="P239" s="495">
        <v>1.0</v>
      </c>
      <c r="Q239" s="495">
        <v>0.0</v>
      </c>
      <c r="R239" s="474">
        <v>46108.0</v>
      </c>
      <c r="S239" s="473"/>
      <c r="T239" s="651"/>
      <c r="U239" s="474"/>
      <c r="V239" s="474"/>
      <c r="W239" s="474"/>
      <c r="X239" s="474"/>
      <c r="Y239" s="476"/>
      <c r="Z239" s="476"/>
      <c r="AA239" s="477"/>
    </row>
    <row r="240">
      <c r="A240" s="491">
        <v>239.0</v>
      </c>
      <c r="B240" s="465" t="s">
        <v>25</v>
      </c>
      <c r="C240" s="388"/>
      <c r="D240" s="646" t="s">
        <v>2540</v>
      </c>
      <c r="E240" s="648" t="s">
        <v>109</v>
      </c>
      <c r="F240" s="648" t="s">
        <v>2541</v>
      </c>
      <c r="G240" s="390" t="s">
        <v>44</v>
      </c>
      <c r="H240" s="389" t="s">
        <v>106</v>
      </c>
      <c r="I240" s="388"/>
      <c r="J240" s="412" t="s">
        <v>2542</v>
      </c>
      <c r="K240" s="652"/>
      <c r="L240" s="650" t="s">
        <v>2543</v>
      </c>
      <c r="M240" s="388"/>
      <c r="N240" s="495" t="str">
        <f t="shared" si="2"/>
        <v>이메일</v>
      </c>
      <c r="O240" s="495">
        <v>0.0</v>
      </c>
      <c r="P240" s="495">
        <v>1.0</v>
      </c>
      <c r="Q240" s="495">
        <v>0.0</v>
      </c>
      <c r="R240" s="474">
        <v>46108.0</v>
      </c>
      <c r="S240" s="495" t="s">
        <v>25</v>
      </c>
      <c r="T240" s="651"/>
      <c r="U240" s="474"/>
      <c r="V240" s="474"/>
      <c r="W240" s="474"/>
      <c r="X240" s="474"/>
      <c r="Y240" s="476"/>
      <c r="Z240" s="495" t="s">
        <v>2544</v>
      </c>
      <c r="AA240" s="477"/>
    </row>
    <row r="241">
      <c r="A241" s="538">
        <v>240.0</v>
      </c>
      <c r="B241" s="616" t="s">
        <v>20</v>
      </c>
      <c r="C241" s="405" t="s">
        <v>2552</v>
      </c>
      <c r="D241" s="653" t="s">
        <v>2553</v>
      </c>
      <c r="E241" s="558" t="s">
        <v>1110</v>
      </c>
      <c r="F241" s="558" t="s">
        <v>2554</v>
      </c>
      <c r="G241" s="406" t="s">
        <v>44</v>
      </c>
      <c r="H241" s="405" t="s">
        <v>64</v>
      </c>
      <c r="I241" s="406" t="s">
        <v>553</v>
      </c>
      <c r="J241" s="562"/>
      <c r="K241" s="559" t="s">
        <v>2555</v>
      </c>
      <c r="L241" s="654" t="s">
        <v>2556</v>
      </c>
      <c r="M241" s="404"/>
      <c r="N241" s="545" t="str">
        <f t="shared" si="2"/>
        <v>DM</v>
      </c>
      <c r="O241" s="545">
        <v>1.0</v>
      </c>
      <c r="P241" s="545">
        <v>0.0</v>
      </c>
      <c r="Q241" s="545">
        <v>0.0</v>
      </c>
      <c r="R241" s="549">
        <v>46108.0</v>
      </c>
      <c r="S241" s="549"/>
      <c r="T241" s="655"/>
      <c r="U241" s="549"/>
      <c r="V241" s="549"/>
      <c r="W241" s="549"/>
      <c r="X241" s="549"/>
      <c r="Y241" s="548"/>
      <c r="Z241" s="548"/>
    </row>
    <row r="242">
      <c r="A242" s="491">
        <v>241.0</v>
      </c>
      <c r="B242" s="612" t="s">
        <v>20</v>
      </c>
      <c r="C242" s="389" t="s">
        <v>2569</v>
      </c>
      <c r="D242" s="646" t="s">
        <v>237</v>
      </c>
      <c r="E242" s="648" t="s">
        <v>69</v>
      </c>
      <c r="F242" s="648" t="s">
        <v>2570</v>
      </c>
      <c r="G242" s="390" t="s">
        <v>45</v>
      </c>
      <c r="H242" s="389" t="s">
        <v>106</v>
      </c>
      <c r="I242" s="388"/>
      <c r="J242" s="652"/>
      <c r="K242" s="412" t="s">
        <v>2571</v>
      </c>
      <c r="L242" s="650" t="s">
        <v>2572</v>
      </c>
      <c r="M242" s="388"/>
      <c r="N242" s="495" t="str">
        <f t="shared" si="2"/>
        <v>DM+이메일</v>
      </c>
      <c r="O242" s="495">
        <v>1.0</v>
      </c>
      <c r="P242" s="495">
        <v>1.0</v>
      </c>
      <c r="Q242" s="495">
        <v>0.0</v>
      </c>
      <c r="R242" s="474">
        <v>46108.0</v>
      </c>
      <c r="S242" s="474"/>
      <c r="T242" s="651"/>
      <c r="U242" s="474"/>
      <c r="V242" s="474"/>
      <c r="W242" s="474"/>
      <c r="X242" s="474"/>
      <c r="Y242" s="476"/>
      <c r="Z242" s="476"/>
      <c r="AA242" s="477"/>
    </row>
    <row r="243">
      <c r="A243" s="491">
        <v>242.0</v>
      </c>
      <c r="B243" s="612" t="s">
        <v>20</v>
      </c>
      <c r="C243" s="388"/>
      <c r="D243" s="646" t="s">
        <v>1821</v>
      </c>
      <c r="E243" s="648" t="s">
        <v>513</v>
      </c>
      <c r="F243" s="648" t="s">
        <v>2578</v>
      </c>
      <c r="G243" s="390" t="s">
        <v>44</v>
      </c>
      <c r="H243" s="389" t="s">
        <v>64</v>
      </c>
      <c r="I243" s="390" t="s">
        <v>648</v>
      </c>
      <c r="J243" s="412" t="s">
        <v>2579</v>
      </c>
      <c r="K243" s="652"/>
      <c r="L243" s="650" t="s">
        <v>653</v>
      </c>
      <c r="M243" s="388"/>
      <c r="N243" s="495" t="str">
        <f t="shared" si="2"/>
        <v>이메일</v>
      </c>
      <c r="O243" s="495">
        <v>0.0</v>
      </c>
      <c r="P243" s="495">
        <v>1.0</v>
      </c>
      <c r="Q243" s="495">
        <v>0.0</v>
      </c>
      <c r="R243" s="474">
        <v>46108.0</v>
      </c>
      <c r="S243" s="474"/>
      <c r="T243" s="651"/>
      <c r="U243" s="474"/>
      <c r="V243" s="474"/>
      <c r="W243" s="474"/>
      <c r="X243" s="474"/>
      <c r="Y243" s="476"/>
      <c r="Z243" s="476"/>
      <c r="AA243" s="477"/>
    </row>
    <row r="244">
      <c r="A244" s="491">
        <v>243.0</v>
      </c>
      <c r="B244" s="612" t="s">
        <v>20</v>
      </c>
      <c r="C244" s="389" t="s">
        <v>2596</v>
      </c>
      <c r="D244" s="646" t="s">
        <v>2597</v>
      </c>
      <c r="E244" s="648" t="s">
        <v>506</v>
      </c>
      <c r="F244" s="648" t="s">
        <v>2598</v>
      </c>
      <c r="G244" s="390" t="s">
        <v>44</v>
      </c>
      <c r="H244" s="388"/>
      <c r="I244" s="388"/>
      <c r="J244" s="412" t="s">
        <v>2599</v>
      </c>
      <c r="K244" s="412" t="s">
        <v>2600</v>
      </c>
      <c r="L244" s="650" t="s">
        <v>650</v>
      </c>
      <c r="M244" s="388"/>
      <c r="N244" s="495" t="str">
        <f t="shared" si="2"/>
        <v>DM+이메일</v>
      </c>
      <c r="O244" s="495">
        <v>1.0</v>
      </c>
      <c r="P244" s="495">
        <v>1.0</v>
      </c>
      <c r="Q244" s="495">
        <v>0.0</v>
      </c>
      <c r="R244" s="474">
        <v>46108.0</v>
      </c>
      <c r="S244" s="474"/>
      <c r="T244" s="651"/>
      <c r="U244" s="474"/>
      <c r="V244" s="474"/>
      <c r="W244" s="474"/>
      <c r="X244" s="474"/>
      <c r="Y244" s="476"/>
      <c r="Z244" s="476"/>
      <c r="AA244" s="477"/>
    </row>
    <row r="245">
      <c r="A245" s="491">
        <v>244.0</v>
      </c>
      <c r="B245" s="612" t="s">
        <v>20</v>
      </c>
      <c r="C245" s="389" t="s">
        <v>2601</v>
      </c>
      <c r="D245" s="646" t="s">
        <v>2602</v>
      </c>
      <c r="E245" s="648" t="s">
        <v>1059</v>
      </c>
      <c r="F245" s="648" t="s">
        <v>2603</v>
      </c>
      <c r="G245" s="390" t="s">
        <v>44</v>
      </c>
      <c r="H245" s="389" t="s">
        <v>64</v>
      </c>
      <c r="I245" s="390" t="s">
        <v>648</v>
      </c>
      <c r="J245" s="656" t="s">
        <v>2604</v>
      </c>
      <c r="K245" s="652"/>
      <c r="L245" s="649" t="s">
        <v>2605</v>
      </c>
      <c r="M245" s="388"/>
      <c r="N245" s="495" t="str">
        <f t="shared" si="2"/>
        <v>이메일</v>
      </c>
      <c r="O245" s="495">
        <v>0.0</v>
      </c>
      <c r="P245" s="495">
        <v>1.0</v>
      </c>
      <c r="Q245" s="495">
        <v>0.0</v>
      </c>
      <c r="R245" s="474">
        <v>46108.0</v>
      </c>
      <c r="S245" s="495" t="s">
        <v>2</v>
      </c>
      <c r="T245" s="651"/>
      <c r="U245" s="474"/>
      <c r="V245" s="474"/>
      <c r="W245" s="474"/>
      <c r="X245" s="474"/>
      <c r="Y245" s="495" t="s">
        <v>2606</v>
      </c>
      <c r="Z245" s="476"/>
      <c r="AA245" s="477"/>
    </row>
    <row r="246">
      <c r="A246" s="491">
        <v>245.0</v>
      </c>
      <c r="B246" s="465" t="s">
        <v>25</v>
      </c>
      <c r="C246" s="389" t="s">
        <v>2611</v>
      </c>
      <c r="D246" s="657" t="s">
        <v>2612</v>
      </c>
      <c r="E246" s="658" t="s">
        <v>494</v>
      </c>
      <c r="F246" s="658" t="s">
        <v>2613</v>
      </c>
      <c r="G246" s="659" t="s">
        <v>44</v>
      </c>
      <c r="H246" s="660" t="s">
        <v>106</v>
      </c>
      <c r="I246" s="513"/>
      <c r="J246" s="661" t="s">
        <v>2614</v>
      </c>
      <c r="K246" s="662"/>
      <c r="L246" s="663" t="s">
        <v>2615</v>
      </c>
      <c r="M246" s="483"/>
      <c r="N246" s="501" t="str">
        <f t="shared" si="2"/>
        <v>이메일</v>
      </c>
      <c r="O246" s="501">
        <v>0.0</v>
      </c>
      <c r="P246" s="501">
        <v>1.0</v>
      </c>
      <c r="Q246" s="501">
        <v>0.0</v>
      </c>
      <c r="R246" s="485">
        <v>46108.0</v>
      </c>
      <c r="S246" s="484" t="s">
        <v>2</v>
      </c>
      <c r="T246" s="664"/>
      <c r="U246" s="485"/>
      <c r="V246" s="485"/>
      <c r="W246" s="485"/>
      <c r="X246" s="484" t="s">
        <v>25</v>
      </c>
      <c r="Y246" s="501"/>
      <c r="Z246" s="511" t="s">
        <v>2616</v>
      </c>
      <c r="AA246" s="665" t="s">
        <v>1601</v>
      </c>
    </row>
    <row r="247">
      <c r="A247" s="491">
        <v>246.0</v>
      </c>
      <c r="B247" s="612" t="s">
        <v>20</v>
      </c>
      <c r="C247" s="391"/>
      <c r="D247" s="666" t="s">
        <v>2632</v>
      </c>
      <c r="E247" s="647" t="s">
        <v>2218</v>
      </c>
      <c r="F247" s="647" t="s">
        <v>2633</v>
      </c>
      <c r="G247" s="402" t="s">
        <v>45</v>
      </c>
      <c r="H247" s="400" t="s">
        <v>106</v>
      </c>
      <c r="I247" s="391"/>
      <c r="J247" s="667"/>
      <c r="K247" s="668" t="s">
        <v>2634</v>
      </c>
      <c r="L247" s="669" t="s">
        <v>2635</v>
      </c>
      <c r="M247" s="670" t="s">
        <v>3533</v>
      </c>
      <c r="N247" s="495" t="str">
        <f t="shared" si="2"/>
        <v>DM+이메일</v>
      </c>
      <c r="O247" s="495">
        <v>1.0</v>
      </c>
      <c r="P247" s="495">
        <v>1.0</v>
      </c>
      <c r="Q247" s="495">
        <v>0.0</v>
      </c>
      <c r="R247" s="474">
        <v>46108.0</v>
      </c>
      <c r="S247" s="495" t="s">
        <v>2</v>
      </c>
      <c r="T247" s="474"/>
      <c r="U247" s="474"/>
      <c r="V247" s="474"/>
      <c r="W247" s="474"/>
      <c r="X247" s="474"/>
      <c r="Y247" s="495" t="s">
        <v>2617</v>
      </c>
      <c r="Z247" s="476"/>
      <c r="AA247" s="477"/>
    </row>
    <row r="248">
      <c r="A248" s="491">
        <v>247.0</v>
      </c>
      <c r="B248" s="612" t="s">
        <v>20</v>
      </c>
      <c r="C248" s="400" t="s">
        <v>109</v>
      </c>
      <c r="D248" s="666" t="s">
        <v>2637</v>
      </c>
      <c r="E248" s="647" t="s">
        <v>429</v>
      </c>
      <c r="F248" s="647" t="s">
        <v>2638</v>
      </c>
      <c r="G248" s="402" t="s">
        <v>648</v>
      </c>
      <c r="H248" s="400" t="s">
        <v>64</v>
      </c>
      <c r="I248" s="402" t="s">
        <v>640</v>
      </c>
      <c r="J248" s="649" t="s">
        <v>2639</v>
      </c>
      <c r="K248" s="667"/>
      <c r="L248" s="669" t="s">
        <v>2640</v>
      </c>
      <c r="M248" s="391"/>
      <c r="N248" s="495" t="str">
        <f t="shared" si="2"/>
        <v>이메일</v>
      </c>
      <c r="O248" s="495">
        <v>0.0</v>
      </c>
      <c r="P248" s="495">
        <v>1.0</v>
      </c>
      <c r="Q248" s="495">
        <v>0.0</v>
      </c>
      <c r="R248" s="474">
        <v>46108.0</v>
      </c>
      <c r="S248" s="474"/>
      <c r="T248" s="474"/>
      <c r="U248" s="474"/>
      <c r="V248" s="474"/>
      <c r="W248" s="474"/>
      <c r="X248" s="474"/>
      <c r="Y248" s="476"/>
      <c r="Z248" s="476"/>
      <c r="AA248" s="477"/>
    </row>
    <row r="249">
      <c r="A249" s="491">
        <v>248.0</v>
      </c>
      <c r="B249" s="465" t="s">
        <v>24</v>
      </c>
      <c r="C249" s="400" t="s">
        <v>2641</v>
      </c>
      <c r="D249" s="112"/>
      <c r="E249" s="647" t="s">
        <v>506</v>
      </c>
      <c r="F249" s="647" t="s">
        <v>2643</v>
      </c>
      <c r="G249" s="402" t="s">
        <v>44</v>
      </c>
      <c r="H249" s="400" t="s">
        <v>64</v>
      </c>
      <c r="I249" s="402" t="s">
        <v>648</v>
      </c>
      <c r="J249" s="649" t="s">
        <v>2644</v>
      </c>
      <c r="K249" s="669" t="s">
        <v>106</v>
      </c>
      <c r="L249" s="669" t="s">
        <v>2645</v>
      </c>
      <c r="M249" s="670" t="s">
        <v>2431</v>
      </c>
      <c r="N249" s="495" t="str">
        <f t="shared" si="2"/>
        <v>이메일</v>
      </c>
      <c r="O249" s="495">
        <v>0.0</v>
      </c>
      <c r="P249" s="495">
        <v>1.0</v>
      </c>
      <c r="Q249" s="495">
        <v>0.0</v>
      </c>
      <c r="R249" s="474">
        <v>46108.0</v>
      </c>
      <c r="S249" s="473" t="s">
        <v>2</v>
      </c>
      <c r="T249" s="474"/>
      <c r="U249" s="474"/>
      <c r="V249" s="474"/>
      <c r="W249" s="474"/>
      <c r="X249" s="474"/>
      <c r="Y249" s="394" t="s">
        <v>3534</v>
      </c>
      <c r="Z249" s="671" t="s">
        <v>2642</v>
      </c>
      <c r="AA249" s="477"/>
    </row>
    <row r="250">
      <c r="A250" s="491">
        <v>249.0</v>
      </c>
      <c r="B250" s="612" t="s">
        <v>20</v>
      </c>
      <c r="C250" s="400" t="s">
        <v>2647</v>
      </c>
      <c r="D250" s="666" t="s">
        <v>574</v>
      </c>
      <c r="E250" s="647" t="s">
        <v>531</v>
      </c>
      <c r="F250" s="647" t="s">
        <v>2648</v>
      </c>
      <c r="G250" s="402" t="s">
        <v>3535</v>
      </c>
      <c r="H250" s="400" t="s">
        <v>106</v>
      </c>
      <c r="I250" s="391"/>
      <c r="J250" s="649" t="s">
        <v>2650</v>
      </c>
      <c r="K250" s="667"/>
      <c r="L250" s="669" t="s">
        <v>2651</v>
      </c>
      <c r="M250" s="391"/>
      <c r="N250" s="495" t="str">
        <f t="shared" si="2"/>
        <v>이메일</v>
      </c>
      <c r="O250" s="495">
        <v>0.0</v>
      </c>
      <c r="P250" s="495">
        <v>1.0</v>
      </c>
      <c r="Q250" s="495">
        <v>0.0</v>
      </c>
      <c r="R250" s="474">
        <v>46108.0</v>
      </c>
      <c r="S250" s="474"/>
      <c r="T250" s="474"/>
      <c r="U250" s="474"/>
      <c r="V250" s="474"/>
      <c r="W250" s="474"/>
      <c r="X250" s="474"/>
      <c r="Y250" s="476"/>
      <c r="Z250" s="476"/>
      <c r="AA250" s="477"/>
    </row>
    <row r="251">
      <c r="A251" s="538">
        <v>250.0</v>
      </c>
      <c r="B251" s="616" t="s">
        <v>20</v>
      </c>
      <c r="C251" s="567"/>
      <c r="D251" s="672" t="s">
        <v>2652</v>
      </c>
      <c r="E251" s="557" t="s">
        <v>1072</v>
      </c>
      <c r="F251" s="557" t="s">
        <v>2653</v>
      </c>
      <c r="G251" s="673" t="s">
        <v>44</v>
      </c>
      <c r="H251" s="674" t="s">
        <v>64</v>
      </c>
      <c r="I251" s="673" t="s">
        <v>2654</v>
      </c>
      <c r="J251" s="407" t="s">
        <v>2655</v>
      </c>
      <c r="K251" s="564"/>
      <c r="L251" s="568" t="s">
        <v>2656</v>
      </c>
      <c r="M251" s="567"/>
      <c r="N251" s="545" t="str">
        <f t="shared" si="2"/>
        <v/>
      </c>
      <c r="O251" s="545">
        <v>0.0</v>
      </c>
      <c r="P251" s="545">
        <v>0.0</v>
      </c>
      <c r="Q251" s="545">
        <v>0.0</v>
      </c>
      <c r="R251" s="549">
        <v>46108.0</v>
      </c>
      <c r="S251" s="549"/>
      <c r="T251" s="549"/>
      <c r="U251" s="549"/>
      <c r="V251" s="549"/>
      <c r="W251" s="549"/>
      <c r="X251" s="549"/>
      <c r="Y251" s="548"/>
      <c r="Z251" s="548"/>
    </row>
    <row r="252">
      <c r="A252" s="538">
        <v>251.0</v>
      </c>
      <c r="B252" s="616" t="s">
        <v>20</v>
      </c>
      <c r="C252" s="674" t="s">
        <v>109</v>
      </c>
      <c r="D252" s="672" t="s">
        <v>646</v>
      </c>
      <c r="E252" s="557" t="s">
        <v>2218</v>
      </c>
      <c r="F252" s="557" t="s">
        <v>2657</v>
      </c>
      <c r="G252" s="673" t="s">
        <v>1031</v>
      </c>
      <c r="H252" s="674" t="s">
        <v>106</v>
      </c>
      <c r="I252" s="567"/>
      <c r="J252" s="564"/>
      <c r="K252" s="564"/>
      <c r="L252" s="675"/>
      <c r="M252" s="570" t="s">
        <v>2658</v>
      </c>
      <c r="N252" s="545" t="str">
        <f t="shared" si="2"/>
        <v/>
      </c>
      <c r="O252" s="545">
        <v>0.0</v>
      </c>
      <c r="P252" s="545">
        <v>0.0</v>
      </c>
      <c r="Q252" s="545">
        <v>0.0</v>
      </c>
      <c r="R252" s="549">
        <v>46108.0</v>
      </c>
      <c r="S252" s="549"/>
      <c r="T252" s="549"/>
      <c r="U252" s="549"/>
      <c r="V252" s="549"/>
      <c r="W252" s="549"/>
      <c r="X252" s="549"/>
      <c r="Y252" s="548"/>
      <c r="Z252" s="548"/>
    </row>
    <row r="253">
      <c r="A253" s="538">
        <v>252.0</v>
      </c>
      <c r="B253" s="616" t="s">
        <v>20</v>
      </c>
      <c r="C253" s="674" t="s">
        <v>109</v>
      </c>
      <c r="D253" s="672" t="s">
        <v>2659</v>
      </c>
      <c r="E253" s="557" t="s">
        <v>1377</v>
      </c>
      <c r="F253" s="557" t="s">
        <v>2660</v>
      </c>
      <c r="G253" s="673" t="s">
        <v>640</v>
      </c>
      <c r="H253" s="674" t="s">
        <v>64</v>
      </c>
      <c r="I253" s="673" t="s">
        <v>98</v>
      </c>
      <c r="J253" s="564"/>
      <c r="K253" s="560" t="s">
        <v>2661</v>
      </c>
      <c r="L253" s="675"/>
      <c r="M253" s="567"/>
      <c r="N253" s="545" t="str">
        <f t="shared" si="2"/>
        <v>DM</v>
      </c>
      <c r="O253" s="545">
        <v>1.0</v>
      </c>
      <c r="P253" s="545">
        <v>0.0</v>
      </c>
      <c r="Q253" s="545">
        <v>0.0</v>
      </c>
      <c r="R253" s="549">
        <v>46108.0</v>
      </c>
      <c r="S253" s="549"/>
      <c r="T253" s="549"/>
      <c r="U253" s="549"/>
      <c r="V253" s="549"/>
      <c r="W253" s="549"/>
      <c r="X253" s="549"/>
      <c r="Y253" s="548"/>
      <c r="Z253" s="548"/>
    </row>
    <row r="254">
      <c r="A254" s="491">
        <v>253.0</v>
      </c>
      <c r="B254" s="612" t="s">
        <v>20</v>
      </c>
      <c r="C254" s="400" t="s">
        <v>2662</v>
      </c>
      <c r="D254" s="666" t="s">
        <v>2663</v>
      </c>
      <c r="E254" s="647" t="s">
        <v>109</v>
      </c>
      <c r="F254" s="647" t="s">
        <v>2664</v>
      </c>
      <c r="G254" s="391"/>
      <c r="H254" s="400" t="s">
        <v>64</v>
      </c>
      <c r="I254" s="402" t="s">
        <v>674</v>
      </c>
      <c r="J254" s="667"/>
      <c r="K254" s="667"/>
      <c r="L254" s="669" t="s">
        <v>2665</v>
      </c>
      <c r="M254" s="391"/>
      <c r="N254" s="495" t="str">
        <f t="shared" si="2"/>
        <v>이메일</v>
      </c>
      <c r="O254" s="495">
        <v>0.0</v>
      </c>
      <c r="P254" s="495">
        <v>1.0</v>
      </c>
      <c r="Q254" s="495">
        <v>0.0</v>
      </c>
      <c r="R254" s="474">
        <v>46108.0</v>
      </c>
      <c r="S254" s="474"/>
      <c r="T254" s="474"/>
      <c r="U254" s="474"/>
      <c r="V254" s="474"/>
      <c r="W254" s="474"/>
      <c r="X254" s="474"/>
      <c r="Y254" s="476"/>
      <c r="Z254" s="476"/>
      <c r="AA254" s="477"/>
    </row>
    <row r="255">
      <c r="A255" s="491">
        <v>254.0</v>
      </c>
      <c r="B255" s="612" t="s">
        <v>20</v>
      </c>
      <c r="C255" s="400" t="s">
        <v>2273</v>
      </c>
      <c r="D255" s="666" t="s">
        <v>574</v>
      </c>
      <c r="E255" s="647" t="s">
        <v>531</v>
      </c>
      <c r="F255" s="647" t="s">
        <v>2666</v>
      </c>
      <c r="G255" s="402" t="s">
        <v>44</v>
      </c>
      <c r="H255" s="400" t="s">
        <v>106</v>
      </c>
      <c r="I255" s="391"/>
      <c r="J255" s="398" t="s">
        <v>2667</v>
      </c>
      <c r="K255" s="398" t="s">
        <v>2668</v>
      </c>
      <c r="L255" s="669" t="s">
        <v>2669</v>
      </c>
      <c r="M255" s="391"/>
      <c r="N255" s="495" t="str">
        <f t="shared" si="2"/>
        <v>DM+이메일</v>
      </c>
      <c r="O255" s="495">
        <v>1.0</v>
      </c>
      <c r="P255" s="495">
        <v>1.0</v>
      </c>
      <c r="Q255" s="495">
        <v>0.0</v>
      </c>
      <c r="R255" s="474">
        <v>46108.0</v>
      </c>
      <c r="S255" s="474"/>
      <c r="T255" s="474"/>
      <c r="U255" s="474"/>
      <c r="V255" s="474"/>
      <c r="W255" s="474"/>
      <c r="X255" s="474"/>
      <c r="Y255" s="476"/>
      <c r="Z255" s="476"/>
      <c r="AA255" s="477"/>
    </row>
    <row r="256">
      <c r="A256" s="491">
        <v>255.0</v>
      </c>
      <c r="B256" s="612" t="s">
        <v>20</v>
      </c>
      <c r="C256" s="400" t="s">
        <v>2273</v>
      </c>
      <c r="D256" s="666" t="s">
        <v>2670</v>
      </c>
      <c r="E256" s="647" t="s">
        <v>506</v>
      </c>
      <c r="F256" s="647" t="s">
        <v>2671</v>
      </c>
      <c r="G256" s="402" t="s">
        <v>44</v>
      </c>
      <c r="H256" s="400" t="s">
        <v>64</v>
      </c>
      <c r="I256" s="402" t="s">
        <v>648</v>
      </c>
      <c r="J256" s="668" t="s">
        <v>2672</v>
      </c>
      <c r="K256" s="667"/>
      <c r="L256" s="669" t="s">
        <v>2673</v>
      </c>
      <c r="M256" s="391"/>
      <c r="N256" s="495" t="str">
        <f t="shared" si="2"/>
        <v>이메일</v>
      </c>
      <c r="O256" s="495">
        <v>0.0</v>
      </c>
      <c r="P256" s="495">
        <v>1.0</v>
      </c>
      <c r="Q256" s="495">
        <v>0.0</v>
      </c>
      <c r="R256" s="474">
        <v>46108.0</v>
      </c>
      <c r="S256" s="495" t="s">
        <v>2</v>
      </c>
      <c r="T256" s="474"/>
      <c r="U256" s="474"/>
      <c r="V256" s="474"/>
      <c r="W256" s="474"/>
      <c r="X256" s="474"/>
      <c r="Y256" s="495" t="s">
        <v>2617</v>
      </c>
      <c r="Z256" s="476"/>
      <c r="AA256" s="477"/>
    </row>
    <row r="257">
      <c r="A257" s="491">
        <v>256.0</v>
      </c>
      <c r="B257" s="612" t="s">
        <v>20</v>
      </c>
      <c r="C257" s="400" t="s">
        <v>2273</v>
      </c>
      <c r="D257" s="666" t="s">
        <v>2674</v>
      </c>
      <c r="E257" s="647" t="s">
        <v>494</v>
      </c>
      <c r="F257" s="647" t="s">
        <v>2675</v>
      </c>
      <c r="G257" s="402" t="s">
        <v>44</v>
      </c>
      <c r="H257" s="400" t="s">
        <v>106</v>
      </c>
      <c r="I257" s="391"/>
      <c r="J257" s="398" t="s">
        <v>2676</v>
      </c>
      <c r="K257" s="667"/>
      <c r="L257" s="669" t="s">
        <v>2677</v>
      </c>
      <c r="M257" s="391"/>
      <c r="N257" s="495" t="str">
        <f t="shared" si="2"/>
        <v>이메일</v>
      </c>
      <c r="O257" s="495">
        <v>0.0</v>
      </c>
      <c r="P257" s="495">
        <v>1.0</v>
      </c>
      <c r="Q257" s="495">
        <v>0.0</v>
      </c>
      <c r="R257" s="474">
        <v>46108.0</v>
      </c>
      <c r="S257" s="474"/>
      <c r="T257" s="474"/>
      <c r="U257" s="474"/>
      <c r="V257" s="474"/>
      <c r="W257" s="474"/>
      <c r="X257" s="474"/>
      <c r="Y257" s="476"/>
      <c r="Z257" s="476"/>
      <c r="AA257" s="477"/>
    </row>
    <row r="258">
      <c r="A258" s="538">
        <v>257.0</v>
      </c>
      <c r="B258" s="616" t="s">
        <v>20</v>
      </c>
      <c r="C258" s="567"/>
      <c r="D258" s="672" t="s">
        <v>2678</v>
      </c>
      <c r="E258" s="557" t="s">
        <v>1180</v>
      </c>
      <c r="F258" s="557" t="s">
        <v>2679</v>
      </c>
      <c r="G258" s="673" t="s">
        <v>1031</v>
      </c>
      <c r="H258" s="674" t="s">
        <v>106</v>
      </c>
      <c r="I258" s="567"/>
      <c r="J258" s="564"/>
      <c r="K258" s="564"/>
      <c r="L258" s="675"/>
      <c r="M258" s="566" t="s">
        <v>3536</v>
      </c>
      <c r="N258" s="545" t="str">
        <f t="shared" si="2"/>
        <v/>
      </c>
      <c r="O258" s="545">
        <v>0.0</v>
      </c>
      <c r="P258" s="545">
        <v>0.0</v>
      </c>
      <c r="Q258" s="545">
        <v>0.0</v>
      </c>
      <c r="R258" s="549">
        <v>46108.0</v>
      </c>
      <c r="S258" s="549"/>
      <c r="T258" s="549"/>
      <c r="U258" s="549"/>
      <c r="V258" s="549"/>
      <c r="W258" s="549"/>
      <c r="X258" s="549"/>
      <c r="Y258" s="548"/>
      <c r="Z258" s="548"/>
    </row>
    <row r="259">
      <c r="A259" s="491">
        <v>258.0</v>
      </c>
      <c r="B259" s="612" t="s">
        <v>20</v>
      </c>
      <c r="C259" s="391"/>
      <c r="D259" s="666" t="s">
        <v>2331</v>
      </c>
      <c r="E259" s="647" t="s">
        <v>494</v>
      </c>
      <c r="F259" s="647" t="s">
        <v>2681</v>
      </c>
      <c r="G259" s="402" t="s">
        <v>44</v>
      </c>
      <c r="H259" s="400" t="s">
        <v>64</v>
      </c>
      <c r="I259" s="402" t="s">
        <v>116</v>
      </c>
      <c r="J259" s="398" t="s">
        <v>2682</v>
      </c>
      <c r="K259" s="667"/>
      <c r="L259" s="669" t="s">
        <v>2683</v>
      </c>
      <c r="M259" s="391"/>
      <c r="N259" s="495" t="str">
        <f t="shared" si="2"/>
        <v>이메일</v>
      </c>
      <c r="O259" s="495">
        <v>0.0</v>
      </c>
      <c r="P259" s="495">
        <v>1.0</v>
      </c>
      <c r="Q259" s="495">
        <v>0.0</v>
      </c>
      <c r="R259" s="474">
        <v>46108.0</v>
      </c>
      <c r="S259" s="474"/>
      <c r="T259" s="474"/>
      <c r="U259" s="474"/>
      <c r="V259" s="474"/>
      <c r="W259" s="474"/>
      <c r="X259" s="474"/>
      <c r="Y259" s="476"/>
      <c r="Z259" s="476"/>
      <c r="AA259" s="477"/>
    </row>
    <row r="260">
      <c r="A260" s="538">
        <v>259.0</v>
      </c>
      <c r="B260" s="616" t="s">
        <v>20</v>
      </c>
      <c r="C260" s="567"/>
      <c r="D260" s="672" t="s">
        <v>2684</v>
      </c>
      <c r="E260" s="557" t="s">
        <v>2218</v>
      </c>
      <c r="F260" s="557" t="s">
        <v>2685</v>
      </c>
      <c r="G260" s="673" t="s">
        <v>2358</v>
      </c>
      <c r="H260" s="674" t="s">
        <v>106</v>
      </c>
      <c r="I260" s="567"/>
      <c r="J260" s="564"/>
      <c r="K260" s="564"/>
      <c r="L260" s="568" t="s">
        <v>2686</v>
      </c>
      <c r="M260" s="570" t="s">
        <v>2687</v>
      </c>
      <c r="N260" s="545" t="str">
        <f t="shared" si="2"/>
        <v/>
      </c>
      <c r="O260" s="545">
        <v>0.0</v>
      </c>
      <c r="P260" s="545">
        <v>0.0</v>
      </c>
      <c r="Q260" s="545">
        <v>0.0</v>
      </c>
      <c r="R260" s="549">
        <v>46108.0</v>
      </c>
      <c r="S260" s="549"/>
      <c r="T260" s="549"/>
      <c r="U260" s="549"/>
      <c r="V260" s="549"/>
      <c r="W260" s="549"/>
      <c r="X260" s="549"/>
      <c r="Y260" s="548"/>
      <c r="Z260" s="548"/>
    </row>
    <row r="261">
      <c r="A261" s="491">
        <v>260.0</v>
      </c>
      <c r="B261" s="612" t="s">
        <v>20</v>
      </c>
      <c r="C261" s="391"/>
      <c r="D261" s="666" t="s">
        <v>115</v>
      </c>
      <c r="E261" s="647" t="s">
        <v>1180</v>
      </c>
      <c r="F261" s="647" t="s">
        <v>2688</v>
      </c>
      <c r="G261" s="400" t="s">
        <v>45</v>
      </c>
      <c r="H261" s="400" t="s">
        <v>64</v>
      </c>
      <c r="I261" s="402" t="s">
        <v>256</v>
      </c>
      <c r="J261" s="667"/>
      <c r="K261" s="398" t="s">
        <v>2689</v>
      </c>
      <c r="L261" s="669" t="s">
        <v>2690</v>
      </c>
      <c r="M261" s="391"/>
      <c r="N261" s="495" t="str">
        <f t="shared" si="2"/>
        <v>DM+이메일</v>
      </c>
      <c r="O261" s="495">
        <v>1.0</v>
      </c>
      <c r="P261" s="495">
        <v>1.0</v>
      </c>
      <c r="Q261" s="495">
        <v>0.0</v>
      </c>
      <c r="R261" s="474">
        <v>46108.0</v>
      </c>
      <c r="S261" s="474"/>
      <c r="T261" s="474"/>
      <c r="U261" s="474"/>
      <c r="V261" s="474"/>
      <c r="W261" s="474"/>
      <c r="X261" s="474"/>
      <c r="Y261" s="476"/>
      <c r="Z261" s="476"/>
      <c r="AA261" s="477"/>
    </row>
    <row r="262">
      <c r="A262" s="491">
        <v>261.0</v>
      </c>
      <c r="B262" s="612" t="s">
        <v>20</v>
      </c>
      <c r="C262" s="400" t="s">
        <v>2691</v>
      </c>
      <c r="D262" s="666" t="s">
        <v>2234</v>
      </c>
      <c r="E262" s="647" t="s">
        <v>332</v>
      </c>
      <c r="F262" s="647" t="s">
        <v>2692</v>
      </c>
      <c r="G262" s="402" t="s">
        <v>44</v>
      </c>
      <c r="H262" s="400" t="s">
        <v>64</v>
      </c>
      <c r="I262" s="402" t="s">
        <v>426</v>
      </c>
      <c r="J262" s="649" t="s">
        <v>44</v>
      </c>
      <c r="K262" s="676" t="s">
        <v>2693</v>
      </c>
      <c r="L262" s="677"/>
      <c r="M262" s="678" t="s">
        <v>2694</v>
      </c>
      <c r="N262" s="495" t="str">
        <f t="shared" si="2"/>
        <v>DM</v>
      </c>
      <c r="O262" s="495">
        <v>1.0</v>
      </c>
      <c r="P262" s="495">
        <v>0.0</v>
      </c>
      <c r="Q262" s="495">
        <v>0.0</v>
      </c>
      <c r="R262" s="474">
        <v>46108.0</v>
      </c>
      <c r="S262" s="474"/>
      <c r="T262" s="474"/>
      <c r="U262" s="474"/>
      <c r="V262" s="474"/>
      <c r="W262" s="474"/>
      <c r="X262" s="474"/>
      <c r="Y262" s="476"/>
      <c r="Z262" s="476"/>
      <c r="AA262" s="477"/>
    </row>
    <row r="263">
      <c r="A263" s="491">
        <v>262.0</v>
      </c>
      <c r="B263" s="612" t="s">
        <v>20</v>
      </c>
      <c r="C263" s="391"/>
      <c r="D263" s="666" t="s">
        <v>274</v>
      </c>
      <c r="E263" s="647" t="s">
        <v>2328</v>
      </c>
      <c r="F263" s="647" t="s">
        <v>2695</v>
      </c>
      <c r="G263" s="402" t="s">
        <v>115</v>
      </c>
      <c r="H263" s="400" t="s">
        <v>64</v>
      </c>
      <c r="I263" s="402" t="s">
        <v>657</v>
      </c>
      <c r="J263" s="398" t="s">
        <v>2696</v>
      </c>
      <c r="K263" s="667"/>
      <c r="L263" s="669" t="s">
        <v>2697</v>
      </c>
      <c r="M263" s="391"/>
      <c r="N263" s="495" t="str">
        <f t="shared" si="2"/>
        <v>이메일</v>
      </c>
      <c r="O263" s="495">
        <v>0.0</v>
      </c>
      <c r="P263" s="495">
        <v>1.0</v>
      </c>
      <c r="Q263" s="495">
        <v>0.0</v>
      </c>
      <c r="R263" s="474">
        <v>46108.0</v>
      </c>
      <c r="S263" s="474"/>
      <c r="T263" s="474"/>
      <c r="U263" s="474"/>
      <c r="V263" s="474"/>
      <c r="W263" s="474"/>
      <c r="X263" s="474"/>
      <c r="Y263" s="476"/>
      <c r="Z263" s="476"/>
      <c r="AA263" s="477"/>
    </row>
    <row r="264">
      <c r="A264" s="491">
        <v>263.0</v>
      </c>
      <c r="B264" s="612" t="s">
        <v>20</v>
      </c>
      <c r="C264" s="400" t="s">
        <v>2691</v>
      </c>
      <c r="D264" s="666" t="s">
        <v>842</v>
      </c>
      <c r="E264" s="647" t="s">
        <v>2698</v>
      </c>
      <c r="F264" s="647" t="s">
        <v>2699</v>
      </c>
      <c r="G264" s="402" t="s">
        <v>44</v>
      </c>
      <c r="H264" s="400" t="s">
        <v>64</v>
      </c>
      <c r="I264" s="402" t="s">
        <v>992</v>
      </c>
      <c r="J264" s="649" t="s">
        <v>2700</v>
      </c>
      <c r="K264" s="649" t="s">
        <v>2701</v>
      </c>
      <c r="L264" s="669" t="s">
        <v>2702</v>
      </c>
      <c r="M264" s="391"/>
      <c r="N264" s="495" t="str">
        <f t="shared" si="2"/>
        <v>DM+이메일</v>
      </c>
      <c r="O264" s="495">
        <v>1.0</v>
      </c>
      <c r="P264" s="495">
        <v>1.0</v>
      </c>
      <c r="Q264" s="495">
        <v>0.0</v>
      </c>
      <c r="R264" s="474">
        <v>46108.0</v>
      </c>
      <c r="S264" s="474"/>
      <c r="T264" s="474"/>
      <c r="U264" s="474"/>
      <c r="V264" s="474"/>
      <c r="W264" s="474"/>
      <c r="X264" s="474"/>
      <c r="Y264" s="476"/>
      <c r="Z264" s="476"/>
      <c r="AA264" s="477"/>
    </row>
    <row r="265">
      <c r="A265" s="491">
        <v>264.0</v>
      </c>
      <c r="B265" s="612" t="s">
        <v>20</v>
      </c>
      <c r="C265" s="400" t="s">
        <v>2691</v>
      </c>
      <c r="D265" s="666" t="s">
        <v>842</v>
      </c>
      <c r="E265" s="647" t="s">
        <v>1072</v>
      </c>
      <c r="F265" s="647" t="s">
        <v>2703</v>
      </c>
      <c r="G265" s="402" t="s">
        <v>44</v>
      </c>
      <c r="H265" s="400" t="s">
        <v>64</v>
      </c>
      <c r="I265" s="402" t="s">
        <v>535</v>
      </c>
      <c r="J265" s="679" t="s">
        <v>2704</v>
      </c>
      <c r="K265" s="667"/>
      <c r="L265" s="669" t="s">
        <v>2705</v>
      </c>
      <c r="M265" s="391"/>
      <c r="N265" s="495" t="str">
        <f t="shared" si="2"/>
        <v>이메일</v>
      </c>
      <c r="O265" s="495">
        <v>0.0</v>
      </c>
      <c r="P265" s="495">
        <v>1.0</v>
      </c>
      <c r="Q265" s="495">
        <v>0.0</v>
      </c>
      <c r="R265" s="474">
        <v>46108.0</v>
      </c>
      <c r="S265" s="495" t="s">
        <v>2</v>
      </c>
      <c r="T265" s="474"/>
      <c r="U265" s="474"/>
      <c r="V265" s="474"/>
      <c r="W265" s="474"/>
      <c r="X265" s="474"/>
      <c r="Y265" s="495" t="s">
        <v>2617</v>
      </c>
      <c r="Z265" s="476"/>
      <c r="AA265" s="477"/>
    </row>
    <row r="266">
      <c r="A266" s="538">
        <v>265.0</v>
      </c>
      <c r="B266" s="616" t="s">
        <v>20</v>
      </c>
      <c r="C266" s="567"/>
      <c r="D266" s="672" t="s">
        <v>2706</v>
      </c>
      <c r="E266" s="572"/>
      <c r="F266" s="557" t="s">
        <v>2707</v>
      </c>
      <c r="G266" s="673" t="s">
        <v>2708</v>
      </c>
      <c r="H266" s="674" t="s">
        <v>106</v>
      </c>
      <c r="I266" s="567"/>
      <c r="J266" s="407" t="s">
        <v>2709</v>
      </c>
      <c r="K266" s="407" t="s">
        <v>2710</v>
      </c>
      <c r="L266" s="675"/>
      <c r="M266" s="570" t="s">
        <v>2711</v>
      </c>
      <c r="N266" s="545" t="str">
        <f t="shared" si="2"/>
        <v>DM</v>
      </c>
      <c r="O266" s="545">
        <v>1.0</v>
      </c>
      <c r="P266" s="545">
        <v>0.0</v>
      </c>
      <c r="Q266" s="545">
        <v>0.0</v>
      </c>
      <c r="R266" s="549">
        <v>46108.0</v>
      </c>
      <c r="S266" s="549"/>
      <c r="T266" s="549"/>
      <c r="U266" s="549"/>
      <c r="V266" s="549"/>
      <c r="W266" s="549"/>
      <c r="X266" s="549"/>
      <c r="Y266" s="548"/>
      <c r="Z266" s="548"/>
    </row>
    <row r="267">
      <c r="A267" s="538">
        <v>266.0</v>
      </c>
      <c r="B267" s="616" t="s">
        <v>20</v>
      </c>
      <c r="C267" s="567"/>
      <c r="D267" s="672" t="s">
        <v>435</v>
      </c>
      <c r="E267" s="557" t="s">
        <v>146</v>
      </c>
      <c r="F267" s="573" t="s">
        <v>824</v>
      </c>
      <c r="G267" s="673" t="s">
        <v>1755</v>
      </c>
      <c r="H267" s="674" t="s">
        <v>64</v>
      </c>
      <c r="I267" s="567"/>
      <c r="J267" s="564"/>
      <c r="K267" s="407" t="s">
        <v>2712</v>
      </c>
      <c r="L267" s="675"/>
      <c r="M267" s="567"/>
      <c r="N267" s="545" t="str">
        <f t="shared" si="2"/>
        <v>DM</v>
      </c>
      <c r="O267" s="545">
        <v>1.0</v>
      </c>
      <c r="P267" s="545">
        <v>0.0</v>
      </c>
      <c r="Q267" s="545">
        <v>0.0</v>
      </c>
      <c r="R267" s="549">
        <v>46108.0</v>
      </c>
      <c r="S267" s="549"/>
      <c r="T267" s="549"/>
      <c r="U267" s="549"/>
      <c r="V267" s="549"/>
      <c r="W267" s="549"/>
      <c r="X267" s="549"/>
      <c r="Y267" s="548"/>
      <c r="Z267" s="548"/>
    </row>
    <row r="268">
      <c r="A268" s="538">
        <v>267.0</v>
      </c>
      <c r="B268" s="539" t="s">
        <v>23</v>
      </c>
      <c r="C268" s="567"/>
      <c r="D268" s="672" t="s">
        <v>2713</v>
      </c>
      <c r="E268" s="557" t="s">
        <v>332</v>
      </c>
      <c r="F268" s="557" t="s">
        <v>2714</v>
      </c>
      <c r="G268" s="673" t="s">
        <v>486</v>
      </c>
      <c r="H268" s="674" t="s">
        <v>64</v>
      </c>
      <c r="I268" s="673" t="s">
        <v>1044</v>
      </c>
      <c r="J268" s="564"/>
      <c r="K268" s="560" t="s">
        <v>2715</v>
      </c>
      <c r="L268" s="675"/>
      <c r="M268" s="567"/>
      <c r="N268" s="545" t="str">
        <f t="shared" si="2"/>
        <v>DM</v>
      </c>
      <c r="O268" s="545">
        <v>1.0</v>
      </c>
      <c r="P268" s="545">
        <v>0.0</v>
      </c>
      <c r="Q268" s="545">
        <v>0.0</v>
      </c>
      <c r="R268" s="549">
        <v>46108.0</v>
      </c>
      <c r="S268" s="545" t="s">
        <v>25</v>
      </c>
      <c r="T268" s="549"/>
      <c r="U268" s="549"/>
      <c r="V268" s="549"/>
      <c r="W268" s="549"/>
      <c r="X268" s="549"/>
      <c r="Y268" s="548"/>
      <c r="Z268" s="548"/>
    </row>
    <row r="269">
      <c r="A269" s="491">
        <v>268.0</v>
      </c>
      <c r="B269" s="612" t="s">
        <v>20</v>
      </c>
      <c r="C269" s="391"/>
      <c r="D269" s="666" t="s">
        <v>713</v>
      </c>
      <c r="E269" s="647" t="s">
        <v>1063</v>
      </c>
      <c r="F269" s="647" t="s">
        <v>2716</v>
      </c>
      <c r="G269" s="402" t="s">
        <v>44</v>
      </c>
      <c r="H269" s="400" t="s">
        <v>64</v>
      </c>
      <c r="I269" s="402" t="s">
        <v>1150</v>
      </c>
      <c r="J269" s="649" t="s">
        <v>2717</v>
      </c>
      <c r="K269" s="667"/>
      <c r="L269" s="669" t="s">
        <v>2718</v>
      </c>
      <c r="M269" s="391"/>
      <c r="N269" s="495" t="str">
        <f t="shared" si="2"/>
        <v>이메일</v>
      </c>
      <c r="O269" s="495">
        <v>0.0</v>
      </c>
      <c r="P269" s="495">
        <v>1.0</v>
      </c>
      <c r="Q269" s="495">
        <v>0.0</v>
      </c>
      <c r="R269" s="474">
        <v>46108.0</v>
      </c>
      <c r="S269" s="474"/>
      <c r="T269" s="474"/>
      <c r="U269" s="474"/>
      <c r="V269" s="474"/>
      <c r="W269" s="474"/>
      <c r="X269" s="474"/>
      <c r="Y269" s="476"/>
      <c r="Z269" s="476"/>
      <c r="AA269" s="477"/>
    </row>
    <row r="270">
      <c r="A270" s="538">
        <v>269.0</v>
      </c>
      <c r="B270" s="616" t="s">
        <v>20</v>
      </c>
      <c r="C270" s="567"/>
      <c r="D270" s="672" t="s">
        <v>787</v>
      </c>
      <c r="E270" s="557" t="s">
        <v>69</v>
      </c>
      <c r="F270" s="557" t="s">
        <v>2719</v>
      </c>
      <c r="G270" s="673" t="s">
        <v>44</v>
      </c>
      <c r="H270" s="674" t="s">
        <v>106</v>
      </c>
      <c r="I270" s="567"/>
      <c r="J270" s="560" t="s">
        <v>2720</v>
      </c>
      <c r="K270" s="564"/>
      <c r="L270" s="675"/>
      <c r="M270" s="567"/>
      <c r="N270" s="545" t="str">
        <f t="shared" si="2"/>
        <v/>
      </c>
      <c r="O270" s="545">
        <v>0.0</v>
      </c>
      <c r="P270" s="545">
        <v>0.0</v>
      </c>
      <c r="Q270" s="545">
        <v>0.0</v>
      </c>
      <c r="R270" s="549">
        <v>46108.0</v>
      </c>
      <c r="S270" s="549"/>
      <c r="T270" s="549"/>
      <c r="U270" s="549"/>
      <c r="V270" s="549"/>
      <c r="W270" s="549"/>
      <c r="X270" s="549"/>
      <c r="Y270" s="548"/>
      <c r="Z270" s="548"/>
    </row>
    <row r="271">
      <c r="A271" s="491">
        <v>270.0</v>
      </c>
      <c r="B271" s="612" t="s">
        <v>20</v>
      </c>
      <c r="C271" s="391"/>
      <c r="D271" s="666" t="s">
        <v>2311</v>
      </c>
      <c r="E271" s="647" t="s">
        <v>69</v>
      </c>
      <c r="F271" s="647" t="s">
        <v>2721</v>
      </c>
      <c r="G271" s="402" t="s">
        <v>44</v>
      </c>
      <c r="H271" s="400" t="s">
        <v>64</v>
      </c>
      <c r="I271" s="402" t="s">
        <v>125</v>
      </c>
      <c r="J271" s="649" t="s">
        <v>2722</v>
      </c>
      <c r="K271" s="667"/>
      <c r="L271" s="649" t="s">
        <v>3537</v>
      </c>
      <c r="M271" s="391"/>
      <c r="N271" s="495" t="str">
        <f t="shared" si="2"/>
        <v>이메일</v>
      </c>
      <c r="O271" s="495">
        <v>0.0</v>
      </c>
      <c r="P271" s="495">
        <v>1.0</v>
      </c>
      <c r="Q271" s="495">
        <v>0.0</v>
      </c>
      <c r="R271" s="474">
        <v>46108.0</v>
      </c>
      <c r="S271" s="474"/>
      <c r="T271" s="474"/>
      <c r="U271" s="474"/>
      <c r="V271" s="474"/>
      <c r="W271" s="474"/>
      <c r="X271" s="474"/>
      <c r="Y271" s="476"/>
      <c r="Z271" s="476"/>
      <c r="AA271" s="477"/>
    </row>
    <row r="272">
      <c r="A272" s="491">
        <v>271.0</v>
      </c>
      <c r="B272" s="612" t="s">
        <v>20</v>
      </c>
      <c r="C272" s="391"/>
      <c r="D272" s="666" t="s">
        <v>1604</v>
      </c>
      <c r="E272" s="647" t="s">
        <v>109</v>
      </c>
      <c r="F272" s="647" t="s">
        <v>2724</v>
      </c>
      <c r="G272" s="402" t="s">
        <v>44</v>
      </c>
      <c r="H272" s="400" t="s">
        <v>106</v>
      </c>
      <c r="I272" s="391"/>
      <c r="J272" s="649" t="s">
        <v>2725</v>
      </c>
      <c r="K272" s="667"/>
      <c r="L272" s="669" t="s">
        <v>2726</v>
      </c>
      <c r="M272" s="391"/>
      <c r="N272" s="495" t="str">
        <f t="shared" si="2"/>
        <v>이메일</v>
      </c>
      <c r="O272" s="495">
        <v>0.0</v>
      </c>
      <c r="P272" s="495">
        <v>1.0</v>
      </c>
      <c r="Q272" s="495">
        <v>0.0</v>
      </c>
      <c r="R272" s="474">
        <v>46108.0</v>
      </c>
      <c r="S272" s="474"/>
      <c r="T272" s="474"/>
      <c r="U272" s="474"/>
      <c r="V272" s="474"/>
      <c r="W272" s="474"/>
      <c r="X272" s="474"/>
      <c r="Y272" s="476"/>
      <c r="Z272" s="476"/>
      <c r="AA272" s="477"/>
    </row>
    <row r="273">
      <c r="A273" s="491">
        <v>272.0</v>
      </c>
      <c r="B273" s="612" t="s">
        <v>20</v>
      </c>
      <c r="C273" s="391"/>
      <c r="D273" s="666" t="s">
        <v>2727</v>
      </c>
      <c r="E273" s="647" t="s">
        <v>109</v>
      </c>
      <c r="F273" s="647" t="s">
        <v>2728</v>
      </c>
      <c r="G273" s="402" t="s">
        <v>44</v>
      </c>
      <c r="H273" s="400" t="s">
        <v>2729</v>
      </c>
      <c r="I273" s="391"/>
      <c r="J273" s="649" t="s">
        <v>2730</v>
      </c>
      <c r="K273" s="667"/>
      <c r="L273" s="669" t="s">
        <v>2731</v>
      </c>
      <c r="M273" s="391"/>
      <c r="N273" s="495" t="str">
        <f t="shared" si="2"/>
        <v>이메일</v>
      </c>
      <c r="O273" s="495">
        <v>0.0</v>
      </c>
      <c r="P273" s="495">
        <v>1.0</v>
      </c>
      <c r="Q273" s="495">
        <v>0.0</v>
      </c>
      <c r="R273" s="474">
        <v>46108.0</v>
      </c>
      <c r="S273" s="474"/>
      <c r="T273" s="474"/>
      <c r="U273" s="474"/>
      <c r="V273" s="474"/>
      <c r="W273" s="474"/>
      <c r="X273" s="474"/>
      <c r="Y273" s="476"/>
      <c r="Z273" s="476"/>
      <c r="AA273" s="477"/>
    </row>
    <row r="274">
      <c r="A274" s="491">
        <v>273.0</v>
      </c>
      <c r="B274" s="612" t="s">
        <v>20</v>
      </c>
      <c r="C274" s="391"/>
      <c r="D274" s="666" t="s">
        <v>2732</v>
      </c>
      <c r="E274" s="647" t="s">
        <v>531</v>
      </c>
      <c r="F274" s="647" t="s">
        <v>2733</v>
      </c>
      <c r="G274" s="402" t="s">
        <v>44</v>
      </c>
      <c r="H274" s="400" t="s">
        <v>106</v>
      </c>
      <c r="I274" s="391"/>
      <c r="J274" s="649" t="s">
        <v>2734</v>
      </c>
      <c r="K274" s="649" t="s">
        <v>2735</v>
      </c>
      <c r="L274" s="669" t="s">
        <v>2736</v>
      </c>
      <c r="M274" s="670" t="s">
        <v>2737</v>
      </c>
      <c r="N274" s="495" t="str">
        <f t="shared" si="2"/>
        <v>DM+이메일</v>
      </c>
      <c r="O274" s="495">
        <v>1.0</v>
      </c>
      <c r="P274" s="495">
        <v>1.0</v>
      </c>
      <c r="Q274" s="495">
        <v>0.0</v>
      </c>
      <c r="R274" s="474">
        <v>46108.0</v>
      </c>
      <c r="S274" s="474"/>
      <c r="T274" s="474"/>
      <c r="U274" s="474"/>
      <c r="V274" s="474"/>
      <c r="W274" s="474"/>
      <c r="X274" s="474"/>
      <c r="Y274" s="476"/>
      <c r="Z274" s="476"/>
      <c r="AA274" s="477"/>
    </row>
    <row r="275">
      <c r="A275" s="491">
        <v>274.0</v>
      </c>
      <c r="B275" s="612" t="s">
        <v>20</v>
      </c>
      <c r="C275" s="391"/>
      <c r="D275" s="666" t="s">
        <v>2738</v>
      </c>
      <c r="E275" s="647" t="s">
        <v>332</v>
      </c>
      <c r="F275" s="647" t="s">
        <v>2739</v>
      </c>
      <c r="G275" s="402" t="s">
        <v>1271</v>
      </c>
      <c r="H275" s="400" t="s">
        <v>64</v>
      </c>
      <c r="I275" s="402" t="s">
        <v>657</v>
      </c>
      <c r="J275" s="649" t="s">
        <v>2740</v>
      </c>
      <c r="K275" s="649" t="s">
        <v>2741</v>
      </c>
      <c r="L275" s="677"/>
      <c r="M275" s="678" t="s">
        <v>2742</v>
      </c>
      <c r="N275" s="495" t="str">
        <f t="shared" si="2"/>
        <v>DM+이메일</v>
      </c>
      <c r="O275" s="495">
        <v>1.0</v>
      </c>
      <c r="P275" s="495">
        <v>1.0</v>
      </c>
      <c r="Q275" s="495">
        <v>0.0</v>
      </c>
      <c r="R275" s="474">
        <v>46108.0</v>
      </c>
      <c r="S275" s="474"/>
      <c r="T275" s="474"/>
      <c r="U275" s="474"/>
      <c r="V275" s="474"/>
      <c r="W275" s="474"/>
      <c r="X275" s="474"/>
      <c r="Y275" s="476"/>
      <c r="Z275" s="476"/>
      <c r="AA275" s="477"/>
    </row>
    <row r="276">
      <c r="A276" s="538">
        <v>275.0</v>
      </c>
      <c r="B276" s="616" t="s">
        <v>20</v>
      </c>
      <c r="C276" s="680" t="s">
        <v>2743</v>
      </c>
      <c r="D276" s="672" t="s">
        <v>294</v>
      </c>
      <c r="E276" s="557" t="s">
        <v>1110</v>
      </c>
      <c r="F276" s="557" t="s">
        <v>2744</v>
      </c>
      <c r="G276" s="673" t="s">
        <v>1271</v>
      </c>
      <c r="H276" s="674" t="s">
        <v>106</v>
      </c>
      <c r="I276" s="673" t="s">
        <v>2745</v>
      </c>
      <c r="J276" s="560" t="s">
        <v>2746</v>
      </c>
      <c r="K276" s="560" t="s">
        <v>2747</v>
      </c>
      <c r="L276" s="568" t="s">
        <v>2748</v>
      </c>
      <c r="M276" s="570" t="s">
        <v>2749</v>
      </c>
      <c r="N276" s="545" t="str">
        <f t="shared" si="2"/>
        <v>DM</v>
      </c>
      <c r="O276" s="545">
        <v>1.0</v>
      </c>
      <c r="P276" s="545">
        <v>0.0</v>
      </c>
      <c r="Q276" s="545">
        <v>0.0</v>
      </c>
      <c r="R276" s="549">
        <v>46108.0</v>
      </c>
      <c r="S276" s="549"/>
      <c r="T276" s="549"/>
      <c r="U276" s="549"/>
      <c r="V276" s="549"/>
      <c r="W276" s="549"/>
      <c r="X276" s="549"/>
      <c r="Y276" s="548"/>
      <c r="Z276" s="548"/>
    </row>
    <row r="277">
      <c r="A277" s="538">
        <v>276.0</v>
      </c>
      <c r="B277" s="616" t="s">
        <v>20</v>
      </c>
      <c r="C277" s="674" t="s">
        <v>2750</v>
      </c>
      <c r="D277" s="672" t="s">
        <v>2751</v>
      </c>
      <c r="E277" s="557" t="s">
        <v>494</v>
      </c>
      <c r="F277" s="557" t="s">
        <v>2752</v>
      </c>
      <c r="G277" s="673" t="s">
        <v>44</v>
      </c>
      <c r="H277" s="674" t="s">
        <v>64</v>
      </c>
      <c r="I277" s="673" t="s">
        <v>648</v>
      </c>
      <c r="J277" s="560" t="s">
        <v>2753</v>
      </c>
      <c r="K277" s="560" t="s">
        <v>2754</v>
      </c>
      <c r="L277" s="560" t="s">
        <v>2755</v>
      </c>
      <c r="M277" s="567"/>
      <c r="N277" s="545" t="str">
        <f t="shared" si="2"/>
        <v>DM</v>
      </c>
      <c r="O277" s="545">
        <v>1.0</v>
      </c>
      <c r="P277" s="545">
        <v>0.0</v>
      </c>
      <c r="Q277" s="545">
        <v>0.0</v>
      </c>
      <c r="R277" s="549">
        <v>46108.0</v>
      </c>
      <c r="S277" s="549"/>
      <c r="T277" s="549"/>
      <c r="U277" s="549"/>
      <c r="V277" s="549"/>
      <c r="W277" s="549"/>
      <c r="X277" s="549"/>
      <c r="Y277" s="548"/>
      <c r="Z277" s="548"/>
    </row>
    <row r="278">
      <c r="A278" s="538">
        <v>277.0</v>
      </c>
      <c r="B278" s="616" t="s">
        <v>20</v>
      </c>
      <c r="C278" s="674" t="s">
        <v>2756</v>
      </c>
      <c r="D278" s="672" t="s">
        <v>2757</v>
      </c>
      <c r="E278" s="557" t="s">
        <v>1072</v>
      </c>
      <c r="F278" s="557" t="s">
        <v>2758</v>
      </c>
      <c r="G278" s="673" t="s">
        <v>44</v>
      </c>
      <c r="H278" s="674" t="s">
        <v>64</v>
      </c>
      <c r="I278" s="673" t="s">
        <v>272</v>
      </c>
      <c r="J278" s="560" t="s">
        <v>2759</v>
      </c>
      <c r="K278" s="560" t="s">
        <v>2760</v>
      </c>
      <c r="L278" s="675"/>
      <c r="M278" s="567"/>
      <c r="N278" s="545" t="str">
        <f t="shared" si="2"/>
        <v>DM</v>
      </c>
      <c r="O278" s="545">
        <v>1.0</v>
      </c>
      <c r="P278" s="545">
        <v>0.0</v>
      </c>
      <c r="Q278" s="545">
        <v>0.0</v>
      </c>
      <c r="R278" s="549">
        <v>46108.0</v>
      </c>
      <c r="S278" s="549"/>
      <c r="T278" s="549"/>
      <c r="U278" s="549"/>
      <c r="V278" s="549"/>
      <c r="W278" s="549"/>
      <c r="X278" s="549"/>
      <c r="Y278" s="548"/>
      <c r="Z278" s="548"/>
    </row>
    <row r="279">
      <c r="A279" s="538">
        <v>278.0</v>
      </c>
      <c r="B279" s="616" t="s">
        <v>20</v>
      </c>
      <c r="C279" s="567"/>
      <c r="D279" s="672" t="s">
        <v>2761</v>
      </c>
      <c r="E279" s="557" t="s">
        <v>1494</v>
      </c>
      <c r="F279" s="557" t="s">
        <v>2762</v>
      </c>
      <c r="G279" s="673" t="s">
        <v>44</v>
      </c>
      <c r="H279" s="674" t="s">
        <v>64</v>
      </c>
      <c r="I279" s="673" t="s">
        <v>553</v>
      </c>
      <c r="J279" s="560" t="s">
        <v>2763</v>
      </c>
      <c r="K279" s="560" t="s">
        <v>2764</v>
      </c>
      <c r="L279" s="675"/>
      <c r="M279" s="570" t="s">
        <v>2765</v>
      </c>
      <c r="N279" s="545" t="str">
        <f t="shared" si="2"/>
        <v>DM</v>
      </c>
      <c r="O279" s="545">
        <v>1.0</v>
      </c>
      <c r="P279" s="545">
        <v>0.0</v>
      </c>
      <c r="Q279" s="546">
        <v>0.0</v>
      </c>
      <c r="R279" s="549">
        <v>46108.0</v>
      </c>
      <c r="S279" s="549"/>
      <c r="T279" s="549"/>
      <c r="U279" s="549"/>
      <c r="V279" s="549"/>
      <c r="W279" s="549"/>
      <c r="X279" s="549"/>
      <c r="Y279" s="548"/>
      <c r="Z279" s="548"/>
    </row>
    <row r="280">
      <c r="A280" s="538">
        <v>279.0</v>
      </c>
      <c r="B280" s="616" t="s">
        <v>20</v>
      </c>
      <c r="D280" s="681" t="s">
        <v>3538</v>
      </c>
      <c r="E280" s="574"/>
      <c r="F280" s="682" t="s">
        <v>3539</v>
      </c>
      <c r="G280" s="325"/>
      <c r="H280" s="325"/>
      <c r="I280" s="325"/>
      <c r="J280" s="575"/>
      <c r="K280" s="575"/>
      <c r="L280" s="683" t="s">
        <v>3540</v>
      </c>
      <c r="N280" s="217"/>
      <c r="O280" s="546">
        <v>0.0</v>
      </c>
      <c r="P280" s="545">
        <v>0.0</v>
      </c>
      <c r="Q280" s="546">
        <v>1.0</v>
      </c>
      <c r="R280" s="684">
        <v>46043.0</v>
      </c>
      <c r="S280" s="75"/>
      <c r="T280" s="684">
        <v>46045.0</v>
      </c>
      <c r="U280" s="144"/>
      <c r="V280" s="655"/>
      <c r="W280" s="144"/>
      <c r="X280" s="549"/>
    </row>
    <row r="281">
      <c r="A281" s="538">
        <v>280.0</v>
      </c>
      <c r="B281" s="539" t="s">
        <v>23</v>
      </c>
      <c r="D281" s="681" t="s">
        <v>3541</v>
      </c>
      <c r="E281" s="574"/>
      <c r="F281" s="685" t="s">
        <v>3542</v>
      </c>
      <c r="G281" s="325"/>
      <c r="H281" s="325"/>
      <c r="I281" s="325"/>
      <c r="J281" s="575"/>
      <c r="K281" s="575"/>
      <c r="L281" s="683" t="s">
        <v>3543</v>
      </c>
      <c r="M281" s="325"/>
      <c r="N281" s="122"/>
      <c r="O281" s="546">
        <v>0.0</v>
      </c>
      <c r="P281" s="545">
        <v>0.0</v>
      </c>
      <c r="Q281" s="546">
        <v>1.0</v>
      </c>
      <c r="R281" s="684">
        <v>46043.0</v>
      </c>
      <c r="S281" s="144" t="s">
        <v>25</v>
      </c>
      <c r="T281" s="655"/>
      <c r="U281" s="75"/>
      <c r="V281" s="655"/>
      <c r="W281" s="144"/>
      <c r="X281" s="549"/>
      <c r="Y281" s="325"/>
      <c r="Z281" s="681" t="s">
        <v>3544</v>
      </c>
    </row>
    <row r="282">
      <c r="A282" s="538">
        <v>281.0</v>
      </c>
      <c r="B282" s="616" t="s">
        <v>20</v>
      </c>
      <c r="D282" s="681" t="s">
        <v>3545</v>
      </c>
      <c r="E282" s="574"/>
      <c r="F282" s="682" t="s">
        <v>3546</v>
      </c>
      <c r="G282" s="325"/>
      <c r="H282" s="325"/>
      <c r="I282" s="325"/>
      <c r="J282" s="575"/>
      <c r="K282" s="575"/>
      <c r="L282" s="683" t="s">
        <v>3547</v>
      </c>
      <c r="N282" s="122"/>
      <c r="O282" s="546">
        <v>0.0</v>
      </c>
      <c r="P282" s="545">
        <v>0.0</v>
      </c>
      <c r="Q282" s="546">
        <v>1.0</v>
      </c>
      <c r="R282" s="684">
        <v>46043.0</v>
      </c>
      <c r="S282" s="75"/>
      <c r="T282" s="684">
        <v>46048.0</v>
      </c>
      <c r="U282" s="75"/>
      <c r="V282" s="655"/>
      <c r="W282" s="144"/>
      <c r="X282" s="549"/>
    </row>
    <row r="283">
      <c r="A283" s="538">
        <v>282.0</v>
      </c>
      <c r="B283" s="539" t="s">
        <v>23</v>
      </c>
      <c r="D283" s="681" t="s">
        <v>3548</v>
      </c>
      <c r="E283" s="574"/>
      <c r="F283" s="682" t="s">
        <v>3549</v>
      </c>
      <c r="G283" s="325"/>
      <c r="H283" s="325"/>
      <c r="I283" s="325"/>
      <c r="J283" s="575"/>
      <c r="K283" s="575"/>
      <c r="L283" s="683" t="s">
        <v>3550</v>
      </c>
      <c r="M283" s="325"/>
      <c r="N283" s="122"/>
      <c r="O283" s="546">
        <v>0.0</v>
      </c>
      <c r="P283" s="545">
        <v>0.0</v>
      </c>
      <c r="Q283" s="546">
        <v>0.0</v>
      </c>
      <c r="R283" s="684"/>
      <c r="S283" s="144" t="s">
        <v>25</v>
      </c>
      <c r="T283" s="655"/>
      <c r="U283" s="75"/>
      <c r="V283" s="655"/>
      <c r="W283" s="144"/>
      <c r="X283" s="549"/>
      <c r="Y283" s="325"/>
      <c r="Z283" s="681" t="s">
        <v>3544</v>
      </c>
    </row>
    <row r="284">
      <c r="A284" s="538">
        <v>283.0</v>
      </c>
      <c r="B284" s="616" t="s">
        <v>20</v>
      </c>
      <c r="D284" s="681" t="s">
        <v>3551</v>
      </c>
      <c r="E284" s="574"/>
      <c r="F284" s="682" t="s">
        <v>3552</v>
      </c>
      <c r="G284" s="325"/>
      <c r="H284" s="325"/>
      <c r="I284" s="325"/>
      <c r="J284" s="575"/>
      <c r="K284" s="575"/>
      <c r="L284" s="683" t="s">
        <v>3553</v>
      </c>
      <c r="N284" s="122"/>
      <c r="O284" s="546">
        <v>0.0</v>
      </c>
      <c r="P284" s="545">
        <v>0.0</v>
      </c>
      <c r="Q284" s="546">
        <v>1.0</v>
      </c>
      <c r="R284" s="684">
        <v>46043.0</v>
      </c>
      <c r="S284" s="75"/>
      <c r="T284" s="684">
        <v>46048.0</v>
      </c>
      <c r="U284" s="75"/>
      <c r="V284" s="655"/>
      <c r="W284" s="144"/>
      <c r="X284" s="549"/>
    </row>
    <row r="285">
      <c r="A285" s="538">
        <v>284.0</v>
      </c>
      <c r="B285" s="616" t="s">
        <v>20</v>
      </c>
      <c r="D285" s="681" t="s">
        <v>3554</v>
      </c>
      <c r="E285" s="574"/>
      <c r="F285" s="682" t="s">
        <v>3555</v>
      </c>
      <c r="G285" s="325"/>
      <c r="H285" s="325"/>
      <c r="I285" s="325"/>
      <c r="J285" s="575"/>
      <c r="K285" s="575"/>
      <c r="L285" s="683" t="s">
        <v>3556</v>
      </c>
      <c r="N285" s="122"/>
      <c r="O285" s="546">
        <v>0.0</v>
      </c>
      <c r="P285" s="545">
        <v>0.0</v>
      </c>
      <c r="Q285" s="546">
        <v>1.0</v>
      </c>
      <c r="R285" s="684">
        <v>46043.0</v>
      </c>
      <c r="S285" s="75"/>
      <c r="T285" s="684">
        <v>46048.0</v>
      </c>
      <c r="U285" s="75"/>
      <c r="V285" s="655"/>
      <c r="W285" s="144"/>
      <c r="X285" s="549"/>
    </row>
    <row r="286">
      <c r="A286" s="538">
        <v>285.0</v>
      </c>
      <c r="B286" s="616" t="s">
        <v>20</v>
      </c>
      <c r="D286" s="681" t="s">
        <v>3557</v>
      </c>
      <c r="E286" s="574"/>
      <c r="F286" s="682" t="s">
        <v>3558</v>
      </c>
      <c r="G286" s="325"/>
      <c r="H286" s="325"/>
      <c r="I286" s="325"/>
      <c r="J286" s="575"/>
      <c r="K286" s="575"/>
      <c r="L286" s="683" t="s">
        <v>3559</v>
      </c>
      <c r="N286" s="122"/>
      <c r="O286" s="546">
        <v>0.0</v>
      </c>
      <c r="P286" s="545">
        <v>0.0</v>
      </c>
      <c r="Q286" s="546">
        <v>1.0</v>
      </c>
      <c r="R286" s="684">
        <v>46043.0</v>
      </c>
      <c r="S286" s="75"/>
      <c r="T286" s="684">
        <v>46048.0</v>
      </c>
      <c r="U286" s="75"/>
      <c r="V286" s="655"/>
      <c r="W286" s="144"/>
      <c r="X286" s="549"/>
    </row>
    <row r="287">
      <c r="A287" s="538">
        <v>286.0</v>
      </c>
      <c r="B287" s="539" t="s">
        <v>23</v>
      </c>
      <c r="D287" s="681" t="s">
        <v>3557</v>
      </c>
      <c r="E287" s="574"/>
      <c r="F287" s="682" t="s">
        <v>3560</v>
      </c>
      <c r="G287" s="325"/>
      <c r="H287" s="325"/>
      <c r="I287" s="325"/>
      <c r="J287" s="575"/>
      <c r="K287" s="575"/>
      <c r="L287" s="683" t="s">
        <v>3561</v>
      </c>
      <c r="N287" s="122"/>
      <c r="O287" s="546">
        <v>0.0</v>
      </c>
      <c r="P287" s="545">
        <v>0.0</v>
      </c>
      <c r="Q287" s="546">
        <v>0.0</v>
      </c>
      <c r="R287" s="684"/>
      <c r="S287" s="75"/>
      <c r="T287" s="655"/>
      <c r="U287" s="75"/>
      <c r="V287" s="655"/>
      <c r="W287" s="144"/>
      <c r="X287" s="549"/>
    </row>
    <row r="288">
      <c r="A288" s="538">
        <v>287.0</v>
      </c>
      <c r="B288" s="616" t="s">
        <v>20</v>
      </c>
      <c r="D288" s="681" t="s">
        <v>3551</v>
      </c>
      <c r="E288" s="574"/>
      <c r="F288" s="685" t="s">
        <v>3562</v>
      </c>
      <c r="G288" s="325"/>
      <c r="H288" s="325"/>
      <c r="I288" s="325"/>
      <c r="J288" s="575"/>
      <c r="K288" s="575"/>
      <c r="L288" s="683" t="s">
        <v>3563</v>
      </c>
      <c r="M288" s="325"/>
      <c r="N288" s="122"/>
      <c r="O288" s="546">
        <v>0.0</v>
      </c>
      <c r="P288" s="545">
        <v>0.0</v>
      </c>
      <c r="Q288" s="546">
        <v>1.0</v>
      </c>
      <c r="R288" s="684">
        <v>46108.0</v>
      </c>
      <c r="S288" s="144" t="s">
        <v>2</v>
      </c>
      <c r="T288" s="684">
        <v>46048.0</v>
      </c>
      <c r="U288" s="75"/>
      <c r="V288" s="684"/>
      <c r="W288" s="144"/>
      <c r="X288" s="549"/>
      <c r="Y288" s="325"/>
      <c r="Z288" s="681" t="s">
        <v>3564</v>
      </c>
    </row>
    <row r="289">
      <c r="A289" s="538">
        <v>288.0</v>
      </c>
      <c r="B289" s="539" t="s">
        <v>23</v>
      </c>
      <c r="D289" s="681" t="s">
        <v>3551</v>
      </c>
      <c r="E289" s="574"/>
      <c r="F289" s="685" t="s">
        <v>3565</v>
      </c>
      <c r="G289" s="325"/>
      <c r="H289" s="325"/>
      <c r="I289" s="325"/>
      <c r="J289" s="575"/>
      <c r="K289" s="575"/>
      <c r="L289" s="683" t="s">
        <v>3566</v>
      </c>
      <c r="M289" s="325"/>
      <c r="N289" s="122"/>
      <c r="O289" s="546">
        <v>0.0</v>
      </c>
      <c r="P289" s="545">
        <v>0.0</v>
      </c>
      <c r="Q289" s="546">
        <v>1.0</v>
      </c>
      <c r="R289" s="684">
        <v>46043.0</v>
      </c>
      <c r="S289" s="144" t="s">
        <v>25</v>
      </c>
      <c r="T289" s="655"/>
      <c r="U289" s="75"/>
      <c r="V289" s="655"/>
      <c r="W289" s="144"/>
      <c r="X289" s="549"/>
      <c r="Y289" s="325"/>
      <c r="Z289" s="681" t="s">
        <v>3567</v>
      </c>
    </row>
    <row r="290">
      <c r="A290" s="538">
        <v>289.0</v>
      </c>
      <c r="B290" s="616" t="s">
        <v>20</v>
      </c>
      <c r="D290" s="681" t="s">
        <v>3568</v>
      </c>
      <c r="E290" s="574"/>
      <c r="F290" s="682" t="s">
        <v>3569</v>
      </c>
      <c r="G290" s="325"/>
      <c r="H290" s="325"/>
      <c r="I290" s="325"/>
      <c r="J290" s="575"/>
      <c r="K290" s="575"/>
      <c r="L290" s="683" t="s">
        <v>3570</v>
      </c>
      <c r="N290" s="122"/>
      <c r="O290" s="546">
        <v>0.0</v>
      </c>
      <c r="P290" s="545">
        <v>0.0</v>
      </c>
      <c r="Q290" s="546">
        <v>1.0</v>
      </c>
      <c r="R290" s="684">
        <v>46043.0</v>
      </c>
      <c r="S290" s="75"/>
      <c r="T290" s="684">
        <v>46048.0</v>
      </c>
      <c r="U290" s="75"/>
      <c r="V290" s="655"/>
      <c r="W290" s="144"/>
      <c r="X290" s="549"/>
    </row>
    <row r="291">
      <c r="A291" s="538">
        <v>290.0</v>
      </c>
      <c r="B291" s="616" t="s">
        <v>20</v>
      </c>
      <c r="D291" s="681" t="s">
        <v>3571</v>
      </c>
      <c r="E291" s="574"/>
      <c r="F291" s="682" t="s">
        <v>3572</v>
      </c>
      <c r="G291" s="325"/>
      <c r="H291" s="325"/>
      <c r="I291" s="325"/>
      <c r="J291" s="575"/>
      <c r="K291" s="575"/>
      <c r="L291" s="683" t="s">
        <v>3573</v>
      </c>
      <c r="N291" s="122"/>
      <c r="O291" s="546">
        <v>0.0</v>
      </c>
      <c r="P291" s="545">
        <v>0.0</v>
      </c>
      <c r="Q291" s="546">
        <v>0.0</v>
      </c>
      <c r="R291" s="684"/>
      <c r="S291" s="75"/>
      <c r="T291" s="655"/>
      <c r="U291" s="75"/>
      <c r="V291" s="655"/>
      <c r="W291" s="144"/>
      <c r="X291" s="549"/>
    </row>
    <row r="292">
      <c r="A292" s="538">
        <v>291.0</v>
      </c>
      <c r="B292" s="616" t="s">
        <v>20</v>
      </c>
      <c r="C292" s="415"/>
      <c r="D292" s="685" t="s">
        <v>2766</v>
      </c>
      <c r="E292" s="686" t="s">
        <v>109</v>
      </c>
      <c r="F292" s="686" t="s">
        <v>2767</v>
      </c>
      <c r="G292" s="687" t="s">
        <v>2444</v>
      </c>
      <c r="H292" s="688"/>
      <c r="I292" s="689"/>
      <c r="J292" s="690"/>
      <c r="K292" s="691"/>
      <c r="L292" s="414" t="s">
        <v>3574</v>
      </c>
      <c r="M292" s="421" t="s">
        <v>2771</v>
      </c>
      <c r="N292" s="122"/>
      <c r="O292" s="546">
        <v>0.0</v>
      </c>
      <c r="P292" s="545">
        <v>0.0</v>
      </c>
      <c r="Q292" s="546">
        <v>0.0</v>
      </c>
      <c r="R292" s="655"/>
      <c r="S292" s="75"/>
      <c r="T292" s="655"/>
      <c r="U292" s="75"/>
      <c r="V292" s="655"/>
      <c r="W292" s="144"/>
      <c r="X292" s="549"/>
    </row>
    <row r="293">
      <c r="A293" s="538">
        <v>292.0</v>
      </c>
      <c r="B293" s="70" t="s">
        <v>24</v>
      </c>
      <c r="C293" s="415"/>
      <c r="D293" s="685" t="s">
        <v>2769</v>
      </c>
      <c r="E293" s="686" t="s">
        <v>109</v>
      </c>
      <c r="F293" s="686" t="s">
        <v>2770</v>
      </c>
      <c r="G293" s="687" t="s">
        <v>115</v>
      </c>
      <c r="H293" s="688"/>
      <c r="I293" s="689"/>
      <c r="J293" s="690"/>
      <c r="K293" s="691"/>
      <c r="L293" s="414" t="s">
        <v>3575</v>
      </c>
      <c r="M293" s="415"/>
      <c r="N293" s="217" t="s">
        <v>3576</v>
      </c>
      <c r="O293" s="546">
        <v>0.0</v>
      </c>
      <c r="P293" s="545">
        <v>0.0</v>
      </c>
      <c r="Q293" s="546">
        <v>0.0</v>
      </c>
      <c r="R293" s="655"/>
      <c r="S293" s="75"/>
      <c r="T293" s="655"/>
      <c r="U293" s="75"/>
      <c r="V293" s="655"/>
      <c r="W293" s="144"/>
      <c r="X293" s="549"/>
    </row>
    <row r="294">
      <c r="A294" s="538" t="s">
        <v>3511</v>
      </c>
      <c r="D294" s="692"/>
      <c r="E294" s="574"/>
      <c r="F294" s="574"/>
      <c r="G294" s="574"/>
      <c r="H294" s="574"/>
      <c r="I294" s="574"/>
      <c r="J294" s="576"/>
      <c r="K294" s="576"/>
      <c r="L294" s="683"/>
      <c r="N294" s="122"/>
      <c r="O294" s="546">
        <v>0.0</v>
      </c>
      <c r="P294" s="545">
        <v>0.0</v>
      </c>
      <c r="Q294" s="546">
        <v>0.0</v>
      </c>
      <c r="R294" s="655"/>
      <c r="S294" s="75"/>
      <c r="T294" s="655"/>
      <c r="U294" s="75"/>
      <c r="V294" s="655"/>
      <c r="W294" s="144"/>
      <c r="X294" s="549"/>
    </row>
    <row r="295">
      <c r="A295" s="538" t="s">
        <v>3511</v>
      </c>
      <c r="D295" s="692"/>
      <c r="E295" s="574"/>
      <c r="F295" s="574"/>
      <c r="G295" s="574"/>
      <c r="H295" s="574"/>
      <c r="I295" s="574"/>
      <c r="J295" s="576"/>
      <c r="K295" s="576"/>
      <c r="L295" s="683"/>
      <c r="N295" s="122"/>
      <c r="O295" s="546">
        <v>0.0</v>
      </c>
      <c r="P295" s="545">
        <v>0.0</v>
      </c>
      <c r="Q295" s="546">
        <v>0.0</v>
      </c>
      <c r="R295" s="655"/>
      <c r="S295" s="75"/>
      <c r="T295" s="655"/>
      <c r="U295" s="75"/>
      <c r="V295" s="655"/>
      <c r="W295" s="144"/>
      <c r="X295" s="549"/>
    </row>
    <row r="296">
      <c r="A296" s="538" t="s">
        <v>3511</v>
      </c>
      <c r="D296" s="692"/>
      <c r="E296" s="574"/>
      <c r="F296" s="574"/>
      <c r="G296" s="574"/>
      <c r="H296" s="574"/>
      <c r="I296" s="574"/>
      <c r="J296" s="576"/>
      <c r="K296" s="576"/>
      <c r="L296" s="683"/>
      <c r="N296" s="122"/>
      <c r="O296" s="546">
        <v>0.0</v>
      </c>
      <c r="P296" s="545">
        <v>0.0</v>
      </c>
      <c r="Q296" s="546">
        <v>0.0</v>
      </c>
      <c r="R296" s="655"/>
      <c r="S296" s="75"/>
      <c r="T296" s="655"/>
      <c r="U296" s="75"/>
      <c r="V296" s="655"/>
      <c r="W296" s="144"/>
      <c r="X296" s="549"/>
    </row>
    <row r="297">
      <c r="A297" s="538" t="s">
        <v>3511</v>
      </c>
      <c r="D297" s="692"/>
      <c r="E297" s="574"/>
      <c r="F297" s="574"/>
      <c r="G297" s="574"/>
      <c r="H297" s="574"/>
      <c r="I297" s="574"/>
      <c r="J297" s="576"/>
      <c r="K297" s="576"/>
      <c r="L297" s="683"/>
      <c r="N297" s="122"/>
      <c r="O297" s="546">
        <v>0.0</v>
      </c>
      <c r="P297" s="545">
        <v>0.0</v>
      </c>
      <c r="Q297" s="546">
        <v>0.0</v>
      </c>
      <c r="R297" s="655"/>
      <c r="S297" s="75"/>
      <c r="T297" s="655"/>
      <c r="U297" s="75"/>
      <c r="V297" s="655"/>
      <c r="W297" s="144"/>
      <c r="X297" s="549"/>
    </row>
    <row r="298">
      <c r="A298" s="538" t="s">
        <v>3511</v>
      </c>
      <c r="D298" s="692"/>
      <c r="E298" s="574"/>
      <c r="F298" s="574"/>
      <c r="G298" s="574"/>
      <c r="H298" s="574"/>
      <c r="I298" s="574"/>
      <c r="J298" s="576"/>
      <c r="K298" s="576"/>
      <c r="L298" s="683"/>
      <c r="N298" s="122"/>
      <c r="O298" s="546">
        <v>0.0</v>
      </c>
      <c r="P298" s="545">
        <v>0.0</v>
      </c>
      <c r="Q298" s="546">
        <v>0.0</v>
      </c>
      <c r="R298" s="655"/>
      <c r="S298" s="75"/>
      <c r="T298" s="655"/>
      <c r="U298" s="75"/>
      <c r="V298" s="655"/>
      <c r="W298" s="144"/>
      <c r="X298" s="549"/>
    </row>
    <row r="299">
      <c r="A299" s="538" t="s">
        <v>3511</v>
      </c>
      <c r="D299" s="692"/>
      <c r="E299" s="574"/>
      <c r="F299" s="574"/>
      <c r="G299" s="574"/>
      <c r="H299" s="574"/>
      <c r="I299" s="574"/>
      <c r="J299" s="576"/>
      <c r="K299" s="576"/>
      <c r="L299" s="683"/>
      <c r="N299" s="122"/>
      <c r="O299" s="546">
        <v>0.0</v>
      </c>
      <c r="P299" s="545">
        <v>0.0</v>
      </c>
      <c r="Q299" s="546">
        <v>0.0</v>
      </c>
      <c r="R299" s="655"/>
      <c r="S299" s="75"/>
      <c r="T299" s="655"/>
      <c r="U299" s="75"/>
      <c r="V299" s="655"/>
      <c r="W299" s="144"/>
      <c r="X299" s="549"/>
    </row>
    <row r="300">
      <c r="A300" s="538" t="s">
        <v>3511</v>
      </c>
      <c r="D300" s="692"/>
      <c r="E300" s="574"/>
      <c r="F300" s="574"/>
      <c r="G300" s="574"/>
      <c r="H300" s="574"/>
      <c r="I300" s="574"/>
      <c r="J300" s="576"/>
      <c r="K300" s="576"/>
      <c r="L300" s="683"/>
      <c r="N300" s="122"/>
      <c r="O300" s="546">
        <v>0.0</v>
      </c>
      <c r="P300" s="545">
        <v>0.0</v>
      </c>
      <c r="Q300" s="546">
        <v>0.0</v>
      </c>
      <c r="R300" s="655"/>
      <c r="S300" s="75"/>
      <c r="T300" s="655"/>
      <c r="U300" s="75"/>
      <c r="V300" s="655"/>
      <c r="W300" s="144"/>
      <c r="X300" s="549"/>
    </row>
    <row r="301">
      <c r="A301" s="538" t="s">
        <v>3511</v>
      </c>
      <c r="D301" s="692"/>
      <c r="E301" s="574"/>
      <c r="F301" s="574"/>
      <c r="G301" s="574"/>
      <c r="H301" s="574"/>
      <c r="I301" s="574"/>
      <c r="J301" s="576"/>
      <c r="K301" s="576"/>
      <c r="L301" s="683"/>
      <c r="N301" s="122"/>
      <c r="O301" s="546">
        <v>0.0</v>
      </c>
      <c r="P301" s="545">
        <v>0.0</v>
      </c>
      <c r="Q301" s="546">
        <v>0.0</v>
      </c>
      <c r="R301" s="655"/>
      <c r="S301" s="75"/>
      <c r="T301" s="655"/>
      <c r="U301" s="75"/>
      <c r="V301" s="655"/>
      <c r="W301" s="144"/>
      <c r="X301" s="549"/>
    </row>
    <row r="302">
      <c r="A302" s="538" t="s">
        <v>3511</v>
      </c>
      <c r="D302" s="692"/>
      <c r="E302" s="574"/>
      <c r="F302" s="574"/>
      <c r="G302" s="574"/>
      <c r="H302" s="574"/>
      <c r="I302" s="574"/>
      <c r="J302" s="576"/>
      <c r="K302" s="576"/>
      <c r="L302" s="683"/>
      <c r="N302" s="122"/>
      <c r="O302" s="546">
        <v>0.0</v>
      </c>
      <c r="P302" s="545">
        <v>0.0</v>
      </c>
      <c r="Q302" s="546">
        <v>0.0</v>
      </c>
      <c r="R302" s="655"/>
      <c r="S302" s="75"/>
      <c r="T302" s="655"/>
      <c r="U302" s="75"/>
      <c r="V302" s="655"/>
      <c r="W302" s="144"/>
      <c r="X302" s="549"/>
    </row>
    <row r="303">
      <c r="A303" s="538" t="s">
        <v>3511</v>
      </c>
      <c r="D303" s="692"/>
      <c r="E303" s="574"/>
      <c r="F303" s="574"/>
      <c r="G303" s="574"/>
      <c r="H303" s="574"/>
      <c r="I303" s="574"/>
      <c r="J303" s="576"/>
      <c r="K303" s="576"/>
      <c r="L303" s="683"/>
      <c r="N303" s="122"/>
      <c r="O303" s="546">
        <v>0.0</v>
      </c>
      <c r="P303" s="545">
        <v>0.0</v>
      </c>
      <c r="Q303" s="546">
        <v>0.0</v>
      </c>
      <c r="R303" s="655"/>
      <c r="S303" s="75"/>
      <c r="T303" s="655"/>
      <c r="U303" s="75"/>
      <c r="V303" s="655"/>
      <c r="W303" s="144"/>
      <c r="X303" s="549"/>
    </row>
    <row r="304">
      <c r="A304" s="538" t="s">
        <v>3511</v>
      </c>
      <c r="D304" s="692"/>
      <c r="E304" s="574"/>
      <c r="F304" s="574"/>
      <c r="G304" s="574"/>
      <c r="H304" s="574"/>
      <c r="I304" s="574"/>
      <c r="J304" s="576"/>
      <c r="K304" s="576"/>
      <c r="L304" s="683"/>
      <c r="N304" s="122"/>
      <c r="O304" s="546">
        <v>0.0</v>
      </c>
      <c r="P304" s="545">
        <v>0.0</v>
      </c>
      <c r="Q304" s="546">
        <v>0.0</v>
      </c>
      <c r="R304" s="655"/>
      <c r="S304" s="75"/>
      <c r="T304" s="655"/>
      <c r="U304" s="75"/>
      <c r="V304" s="655"/>
      <c r="W304" s="144"/>
      <c r="X304" s="549"/>
    </row>
    <row r="305">
      <c r="A305" s="538" t="s">
        <v>3511</v>
      </c>
      <c r="D305" s="692"/>
      <c r="E305" s="574"/>
      <c r="F305" s="574"/>
      <c r="G305" s="574"/>
      <c r="H305" s="574"/>
      <c r="I305" s="574"/>
      <c r="J305" s="576"/>
      <c r="K305" s="576"/>
      <c r="L305" s="683"/>
      <c r="N305" s="122"/>
      <c r="O305" s="546">
        <v>0.0</v>
      </c>
      <c r="P305" s="545">
        <v>0.0</v>
      </c>
      <c r="Q305" s="546">
        <v>0.0</v>
      </c>
      <c r="R305" s="655"/>
      <c r="S305" s="75"/>
      <c r="T305" s="655"/>
      <c r="U305" s="75"/>
      <c r="V305" s="655"/>
      <c r="W305" s="144"/>
      <c r="X305" s="549"/>
    </row>
    <row r="306">
      <c r="A306" s="538" t="s">
        <v>3511</v>
      </c>
      <c r="D306" s="692"/>
      <c r="E306" s="574"/>
      <c r="F306" s="574"/>
      <c r="G306" s="574"/>
      <c r="H306" s="574"/>
      <c r="I306" s="574"/>
      <c r="J306" s="576"/>
      <c r="K306" s="576"/>
      <c r="L306" s="683"/>
      <c r="N306" s="122"/>
      <c r="O306" s="546">
        <v>0.0</v>
      </c>
      <c r="P306" s="545">
        <v>0.0</v>
      </c>
      <c r="Q306" s="546">
        <v>0.0</v>
      </c>
      <c r="R306" s="655"/>
      <c r="S306" s="75"/>
      <c r="T306" s="655"/>
      <c r="U306" s="75"/>
      <c r="V306" s="655"/>
      <c r="W306" s="144"/>
      <c r="X306" s="549"/>
    </row>
    <row r="307">
      <c r="A307" s="538" t="s">
        <v>3511</v>
      </c>
      <c r="D307" s="692"/>
      <c r="E307" s="574"/>
      <c r="F307" s="574"/>
      <c r="G307" s="574"/>
      <c r="H307" s="574"/>
      <c r="I307" s="574"/>
      <c r="J307" s="576"/>
      <c r="K307" s="576"/>
      <c r="L307" s="683"/>
      <c r="N307" s="122"/>
      <c r="O307" s="546">
        <v>0.0</v>
      </c>
      <c r="P307" s="545">
        <v>0.0</v>
      </c>
      <c r="Q307" s="546">
        <v>0.0</v>
      </c>
      <c r="R307" s="655"/>
      <c r="S307" s="75"/>
      <c r="T307" s="655"/>
      <c r="U307" s="75"/>
      <c r="V307" s="655"/>
      <c r="W307" s="144"/>
      <c r="X307" s="549"/>
    </row>
    <row r="308">
      <c r="A308" s="538" t="s">
        <v>3511</v>
      </c>
      <c r="D308" s="692"/>
      <c r="E308" s="574"/>
      <c r="F308" s="574"/>
      <c r="G308" s="574"/>
      <c r="H308" s="574"/>
      <c r="I308" s="574"/>
      <c r="J308" s="576"/>
      <c r="K308" s="576"/>
      <c r="L308" s="683"/>
      <c r="N308" s="122"/>
      <c r="O308" s="546">
        <v>0.0</v>
      </c>
      <c r="P308" s="545">
        <v>0.0</v>
      </c>
      <c r="Q308" s="546">
        <v>0.0</v>
      </c>
      <c r="R308" s="655"/>
      <c r="S308" s="75"/>
      <c r="T308" s="655"/>
      <c r="U308" s="75"/>
      <c r="V308" s="655"/>
      <c r="W308" s="144"/>
      <c r="X308" s="549"/>
    </row>
    <row r="309">
      <c r="A309" s="538" t="s">
        <v>3511</v>
      </c>
      <c r="D309" s="692"/>
      <c r="E309" s="574"/>
      <c r="F309" s="574"/>
      <c r="G309" s="574"/>
      <c r="H309" s="574"/>
      <c r="I309" s="574"/>
      <c r="J309" s="576"/>
      <c r="K309" s="576"/>
      <c r="L309" s="683"/>
      <c r="N309" s="122"/>
      <c r="O309" s="546">
        <v>0.0</v>
      </c>
      <c r="P309" s="545">
        <v>0.0</v>
      </c>
      <c r="Q309" s="546">
        <v>0.0</v>
      </c>
      <c r="R309" s="655"/>
      <c r="S309" s="75"/>
      <c r="T309" s="655"/>
      <c r="U309" s="75"/>
      <c r="V309" s="655"/>
      <c r="W309" s="144"/>
      <c r="X309" s="549"/>
    </row>
    <row r="310">
      <c r="A310" s="538" t="s">
        <v>3511</v>
      </c>
      <c r="D310" s="692"/>
      <c r="E310" s="574"/>
      <c r="F310" s="574"/>
      <c r="G310" s="574"/>
      <c r="H310" s="574"/>
      <c r="I310" s="574"/>
      <c r="J310" s="576"/>
      <c r="K310" s="576"/>
      <c r="L310" s="683"/>
      <c r="N310" s="122"/>
      <c r="O310" s="546">
        <v>0.0</v>
      </c>
      <c r="P310" s="545">
        <v>0.0</v>
      </c>
      <c r="Q310" s="546">
        <v>0.0</v>
      </c>
      <c r="R310" s="655"/>
      <c r="S310" s="75"/>
      <c r="T310" s="655"/>
      <c r="U310" s="75"/>
      <c r="V310" s="655"/>
      <c r="W310" s="144"/>
      <c r="X310" s="549"/>
    </row>
    <row r="311">
      <c r="A311" s="538" t="s">
        <v>3511</v>
      </c>
      <c r="D311" s="692"/>
      <c r="E311" s="574"/>
      <c r="F311" s="574"/>
      <c r="G311" s="574"/>
      <c r="H311" s="574"/>
      <c r="I311" s="574"/>
      <c r="J311" s="576"/>
      <c r="K311" s="576"/>
      <c r="L311" s="683"/>
      <c r="N311" s="122"/>
      <c r="O311" s="546">
        <v>0.0</v>
      </c>
      <c r="P311" s="545">
        <v>0.0</v>
      </c>
      <c r="Q311" s="546">
        <v>0.0</v>
      </c>
      <c r="R311" s="655"/>
      <c r="S311" s="75"/>
      <c r="T311" s="655"/>
      <c r="U311" s="75"/>
      <c r="V311" s="655"/>
      <c r="W311" s="144"/>
      <c r="X311" s="549"/>
    </row>
    <row r="312">
      <c r="A312" s="538" t="s">
        <v>3511</v>
      </c>
      <c r="D312" s="692"/>
      <c r="E312" s="574"/>
      <c r="F312" s="574"/>
      <c r="G312" s="574"/>
      <c r="H312" s="574"/>
      <c r="I312" s="574"/>
      <c r="J312" s="576"/>
      <c r="K312" s="576"/>
      <c r="L312" s="683"/>
      <c r="N312" s="122"/>
      <c r="O312" s="546">
        <v>0.0</v>
      </c>
      <c r="P312" s="545">
        <v>0.0</v>
      </c>
      <c r="Q312" s="546">
        <v>0.0</v>
      </c>
      <c r="R312" s="655"/>
      <c r="S312" s="75"/>
      <c r="T312" s="655"/>
      <c r="U312" s="75"/>
      <c r="V312" s="655"/>
      <c r="W312" s="144"/>
      <c r="X312" s="549"/>
    </row>
    <row r="313">
      <c r="A313" s="538" t="s">
        <v>3511</v>
      </c>
      <c r="D313" s="692"/>
      <c r="E313" s="574"/>
      <c r="F313" s="574"/>
      <c r="G313" s="574"/>
      <c r="H313" s="574"/>
      <c r="I313" s="574"/>
      <c r="J313" s="576"/>
      <c r="K313" s="576"/>
      <c r="L313" s="683"/>
      <c r="N313" s="122"/>
      <c r="O313" s="546">
        <v>0.0</v>
      </c>
      <c r="P313" s="545">
        <v>0.0</v>
      </c>
      <c r="Q313" s="546">
        <v>0.0</v>
      </c>
      <c r="R313" s="655"/>
      <c r="S313" s="75"/>
      <c r="T313" s="655"/>
      <c r="U313" s="75"/>
      <c r="V313" s="655"/>
      <c r="W313" s="144"/>
      <c r="X313" s="549"/>
    </row>
    <row r="314">
      <c r="A314" s="538" t="s">
        <v>3511</v>
      </c>
      <c r="D314" s="692"/>
      <c r="E314" s="574"/>
      <c r="F314" s="574"/>
      <c r="G314" s="574"/>
      <c r="H314" s="574"/>
      <c r="I314" s="574"/>
      <c r="J314" s="576"/>
      <c r="K314" s="576"/>
      <c r="L314" s="683"/>
      <c r="N314" s="122"/>
      <c r="O314" s="546">
        <v>0.0</v>
      </c>
      <c r="P314" s="545">
        <v>0.0</v>
      </c>
      <c r="Q314" s="546">
        <v>0.0</v>
      </c>
      <c r="R314" s="655"/>
      <c r="S314" s="75"/>
      <c r="T314" s="655"/>
      <c r="U314" s="75"/>
      <c r="V314" s="655"/>
      <c r="W314" s="144"/>
      <c r="X314" s="549"/>
    </row>
    <row r="315">
      <c r="A315" s="538" t="s">
        <v>3511</v>
      </c>
      <c r="D315" s="692"/>
      <c r="E315" s="574"/>
      <c r="F315" s="574"/>
      <c r="G315" s="574"/>
      <c r="H315" s="574"/>
      <c r="I315" s="574"/>
      <c r="J315" s="576"/>
      <c r="K315" s="576"/>
      <c r="L315" s="683"/>
      <c r="N315" s="122"/>
      <c r="O315" s="546">
        <v>0.0</v>
      </c>
      <c r="P315" s="545">
        <v>0.0</v>
      </c>
      <c r="Q315" s="546">
        <v>0.0</v>
      </c>
      <c r="R315" s="655"/>
      <c r="S315" s="75"/>
      <c r="T315" s="655"/>
      <c r="U315" s="75"/>
      <c r="V315" s="655"/>
      <c r="W315" s="144"/>
      <c r="X315" s="549"/>
    </row>
    <row r="316">
      <c r="A316" s="538" t="s">
        <v>3511</v>
      </c>
      <c r="D316" s="692"/>
      <c r="E316" s="574"/>
      <c r="F316" s="574"/>
      <c r="G316" s="574"/>
      <c r="H316" s="574"/>
      <c r="I316" s="574"/>
      <c r="J316" s="576"/>
      <c r="K316" s="576"/>
      <c r="L316" s="683"/>
      <c r="N316" s="122"/>
      <c r="O316" s="546">
        <v>0.0</v>
      </c>
      <c r="P316" s="545">
        <v>0.0</v>
      </c>
      <c r="Q316" s="546">
        <v>0.0</v>
      </c>
      <c r="R316" s="655"/>
      <c r="S316" s="75"/>
      <c r="T316" s="655"/>
      <c r="U316" s="75"/>
      <c r="V316" s="655"/>
      <c r="W316" s="144"/>
      <c r="X316" s="549"/>
    </row>
    <row r="317">
      <c r="A317" s="538" t="s">
        <v>3511</v>
      </c>
      <c r="D317" s="692"/>
      <c r="E317" s="574"/>
      <c r="F317" s="574"/>
      <c r="G317" s="574"/>
      <c r="H317" s="574"/>
      <c r="I317" s="574"/>
      <c r="J317" s="576"/>
      <c r="K317" s="576"/>
      <c r="L317" s="683"/>
      <c r="N317" s="122"/>
      <c r="O317" s="546">
        <v>0.0</v>
      </c>
      <c r="P317" s="545">
        <v>0.0</v>
      </c>
      <c r="Q317" s="546">
        <v>0.0</v>
      </c>
      <c r="R317" s="655"/>
      <c r="S317" s="75"/>
      <c r="T317" s="655"/>
      <c r="U317" s="75"/>
      <c r="V317" s="655"/>
      <c r="W317" s="144"/>
      <c r="X317" s="549"/>
    </row>
    <row r="318">
      <c r="A318" s="538" t="s">
        <v>3511</v>
      </c>
      <c r="D318" s="692"/>
      <c r="E318" s="574"/>
      <c r="F318" s="574"/>
      <c r="G318" s="574"/>
      <c r="H318" s="574"/>
      <c r="I318" s="574"/>
      <c r="J318" s="576"/>
      <c r="K318" s="576"/>
      <c r="L318" s="683"/>
      <c r="N318" s="122"/>
      <c r="O318" s="546">
        <v>0.0</v>
      </c>
      <c r="P318" s="545">
        <v>0.0</v>
      </c>
      <c r="Q318" s="546">
        <v>0.0</v>
      </c>
      <c r="R318" s="655"/>
      <c r="S318" s="75"/>
      <c r="T318" s="655"/>
      <c r="U318" s="75"/>
      <c r="V318" s="655"/>
      <c r="W318" s="144"/>
      <c r="X318" s="549"/>
    </row>
    <row r="319">
      <c r="A319" s="538" t="s">
        <v>3511</v>
      </c>
      <c r="D319" s="692"/>
      <c r="E319" s="574"/>
      <c r="F319" s="574"/>
      <c r="G319" s="574"/>
      <c r="H319" s="574"/>
      <c r="I319" s="574"/>
      <c r="J319" s="576"/>
      <c r="K319" s="576"/>
      <c r="L319" s="683"/>
      <c r="N319" s="122"/>
      <c r="O319" s="546">
        <v>0.0</v>
      </c>
      <c r="P319" s="545">
        <v>0.0</v>
      </c>
      <c r="Q319" s="546">
        <v>0.0</v>
      </c>
      <c r="R319" s="655"/>
      <c r="S319" s="75"/>
      <c r="T319" s="655"/>
      <c r="U319" s="75"/>
      <c r="V319" s="655"/>
      <c r="W319" s="144"/>
      <c r="X319" s="549"/>
    </row>
    <row r="320">
      <c r="A320" s="538" t="s">
        <v>3511</v>
      </c>
      <c r="D320" s="692"/>
      <c r="E320" s="574"/>
      <c r="F320" s="574"/>
      <c r="G320" s="574"/>
      <c r="H320" s="574"/>
      <c r="I320" s="574"/>
      <c r="J320" s="576"/>
      <c r="K320" s="576"/>
      <c r="L320" s="683"/>
      <c r="N320" s="122"/>
      <c r="O320" s="546">
        <v>0.0</v>
      </c>
      <c r="P320" s="545">
        <v>0.0</v>
      </c>
      <c r="Q320" s="546">
        <v>0.0</v>
      </c>
      <c r="R320" s="655"/>
      <c r="S320" s="75"/>
      <c r="T320" s="655"/>
      <c r="U320" s="75"/>
      <c r="V320" s="655"/>
      <c r="W320" s="144"/>
      <c r="X320" s="549"/>
    </row>
    <row r="321">
      <c r="A321" s="538" t="s">
        <v>3511</v>
      </c>
      <c r="D321" s="692"/>
      <c r="E321" s="574"/>
      <c r="F321" s="574"/>
      <c r="G321" s="574"/>
      <c r="H321" s="574"/>
      <c r="I321" s="574"/>
      <c r="J321" s="576"/>
      <c r="K321" s="576"/>
      <c r="L321" s="683"/>
      <c r="N321" s="122"/>
      <c r="O321" s="546">
        <v>0.0</v>
      </c>
      <c r="P321" s="545">
        <v>0.0</v>
      </c>
      <c r="Q321" s="546">
        <v>0.0</v>
      </c>
      <c r="R321" s="655"/>
      <c r="S321" s="75"/>
      <c r="T321" s="655"/>
      <c r="U321" s="75"/>
      <c r="V321" s="655"/>
      <c r="W321" s="144"/>
      <c r="X321" s="549"/>
    </row>
    <row r="322">
      <c r="A322" s="538" t="s">
        <v>3511</v>
      </c>
      <c r="D322" s="692"/>
      <c r="E322" s="574"/>
      <c r="F322" s="574"/>
      <c r="G322" s="574"/>
      <c r="H322" s="574"/>
      <c r="I322" s="574"/>
      <c r="J322" s="576"/>
      <c r="K322" s="576"/>
      <c r="L322" s="683"/>
      <c r="N322" s="122"/>
      <c r="O322" s="546">
        <v>0.0</v>
      </c>
      <c r="P322" s="545">
        <v>0.0</v>
      </c>
      <c r="Q322" s="546">
        <v>0.0</v>
      </c>
      <c r="R322" s="655"/>
      <c r="S322" s="75"/>
      <c r="T322" s="655"/>
      <c r="U322" s="75"/>
      <c r="V322" s="655"/>
      <c r="W322" s="144"/>
      <c r="X322" s="549"/>
    </row>
    <row r="323">
      <c r="A323" s="538" t="s">
        <v>3511</v>
      </c>
      <c r="D323" s="692"/>
      <c r="E323" s="574"/>
      <c r="F323" s="574"/>
      <c r="G323" s="574"/>
      <c r="H323" s="574"/>
      <c r="I323" s="574"/>
      <c r="J323" s="576"/>
      <c r="K323" s="576"/>
      <c r="L323" s="683"/>
      <c r="N323" s="122"/>
      <c r="O323" s="546">
        <v>0.0</v>
      </c>
      <c r="P323" s="545">
        <v>0.0</v>
      </c>
      <c r="Q323" s="546">
        <v>0.0</v>
      </c>
      <c r="R323" s="655"/>
      <c r="S323" s="75"/>
      <c r="T323" s="655"/>
      <c r="U323" s="75"/>
      <c r="V323" s="655"/>
      <c r="W323" s="144"/>
      <c r="X323" s="549"/>
    </row>
    <row r="324">
      <c r="A324" s="538" t="s">
        <v>3511</v>
      </c>
      <c r="D324" s="692"/>
      <c r="E324" s="574"/>
      <c r="F324" s="574"/>
      <c r="G324" s="574"/>
      <c r="H324" s="574"/>
      <c r="I324" s="574"/>
      <c r="J324" s="576"/>
      <c r="K324" s="576"/>
      <c r="L324" s="683"/>
      <c r="N324" s="122"/>
      <c r="O324" s="546">
        <v>0.0</v>
      </c>
      <c r="P324" s="545">
        <v>0.0</v>
      </c>
      <c r="Q324" s="546">
        <v>0.0</v>
      </c>
      <c r="R324" s="655"/>
      <c r="S324" s="75"/>
      <c r="T324" s="655"/>
      <c r="U324" s="75"/>
      <c r="V324" s="655"/>
      <c r="W324" s="144"/>
      <c r="X324" s="549"/>
    </row>
    <row r="325">
      <c r="A325" s="538" t="s">
        <v>3511</v>
      </c>
      <c r="D325" s="692"/>
      <c r="E325" s="574"/>
      <c r="F325" s="574"/>
      <c r="G325" s="574"/>
      <c r="H325" s="574"/>
      <c r="I325" s="574"/>
      <c r="J325" s="576"/>
      <c r="K325" s="576"/>
      <c r="L325" s="683"/>
      <c r="N325" s="122"/>
      <c r="O325" s="546">
        <v>0.0</v>
      </c>
      <c r="P325" s="545">
        <v>0.0</v>
      </c>
      <c r="Q325" s="546">
        <v>0.0</v>
      </c>
      <c r="R325" s="655"/>
      <c r="S325" s="75"/>
      <c r="T325" s="655"/>
      <c r="U325" s="75"/>
      <c r="V325" s="655"/>
      <c r="W325" s="144"/>
      <c r="X325" s="549"/>
    </row>
    <row r="326">
      <c r="A326" s="538" t="s">
        <v>3511</v>
      </c>
      <c r="D326" s="692"/>
      <c r="E326" s="574"/>
      <c r="F326" s="574"/>
      <c r="G326" s="574"/>
      <c r="H326" s="574"/>
      <c r="I326" s="574"/>
      <c r="J326" s="576"/>
      <c r="K326" s="576"/>
      <c r="L326" s="683"/>
      <c r="N326" s="122"/>
      <c r="O326" s="546">
        <v>0.0</v>
      </c>
      <c r="P326" s="545">
        <v>0.0</v>
      </c>
      <c r="Q326" s="546">
        <v>0.0</v>
      </c>
      <c r="R326" s="655"/>
      <c r="S326" s="75"/>
      <c r="T326" s="655"/>
      <c r="U326" s="75"/>
      <c r="V326" s="655"/>
      <c r="W326" s="144"/>
      <c r="X326" s="549"/>
    </row>
    <row r="327">
      <c r="A327" s="538" t="s">
        <v>3511</v>
      </c>
      <c r="D327" s="692"/>
      <c r="E327" s="574"/>
      <c r="F327" s="574"/>
      <c r="G327" s="574"/>
      <c r="H327" s="574"/>
      <c r="I327" s="574"/>
      <c r="J327" s="576"/>
      <c r="K327" s="576"/>
      <c r="L327" s="683"/>
      <c r="N327" s="122"/>
      <c r="O327" s="546">
        <v>0.0</v>
      </c>
      <c r="P327" s="545">
        <v>0.0</v>
      </c>
      <c r="Q327" s="546">
        <v>0.0</v>
      </c>
      <c r="R327" s="655"/>
      <c r="S327" s="75"/>
      <c r="T327" s="655"/>
      <c r="U327" s="75"/>
      <c r="V327" s="655"/>
      <c r="W327" s="144"/>
      <c r="X327" s="549"/>
    </row>
    <row r="328">
      <c r="A328" s="538" t="s">
        <v>3511</v>
      </c>
      <c r="D328" s="692"/>
      <c r="E328" s="574"/>
      <c r="F328" s="574"/>
      <c r="G328" s="574"/>
      <c r="H328" s="574"/>
      <c r="I328" s="574"/>
      <c r="J328" s="576"/>
      <c r="K328" s="576"/>
      <c r="L328" s="683"/>
      <c r="N328" s="122"/>
      <c r="O328" s="546">
        <v>0.0</v>
      </c>
      <c r="P328" s="545">
        <v>0.0</v>
      </c>
      <c r="Q328" s="546">
        <v>0.0</v>
      </c>
      <c r="R328" s="655"/>
      <c r="S328" s="75"/>
      <c r="T328" s="655"/>
      <c r="U328" s="75"/>
      <c r="V328" s="655"/>
      <c r="W328" s="144"/>
      <c r="X328" s="549"/>
    </row>
    <row r="329">
      <c r="A329" s="538" t="s">
        <v>3511</v>
      </c>
      <c r="D329" s="692"/>
      <c r="E329" s="574"/>
      <c r="F329" s="574"/>
      <c r="G329" s="574"/>
      <c r="H329" s="574"/>
      <c r="I329" s="574"/>
      <c r="J329" s="576"/>
      <c r="K329" s="576"/>
      <c r="L329" s="683"/>
      <c r="N329" s="122"/>
      <c r="O329" s="546">
        <v>0.0</v>
      </c>
      <c r="P329" s="545">
        <v>0.0</v>
      </c>
      <c r="Q329" s="546">
        <v>0.0</v>
      </c>
      <c r="R329" s="655"/>
      <c r="S329" s="75"/>
      <c r="T329" s="655"/>
      <c r="U329" s="75"/>
      <c r="V329" s="655"/>
      <c r="W329" s="144"/>
      <c r="X329" s="549"/>
    </row>
    <row r="330">
      <c r="A330" s="538" t="s">
        <v>3511</v>
      </c>
      <c r="D330" s="692"/>
      <c r="E330" s="574"/>
      <c r="F330" s="574"/>
      <c r="G330" s="574"/>
      <c r="H330" s="574"/>
      <c r="I330" s="574"/>
      <c r="J330" s="576"/>
      <c r="K330" s="576"/>
      <c r="L330" s="683"/>
      <c r="N330" s="122"/>
      <c r="O330" s="546">
        <v>0.0</v>
      </c>
      <c r="P330" s="545">
        <v>0.0</v>
      </c>
      <c r="Q330" s="546">
        <v>0.0</v>
      </c>
      <c r="R330" s="655"/>
      <c r="S330" s="75"/>
      <c r="T330" s="655"/>
      <c r="U330" s="75"/>
      <c r="V330" s="655"/>
      <c r="W330" s="144"/>
      <c r="X330" s="549"/>
    </row>
    <row r="331">
      <c r="A331" s="538" t="s">
        <v>3511</v>
      </c>
      <c r="D331" s="692"/>
      <c r="E331" s="574"/>
      <c r="F331" s="574"/>
      <c r="G331" s="574"/>
      <c r="H331" s="574"/>
      <c r="I331" s="574"/>
      <c r="J331" s="576"/>
      <c r="K331" s="576"/>
      <c r="L331" s="683"/>
      <c r="N331" s="122"/>
      <c r="O331" s="546">
        <v>0.0</v>
      </c>
      <c r="P331" s="545">
        <v>0.0</v>
      </c>
      <c r="Q331" s="546">
        <v>0.0</v>
      </c>
      <c r="R331" s="655"/>
      <c r="S331" s="75"/>
      <c r="T331" s="655"/>
      <c r="U331" s="75"/>
      <c r="V331" s="655"/>
      <c r="W331" s="144"/>
      <c r="X331" s="549"/>
    </row>
    <row r="332">
      <c r="A332" s="538" t="s">
        <v>3511</v>
      </c>
      <c r="D332" s="692"/>
      <c r="E332" s="574"/>
      <c r="F332" s="574"/>
      <c r="G332" s="574"/>
      <c r="H332" s="574"/>
      <c r="I332" s="574"/>
      <c r="J332" s="576"/>
      <c r="K332" s="576"/>
      <c r="L332" s="683"/>
      <c r="N332" s="122"/>
      <c r="O332" s="546">
        <v>0.0</v>
      </c>
      <c r="P332" s="545">
        <v>0.0</v>
      </c>
      <c r="Q332" s="546">
        <v>0.0</v>
      </c>
      <c r="R332" s="655"/>
      <c r="S332" s="75"/>
      <c r="T332" s="655"/>
      <c r="U332" s="75"/>
      <c r="V332" s="655"/>
      <c r="W332" s="144"/>
      <c r="X332" s="549"/>
    </row>
    <row r="333">
      <c r="A333" s="538" t="s">
        <v>3511</v>
      </c>
      <c r="D333" s="692"/>
      <c r="E333" s="574"/>
      <c r="F333" s="574"/>
      <c r="G333" s="574"/>
      <c r="H333" s="574"/>
      <c r="I333" s="574"/>
      <c r="J333" s="576"/>
      <c r="K333" s="576"/>
      <c r="L333" s="683"/>
      <c r="N333" s="122"/>
      <c r="O333" s="546">
        <v>0.0</v>
      </c>
      <c r="P333" s="545">
        <v>0.0</v>
      </c>
      <c r="Q333" s="546">
        <v>0.0</v>
      </c>
      <c r="R333" s="655"/>
      <c r="S333" s="75"/>
      <c r="T333" s="655"/>
      <c r="U333" s="75"/>
      <c r="V333" s="655"/>
      <c r="W333" s="144"/>
      <c r="X333" s="549"/>
    </row>
    <row r="334">
      <c r="A334" s="538" t="s">
        <v>3511</v>
      </c>
      <c r="D334" s="692"/>
      <c r="E334" s="574"/>
      <c r="F334" s="574"/>
      <c r="G334" s="574"/>
      <c r="H334" s="574"/>
      <c r="I334" s="574"/>
      <c r="J334" s="576"/>
      <c r="K334" s="576"/>
      <c r="L334" s="683"/>
      <c r="N334" s="122"/>
      <c r="O334" s="546">
        <v>0.0</v>
      </c>
      <c r="P334" s="545">
        <v>0.0</v>
      </c>
      <c r="Q334" s="546">
        <v>0.0</v>
      </c>
      <c r="R334" s="655"/>
      <c r="S334" s="75"/>
      <c r="T334" s="655"/>
      <c r="U334" s="75"/>
      <c r="V334" s="655"/>
      <c r="W334" s="144"/>
      <c r="X334" s="549"/>
    </row>
    <row r="335">
      <c r="A335" s="538" t="s">
        <v>3511</v>
      </c>
      <c r="D335" s="692"/>
      <c r="E335" s="574"/>
      <c r="F335" s="574"/>
      <c r="G335" s="574"/>
      <c r="H335" s="574"/>
      <c r="I335" s="574"/>
      <c r="J335" s="576"/>
      <c r="K335" s="576"/>
      <c r="L335" s="683"/>
      <c r="N335" s="122"/>
      <c r="O335" s="546">
        <v>0.0</v>
      </c>
      <c r="P335" s="545">
        <v>0.0</v>
      </c>
      <c r="Q335" s="546">
        <v>0.0</v>
      </c>
      <c r="R335" s="655"/>
      <c r="S335" s="75"/>
      <c r="T335" s="655"/>
      <c r="U335" s="75"/>
      <c r="V335" s="655"/>
      <c r="W335" s="144"/>
      <c r="X335" s="549"/>
    </row>
    <row r="336">
      <c r="A336" s="538" t="s">
        <v>3511</v>
      </c>
      <c r="D336" s="692"/>
      <c r="E336" s="574"/>
      <c r="F336" s="574"/>
      <c r="G336" s="574"/>
      <c r="H336" s="574"/>
      <c r="I336" s="574"/>
      <c r="J336" s="576"/>
      <c r="K336" s="576"/>
      <c r="L336" s="683"/>
      <c r="N336" s="122"/>
      <c r="O336" s="546">
        <v>0.0</v>
      </c>
      <c r="P336" s="545">
        <v>0.0</v>
      </c>
      <c r="Q336" s="546">
        <v>0.0</v>
      </c>
      <c r="R336" s="655"/>
      <c r="S336" s="75"/>
      <c r="T336" s="655"/>
      <c r="U336" s="75"/>
      <c r="V336" s="655"/>
      <c r="W336" s="144"/>
      <c r="X336" s="549"/>
    </row>
    <row r="337">
      <c r="A337" s="538" t="s">
        <v>3511</v>
      </c>
      <c r="D337" s="692"/>
      <c r="E337" s="574"/>
      <c r="F337" s="574"/>
      <c r="G337" s="574"/>
      <c r="H337" s="574"/>
      <c r="I337" s="574"/>
      <c r="J337" s="576"/>
      <c r="K337" s="576"/>
      <c r="L337" s="683"/>
      <c r="N337" s="122"/>
      <c r="O337" s="546">
        <v>0.0</v>
      </c>
      <c r="P337" s="545">
        <v>0.0</v>
      </c>
      <c r="Q337" s="546">
        <v>0.0</v>
      </c>
      <c r="R337" s="655"/>
      <c r="S337" s="75"/>
      <c r="T337" s="655"/>
      <c r="U337" s="75"/>
      <c r="V337" s="655"/>
      <c r="W337" s="144"/>
      <c r="X337" s="549"/>
    </row>
    <row r="338">
      <c r="A338" s="538" t="s">
        <v>3511</v>
      </c>
      <c r="D338" s="692"/>
      <c r="E338" s="574"/>
      <c r="F338" s="574"/>
      <c r="G338" s="574"/>
      <c r="H338" s="574"/>
      <c r="I338" s="574"/>
      <c r="J338" s="576"/>
      <c r="K338" s="576"/>
      <c r="L338" s="683"/>
      <c r="N338" s="122"/>
      <c r="O338" s="546">
        <v>0.0</v>
      </c>
      <c r="P338" s="545">
        <v>0.0</v>
      </c>
      <c r="Q338" s="546">
        <v>0.0</v>
      </c>
      <c r="R338" s="655"/>
      <c r="S338" s="75"/>
      <c r="T338" s="655"/>
      <c r="U338" s="75"/>
      <c r="V338" s="655"/>
      <c r="W338" s="144"/>
      <c r="X338" s="549"/>
    </row>
    <row r="339">
      <c r="A339" s="538" t="s">
        <v>3511</v>
      </c>
      <c r="D339" s="692"/>
      <c r="E339" s="574"/>
      <c r="F339" s="574"/>
      <c r="G339" s="574"/>
      <c r="H339" s="574"/>
      <c r="I339" s="574"/>
      <c r="J339" s="576"/>
      <c r="K339" s="576"/>
      <c r="L339" s="683"/>
      <c r="N339" s="122"/>
      <c r="O339" s="546">
        <v>0.0</v>
      </c>
      <c r="P339" s="545">
        <v>0.0</v>
      </c>
      <c r="Q339" s="546">
        <v>0.0</v>
      </c>
      <c r="R339" s="655"/>
      <c r="S339" s="75"/>
      <c r="T339" s="655"/>
      <c r="U339" s="75"/>
      <c r="V339" s="655"/>
      <c r="W339" s="144"/>
      <c r="X339" s="549"/>
    </row>
    <row r="340">
      <c r="A340" s="538" t="s">
        <v>3511</v>
      </c>
      <c r="D340" s="692"/>
      <c r="E340" s="574"/>
      <c r="F340" s="574"/>
      <c r="G340" s="574"/>
      <c r="H340" s="574"/>
      <c r="I340" s="574"/>
      <c r="J340" s="576"/>
      <c r="K340" s="576"/>
      <c r="L340" s="683"/>
      <c r="N340" s="122"/>
      <c r="O340" s="546">
        <v>0.0</v>
      </c>
      <c r="P340" s="545">
        <v>0.0</v>
      </c>
      <c r="Q340" s="546">
        <v>0.0</v>
      </c>
      <c r="R340" s="655"/>
      <c r="S340" s="75"/>
      <c r="T340" s="655"/>
      <c r="U340" s="75"/>
      <c r="V340" s="655"/>
      <c r="W340" s="144"/>
      <c r="X340" s="549"/>
    </row>
    <row r="341">
      <c r="A341" s="538" t="s">
        <v>3511</v>
      </c>
      <c r="D341" s="692"/>
      <c r="E341" s="574"/>
      <c r="F341" s="574"/>
      <c r="G341" s="574"/>
      <c r="H341" s="574"/>
      <c r="I341" s="574"/>
      <c r="J341" s="576"/>
      <c r="K341" s="576"/>
      <c r="L341" s="683"/>
      <c r="N341" s="122"/>
      <c r="O341" s="546">
        <v>0.0</v>
      </c>
      <c r="P341" s="545">
        <v>0.0</v>
      </c>
      <c r="Q341" s="546">
        <v>0.0</v>
      </c>
      <c r="R341" s="655"/>
      <c r="S341" s="75"/>
      <c r="T341" s="655"/>
      <c r="U341" s="75"/>
      <c r="V341" s="655"/>
      <c r="W341" s="144"/>
      <c r="X341" s="549"/>
    </row>
    <row r="342">
      <c r="A342" s="538" t="s">
        <v>3511</v>
      </c>
      <c r="D342" s="692"/>
      <c r="E342" s="574"/>
      <c r="F342" s="574"/>
      <c r="G342" s="574"/>
      <c r="H342" s="574"/>
      <c r="I342" s="574"/>
      <c r="J342" s="576"/>
      <c r="K342" s="576"/>
      <c r="L342" s="683"/>
      <c r="N342" s="122"/>
      <c r="O342" s="546">
        <v>0.0</v>
      </c>
      <c r="P342" s="545">
        <v>0.0</v>
      </c>
      <c r="Q342" s="546">
        <v>0.0</v>
      </c>
      <c r="R342" s="655"/>
      <c r="S342" s="75"/>
      <c r="T342" s="655"/>
      <c r="U342" s="75"/>
      <c r="V342" s="655"/>
      <c r="W342" s="144"/>
      <c r="X342" s="549"/>
    </row>
    <row r="343">
      <c r="A343" s="538" t="s">
        <v>3511</v>
      </c>
      <c r="D343" s="692"/>
      <c r="E343" s="574"/>
      <c r="F343" s="574"/>
      <c r="G343" s="574"/>
      <c r="H343" s="574"/>
      <c r="I343" s="574"/>
      <c r="J343" s="576"/>
      <c r="K343" s="576"/>
      <c r="L343" s="683"/>
      <c r="N343" s="122"/>
      <c r="O343" s="546">
        <v>0.0</v>
      </c>
      <c r="P343" s="545">
        <v>0.0</v>
      </c>
      <c r="Q343" s="546">
        <v>0.0</v>
      </c>
      <c r="R343" s="655"/>
      <c r="S343" s="75"/>
      <c r="T343" s="655"/>
      <c r="U343" s="75"/>
      <c r="V343" s="655"/>
      <c r="W343" s="144"/>
      <c r="X343" s="549"/>
    </row>
    <row r="344">
      <c r="A344" s="538" t="s">
        <v>3511</v>
      </c>
      <c r="D344" s="692"/>
      <c r="E344" s="574"/>
      <c r="F344" s="574"/>
      <c r="G344" s="574"/>
      <c r="H344" s="574"/>
      <c r="I344" s="574"/>
      <c r="J344" s="576"/>
      <c r="K344" s="576"/>
      <c r="L344" s="683"/>
      <c r="N344" s="122"/>
      <c r="O344" s="546">
        <v>0.0</v>
      </c>
      <c r="P344" s="545">
        <v>0.0</v>
      </c>
      <c r="Q344" s="546">
        <v>0.0</v>
      </c>
      <c r="R344" s="655"/>
      <c r="S344" s="75"/>
      <c r="T344" s="655"/>
      <c r="U344" s="75"/>
      <c r="V344" s="655"/>
      <c r="W344" s="144"/>
      <c r="X344" s="549"/>
    </row>
    <row r="345">
      <c r="A345" s="538" t="s">
        <v>3511</v>
      </c>
      <c r="D345" s="692"/>
      <c r="E345" s="574"/>
      <c r="F345" s="574"/>
      <c r="G345" s="574"/>
      <c r="H345" s="574"/>
      <c r="I345" s="574"/>
      <c r="J345" s="576"/>
      <c r="K345" s="576"/>
      <c r="L345" s="683"/>
      <c r="N345" s="122"/>
      <c r="O345" s="546">
        <v>0.0</v>
      </c>
      <c r="P345" s="545">
        <v>0.0</v>
      </c>
      <c r="Q345" s="546">
        <v>0.0</v>
      </c>
      <c r="R345" s="655"/>
      <c r="S345" s="75"/>
      <c r="T345" s="655"/>
      <c r="U345" s="75"/>
      <c r="V345" s="655"/>
      <c r="W345" s="144"/>
      <c r="X345" s="549"/>
    </row>
    <row r="346">
      <c r="A346" s="538" t="s">
        <v>3511</v>
      </c>
      <c r="D346" s="692"/>
      <c r="E346" s="574"/>
      <c r="F346" s="574"/>
      <c r="G346" s="574"/>
      <c r="H346" s="574"/>
      <c r="I346" s="574"/>
      <c r="J346" s="576"/>
      <c r="K346" s="576"/>
      <c r="L346" s="683"/>
      <c r="N346" s="122"/>
      <c r="O346" s="546">
        <v>0.0</v>
      </c>
      <c r="P346" s="545">
        <v>0.0</v>
      </c>
      <c r="Q346" s="546">
        <v>0.0</v>
      </c>
      <c r="R346" s="655"/>
      <c r="S346" s="75"/>
      <c r="T346" s="655"/>
      <c r="U346" s="75"/>
      <c r="V346" s="655"/>
      <c r="W346" s="144"/>
      <c r="X346" s="549"/>
    </row>
    <row r="347">
      <c r="A347" s="538" t="s">
        <v>3511</v>
      </c>
      <c r="D347" s="692"/>
      <c r="E347" s="574"/>
      <c r="F347" s="574"/>
      <c r="G347" s="574"/>
      <c r="H347" s="574"/>
      <c r="I347" s="574"/>
      <c r="J347" s="576"/>
      <c r="K347" s="576"/>
      <c r="L347" s="683"/>
      <c r="N347" s="122"/>
      <c r="O347" s="546">
        <v>0.0</v>
      </c>
      <c r="P347" s="545">
        <v>0.0</v>
      </c>
      <c r="Q347" s="546">
        <v>0.0</v>
      </c>
      <c r="R347" s="655"/>
      <c r="S347" s="75"/>
      <c r="T347" s="655"/>
      <c r="U347" s="75"/>
      <c r="V347" s="655"/>
      <c r="W347" s="144"/>
      <c r="X347" s="549"/>
    </row>
    <row r="348">
      <c r="A348" s="538" t="s">
        <v>3511</v>
      </c>
      <c r="D348" s="692"/>
      <c r="E348" s="574"/>
      <c r="F348" s="574"/>
      <c r="G348" s="574"/>
      <c r="H348" s="574"/>
      <c r="I348" s="574"/>
      <c r="J348" s="576"/>
      <c r="K348" s="576"/>
      <c r="L348" s="683"/>
      <c r="N348" s="122"/>
      <c r="O348" s="546">
        <v>0.0</v>
      </c>
      <c r="P348" s="545">
        <v>0.0</v>
      </c>
      <c r="Q348" s="546">
        <v>0.0</v>
      </c>
      <c r="R348" s="655"/>
      <c r="S348" s="75"/>
      <c r="T348" s="655"/>
      <c r="U348" s="75"/>
      <c r="V348" s="655"/>
      <c r="W348" s="144"/>
      <c r="X348" s="549"/>
    </row>
    <row r="349">
      <c r="A349" s="538" t="s">
        <v>3511</v>
      </c>
      <c r="D349" s="692"/>
      <c r="E349" s="574"/>
      <c r="F349" s="574"/>
      <c r="G349" s="574"/>
      <c r="H349" s="574"/>
      <c r="I349" s="574"/>
      <c r="J349" s="576"/>
      <c r="K349" s="576"/>
      <c r="L349" s="683"/>
      <c r="N349" s="122"/>
      <c r="O349" s="546">
        <v>0.0</v>
      </c>
      <c r="P349" s="545">
        <v>0.0</v>
      </c>
      <c r="Q349" s="546">
        <v>0.0</v>
      </c>
      <c r="R349" s="655"/>
      <c r="S349" s="75"/>
      <c r="T349" s="655"/>
      <c r="U349" s="75"/>
      <c r="V349" s="655"/>
      <c r="W349" s="144"/>
      <c r="X349" s="549"/>
    </row>
    <row r="350">
      <c r="A350" s="538" t="s">
        <v>3511</v>
      </c>
      <c r="D350" s="692"/>
      <c r="E350" s="574"/>
      <c r="F350" s="574"/>
      <c r="G350" s="574"/>
      <c r="H350" s="574"/>
      <c r="I350" s="574"/>
      <c r="J350" s="576"/>
      <c r="K350" s="576"/>
      <c r="L350" s="683"/>
      <c r="N350" s="122"/>
      <c r="O350" s="546">
        <v>0.0</v>
      </c>
      <c r="P350" s="545">
        <v>0.0</v>
      </c>
      <c r="Q350" s="546">
        <v>0.0</v>
      </c>
      <c r="R350" s="655"/>
      <c r="S350" s="75"/>
      <c r="T350" s="655"/>
      <c r="U350" s="75"/>
      <c r="V350" s="655"/>
      <c r="W350" s="144"/>
      <c r="X350" s="549"/>
    </row>
    <row r="351">
      <c r="A351" s="538" t="s">
        <v>3511</v>
      </c>
      <c r="D351" s="692"/>
      <c r="E351" s="574"/>
      <c r="F351" s="574"/>
      <c r="G351" s="574"/>
      <c r="H351" s="574"/>
      <c r="I351" s="574"/>
      <c r="J351" s="576"/>
      <c r="K351" s="576"/>
      <c r="L351" s="683"/>
      <c r="N351" s="122"/>
      <c r="O351" s="546">
        <v>0.0</v>
      </c>
      <c r="P351" s="545">
        <v>0.0</v>
      </c>
      <c r="Q351" s="546">
        <v>0.0</v>
      </c>
      <c r="R351" s="655"/>
      <c r="S351" s="75"/>
      <c r="T351" s="655"/>
      <c r="U351" s="75"/>
      <c r="V351" s="655"/>
      <c r="W351" s="144"/>
      <c r="X351" s="549"/>
    </row>
    <row r="352">
      <c r="A352" s="538" t="s">
        <v>3511</v>
      </c>
      <c r="D352" s="692"/>
      <c r="E352" s="574"/>
      <c r="F352" s="574"/>
      <c r="G352" s="574"/>
      <c r="H352" s="574"/>
      <c r="I352" s="574"/>
      <c r="J352" s="576"/>
      <c r="K352" s="576"/>
      <c r="L352" s="683"/>
      <c r="N352" s="122"/>
      <c r="O352" s="546">
        <v>0.0</v>
      </c>
      <c r="P352" s="545">
        <v>0.0</v>
      </c>
      <c r="Q352" s="546">
        <v>0.0</v>
      </c>
      <c r="R352" s="655"/>
      <c r="S352" s="75"/>
      <c r="T352" s="655"/>
      <c r="U352" s="75"/>
      <c r="V352" s="655"/>
      <c r="W352" s="144"/>
      <c r="X352" s="549"/>
    </row>
    <row r="353">
      <c r="A353" s="538" t="s">
        <v>3511</v>
      </c>
      <c r="D353" s="692"/>
      <c r="E353" s="574"/>
      <c r="F353" s="574"/>
      <c r="G353" s="574"/>
      <c r="H353" s="574"/>
      <c r="I353" s="574"/>
      <c r="J353" s="576"/>
      <c r="K353" s="576"/>
      <c r="L353" s="683"/>
      <c r="N353" s="122"/>
      <c r="O353" s="546">
        <v>0.0</v>
      </c>
      <c r="P353" s="545">
        <v>0.0</v>
      </c>
      <c r="Q353" s="546">
        <v>0.0</v>
      </c>
      <c r="R353" s="655"/>
      <c r="S353" s="75"/>
      <c r="T353" s="655"/>
      <c r="U353" s="75"/>
      <c r="V353" s="655"/>
      <c r="W353" s="144"/>
      <c r="X353" s="549"/>
    </row>
    <row r="354">
      <c r="A354" s="538" t="s">
        <v>3511</v>
      </c>
      <c r="D354" s="692"/>
      <c r="E354" s="574"/>
      <c r="F354" s="574"/>
      <c r="G354" s="574"/>
      <c r="H354" s="574"/>
      <c r="I354" s="574"/>
      <c r="J354" s="576"/>
      <c r="K354" s="576"/>
      <c r="L354" s="683"/>
      <c r="N354" s="122"/>
      <c r="O354" s="546">
        <v>0.0</v>
      </c>
      <c r="P354" s="545">
        <v>0.0</v>
      </c>
      <c r="Q354" s="546">
        <v>0.0</v>
      </c>
      <c r="R354" s="655"/>
      <c r="S354" s="75"/>
      <c r="T354" s="655"/>
      <c r="U354" s="75"/>
      <c r="V354" s="655"/>
      <c r="W354" s="144"/>
      <c r="X354" s="549"/>
    </row>
    <row r="355">
      <c r="A355" s="538" t="s">
        <v>3511</v>
      </c>
      <c r="D355" s="692"/>
      <c r="E355" s="574"/>
      <c r="F355" s="574"/>
      <c r="G355" s="574"/>
      <c r="H355" s="574"/>
      <c r="I355" s="574"/>
      <c r="J355" s="576"/>
      <c r="K355" s="576"/>
      <c r="L355" s="683"/>
      <c r="N355" s="122"/>
      <c r="O355" s="546">
        <v>0.0</v>
      </c>
      <c r="P355" s="545">
        <v>0.0</v>
      </c>
      <c r="Q355" s="546">
        <v>0.0</v>
      </c>
      <c r="R355" s="655"/>
      <c r="S355" s="75"/>
      <c r="T355" s="655"/>
      <c r="U355" s="75"/>
      <c r="V355" s="655"/>
      <c r="W355" s="144"/>
      <c r="X355" s="549"/>
    </row>
    <row r="356">
      <c r="A356" s="538" t="s">
        <v>3511</v>
      </c>
      <c r="D356" s="692"/>
      <c r="E356" s="574"/>
      <c r="F356" s="574"/>
      <c r="G356" s="574"/>
      <c r="H356" s="574"/>
      <c r="I356" s="574"/>
      <c r="J356" s="576"/>
      <c r="K356" s="576"/>
      <c r="L356" s="683"/>
      <c r="N356" s="122"/>
      <c r="O356" s="546">
        <v>0.0</v>
      </c>
      <c r="P356" s="545">
        <v>0.0</v>
      </c>
      <c r="Q356" s="546">
        <v>0.0</v>
      </c>
      <c r="R356" s="655"/>
      <c r="S356" s="75"/>
      <c r="T356" s="655"/>
      <c r="U356" s="75"/>
      <c r="V356" s="655"/>
      <c r="W356" s="144"/>
      <c r="X356" s="549"/>
    </row>
    <row r="357">
      <c r="A357" s="538" t="s">
        <v>3511</v>
      </c>
      <c r="D357" s="692"/>
      <c r="E357" s="574"/>
      <c r="F357" s="574"/>
      <c r="G357" s="574"/>
      <c r="H357" s="574"/>
      <c r="I357" s="574"/>
      <c r="J357" s="576"/>
      <c r="K357" s="576"/>
      <c r="L357" s="683"/>
      <c r="N357" s="122"/>
      <c r="O357" s="546">
        <v>0.0</v>
      </c>
      <c r="P357" s="545">
        <v>0.0</v>
      </c>
      <c r="Q357" s="546">
        <v>0.0</v>
      </c>
      <c r="R357" s="655"/>
      <c r="S357" s="75"/>
      <c r="T357" s="655"/>
      <c r="U357" s="75"/>
      <c r="V357" s="655"/>
      <c r="W357" s="144"/>
      <c r="X357" s="549"/>
    </row>
    <row r="358">
      <c r="A358" s="538" t="s">
        <v>3511</v>
      </c>
      <c r="D358" s="692"/>
      <c r="E358" s="574"/>
      <c r="F358" s="574"/>
      <c r="G358" s="574"/>
      <c r="H358" s="574"/>
      <c r="I358" s="574"/>
      <c r="J358" s="576"/>
      <c r="K358" s="576"/>
      <c r="L358" s="683"/>
      <c r="N358" s="122"/>
      <c r="O358" s="546">
        <v>0.0</v>
      </c>
      <c r="P358" s="545">
        <v>0.0</v>
      </c>
      <c r="Q358" s="546">
        <v>0.0</v>
      </c>
      <c r="R358" s="655"/>
      <c r="S358" s="75"/>
      <c r="T358" s="655"/>
      <c r="U358" s="75"/>
      <c r="V358" s="655"/>
      <c r="W358" s="144"/>
      <c r="X358" s="549"/>
    </row>
    <row r="359">
      <c r="A359" s="538" t="s">
        <v>3511</v>
      </c>
      <c r="D359" s="692"/>
      <c r="E359" s="574"/>
      <c r="F359" s="574"/>
      <c r="G359" s="574"/>
      <c r="H359" s="574"/>
      <c r="I359" s="574"/>
      <c r="J359" s="576"/>
      <c r="K359" s="576"/>
      <c r="L359" s="683"/>
      <c r="N359" s="122"/>
      <c r="O359" s="546">
        <v>0.0</v>
      </c>
      <c r="P359" s="545">
        <v>0.0</v>
      </c>
      <c r="Q359" s="546">
        <v>0.0</v>
      </c>
      <c r="R359" s="655"/>
      <c r="S359" s="75"/>
      <c r="T359" s="655"/>
      <c r="U359" s="75"/>
      <c r="V359" s="655"/>
      <c r="W359" s="144"/>
      <c r="X359" s="549"/>
    </row>
    <row r="360">
      <c r="A360" s="538" t="s">
        <v>3511</v>
      </c>
      <c r="D360" s="692"/>
      <c r="E360" s="574"/>
      <c r="F360" s="574"/>
      <c r="G360" s="574"/>
      <c r="H360" s="574"/>
      <c r="I360" s="574"/>
      <c r="J360" s="576"/>
      <c r="K360" s="576"/>
      <c r="L360" s="683"/>
      <c r="N360" s="122"/>
      <c r="O360" s="546">
        <v>0.0</v>
      </c>
      <c r="P360" s="545">
        <v>0.0</v>
      </c>
      <c r="Q360" s="546">
        <v>0.0</v>
      </c>
      <c r="R360" s="655"/>
      <c r="S360" s="75"/>
      <c r="T360" s="655"/>
      <c r="U360" s="75"/>
      <c r="V360" s="655"/>
      <c r="W360" s="144"/>
      <c r="X360" s="549"/>
    </row>
    <row r="361">
      <c r="A361" s="538" t="s">
        <v>3511</v>
      </c>
      <c r="D361" s="692"/>
      <c r="E361" s="574"/>
      <c r="F361" s="574"/>
      <c r="G361" s="574"/>
      <c r="H361" s="574"/>
      <c r="I361" s="574"/>
      <c r="J361" s="576"/>
      <c r="K361" s="576"/>
      <c r="L361" s="683"/>
      <c r="N361" s="122"/>
      <c r="O361" s="546">
        <v>0.0</v>
      </c>
      <c r="P361" s="545">
        <v>0.0</v>
      </c>
      <c r="Q361" s="546">
        <v>0.0</v>
      </c>
      <c r="R361" s="655"/>
      <c r="S361" s="75"/>
      <c r="T361" s="655"/>
      <c r="U361" s="75"/>
      <c r="V361" s="655"/>
      <c r="W361" s="144"/>
      <c r="X361" s="549"/>
    </row>
    <row r="362">
      <c r="A362" s="538" t="s">
        <v>3511</v>
      </c>
      <c r="D362" s="692"/>
      <c r="E362" s="574"/>
      <c r="F362" s="574"/>
      <c r="G362" s="574"/>
      <c r="H362" s="574"/>
      <c r="I362" s="574"/>
      <c r="J362" s="576"/>
      <c r="K362" s="576"/>
      <c r="L362" s="683"/>
      <c r="N362" s="122"/>
      <c r="O362" s="546">
        <v>0.0</v>
      </c>
      <c r="P362" s="545">
        <v>0.0</v>
      </c>
      <c r="Q362" s="546">
        <v>0.0</v>
      </c>
      <c r="R362" s="655"/>
      <c r="S362" s="75"/>
      <c r="T362" s="655"/>
      <c r="U362" s="75"/>
      <c r="V362" s="655"/>
      <c r="W362" s="144"/>
      <c r="X362" s="549"/>
    </row>
    <row r="363">
      <c r="A363" s="538" t="s">
        <v>3511</v>
      </c>
      <c r="D363" s="692"/>
      <c r="E363" s="574"/>
      <c r="F363" s="574"/>
      <c r="G363" s="574"/>
      <c r="H363" s="574"/>
      <c r="I363" s="574"/>
      <c r="J363" s="576"/>
      <c r="K363" s="576"/>
      <c r="L363" s="683"/>
      <c r="N363" s="122"/>
      <c r="O363" s="546">
        <v>0.0</v>
      </c>
      <c r="P363" s="545">
        <v>0.0</v>
      </c>
      <c r="Q363" s="546">
        <v>0.0</v>
      </c>
      <c r="R363" s="655"/>
      <c r="S363" s="75"/>
      <c r="T363" s="655"/>
      <c r="U363" s="75"/>
      <c r="V363" s="655"/>
      <c r="W363" s="144"/>
      <c r="X363" s="549"/>
    </row>
    <row r="364">
      <c r="A364" s="538" t="s">
        <v>3511</v>
      </c>
      <c r="D364" s="692"/>
      <c r="E364" s="574"/>
      <c r="F364" s="574"/>
      <c r="G364" s="574"/>
      <c r="H364" s="574"/>
      <c r="I364" s="574"/>
      <c r="J364" s="576"/>
      <c r="K364" s="576"/>
      <c r="L364" s="683"/>
      <c r="N364" s="122"/>
      <c r="O364" s="546">
        <v>0.0</v>
      </c>
      <c r="P364" s="545">
        <v>0.0</v>
      </c>
      <c r="Q364" s="546">
        <v>0.0</v>
      </c>
      <c r="R364" s="655"/>
      <c r="S364" s="75"/>
      <c r="T364" s="655"/>
      <c r="U364" s="75"/>
      <c r="V364" s="655"/>
      <c r="W364" s="144"/>
      <c r="X364" s="549"/>
    </row>
    <row r="365">
      <c r="A365" s="538" t="s">
        <v>3511</v>
      </c>
      <c r="D365" s="692"/>
      <c r="E365" s="574"/>
      <c r="F365" s="574"/>
      <c r="G365" s="574"/>
      <c r="H365" s="574"/>
      <c r="I365" s="574"/>
      <c r="J365" s="576"/>
      <c r="K365" s="576"/>
      <c r="L365" s="683"/>
      <c r="N365" s="122"/>
      <c r="O365" s="546">
        <v>0.0</v>
      </c>
      <c r="P365" s="545">
        <v>0.0</v>
      </c>
      <c r="Q365" s="546">
        <v>0.0</v>
      </c>
      <c r="R365" s="655"/>
      <c r="S365" s="75"/>
      <c r="T365" s="655"/>
      <c r="U365" s="75"/>
      <c r="V365" s="655"/>
      <c r="W365" s="144"/>
      <c r="X365" s="549"/>
    </row>
    <row r="366">
      <c r="A366" s="538" t="s">
        <v>3511</v>
      </c>
      <c r="D366" s="692"/>
      <c r="E366" s="574"/>
      <c r="F366" s="574"/>
      <c r="G366" s="574"/>
      <c r="H366" s="574"/>
      <c r="I366" s="574"/>
      <c r="J366" s="576"/>
      <c r="K366" s="576"/>
      <c r="L366" s="683"/>
      <c r="N366" s="122"/>
      <c r="O366" s="546">
        <v>0.0</v>
      </c>
      <c r="P366" s="545">
        <v>0.0</v>
      </c>
      <c r="Q366" s="546">
        <v>0.0</v>
      </c>
      <c r="R366" s="655"/>
      <c r="S366" s="75"/>
      <c r="T366" s="655"/>
      <c r="U366" s="75"/>
      <c r="V366" s="655"/>
      <c r="W366" s="144"/>
      <c r="X366" s="549"/>
    </row>
    <row r="367">
      <c r="A367" s="538" t="s">
        <v>3511</v>
      </c>
      <c r="D367" s="692"/>
      <c r="E367" s="574"/>
      <c r="F367" s="574"/>
      <c r="G367" s="574"/>
      <c r="H367" s="574"/>
      <c r="I367" s="574"/>
      <c r="J367" s="576"/>
      <c r="K367" s="576"/>
      <c r="L367" s="683"/>
      <c r="N367" s="122"/>
      <c r="O367" s="546">
        <v>0.0</v>
      </c>
      <c r="P367" s="545">
        <v>0.0</v>
      </c>
      <c r="Q367" s="546">
        <v>0.0</v>
      </c>
      <c r="R367" s="655"/>
      <c r="S367" s="75"/>
      <c r="T367" s="655"/>
      <c r="U367" s="75"/>
      <c r="V367" s="655"/>
      <c r="W367" s="144"/>
      <c r="X367" s="549"/>
    </row>
    <row r="368">
      <c r="A368" s="538" t="s">
        <v>3511</v>
      </c>
      <c r="D368" s="692"/>
      <c r="E368" s="574"/>
      <c r="F368" s="574"/>
      <c r="G368" s="574"/>
      <c r="H368" s="574"/>
      <c r="I368" s="574"/>
      <c r="J368" s="576"/>
      <c r="K368" s="576"/>
      <c r="L368" s="683"/>
      <c r="N368" s="122"/>
      <c r="O368" s="546">
        <v>0.0</v>
      </c>
      <c r="P368" s="545">
        <v>0.0</v>
      </c>
      <c r="Q368" s="546">
        <v>0.0</v>
      </c>
      <c r="R368" s="655"/>
      <c r="S368" s="75"/>
      <c r="T368" s="655"/>
      <c r="U368" s="75"/>
      <c r="V368" s="655"/>
      <c r="W368" s="144"/>
      <c r="X368" s="549"/>
    </row>
    <row r="369">
      <c r="A369" s="538" t="s">
        <v>3511</v>
      </c>
      <c r="D369" s="692"/>
      <c r="E369" s="574"/>
      <c r="F369" s="574"/>
      <c r="G369" s="574"/>
      <c r="H369" s="574"/>
      <c r="I369" s="574"/>
      <c r="J369" s="576"/>
      <c r="K369" s="576"/>
      <c r="L369" s="683"/>
      <c r="N369" s="122"/>
      <c r="O369" s="546">
        <v>0.0</v>
      </c>
      <c r="P369" s="545">
        <v>0.0</v>
      </c>
      <c r="Q369" s="546">
        <v>0.0</v>
      </c>
      <c r="R369" s="655"/>
      <c r="S369" s="75"/>
      <c r="T369" s="655"/>
      <c r="U369" s="75"/>
      <c r="V369" s="655"/>
      <c r="W369" s="144"/>
      <c r="X369" s="549"/>
    </row>
    <row r="370">
      <c r="A370" s="538" t="s">
        <v>3511</v>
      </c>
      <c r="D370" s="692"/>
      <c r="E370" s="574"/>
      <c r="F370" s="574"/>
      <c r="G370" s="574"/>
      <c r="H370" s="574"/>
      <c r="I370" s="574"/>
      <c r="J370" s="576"/>
      <c r="K370" s="576"/>
      <c r="L370" s="683"/>
      <c r="N370" s="122"/>
      <c r="O370" s="546">
        <v>0.0</v>
      </c>
      <c r="P370" s="545">
        <v>0.0</v>
      </c>
      <c r="Q370" s="546">
        <v>0.0</v>
      </c>
      <c r="R370" s="655"/>
      <c r="S370" s="75"/>
      <c r="T370" s="655"/>
      <c r="U370" s="75"/>
      <c r="V370" s="655"/>
      <c r="W370" s="144"/>
      <c r="X370" s="549"/>
    </row>
    <row r="371">
      <c r="A371" s="538" t="s">
        <v>3511</v>
      </c>
      <c r="D371" s="692"/>
      <c r="E371" s="574"/>
      <c r="F371" s="574"/>
      <c r="G371" s="574"/>
      <c r="H371" s="574"/>
      <c r="I371" s="574"/>
      <c r="J371" s="576"/>
      <c r="K371" s="576"/>
      <c r="L371" s="683"/>
      <c r="N371" s="122"/>
      <c r="O371" s="546">
        <v>0.0</v>
      </c>
      <c r="P371" s="545">
        <v>0.0</v>
      </c>
      <c r="Q371" s="546">
        <v>0.0</v>
      </c>
      <c r="R371" s="655"/>
      <c r="S371" s="75"/>
      <c r="T371" s="655"/>
      <c r="U371" s="75"/>
      <c r="V371" s="655"/>
      <c r="W371" s="144"/>
      <c r="X371" s="549"/>
    </row>
    <row r="372">
      <c r="A372" s="538" t="s">
        <v>3511</v>
      </c>
      <c r="D372" s="692"/>
      <c r="E372" s="574"/>
      <c r="F372" s="574"/>
      <c r="G372" s="574"/>
      <c r="H372" s="574"/>
      <c r="I372" s="574"/>
      <c r="J372" s="576"/>
      <c r="K372" s="576"/>
      <c r="L372" s="683"/>
      <c r="N372" s="122"/>
      <c r="O372" s="546">
        <v>0.0</v>
      </c>
      <c r="P372" s="545">
        <v>0.0</v>
      </c>
      <c r="Q372" s="546">
        <v>0.0</v>
      </c>
      <c r="R372" s="655"/>
      <c r="S372" s="75"/>
      <c r="T372" s="655"/>
      <c r="U372" s="75"/>
      <c r="V372" s="655"/>
      <c r="W372" s="144"/>
      <c r="X372" s="549"/>
    </row>
    <row r="373">
      <c r="A373" s="538" t="s">
        <v>3511</v>
      </c>
      <c r="D373" s="692"/>
      <c r="E373" s="574"/>
      <c r="F373" s="574"/>
      <c r="G373" s="574"/>
      <c r="H373" s="574"/>
      <c r="I373" s="574"/>
      <c r="J373" s="576"/>
      <c r="K373" s="576"/>
      <c r="L373" s="683"/>
      <c r="N373" s="122"/>
      <c r="O373" s="546">
        <v>0.0</v>
      </c>
      <c r="P373" s="545">
        <v>0.0</v>
      </c>
      <c r="Q373" s="546">
        <v>0.0</v>
      </c>
      <c r="R373" s="655"/>
      <c r="S373" s="75"/>
      <c r="T373" s="655"/>
      <c r="U373" s="75"/>
      <c r="V373" s="655"/>
      <c r="W373" s="144"/>
      <c r="X373" s="549"/>
    </row>
    <row r="374">
      <c r="A374" s="538" t="s">
        <v>3511</v>
      </c>
      <c r="D374" s="692"/>
      <c r="E374" s="574"/>
      <c r="F374" s="574"/>
      <c r="G374" s="574"/>
      <c r="H374" s="574"/>
      <c r="I374" s="574"/>
      <c r="J374" s="576"/>
      <c r="K374" s="576"/>
      <c r="L374" s="683"/>
      <c r="N374" s="122"/>
      <c r="O374" s="546">
        <v>0.0</v>
      </c>
      <c r="P374" s="545">
        <v>0.0</v>
      </c>
      <c r="Q374" s="546">
        <v>0.0</v>
      </c>
      <c r="R374" s="655"/>
      <c r="S374" s="75"/>
      <c r="T374" s="655"/>
      <c r="U374" s="75"/>
      <c r="V374" s="655"/>
      <c r="W374" s="144"/>
      <c r="X374" s="549"/>
    </row>
    <row r="375">
      <c r="A375" s="538" t="s">
        <v>3511</v>
      </c>
      <c r="D375" s="692"/>
      <c r="E375" s="574"/>
      <c r="F375" s="574"/>
      <c r="G375" s="574"/>
      <c r="H375" s="574"/>
      <c r="I375" s="574"/>
      <c r="J375" s="576"/>
      <c r="K375" s="576"/>
      <c r="L375" s="683"/>
      <c r="N375" s="122"/>
      <c r="O375" s="546">
        <v>0.0</v>
      </c>
      <c r="P375" s="545">
        <v>0.0</v>
      </c>
      <c r="Q375" s="546">
        <v>0.0</v>
      </c>
      <c r="R375" s="655"/>
      <c r="S375" s="75"/>
      <c r="T375" s="655"/>
      <c r="U375" s="75"/>
      <c r="V375" s="655"/>
      <c r="W375" s="144"/>
      <c r="X375" s="549"/>
    </row>
    <row r="376">
      <c r="A376" s="538" t="s">
        <v>3511</v>
      </c>
      <c r="D376" s="692"/>
      <c r="E376" s="574"/>
      <c r="F376" s="574"/>
      <c r="G376" s="574"/>
      <c r="H376" s="574"/>
      <c r="I376" s="574"/>
      <c r="J376" s="576"/>
      <c r="K376" s="576"/>
      <c r="L376" s="683"/>
      <c r="N376" s="122"/>
      <c r="O376" s="546">
        <v>0.0</v>
      </c>
      <c r="P376" s="545">
        <v>0.0</v>
      </c>
      <c r="Q376" s="546">
        <v>0.0</v>
      </c>
      <c r="R376" s="655"/>
      <c r="S376" s="75"/>
      <c r="T376" s="655"/>
      <c r="U376" s="75"/>
      <c r="V376" s="655"/>
      <c r="W376" s="144"/>
      <c r="X376" s="549"/>
    </row>
    <row r="377">
      <c r="A377" s="538" t="s">
        <v>3511</v>
      </c>
      <c r="D377" s="692"/>
      <c r="E377" s="574"/>
      <c r="F377" s="574"/>
      <c r="G377" s="574"/>
      <c r="H377" s="574"/>
      <c r="I377" s="574"/>
      <c r="J377" s="576"/>
      <c r="K377" s="576"/>
      <c r="L377" s="683"/>
      <c r="N377" s="122"/>
      <c r="O377" s="546">
        <v>0.0</v>
      </c>
      <c r="P377" s="545">
        <v>0.0</v>
      </c>
      <c r="Q377" s="546">
        <v>0.0</v>
      </c>
      <c r="R377" s="655"/>
      <c r="S377" s="75"/>
      <c r="T377" s="655"/>
      <c r="U377" s="75"/>
      <c r="V377" s="655"/>
      <c r="W377" s="144"/>
      <c r="X377" s="549"/>
    </row>
    <row r="378">
      <c r="A378" s="538" t="s">
        <v>3511</v>
      </c>
      <c r="D378" s="692"/>
      <c r="E378" s="574"/>
      <c r="F378" s="574"/>
      <c r="G378" s="574"/>
      <c r="H378" s="574"/>
      <c r="I378" s="574"/>
      <c r="J378" s="576"/>
      <c r="K378" s="576"/>
      <c r="L378" s="683"/>
      <c r="N378" s="122"/>
      <c r="O378" s="546">
        <v>0.0</v>
      </c>
      <c r="P378" s="545">
        <v>0.0</v>
      </c>
      <c r="Q378" s="546">
        <v>0.0</v>
      </c>
      <c r="R378" s="655"/>
      <c r="S378" s="75"/>
      <c r="T378" s="655"/>
      <c r="U378" s="75"/>
      <c r="V378" s="655"/>
      <c r="W378" s="144"/>
      <c r="X378" s="549"/>
    </row>
    <row r="379">
      <c r="A379" s="538" t="s">
        <v>3511</v>
      </c>
      <c r="D379" s="692"/>
      <c r="E379" s="574"/>
      <c r="F379" s="574"/>
      <c r="G379" s="574"/>
      <c r="H379" s="574"/>
      <c r="I379" s="574"/>
      <c r="J379" s="576"/>
      <c r="K379" s="576"/>
      <c r="L379" s="683"/>
      <c r="N379" s="122"/>
      <c r="O379" s="546">
        <v>0.0</v>
      </c>
      <c r="P379" s="545">
        <v>0.0</v>
      </c>
      <c r="Q379" s="546">
        <v>0.0</v>
      </c>
      <c r="R379" s="655"/>
      <c r="S379" s="75"/>
      <c r="T379" s="655"/>
      <c r="U379" s="75"/>
      <c r="V379" s="655"/>
      <c r="W379" s="144"/>
      <c r="X379" s="549"/>
    </row>
    <row r="380">
      <c r="A380" s="538" t="s">
        <v>3511</v>
      </c>
      <c r="D380" s="692"/>
      <c r="E380" s="574"/>
      <c r="F380" s="574"/>
      <c r="G380" s="574"/>
      <c r="H380" s="574"/>
      <c r="I380" s="574"/>
      <c r="J380" s="576"/>
      <c r="K380" s="576"/>
      <c r="L380" s="683"/>
      <c r="N380" s="122"/>
      <c r="O380" s="546">
        <v>0.0</v>
      </c>
      <c r="P380" s="545">
        <v>0.0</v>
      </c>
      <c r="Q380" s="546">
        <v>0.0</v>
      </c>
      <c r="R380" s="655"/>
      <c r="S380" s="75"/>
      <c r="T380" s="655"/>
      <c r="U380" s="75"/>
      <c r="V380" s="655"/>
      <c r="W380" s="144"/>
      <c r="X380" s="549"/>
    </row>
    <row r="381">
      <c r="A381" s="538" t="s">
        <v>3511</v>
      </c>
      <c r="D381" s="692"/>
      <c r="E381" s="574"/>
      <c r="F381" s="574"/>
      <c r="G381" s="574"/>
      <c r="H381" s="574"/>
      <c r="I381" s="574"/>
      <c r="J381" s="576"/>
      <c r="K381" s="576"/>
      <c r="L381" s="683"/>
      <c r="N381" s="122"/>
      <c r="O381" s="546">
        <v>0.0</v>
      </c>
      <c r="P381" s="545">
        <v>0.0</v>
      </c>
      <c r="Q381" s="546">
        <v>0.0</v>
      </c>
      <c r="R381" s="655"/>
      <c r="S381" s="75"/>
      <c r="T381" s="655"/>
      <c r="U381" s="75"/>
      <c r="V381" s="655"/>
      <c r="W381" s="144"/>
      <c r="X381" s="549"/>
    </row>
    <row r="382">
      <c r="A382" s="538" t="s">
        <v>3511</v>
      </c>
      <c r="D382" s="692"/>
      <c r="E382" s="574"/>
      <c r="F382" s="574"/>
      <c r="G382" s="574"/>
      <c r="H382" s="574"/>
      <c r="I382" s="574"/>
      <c r="J382" s="576"/>
      <c r="K382" s="576"/>
      <c r="L382" s="683"/>
      <c r="N382" s="122"/>
      <c r="O382" s="546">
        <v>0.0</v>
      </c>
      <c r="P382" s="545">
        <v>0.0</v>
      </c>
      <c r="Q382" s="546">
        <v>0.0</v>
      </c>
      <c r="R382" s="655"/>
      <c r="S382" s="75"/>
      <c r="T382" s="655"/>
      <c r="U382" s="75"/>
      <c r="V382" s="655"/>
      <c r="W382" s="144"/>
      <c r="X382" s="549"/>
    </row>
    <row r="383">
      <c r="A383" s="538" t="s">
        <v>3511</v>
      </c>
      <c r="D383" s="692"/>
      <c r="E383" s="574"/>
      <c r="F383" s="574"/>
      <c r="G383" s="574"/>
      <c r="H383" s="574"/>
      <c r="I383" s="574"/>
      <c r="J383" s="576"/>
      <c r="K383" s="576"/>
      <c r="L383" s="683"/>
      <c r="N383" s="122"/>
      <c r="O383" s="546">
        <v>0.0</v>
      </c>
      <c r="P383" s="545">
        <v>0.0</v>
      </c>
      <c r="Q383" s="546">
        <v>0.0</v>
      </c>
      <c r="R383" s="655"/>
      <c r="S383" s="75"/>
      <c r="T383" s="655"/>
      <c r="U383" s="75"/>
      <c r="V383" s="655"/>
      <c r="W383" s="144"/>
      <c r="X383" s="549"/>
    </row>
    <row r="384">
      <c r="A384" s="538" t="s">
        <v>3511</v>
      </c>
      <c r="D384" s="692"/>
      <c r="E384" s="574"/>
      <c r="F384" s="574"/>
      <c r="G384" s="574"/>
      <c r="H384" s="574"/>
      <c r="I384" s="574"/>
      <c r="J384" s="576"/>
      <c r="K384" s="576"/>
      <c r="L384" s="683"/>
      <c r="N384" s="122"/>
      <c r="O384" s="546">
        <v>0.0</v>
      </c>
      <c r="P384" s="545">
        <v>0.0</v>
      </c>
      <c r="Q384" s="546">
        <v>0.0</v>
      </c>
      <c r="R384" s="655"/>
      <c r="S384" s="75"/>
      <c r="T384" s="655"/>
      <c r="U384" s="75"/>
      <c r="V384" s="655"/>
      <c r="W384" s="144"/>
      <c r="X384" s="549"/>
    </row>
    <row r="385">
      <c r="A385" s="538" t="s">
        <v>3511</v>
      </c>
      <c r="D385" s="692"/>
      <c r="E385" s="574"/>
      <c r="F385" s="574"/>
      <c r="G385" s="574"/>
      <c r="H385" s="574"/>
      <c r="I385" s="574"/>
      <c r="J385" s="576"/>
      <c r="K385" s="576"/>
      <c r="L385" s="683"/>
      <c r="N385" s="122"/>
      <c r="O385" s="546">
        <v>0.0</v>
      </c>
      <c r="P385" s="545">
        <v>0.0</v>
      </c>
      <c r="Q385" s="546">
        <v>0.0</v>
      </c>
      <c r="R385" s="655"/>
      <c r="S385" s="75"/>
      <c r="T385" s="655"/>
      <c r="U385" s="75"/>
      <c r="V385" s="655"/>
      <c r="W385" s="144"/>
      <c r="X385" s="549"/>
    </row>
    <row r="386">
      <c r="A386" s="538" t="s">
        <v>3511</v>
      </c>
      <c r="D386" s="692"/>
      <c r="E386" s="574"/>
      <c r="F386" s="574"/>
      <c r="G386" s="574"/>
      <c r="H386" s="574"/>
      <c r="I386" s="574"/>
      <c r="J386" s="576"/>
      <c r="K386" s="576"/>
      <c r="L386" s="683"/>
      <c r="N386" s="122"/>
      <c r="O386" s="546">
        <v>0.0</v>
      </c>
      <c r="P386" s="545">
        <v>0.0</v>
      </c>
      <c r="Q386" s="546">
        <v>0.0</v>
      </c>
      <c r="R386" s="655"/>
      <c r="S386" s="75"/>
      <c r="T386" s="655"/>
      <c r="U386" s="75"/>
      <c r="V386" s="655"/>
      <c r="W386" s="144"/>
      <c r="X386" s="549"/>
    </row>
    <row r="387">
      <c r="A387" s="538" t="s">
        <v>3511</v>
      </c>
      <c r="D387" s="692"/>
      <c r="E387" s="574"/>
      <c r="F387" s="574"/>
      <c r="G387" s="574"/>
      <c r="H387" s="574"/>
      <c r="I387" s="574"/>
      <c r="J387" s="576"/>
      <c r="K387" s="576"/>
      <c r="L387" s="683"/>
      <c r="N387" s="122"/>
      <c r="O387" s="546">
        <v>0.0</v>
      </c>
      <c r="P387" s="545">
        <v>0.0</v>
      </c>
      <c r="Q387" s="546">
        <v>0.0</v>
      </c>
      <c r="R387" s="655"/>
      <c r="S387" s="75"/>
      <c r="T387" s="655"/>
      <c r="U387" s="75"/>
      <c r="V387" s="655"/>
      <c r="W387" s="144"/>
      <c r="X387" s="549"/>
    </row>
    <row r="388">
      <c r="A388" s="538" t="s">
        <v>3511</v>
      </c>
      <c r="D388" s="692"/>
      <c r="E388" s="574"/>
      <c r="F388" s="574"/>
      <c r="G388" s="574"/>
      <c r="H388" s="574"/>
      <c r="I388" s="574"/>
      <c r="J388" s="576"/>
      <c r="K388" s="576"/>
      <c r="L388" s="683"/>
      <c r="N388" s="122"/>
      <c r="O388" s="546">
        <v>0.0</v>
      </c>
      <c r="P388" s="545">
        <v>0.0</v>
      </c>
      <c r="Q388" s="546">
        <v>0.0</v>
      </c>
      <c r="R388" s="655"/>
      <c r="S388" s="75"/>
      <c r="T388" s="655"/>
      <c r="U388" s="75"/>
      <c r="V388" s="655"/>
      <c r="W388" s="144"/>
      <c r="X388" s="549"/>
    </row>
    <row r="389">
      <c r="A389" s="538" t="s">
        <v>3511</v>
      </c>
      <c r="D389" s="692"/>
      <c r="E389" s="574"/>
      <c r="F389" s="574"/>
      <c r="G389" s="574"/>
      <c r="H389" s="574"/>
      <c r="I389" s="574"/>
      <c r="J389" s="576"/>
      <c r="K389" s="576"/>
      <c r="L389" s="683"/>
      <c r="N389" s="122"/>
      <c r="O389" s="546">
        <v>0.0</v>
      </c>
      <c r="P389" s="545">
        <v>0.0</v>
      </c>
      <c r="Q389" s="546">
        <v>0.0</v>
      </c>
      <c r="R389" s="655"/>
      <c r="S389" s="75"/>
      <c r="T389" s="655"/>
      <c r="U389" s="75"/>
      <c r="V389" s="655"/>
      <c r="W389" s="144"/>
      <c r="X389" s="549"/>
    </row>
    <row r="390">
      <c r="A390" s="538" t="s">
        <v>3511</v>
      </c>
      <c r="D390" s="692"/>
      <c r="E390" s="574"/>
      <c r="F390" s="574"/>
      <c r="G390" s="574"/>
      <c r="H390" s="574"/>
      <c r="I390" s="574"/>
      <c r="J390" s="576"/>
      <c r="K390" s="576"/>
      <c r="L390" s="683"/>
      <c r="N390" s="122"/>
      <c r="O390" s="546">
        <v>0.0</v>
      </c>
      <c r="P390" s="545">
        <v>0.0</v>
      </c>
      <c r="Q390" s="546">
        <v>0.0</v>
      </c>
      <c r="R390" s="655"/>
      <c r="S390" s="75"/>
      <c r="T390" s="655"/>
      <c r="U390" s="75"/>
      <c r="V390" s="655"/>
      <c r="W390" s="144"/>
      <c r="X390" s="549"/>
    </row>
    <row r="391">
      <c r="A391" s="538" t="s">
        <v>3511</v>
      </c>
      <c r="D391" s="692"/>
      <c r="E391" s="574"/>
      <c r="F391" s="574"/>
      <c r="G391" s="574"/>
      <c r="H391" s="574"/>
      <c r="I391" s="574"/>
      <c r="J391" s="576"/>
      <c r="K391" s="576"/>
      <c r="L391" s="683"/>
      <c r="N391" s="122"/>
      <c r="O391" s="546">
        <v>0.0</v>
      </c>
      <c r="P391" s="545">
        <v>0.0</v>
      </c>
      <c r="Q391" s="546">
        <v>0.0</v>
      </c>
      <c r="R391" s="655"/>
      <c r="S391" s="75"/>
      <c r="T391" s="655"/>
      <c r="U391" s="75"/>
      <c r="V391" s="655"/>
      <c r="W391" s="144"/>
      <c r="X391" s="549"/>
    </row>
    <row r="392">
      <c r="A392" s="538" t="s">
        <v>3511</v>
      </c>
      <c r="D392" s="692"/>
      <c r="E392" s="574"/>
      <c r="F392" s="574"/>
      <c r="G392" s="574"/>
      <c r="H392" s="574"/>
      <c r="I392" s="574"/>
      <c r="J392" s="576"/>
      <c r="K392" s="576"/>
      <c r="L392" s="683"/>
      <c r="N392" s="122"/>
      <c r="O392" s="546">
        <v>0.0</v>
      </c>
      <c r="P392" s="545">
        <v>0.0</v>
      </c>
      <c r="Q392" s="546">
        <v>0.0</v>
      </c>
      <c r="R392" s="655"/>
      <c r="S392" s="75"/>
      <c r="T392" s="655"/>
      <c r="U392" s="75"/>
      <c r="V392" s="655"/>
      <c r="W392" s="144"/>
      <c r="X392" s="549"/>
    </row>
    <row r="393">
      <c r="A393" s="538" t="s">
        <v>3511</v>
      </c>
      <c r="D393" s="692"/>
      <c r="E393" s="574"/>
      <c r="F393" s="574"/>
      <c r="G393" s="574"/>
      <c r="H393" s="574"/>
      <c r="I393" s="574"/>
      <c r="J393" s="576"/>
      <c r="K393" s="576"/>
      <c r="L393" s="683"/>
      <c r="N393" s="122"/>
      <c r="O393" s="546">
        <v>0.0</v>
      </c>
      <c r="P393" s="545">
        <v>0.0</v>
      </c>
      <c r="Q393" s="546">
        <v>0.0</v>
      </c>
      <c r="R393" s="655"/>
      <c r="S393" s="75"/>
      <c r="T393" s="655"/>
      <c r="U393" s="75"/>
      <c r="V393" s="655"/>
      <c r="W393" s="144"/>
      <c r="X393" s="549"/>
    </row>
    <row r="394">
      <c r="A394" s="538" t="s">
        <v>3511</v>
      </c>
      <c r="D394" s="692"/>
      <c r="E394" s="574"/>
      <c r="F394" s="574"/>
      <c r="G394" s="574"/>
      <c r="H394" s="574"/>
      <c r="I394" s="574"/>
      <c r="J394" s="576"/>
      <c r="K394" s="576"/>
      <c r="L394" s="683"/>
      <c r="N394" s="122"/>
      <c r="O394" s="546">
        <v>0.0</v>
      </c>
      <c r="P394" s="545">
        <v>0.0</v>
      </c>
      <c r="Q394" s="546">
        <v>0.0</v>
      </c>
      <c r="R394" s="655"/>
      <c r="S394" s="75"/>
      <c r="T394" s="655"/>
      <c r="U394" s="75"/>
      <c r="V394" s="655"/>
      <c r="W394" s="144"/>
      <c r="X394" s="549"/>
    </row>
    <row r="395">
      <c r="A395" s="538" t="s">
        <v>3511</v>
      </c>
      <c r="D395" s="692"/>
      <c r="E395" s="574"/>
      <c r="F395" s="574"/>
      <c r="G395" s="574"/>
      <c r="H395" s="574"/>
      <c r="I395" s="574"/>
      <c r="J395" s="576"/>
      <c r="K395" s="576"/>
      <c r="L395" s="683"/>
      <c r="N395" s="122"/>
      <c r="O395" s="546">
        <v>0.0</v>
      </c>
      <c r="P395" s="545">
        <v>0.0</v>
      </c>
      <c r="Q395" s="546">
        <v>0.0</v>
      </c>
      <c r="R395" s="655"/>
      <c r="S395" s="75"/>
      <c r="T395" s="655"/>
      <c r="U395" s="75"/>
      <c r="V395" s="655"/>
      <c r="W395" s="144"/>
      <c r="X395" s="549"/>
    </row>
    <row r="396">
      <c r="A396" s="538" t="s">
        <v>3511</v>
      </c>
      <c r="D396" s="692"/>
      <c r="E396" s="574"/>
      <c r="F396" s="574"/>
      <c r="G396" s="574"/>
      <c r="H396" s="574"/>
      <c r="I396" s="574"/>
      <c r="J396" s="576"/>
      <c r="K396" s="576"/>
      <c r="L396" s="683"/>
      <c r="N396" s="122"/>
      <c r="O396" s="546">
        <v>0.0</v>
      </c>
      <c r="P396" s="545">
        <v>0.0</v>
      </c>
      <c r="Q396" s="546">
        <v>0.0</v>
      </c>
      <c r="R396" s="655"/>
      <c r="S396" s="75"/>
      <c r="T396" s="655"/>
      <c r="U396" s="75"/>
      <c r="V396" s="655"/>
      <c r="W396" s="144"/>
      <c r="X396" s="549"/>
    </row>
    <row r="397">
      <c r="A397" s="538" t="s">
        <v>3511</v>
      </c>
      <c r="D397" s="692"/>
      <c r="E397" s="574"/>
      <c r="F397" s="574"/>
      <c r="G397" s="574"/>
      <c r="H397" s="574"/>
      <c r="I397" s="574"/>
      <c r="J397" s="576"/>
      <c r="K397" s="576"/>
      <c r="L397" s="683"/>
      <c r="N397" s="122"/>
      <c r="O397" s="546">
        <v>0.0</v>
      </c>
      <c r="P397" s="545">
        <v>0.0</v>
      </c>
      <c r="Q397" s="546">
        <v>0.0</v>
      </c>
      <c r="R397" s="655"/>
      <c r="S397" s="75"/>
      <c r="T397" s="655"/>
      <c r="U397" s="75"/>
      <c r="V397" s="655"/>
      <c r="W397" s="144"/>
      <c r="X397" s="549"/>
    </row>
    <row r="398">
      <c r="A398" s="538" t="s">
        <v>3511</v>
      </c>
      <c r="D398" s="692"/>
      <c r="E398" s="574"/>
      <c r="F398" s="574"/>
      <c r="G398" s="574"/>
      <c r="H398" s="574"/>
      <c r="I398" s="574"/>
      <c r="J398" s="576"/>
      <c r="K398" s="576"/>
      <c r="L398" s="683"/>
      <c r="N398" s="122"/>
      <c r="O398" s="546">
        <v>0.0</v>
      </c>
      <c r="P398" s="545">
        <v>0.0</v>
      </c>
      <c r="Q398" s="546">
        <v>0.0</v>
      </c>
      <c r="R398" s="655"/>
      <c r="S398" s="75"/>
      <c r="T398" s="655"/>
      <c r="U398" s="75"/>
      <c r="V398" s="655"/>
      <c r="W398" s="144"/>
      <c r="X398" s="549"/>
    </row>
    <row r="399">
      <c r="A399" s="538" t="s">
        <v>3511</v>
      </c>
      <c r="D399" s="692"/>
      <c r="E399" s="574"/>
      <c r="F399" s="574"/>
      <c r="G399" s="574"/>
      <c r="H399" s="574"/>
      <c r="I399" s="574"/>
      <c r="J399" s="576"/>
      <c r="K399" s="576"/>
      <c r="L399" s="683"/>
      <c r="N399" s="122"/>
      <c r="O399" s="546">
        <v>0.0</v>
      </c>
      <c r="P399" s="545">
        <v>0.0</v>
      </c>
      <c r="Q399" s="546">
        <v>0.0</v>
      </c>
      <c r="R399" s="655"/>
      <c r="S399" s="75"/>
      <c r="T399" s="655"/>
      <c r="U399" s="75"/>
      <c r="V399" s="655"/>
      <c r="W399" s="144"/>
      <c r="X399" s="549"/>
    </row>
    <row r="400">
      <c r="A400" s="538" t="s">
        <v>3511</v>
      </c>
      <c r="D400" s="692"/>
      <c r="E400" s="574"/>
      <c r="F400" s="574"/>
      <c r="G400" s="574"/>
      <c r="H400" s="574"/>
      <c r="I400" s="574"/>
      <c r="J400" s="576"/>
      <c r="K400" s="576"/>
      <c r="L400" s="683"/>
      <c r="N400" s="122"/>
      <c r="O400" s="546">
        <v>0.0</v>
      </c>
      <c r="P400" s="545">
        <v>0.0</v>
      </c>
      <c r="Q400" s="546">
        <v>0.0</v>
      </c>
      <c r="R400" s="655"/>
      <c r="S400" s="75"/>
      <c r="T400" s="655"/>
      <c r="U400" s="75"/>
      <c r="V400" s="655"/>
      <c r="W400" s="144"/>
      <c r="X400" s="549"/>
    </row>
    <row r="401">
      <c r="A401" s="538" t="s">
        <v>3511</v>
      </c>
      <c r="D401" s="692"/>
      <c r="E401" s="574"/>
      <c r="F401" s="574"/>
      <c r="G401" s="574"/>
      <c r="H401" s="574"/>
      <c r="I401" s="574"/>
      <c r="J401" s="576"/>
      <c r="K401" s="576"/>
      <c r="L401" s="683"/>
      <c r="N401" s="122"/>
      <c r="O401" s="546">
        <v>0.0</v>
      </c>
      <c r="P401" s="545">
        <v>0.0</v>
      </c>
      <c r="Q401" s="546">
        <v>0.0</v>
      </c>
      <c r="R401" s="655"/>
      <c r="S401" s="75"/>
      <c r="T401" s="655"/>
      <c r="U401" s="75"/>
      <c r="V401" s="655"/>
      <c r="W401" s="144"/>
      <c r="X401" s="549"/>
    </row>
    <row r="402">
      <c r="A402" s="538" t="s">
        <v>3511</v>
      </c>
      <c r="D402" s="692"/>
      <c r="E402" s="574"/>
      <c r="F402" s="574"/>
      <c r="G402" s="574"/>
      <c r="H402" s="574"/>
      <c r="I402" s="574"/>
      <c r="J402" s="576"/>
      <c r="K402" s="576"/>
      <c r="L402" s="683"/>
      <c r="N402" s="122"/>
      <c r="O402" s="546">
        <v>0.0</v>
      </c>
      <c r="P402" s="545">
        <v>0.0</v>
      </c>
      <c r="Q402" s="546">
        <v>0.0</v>
      </c>
      <c r="R402" s="655"/>
      <c r="S402" s="75"/>
      <c r="T402" s="655"/>
      <c r="U402" s="75"/>
      <c r="V402" s="655"/>
      <c r="W402" s="144"/>
      <c r="X402" s="549"/>
    </row>
    <row r="403">
      <c r="A403" s="538" t="s">
        <v>3511</v>
      </c>
      <c r="D403" s="692"/>
      <c r="E403" s="574"/>
      <c r="F403" s="574"/>
      <c r="G403" s="574"/>
      <c r="H403" s="574"/>
      <c r="I403" s="574"/>
      <c r="J403" s="576"/>
      <c r="K403" s="576"/>
      <c r="L403" s="683"/>
      <c r="N403" s="122"/>
      <c r="O403" s="546">
        <v>0.0</v>
      </c>
      <c r="P403" s="545">
        <v>0.0</v>
      </c>
      <c r="Q403" s="546">
        <v>0.0</v>
      </c>
      <c r="R403" s="655"/>
      <c r="S403" s="75"/>
      <c r="T403" s="655"/>
      <c r="U403" s="75"/>
      <c r="V403" s="655"/>
      <c r="W403" s="144"/>
      <c r="X403" s="549"/>
    </row>
    <row r="404">
      <c r="A404" s="538" t="s">
        <v>3511</v>
      </c>
      <c r="D404" s="692"/>
      <c r="E404" s="574"/>
      <c r="F404" s="574"/>
      <c r="G404" s="574"/>
      <c r="H404" s="574"/>
      <c r="I404" s="574"/>
      <c r="J404" s="576"/>
      <c r="K404" s="576"/>
      <c r="L404" s="683"/>
      <c r="N404" s="122"/>
      <c r="O404" s="546">
        <v>0.0</v>
      </c>
      <c r="P404" s="545">
        <v>0.0</v>
      </c>
      <c r="Q404" s="546">
        <v>0.0</v>
      </c>
      <c r="R404" s="655"/>
      <c r="S404" s="75"/>
      <c r="T404" s="655"/>
      <c r="U404" s="75"/>
      <c r="V404" s="655"/>
      <c r="W404" s="144"/>
      <c r="X404" s="549"/>
    </row>
    <row r="405">
      <c r="A405" s="538" t="s">
        <v>3511</v>
      </c>
      <c r="D405" s="692"/>
      <c r="E405" s="574"/>
      <c r="F405" s="574"/>
      <c r="G405" s="574"/>
      <c r="H405" s="574"/>
      <c r="I405" s="574"/>
      <c r="J405" s="576"/>
      <c r="K405" s="576"/>
      <c r="L405" s="683"/>
      <c r="N405" s="122"/>
      <c r="O405" s="546">
        <v>0.0</v>
      </c>
      <c r="P405" s="545">
        <v>0.0</v>
      </c>
      <c r="Q405" s="546">
        <v>0.0</v>
      </c>
      <c r="R405" s="655"/>
      <c r="S405" s="75"/>
      <c r="T405" s="655"/>
      <c r="U405" s="75"/>
      <c r="V405" s="655"/>
      <c r="W405" s="144"/>
      <c r="X405" s="549"/>
    </row>
    <row r="406">
      <c r="A406" s="538" t="s">
        <v>3511</v>
      </c>
      <c r="D406" s="692"/>
      <c r="E406" s="574"/>
      <c r="F406" s="574"/>
      <c r="G406" s="574"/>
      <c r="H406" s="574"/>
      <c r="I406" s="574"/>
      <c r="J406" s="576"/>
      <c r="K406" s="576"/>
      <c r="L406" s="683"/>
      <c r="N406" s="122"/>
      <c r="O406" s="546">
        <v>0.0</v>
      </c>
      <c r="P406" s="545">
        <v>0.0</v>
      </c>
      <c r="Q406" s="546">
        <v>0.0</v>
      </c>
      <c r="R406" s="655"/>
      <c r="S406" s="75"/>
      <c r="T406" s="655"/>
      <c r="U406" s="75"/>
      <c r="V406" s="655"/>
      <c r="W406" s="144"/>
      <c r="X406" s="549"/>
    </row>
    <row r="407">
      <c r="A407" s="538" t="s">
        <v>3511</v>
      </c>
      <c r="D407" s="692"/>
      <c r="E407" s="574"/>
      <c r="F407" s="574"/>
      <c r="G407" s="574"/>
      <c r="H407" s="574"/>
      <c r="I407" s="574"/>
      <c r="J407" s="576"/>
      <c r="K407" s="576"/>
      <c r="L407" s="683"/>
      <c r="N407" s="122"/>
      <c r="O407" s="546">
        <v>0.0</v>
      </c>
      <c r="P407" s="545">
        <v>0.0</v>
      </c>
      <c r="Q407" s="546">
        <v>0.0</v>
      </c>
      <c r="R407" s="655"/>
      <c r="S407" s="75"/>
      <c r="T407" s="655"/>
      <c r="U407" s="75"/>
      <c r="V407" s="655"/>
      <c r="W407" s="144"/>
      <c r="X407" s="549"/>
    </row>
    <row r="408">
      <c r="A408" s="538" t="s">
        <v>3511</v>
      </c>
      <c r="D408" s="692"/>
      <c r="E408" s="574"/>
      <c r="F408" s="574"/>
      <c r="G408" s="574"/>
      <c r="H408" s="574"/>
      <c r="I408" s="574"/>
      <c r="J408" s="576"/>
      <c r="K408" s="576"/>
      <c r="L408" s="683"/>
      <c r="N408" s="122"/>
      <c r="O408" s="546">
        <v>0.0</v>
      </c>
      <c r="P408" s="545">
        <v>0.0</v>
      </c>
      <c r="Q408" s="546">
        <v>0.0</v>
      </c>
      <c r="R408" s="655"/>
      <c r="S408" s="75"/>
      <c r="T408" s="655"/>
      <c r="U408" s="75"/>
      <c r="V408" s="655"/>
      <c r="W408" s="144"/>
      <c r="X408" s="549"/>
    </row>
    <row r="409">
      <c r="A409" s="538" t="s">
        <v>3511</v>
      </c>
      <c r="D409" s="692"/>
      <c r="E409" s="574"/>
      <c r="F409" s="574"/>
      <c r="G409" s="574"/>
      <c r="H409" s="574"/>
      <c r="I409" s="574"/>
      <c r="J409" s="576"/>
      <c r="K409" s="576"/>
      <c r="L409" s="683"/>
      <c r="N409" s="122"/>
      <c r="O409" s="546">
        <v>0.0</v>
      </c>
      <c r="P409" s="545">
        <v>0.0</v>
      </c>
      <c r="Q409" s="546">
        <v>0.0</v>
      </c>
      <c r="R409" s="655"/>
      <c r="S409" s="75"/>
      <c r="T409" s="655"/>
      <c r="U409" s="75"/>
      <c r="V409" s="655"/>
      <c r="W409" s="144"/>
      <c r="X409" s="549"/>
    </row>
    <row r="410">
      <c r="A410" s="538" t="s">
        <v>3511</v>
      </c>
      <c r="D410" s="692"/>
      <c r="E410" s="574"/>
      <c r="F410" s="574"/>
      <c r="G410" s="574"/>
      <c r="H410" s="574"/>
      <c r="I410" s="574"/>
      <c r="J410" s="576"/>
      <c r="K410" s="576"/>
      <c r="L410" s="683"/>
      <c r="N410" s="122"/>
      <c r="O410" s="546">
        <v>0.0</v>
      </c>
      <c r="P410" s="545">
        <v>0.0</v>
      </c>
      <c r="Q410" s="546">
        <v>0.0</v>
      </c>
      <c r="R410" s="655"/>
      <c r="S410" s="75"/>
      <c r="T410" s="655"/>
      <c r="U410" s="75"/>
      <c r="V410" s="655"/>
      <c r="W410" s="144"/>
      <c r="X410" s="549"/>
    </row>
    <row r="411">
      <c r="A411" s="538" t="s">
        <v>3511</v>
      </c>
      <c r="D411" s="692"/>
      <c r="E411" s="574"/>
      <c r="F411" s="574"/>
      <c r="G411" s="574"/>
      <c r="H411" s="574"/>
      <c r="I411" s="574"/>
      <c r="J411" s="576"/>
      <c r="K411" s="576"/>
      <c r="L411" s="683"/>
      <c r="N411" s="122"/>
      <c r="O411" s="546">
        <v>0.0</v>
      </c>
      <c r="P411" s="545">
        <v>0.0</v>
      </c>
      <c r="Q411" s="546">
        <v>0.0</v>
      </c>
      <c r="R411" s="655"/>
      <c r="S411" s="75"/>
      <c r="T411" s="655"/>
      <c r="U411" s="75"/>
      <c r="V411" s="655"/>
      <c r="W411" s="144"/>
      <c r="X411" s="549"/>
    </row>
    <row r="412">
      <c r="A412" s="538" t="s">
        <v>3511</v>
      </c>
      <c r="D412" s="692"/>
      <c r="E412" s="574"/>
      <c r="F412" s="574"/>
      <c r="G412" s="574"/>
      <c r="H412" s="574"/>
      <c r="I412" s="574"/>
      <c r="J412" s="576"/>
      <c r="K412" s="576"/>
      <c r="L412" s="683"/>
      <c r="N412" s="122"/>
      <c r="O412" s="546">
        <v>0.0</v>
      </c>
      <c r="P412" s="545">
        <v>0.0</v>
      </c>
      <c r="Q412" s="546">
        <v>0.0</v>
      </c>
      <c r="R412" s="655"/>
      <c r="S412" s="75"/>
      <c r="T412" s="655"/>
      <c r="U412" s="75"/>
      <c r="V412" s="655"/>
      <c r="W412" s="144"/>
      <c r="X412" s="549"/>
    </row>
    <row r="413">
      <c r="A413" s="538" t="s">
        <v>3511</v>
      </c>
      <c r="D413" s="692"/>
      <c r="E413" s="574"/>
      <c r="F413" s="574"/>
      <c r="G413" s="574"/>
      <c r="H413" s="574"/>
      <c r="I413" s="574"/>
      <c r="J413" s="576"/>
      <c r="K413" s="576"/>
      <c r="L413" s="683"/>
      <c r="N413" s="122"/>
      <c r="O413" s="546">
        <v>0.0</v>
      </c>
      <c r="P413" s="545">
        <v>0.0</v>
      </c>
      <c r="Q413" s="546">
        <v>0.0</v>
      </c>
      <c r="R413" s="655"/>
      <c r="S413" s="75"/>
      <c r="T413" s="655"/>
      <c r="U413" s="75"/>
      <c r="V413" s="655"/>
      <c r="W413" s="144"/>
      <c r="X413" s="549"/>
    </row>
    <row r="414">
      <c r="A414" s="538" t="s">
        <v>3511</v>
      </c>
      <c r="D414" s="692"/>
      <c r="E414" s="574"/>
      <c r="F414" s="574"/>
      <c r="G414" s="574"/>
      <c r="H414" s="574"/>
      <c r="I414" s="574"/>
      <c r="J414" s="576"/>
      <c r="K414" s="576"/>
      <c r="L414" s="683"/>
      <c r="N414" s="122"/>
      <c r="O414" s="546">
        <v>0.0</v>
      </c>
      <c r="P414" s="545">
        <v>0.0</v>
      </c>
      <c r="Q414" s="546">
        <v>0.0</v>
      </c>
      <c r="R414" s="655"/>
      <c r="S414" s="75"/>
      <c r="T414" s="655"/>
      <c r="U414" s="75"/>
      <c r="V414" s="655"/>
      <c r="W414" s="144"/>
      <c r="X414" s="549"/>
    </row>
    <row r="415">
      <c r="A415" s="538" t="s">
        <v>3511</v>
      </c>
      <c r="D415" s="692"/>
      <c r="E415" s="574"/>
      <c r="F415" s="574"/>
      <c r="G415" s="574"/>
      <c r="H415" s="574"/>
      <c r="I415" s="574"/>
      <c r="J415" s="576"/>
      <c r="K415" s="576"/>
      <c r="L415" s="683"/>
      <c r="N415" s="122"/>
      <c r="O415" s="546">
        <v>0.0</v>
      </c>
      <c r="P415" s="545">
        <v>0.0</v>
      </c>
      <c r="Q415" s="546">
        <v>0.0</v>
      </c>
      <c r="R415" s="655"/>
      <c r="S415" s="75"/>
      <c r="T415" s="655"/>
      <c r="U415" s="75"/>
      <c r="V415" s="655"/>
      <c r="W415" s="144"/>
      <c r="X415" s="549"/>
    </row>
    <row r="416">
      <c r="A416" s="538" t="s">
        <v>3511</v>
      </c>
      <c r="D416" s="692"/>
      <c r="E416" s="574"/>
      <c r="F416" s="574"/>
      <c r="G416" s="574"/>
      <c r="H416" s="574"/>
      <c r="I416" s="574"/>
      <c r="J416" s="576"/>
      <c r="K416" s="576"/>
      <c r="L416" s="683"/>
      <c r="N416" s="122"/>
      <c r="O416" s="546">
        <v>0.0</v>
      </c>
      <c r="P416" s="545">
        <v>0.0</v>
      </c>
      <c r="Q416" s="546">
        <v>0.0</v>
      </c>
      <c r="R416" s="655"/>
      <c r="S416" s="75"/>
      <c r="T416" s="655"/>
      <c r="U416" s="75"/>
      <c r="V416" s="655"/>
      <c r="W416" s="144"/>
      <c r="X416" s="549"/>
    </row>
    <row r="417">
      <c r="A417" s="538" t="s">
        <v>3511</v>
      </c>
      <c r="D417" s="692"/>
      <c r="E417" s="574"/>
      <c r="F417" s="574"/>
      <c r="G417" s="574"/>
      <c r="H417" s="574"/>
      <c r="I417" s="574"/>
      <c r="J417" s="576"/>
      <c r="K417" s="576"/>
      <c r="L417" s="683"/>
      <c r="N417" s="122"/>
      <c r="O417" s="546">
        <v>0.0</v>
      </c>
      <c r="P417" s="545">
        <v>0.0</v>
      </c>
      <c r="Q417" s="546">
        <v>0.0</v>
      </c>
      <c r="R417" s="655"/>
      <c r="S417" s="75"/>
      <c r="T417" s="655"/>
      <c r="U417" s="75"/>
      <c r="V417" s="655"/>
      <c r="W417" s="144"/>
      <c r="X417" s="549"/>
    </row>
    <row r="418">
      <c r="A418" s="538" t="s">
        <v>3511</v>
      </c>
      <c r="D418" s="692"/>
      <c r="E418" s="574"/>
      <c r="F418" s="574"/>
      <c r="G418" s="574"/>
      <c r="H418" s="574"/>
      <c r="I418" s="574"/>
      <c r="J418" s="576"/>
      <c r="K418" s="576"/>
      <c r="L418" s="683"/>
      <c r="N418" s="122"/>
      <c r="O418" s="546">
        <v>0.0</v>
      </c>
      <c r="P418" s="545">
        <v>0.0</v>
      </c>
      <c r="Q418" s="546">
        <v>0.0</v>
      </c>
      <c r="R418" s="655"/>
      <c r="S418" s="75"/>
      <c r="T418" s="655"/>
      <c r="U418" s="75"/>
      <c r="V418" s="655"/>
      <c r="W418" s="144"/>
      <c r="X418" s="549"/>
    </row>
    <row r="419">
      <c r="A419" s="538" t="s">
        <v>3511</v>
      </c>
      <c r="D419" s="692"/>
      <c r="E419" s="574"/>
      <c r="F419" s="574"/>
      <c r="G419" s="574"/>
      <c r="H419" s="574"/>
      <c r="I419" s="574"/>
      <c r="J419" s="576"/>
      <c r="K419" s="576"/>
      <c r="L419" s="683"/>
      <c r="N419" s="122"/>
      <c r="O419" s="546">
        <v>0.0</v>
      </c>
      <c r="P419" s="545">
        <v>0.0</v>
      </c>
      <c r="Q419" s="546">
        <v>0.0</v>
      </c>
      <c r="R419" s="655"/>
      <c r="S419" s="75"/>
      <c r="T419" s="655"/>
      <c r="U419" s="75"/>
      <c r="V419" s="655"/>
      <c r="W419" s="144"/>
      <c r="X419" s="549"/>
    </row>
    <row r="420">
      <c r="A420" s="538" t="s">
        <v>3511</v>
      </c>
      <c r="D420" s="692"/>
      <c r="E420" s="574"/>
      <c r="F420" s="574"/>
      <c r="G420" s="574"/>
      <c r="H420" s="574"/>
      <c r="I420" s="574"/>
      <c r="J420" s="576"/>
      <c r="K420" s="576"/>
      <c r="L420" s="683"/>
      <c r="N420" s="122"/>
      <c r="O420" s="546">
        <v>0.0</v>
      </c>
      <c r="P420" s="545">
        <v>0.0</v>
      </c>
      <c r="Q420" s="546">
        <v>0.0</v>
      </c>
      <c r="R420" s="655"/>
      <c r="S420" s="75"/>
      <c r="T420" s="655"/>
      <c r="U420" s="75"/>
      <c r="V420" s="655"/>
      <c r="W420" s="144"/>
      <c r="X420" s="549"/>
    </row>
    <row r="421">
      <c r="A421" s="538" t="s">
        <v>3511</v>
      </c>
      <c r="D421" s="692"/>
      <c r="E421" s="574"/>
      <c r="F421" s="574"/>
      <c r="G421" s="574"/>
      <c r="H421" s="574"/>
      <c r="I421" s="574"/>
      <c r="J421" s="576"/>
      <c r="K421" s="576"/>
      <c r="L421" s="683"/>
      <c r="N421" s="122"/>
      <c r="O421" s="546">
        <v>0.0</v>
      </c>
      <c r="P421" s="545">
        <v>0.0</v>
      </c>
      <c r="Q421" s="546">
        <v>0.0</v>
      </c>
      <c r="R421" s="655"/>
      <c r="S421" s="75"/>
      <c r="T421" s="655"/>
      <c r="U421" s="75"/>
      <c r="V421" s="655"/>
      <c r="W421" s="144"/>
      <c r="X421" s="549"/>
    </row>
    <row r="422">
      <c r="A422" s="538" t="s">
        <v>3511</v>
      </c>
      <c r="D422" s="692"/>
      <c r="E422" s="574"/>
      <c r="F422" s="574"/>
      <c r="G422" s="574"/>
      <c r="H422" s="574"/>
      <c r="I422" s="574"/>
      <c r="J422" s="576"/>
      <c r="K422" s="576"/>
      <c r="L422" s="683"/>
      <c r="N422" s="122"/>
      <c r="O422" s="546">
        <v>0.0</v>
      </c>
      <c r="P422" s="545">
        <v>0.0</v>
      </c>
      <c r="Q422" s="546">
        <v>0.0</v>
      </c>
      <c r="R422" s="655"/>
      <c r="S422" s="75"/>
      <c r="T422" s="655"/>
      <c r="U422" s="75"/>
      <c r="V422" s="655"/>
      <c r="W422" s="144"/>
      <c r="X422" s="549"/>
    </row>
    <row r="423">
      <c r="A423" s="538" t="s">
        <v>3511</v>
      </c>
      <c r="D423" s="692"/>
      <c r="E423" s="574"/>
      <c r="F423" s="574"/>
      <c r="G423" s="574"/>
      <c r="H423" s="574"/>
      <c r="I423" s="574"/>
      <c r="J423" s="576"/>
      <c r="K423" s="576"/>
      <c r="L423" s="683"/>
      <c r="N423" s="122"/>
      <c r="O423" s="546">
        <v>0.0</v>
      </c>
      <c r="P423" s="545">
        <v>0.0</v>
      </c>
      <c r="Q423" s="546">
        <v>0.0</v>
      </c>
      <c r="R423" s="655"/>
      <c r="S423" s="75"/>
      <c r="T423" s="655"/>
      <c r="U423" s="75"/>
      <c r="V423" s="655"/>
      <c r="W423" s="144"/>
      <c r="X423" s="549"/>
    </row>
    <row r="424">
      <c r="A424" s="538" t="s">
        <v>3511</v>
      </c>
      <c r="D424" s="692"/>
      <c r="E424" s="574"/>
      <c r="F424" s="574"/>
      <c r="G424" s="574"/>
      <c r="H424" s="574"/>
      <c r="I424" s="574"/>
      <c r="J424" s="576"/>
      <c r="K424" s="576"/>
      <c r="L424" s="683"/>
      <c r="N424" s="122"/>
      <c r="O424" s="546">
        <v>0.0</v>
      </c>
      <c r="P424" s="545">
        <v>0.0</v>
      </c>
      <c r="Q424" s="546">
        <v>0.0</v>
      </c>
      <c r="R424" s="655"/>
      <c r="S424" s="75"/>
      <c r="T424" s="655"/>
      <c r="U424" s="75"/>
      <c r="V424" s="655"/>
      <c r="W424" s="144"/>
      <c r="X424" s="549"/>
    </row>
    <row r="425">
      <c r="A425" s="538" t="s">
        <v>3511</v>
      </c>
      <c r="D425" s="692"/>
      <c r="E425" s="574"/>
      <c r="F425" s="574"/>
      <c r="G425" s="574"/>
      <c r="H425" s="574"/>
      <c r="I425" s="574"/>
      <c r="J425" s="576"/>
      <c r="K425" s="576"/>
      <c r="L425" s="683"/>
      <c r="N425" s="122"/>
      <c r="O425" s="546">
        <v>0.0</v>
      </c>
      <c r="P425" s="545">
        <v>0.0</v>
      </c>
      <c r="Q425" s="546">
        <v>0.0</v>
      </c>
      <c r="R425" s="655"/>
      <c r="S425" s="75"/>
      <c r="T425" s="655"/>
      <c r="U425" s="75"/>
      <c r="V425" s="655"/>
      <c r="W425" s="144"/>
      <c r="X425" s="549"/>
    </row>
    <row r="426">
      <c r="A426" s="538" t="s">
        <v>3511</v>
      </c>
      <c r="D426" s="692"/>
      <c r="E426" s="574"/>
      <c r="F426" s="574"/>
      <c r="G426" s="574"/>
      <c r="H426" s="574"/>
      <c r="I426" s="574"/>
      <c r="J426" s="576"/>
      <c r="K426" s="576"/>
      <c r="L426" s="683"/>
      <c r="N426" s="122"/>
      <c r="O426" s="546">
        <v>0.0</v>
      </c>
      <c r="P426" s="545">
        <v>0.0</v>
      </c>
      <c r="Q426" s="546">
        <v>0.0</v>
      </c>
      <c r="R426" s="655"/>
      <c r="S426" s="75"/>
      <c r="T426" s="655"/>
      <c r="U426" s="75"/>
      <c r="V426" s="655"/>
      <c r="W426" s="144"/>
      <c r="X426" s="549"/>
    </row>
    <row r="427">
      <c r="A427" s="538" t="s">
        <v>3511</v>
      </c>
      <c r="D427" s="692"/>
      <c r="E427" s="574"/>
      <c r="F427" s="574"/>
      <c r="G427" s="574"/>
      <c r="H427" s="574"/>
      <c r="I427" s="574"/>
      <c r="J427" s="576"/>
      <c r="K427" s="576"/>
      <c r="L427" s="683"/>
      <c r="N427" s="122"/>
      <c r="O427" s="546">
        <v>0.0</v>
      </c>
      <c r="P427" s="545">
        <v>0.0</v>
      </c>
      <c r="Q427" s="546">
        <v>0.0</v>
      </c>
      <c r="R427" s="655"/>
      <c r="S427" s="75"/>
      <c r="T427" s="655"/>
      <c r="U427" s="75"/>
      <c r="V427" s="655"/>
      <c r="W427" s="144"/>
      <c r="X427" s="549"/>
    </row>
    <row r="428">
      <c r="A428" s="538" t="s">
        <v>3511</v>
      </c>
      <c r="D428" s="692"/>
      <c r="E428" s="574"/>
      <c r="F428" s="574"/>
      <c r="G428" s="574"/>
      <c r="H428" s="574"/>
      <c r="I428" s="574"/>
      <c r="J428" s="576"/>
      <c r="K428" s="576"/>
      <c r="L428" s="683"/>
      <c r="N428" s="122"/>
      <c r="O428" s="546">
        <v>0.0</v>
      </c>
      <c r="P428" s="545">
        <v>0.0</v>
      </c>
      <c r="Q428" s="546">
        <v>0.0</v>
      </c>
      <c r="R428" s="655"/>
      <c r="S428" s="75"/>
      <c r="T428" s="655"/>
      <c r="U428" s="75"/>
      <c r="V428" s="655"/>
      <c r="W428" s="144"/>
      <c r="X428" s="549"/>
    </row>
    <row r="429">
      <c r="A429" s="538" t="s">
        <v>3511</v>
      </c>
      <c r="D429" s="692"/>
      <c r="E429" s="574"/>
      <c r="F429" s="574"/>
      <c r="G429" s="574"/>
      <c r="H429" s="574"/>
      <c r="I429" s="574"/>
      <c r="J429" s="576"/>
      <c r="K429" s="576"/>
      <c r="L429" s="683"/>
      <c r="N429" s="122"/>
      <c r="O429" s="546">
        <v>0.0</v>
      </c>
      <c r="P429" s="545">
        <v>0.0</v>
      </c>
      <c r="Q429" s="546">
        <v>0.0</v>
      </c>
      <c r="R429" s="655"/>
      <c r="S429" s="75"/>
      <c r="T429" s="655"/>
      <c r="U429" s="75"/>
      <c r="V429" s="655"/>
      <c r="W429" s="144"/>
      <c r="X429" s="549"/>
    </row>
    <row r="430">
      <c r="A430" s="538" t="s">
        <v>3511</v>
      </c>
      <c r="D430" s="692"/>
      <c r="E430" s="574"/>
      <c r="F430" s="574"/>
      <c r="G430" s="574"/>
      <c r="H430" s="574"/>
      <c r="I430" s="574"/>
      <c r="J430" s="576"/>
      <c r="K430" s="576"/>
      <c r="L430" s="683"/>
      <c r="N430" s="122"/>
      <c r="O430" s="546">
        <v>0.0</v>
      </c>
      <c r="P430" s="545">
        <v>0.0</v>
      </c>
      <c r="Q430" s="546">
        <v>0.0</v>
      </c>
      <c r="R430" s="655"/>
      <c r="S430" s="75"/>
      <c r="T430" s="655"/>
      <c r="U430" s="75"/>
      <c r="V430" s="655"/>
      <c r="W430" s="144"/>
      <c r="X430" s="549"/>
    </row>
    <row r="431">
      <c r="A431" s="538" t="s">
        <v>3511</v>
      </c>
      <c r="D431" s="692"/>
      <c r="E431" s="574"/>
      <c r="F431" s="574"/>
      <c r="G431" s="574"/>
      <c r="H431" s="574"/>
      <c r="I431" s="574"/>
      <c r="J431" s="576"/>
      <c r="K431" s="576"/>
      <c r="L431" s="683"/>
      <c r="N431" s="122"/>
      <c r="O431" s="546">
        <v>0.0</v>
      </c>
      <c r="P431" s="545">
        <v>0.0</v>
      </c>
      <c r="Q431" s="546">
        <v>0.0</v>
      </c>
      <c r="R431" s="655"/>
      <c r="S431" s="75"/>
      <c r="T431" s="655"/>
      <c r="U431" s="75"/>
      <c r="V431" s="655"/>
      <c r="W431" s="144"/>
      <c r="X431" s="549"/>
    </row>
    <row r="432">
      <c r="A432" s="538" t="s">
        <v>3511</v>
      </c>
      <c r="D432" s="692"/>
      <c r="E432" s="574"/>
      <c r="F432" s="574"/>
      <c r="G432" s="574"/>
      <c r="H432" s="574"/>
      <c r="I432" s="574"/>
      <c r="J432" s="576"/>
      <c r="K432" s="576"/>
      <c r="L432" s="683"/>
      <c r="N432" s="122"/>
      <c r="O432" s="546">
        <v>0.0</v>
      </c>
      <c r="P432" s="545">
        <v>0.0</v>
      </c>
      <c r="Q432" s="546">
        <v>0.0</v>
      </c>
      <c r="R432" s="655"/>
      <c r="S432" s="75"/>
      <c r="T432" s="655"/>
      <c r="U432" s="75"/>
      <c r="V432" s="655"/>
      <c r="W432" s="144"/>
      <c r="X432" s="549"/>
    </row>
    <row r="433">
      <c r="A433" s="538" t="s">
        <v>3511</v>
      </c>
      <c r="D433" s="692"/>
      <c r="E433" s="574"/>
      <c r="F433" s="574"/>
      <c r="G433" s="574"/>
      <c r="H433" s="574"/>
      <c r="I433" s="574"/>
      <c r="J433" s="576"/>
      <c r="K433" s="576"/>
      <c r="L433" s="683"/>
      <c r="N433" s="122"/>
      <c r="O433" s="546">
        <v>0.0</v>
      </c>
      <c r="P433" s="545">
        <v>0.0</v>
      </c>
      <c r="Q433" s="546">
        <v>0.0</v>
      </c>
      <c r="R433" s="655"/>
      <c r="S433" s="75"/>
      <c r="T433" s="655"/>
      <c r="U433" s="75"/>
      <c r="V433" s="655"/>
      <c r="W433" s="144"/>
      <c r="X433" s="549"/>
    </row>
    <row r="434">
      <c r="A434" s="538" t="s">
        <v>3511</v>
      </c>
      <c r="D434" s="692"/>
      <c r="E434" s="574"/>
      <c r="F434" s="574"/>
      <c r="G434" s="574"/>
      <c r="H434" s="574"/>
      <c r="I434" s="574"/>
      <c r="J434" s="576"/>
      <c r="K434" s="576"/>
      <c r="L434" s="683"/>
      <c r="N434" s="122"/>
      <c r="O434" s="546">
        <v>0.0</v>
      </c>
      <c r="P434" s="545">
        <v>0.0</v>
      </c>
      <c r="Q434" s="546">
        <v>0.0</v>
      </c>
      <c r="R434" s="655"/>
      <c r="S434" s="75"/>
      <c r="T434" s="655"/>
      <c r="U434" s="75"/>
      <c r="V434" s="655"/>
      <c r="W434" s="144"/>
      <c r="X434" s="549"/>
    </row>
    <row r="435">
      <c r="A435" s="538" t="s">
        <v>3511</v>
      </c>
      <c r="D435" s="692"/>
      <c r="E435" s="574"/>
      <c r="F435" s="574"/>
      <c r="G435" s="574"/>
      <c r="H435" s="574"/>
      <c r="I435" s="574"/>
      <c r="J435" s="576"/>
      <c r="K435" s="576"/>
      <c r="L435" s="683"/>
      <c r="N435" s="122"/>
      <c r="O435" s="546">
        <v>0.0</v>
      </c>
      <c r="P435" s="545">
        <v>0.0</v>
      </c>
      <c r="Q435" s="546">
        <v>0.0</v>
      </c>
      <c r="R435" s="655"/>
      <c r="S435" s="75"/>
      <c r="T435" s="655"/>
      <c r="U435" s="75"/>
      <c r="V435" s="655"/>
      <c r="W435" s="144"/>
      <c r="X435" s="549"/>
    </row>
    <row r="436">
      <c r="A436" s="538" t="s">
        <v>3511</v>
      </c>
      <c r="D436" s="692"/>
      <c r="E436" s="574"/>
      <c r="F436" s="574"/>
      <c r="G436" s="574"/>
      <c r="H436" s="574"/>
      <c r="I436" s="574"/>
      <c r="J436" s="576"/>
      <c r="K436" s="576"/>
      <c r="L436" s="683"/>
      <c r="N436" s="122"/>
      <c r="O436" s="546">
        <v>0.0</v>
      </c>
      <c r="P436" s="545">
        <v>0.0</v>
      </c>
      <c r="Q436" s="546">
        <v>0.0</v>
      </c>
      <c r="R436" s="655"/>
      <c r="S436" s="75"/>
      <c r="T436" s="655"/>
      <c r="U436" s="75"/>
      <c r="V436" s="655"/>
      <c r="W436" s="144"/>
      <c r="X436" s="549"/>
    </row>
    <row r="437">
      <c r="A437" s="538" t="s">
        <v>3511</v>
      </c>
      <c r="D437" s="692"/>
      <c r="E437" s="574"/>
      <c r="F437" s="574"/>
      <c r="G437" s="574"/>
      <c r="H437" s="574"/>
      <c r="I437" s="574"/>
      <c r="J437" s="576"/>
      <c r="K437" s="576"/>
      <c r="L437" s="683"/>
      <c r="N437" s="122"/>
      <c r="O437" s="546">
        <v>0.0</v>
      </c>
      <c r="P437" s="545">
        <v>0.0</v>
      </c>
      <c r="Q437" s="546">
        <v>0.0</v>
      </c>
      <c r="R437" s="655"/>
      <c r="S437" s="75"/>
      <c r="T437" s="655"/>
      <c r="U437" s="75"/>
      <c r="V437" s="655"/>
      <c r="W437" s="144"/>
      <c r="X437" s="549"/>
    </row>
    <row r="438">
      <c r="A438" s="538" t="s">
        <v>3511</v>
      </c>
      <c r="D438" s="692"/>
      <c r="E438" s="574"/>
      <c r="F438" s="574"/>
      <c r="G438" s="574"/>
      <c r="H438" s="574"/>
      <c r="I438" s="574"/>
      <c r="J438" s="576"/>
      <c r="K438" s="576"/>
      <c r="L438" s="683"/>
      <c r="N438" s="122"/>
      <c r="O438" s="546">
        <v>0.0</v>
      </c>
      <c r="P438" s="545">
        <v>0.0</v>
      </c>
      <c r="Q438" s="546">
        <v>0.0</v>
      </c>
      <c r="R438" s="655"/>
      <c r="S438" s="75"/>
      <c r="T438" s="655"/>
      <c r="U438" s="75"/>
      <c r="V438" s="655"/>
      <c r="W438" s="144"/>
      <c r="X438" s="549"/>
    </row>
    <row r="439">
      <c r="A439" s="538" t="s">
        <v>3511</v>
      </c>
      <c r="D439" s="692"/>
      <c r="E439" s="574"/>
      <c r="F439" s="574"/>
      <c r="G439" s="574"/>
      <c r="H439" s="574"/>
      <c r="I439" s="574"/>
      <c r="J439" s="576"/>
      <c r="K439" s="576"/>
      <c r="L439" s="683"/>
      <c r="N439" s="122"/>
      <c r="O439" s="546">
        <v>0.0</v>
      </c>
      <c r="P439" s="545">
        <v>0.0</v>
      </c>
      <c r="Q439" s="546">
        <v>0.0</v>
      </c>
      <c r="R439" s="655"/>
      <c r="S439" s="75"/>
      <c r="T439" s="655"/>
      <c r="U439" s="75"/>
      <c r="V439" s="655"/>
      <c r="W439" s="144"/>
      <c r="X439" s="549"/>
    </row>
    <row r="440">
      <c r="A440" s="538" t="s">
        <v>3511</v>
      </c>
      <c r="D440" s="692"/>
      <c r="E440" s="574"/>
      <c r="F440" s="574"/>
      <c r="G440" s="574"/>
      <c r="H440" s="574"/>
      <c r="I440" s="574"/>
      <c r="J440" s="576"/>
      <c r="K440" s="576"/>
      <c r="L440" s="683"/>
      <c r="N440" s="122"/>
      <c r="O440" s="546">
        <v>0.0</v>
      </c>
      <c r="P440" s="545">
        <v>0.0</v>
      </c>
      <c r="Q440" s="546">
        <v>0.0</v>
      </c>
      <c r="R440" s="655"/>
      <c r="S440" s="75"/>
      <c r="T440" s="655"/>
      <c r="U440" s="75"/>
      <c r="V440" s="655"/>
      <c r="W440" s="144"/>
      <c r="X440" s="549"/>
    </row>
    <row r="441">
      <c r="A441" s="538" t="s">
        <v>3511</v>
      </c>
      <c r="D441" s="692"/>
      <c r="E441" s="574"/>
      <c r="F441" s="574"/>
      <c r="G441" s="574"/>
      <c r="H441" s="574"/>
      <c r="I441" s="574"/>
      <c r="J441" s="576"/>
      <c r="K441" s="576"/>
      <c r="L441" s="683"/>
      <c r="N441" s="122"/>
      <c r="O441" s="546">
        <v>0.0</v>
      </c>
      <c r="P441" s="545">
        <v>0.0</v>
      </c>
      <c r="Q441" s="546">
        <v>0.0</v>
      </c>
      <c r="R441" s="655"/>
      <c r="S441" s="75"/>
      <c r="T441" s="655"/>
      <c r="U441" s="75"/>
      <c r="V441" s="655"/>
      <c r="W441" s="144"/>
      <c r="X441" s="549"/>
    </row>
    <row r="442">
      <c r="A442" s="538" t="s">
        <v>3511</v>
      </c>
      <c r="D442" s="692"/>
      <c r="E442" s="574"/>
      <c r="F442" s="574"/>
      <c r="G442" s="574"/>
      <c r="H442" s="574"/>
      <c r="I442" s="574"/>
      <c r="J442" s="576"/>
      <c r="K442" s="576"/>
      <c r="L442" s="683"/>
      <c r="N442" s="122"/>
      <c r="O442" s="546">
        <v>0.0</v>
      </c>
      <c r="P442" s="545">
        <v>0.0</v>
      </c>
      <c r="Q442" s="546">
        <v>0.0</v>
      </c>
      <c r="R442" s="655"/>
      <c r="S442" s="75"/>
      <c r="T442" s="655"/>
      <c r="U442" s="75"/>
      <c r="V442" s="655"/>
      <c r="W442" s="144"/>
      <c r="X442" s="549"/>
    </row>
    <row r="443">
      <c r="A443" s="538" t="s">
        <v>3511</v>
      </c>
      <c r="D443" s="692"/>
      <c r="E443" s="574"/>
      <c r="F443" s="574"/>
      <c r="G443" s="574"/>
      <c r="H443" s="574"/>
      <c r="I443" s="574"/>
      <c r="J443" s="576"/>
      <c r="K443" s="576"/>
      <c r="L443" s="683"/>
      <c r="N443" s="122"/>
      <c r="O443" s="546">
        <v>0.0</v>
      </c>
      <c r="P443" s="545">
        <v>0.0</v>
      </c>
      <c r="Q443" s="546">
        <v>0.0</v>
      </c>
      <c r="R443" s="655"/>
      <c r="S443" s="75"/>
      <c r="T443" s="655"/>
      <c r="U443" s="75"/>
      <c r="V443" s="655"/>
      <c r="W443" s="144"/>
      <c r="X443" s="549"/>
    </row>
    <row r="444">
      <c r="A444" s="538" t="s">
        <v>3511</v>
      </c>
      <c r="D444" s="692"/>
      <c r="E444" s="574"/>
      <c r="F444" s="574"/>
      <c r="G444" s="574"/>
      <c r="H444" s="574"/>
      <c r="I444" s="574"/>
      <c r="J444" s="576"/>
      <c r="K444" s="576"/>
      <c r="L444" s="683"/>
      <c r="N444" s="122"/>
      <c r="O444" s="546">
        <v>0.0</v>
      </c>
      <c r="P444" s="545">
        <v>0.0</v>
      </c>
      <c r="Q444" s="546">
        <v>0.0</v>
      </c>
      <c r="R444" s="655"/>
      <c r="S444" s="75"/>
      <c r="T444" s="655"/>
      <c r="U444" s="75"/>
      <c r="V444" s="655"/>
      <c r="W444" s="144"/>
      <c r="X444" s="549"/>
    </row>
    <row r="445">
      <c r="A445" s="538" t="s">
        <v>3511</v>
      </c>
      <c r="D445" s="692"/>
      <c r="E445" s="574"/>
      <c r="F445" s="574"/>
      <c r="G445" s="574"/>
      <c r="H445" s="574"/>
      <c r="I445" s="574"/>
      <c r="J445" s="576"/>
      <c r="K445" s="576"/>
      <c r="L445" s="683"/>
      <c r="N445" s="122"/>
      <c r="O445" s="546">
        <v>0.0</v>
      </c>
      <c r="P445" s="545">
        <v>0.0</v>
      </c>
      <c r="Q445" s="546">
        <v>0.0</v>
      </c>
      <c r="R445" s="655"/>
      <c r="S445" s="75"/>
      <c r="T445" s="655"/>
      <c r="U445" s="75"/>
      <c r="V445" s="655"/>
      <c r="W445" s="144"/>
      <c r="X445" s="549"/>
    </row>
    <row r="446">
      <c r="A446" s="538" t="s">
        <v>3511</v>
      </c>
      <c r="D446" s="692"/>
      <c r="E446" s="574"/>
      <c r="F446" s="574"/>
      <c r="G446" s="574"/>
      <c r="H446" s="574"/>
      <c r="I446" s="574"/>
      <c r="J446" s="576"/>
      <c r="K446" s="576"/>
      <c r="L446" s="683"/>
      <c r="N446" s="122"/>
      <c r="O446" s="546">
        <v>0.0</v>
      </c>
      <c r="P446" s="545">
        <v>0.0</v>
      </c>
      <c r="Q446" s="546">
        <v>0.0</v>
      </c>
      <c r="R446" s="655"/>
      <c r="S446" s="75"/>
      <c r="T446" s="655"/>
      <c r="U446" s="75"/>
      <c r="V446" s="655"/>
      <c r="W446" s="144"/>
      <c r="X446" s="549"/>
    </row>
    <row r="447">
      <c r="A447" s="538" t="s">
        <v>3511</v>
      </c>
      <c r="D447" s="692"/>
      <c r="E447" s="574"/>
      <c r="F447" s="574"/>
      <c r="G447" s="574"/>
      <c r="H447" s="574"/>
      <c r="I447" s="574"/>
      <c r="J447" s="576"/>
      <c r="K447" s="576"/>
      <c r="L447" s="683"/>
      <c r="N447" s="122"/>
      <c r="O447" s="546">
        <v>0.0</v>
      </c>
      <c r="P447" s="545">
        <v>0.0</v>
      </c>
      <c r="Q447" s="546">
        <v>0.0</v>
      </c>
      <c r="R447" s="655"/>
      <c r="S447" s="75"/>
      <c r="T447" s="655"/>
      <c r="U447" s="75"/>
      <c r="V447" s="655"/>
      <c r="W447" s="144"/>
      <c r="X447" s="549"/>
    </row>
    <row r="448">
      <c r="A448" s="538" t="s">
        <v>3511</v>
      </c>
      <c r="D448" s="692"/>
      <c r="E448" s="574"/>
      <c r="F448" s="574"/>
      <c r="G448" s="574"/>
      <c r="H448" s="574"/>
      <c r="I448" s="574"/>
      <c r="J448" s="576"/>
      <c r="K448" s="576"/>
      <c r="L448" s="683"/>
      <c r="N448" s="122"/>
      <c r="O448" s="546">
        <v>0.0</v>
      </c>
      <c r="P448" s="545">
        <v>0.0</v>
      </c>
      <c r="Q448" s="546">
        <v>0.0</v>
      </c>
      <c r="R448" s="655"/>
      <c r="S448" s="75"/>
      <c r="T448" s="655"/>
      <c r="U448" s="75"/>
      <c r="V448" s="655"/>
      <c r="W448" s="144"/>
      <c r="X448" s="549"/>
    </row>
    <row r="449">
      <c r="A449" s="538" t="s">
        <v>3511</v>
      </c>
      <c r="D449" s="692"/>
      <c r="E449" s="574"/>
      <c r="F449" s="574"/>
      <c r="G449" s="574"/>
      <c r="H449" s="574"/>
      <c r="I449" s="574"/>
      <c r="J449" s="576"/>
      <c r="K449" s="576"/>
      <c r="L449" s="683"/>
      <c r="N449" s="122"/>
      <c r="O449" s="546">
        <v>0.0</v>
      </c>
      <c r="P449" s="545">
        <v>0.0</v>
      </c>
      <c r="Q449" s="546">
        <v>0.0</v>
      </c>
      <c r="R449" s="655"/>
      <c r="S449" s="75"/>
      <c r="T449" s="655"/>
      <c r="U449" s="75"/>
      <c r="V449" s="655"/>
      <c r="W449" s="144"/>
      <c r="X449" s="549"/>
    </row>
    <row r="450">
      <c r="A450" s="538" t="s">
        <v>3511</v>
      </c>
      <c r="D450" s="692"/>
      <c r="E450" s="574"/>
      <c r="F450" s="574"/>
      <c r="G450" s="574"/>
      <c r="H450" s="574"/>
      <c r="I450" s="574"/>
      <c r="J450" s="576"/>
      <c r="K450" s="576"/>
      <c r="L450" s="683"/>
      <c r="N450" s="122"/>
      <c r="O450" s="546">
        <v>0.0</v>
      </c>
      <c r="P450" s="545">
        <v>0.0</v>
      </c>
      <c r="Q450" s="546">
        <v>0.0</v>
      </c>
      <c r="R450" s="655"/>
      <c r="S450" s="75"/>
      <c r="T450" s="655"/>
      <c r="U450" s="75"/>
      <c r="V450" s="655"/>
      <c r="W450" s="144"/>
      <c r="X450" s="549"/>
    </row>
    <row r="451">
      <c r="A451" s="538" t="s">
        <v>3511</v>
      </c>
      <c r="D451" s="692"/>
      <c r="E451" s="574"/>
      <c r="F451" s="574"/>
      <c r="G451" s="574"/>
      <c r="H451" s="574"/>
      <c r="I451" s="574"/>
      <c r="J451" s="576"/>
      <c r="K451" s="576"/>
      <c r="L451" s="683"/>
      <c r="N451" s="122"/>
      <c r="O451" s="546">
        <v>0.0</v>
      </c>
      <c r="P451" s="545">
        <v>0.0</v>
      </c>
      <c r="Q451" s="546">
        <v>0.0</v>
      </c>
      <c r="R451" s="655"/>
      <c r="S451" s="75"/>
      <c r="T451" s="655"/>
      <c r="U451" s="75"/>
      <c r="V451" s="655"/>
      <c r="W451" s="144"/>
      <c r="X451" s="549"/>
    </row>
    <row r="452">
      <c r="A452" s="538" t="s">
        <v>3511</v>
      </c>
      <c r="D452" s="692"/>
      <c r="E452" s="574"/>
      <c r="F452" s="574"/>
      <c r="G452" s="574"/>
      <c r="H452" s="574"/>
      <c r="I452" s="574"/>
      <c r="J452" s="576"/>
      <c r="K452" s="576"/>
      <c r="L452" s="683"/>
      <c r="N452" s="122"/>
      <c r="O452" s="546">
        <v>0.0</v>
      </c>
      <c r="P452" s="545">
        <v>0.0</v>
      </c>
      <c r="Q452" s="546">
        <v>0.0</v>
      </c>
      <c r="R452" s="655"/>
      <c r="S452" s="75"/>
      <c r="T452" s="655"/>
      <c r="U452" s="75"/>
      <c r="V452" s="655"/>
      <c r="W452" s="144"/>
      <c r="X452" s="549"/>
    </row>
    <row r="453">
      <c r="A453" s="538" t="s">
        <v>3511</v>
      </c>
      <c r="D453" s="692"/>
      <c r="E453" s="574"/>
      <c r="F453" s="574"/>
      <c r="G453" s="574"/>
      <c r="H453" s="574"/>
      <c r="I453" s="574"/>
      <c r="J453" s="576"/>
      <c r="K453" s="576"/>
      <c r="L453" s="683"/>
      <c r="N453" s="122"/>
      <c r="O453" s="546">
        <v>0.0</v>
      </c>
      <c r="P453" s="545">
        <v>0.0</v>
      </c>
      <c r="Q453" s="546">
        <v>0.0</v>
      </c>
      <c r="R453" s="655"/>
      <c r="S453" s="75"/>
      <c r="T453" s="655"/>
      <c r="U453" s="75"/>
      <c r="V453" s="655"/>
      <c r="W453" s="144"/>
      <c r="X453" s="549"/>
    </row>
    <row r="454">
      <c r="A454" s="538" t="s">
        <v>3511</v>
      </c>
      <c r="D454" s="692"/>
      <c r="E454" s="574"/>
      <c r="F454" s="574"/>
      <c r="G454" s="574"/>
      <c r="H454" s="574"/>
      <c r="I454" s="574"/>
      <c r="J454" s="576"/>
      <c r="K454" s="576"/>
      <c r="L454" s="683"/>
      <c r="N454" s="122"/>
      <c r="O454" s="546">
        <v>0.0</v>
      </c>
      <c r="P454" s="545">
        <v>0.0</v>
      </c>
      <c r="Q454" s="546">
        <v>0.0</v>
      </c>
      <c r="R454" s="655"/>
      <c r="S454" s="75"/>
      <c r="T454" s="655"/>
      <c r="U454" s="75"/>
      <c r="V454" s="655"/>
      <c r="W454" s="144"/>
      <c r="X454" s="549"/>
    </row>
    <row r="455">
      <c r="A455" s="538" t="s">
        <v>3511</v>
      </c>
      <c r="D455" s="692"/>
      <c r="E455" s="574"/>
      <c r="F455" s="574"/>
      <c r="G455" s="574"/>
      <c r="H455" s="574"/>
      <c r="I455" s="574"/>
      <c r="J455" s="576"/>
      <c r="K455" s="576"/>
      <c r="L455" s="683"/>
      <c r="N455" s="122"/>
      <c r="O455" s="546">
        <v>0.0</v>
      </c>
      <c r="P455" s="545">
        <v>0.0</v>
      </c>
      <c r="Q455" s="546">
        <v>0.0</v>
      </c>
      <c r="R455" s="655"/>
      <c r="S455" s="75"/>
      <c r="T455" s="655"/>
      <c r="U455" s="75"/>
      <c r="V455" s="655"/>
      <c r="W455" s="144"/>
      <c r="X455" s="549"/>
    </row>
    <row r="456">
      <c r="A456" s="538" t="s">
        <v>3511</v>
      </c>
      <c r="D456" s="692"/>
      <c r="E456" s="574"/>
      <c r="F456" s="574"/>
      <c r="G456" s="574"/>
      <c r="H456" s="574"/>
      <c r="I456" s="574"/>
      <c r="J456" s="576"/>
      <c r="K456" s="576"/>
      <c r="L456" s="683"/>
      <c r="N456" s="122"/>
      <c r="O456" s="546">
        <v>0.0</v>
      </c>
      <c r="P456" s="545">
        <v>0.0</v>
      </c>
      <c r="Q456" s="546">
        <v>0.0</v>
      </c>
      <c r="R456" s="655"/>
      <c r="S456" s="75"/>
      <c r="T456" s="655"/>
      <c r="U456" s="75"/>
      <c r="V456" s="655"/>
      <c r="W456" s="144"/>
      <c r="X456" s="549"/>
    </row>
    <row r="457">
      <c r="A457" s="538" t="s">
        <v>3511</v>
      </c>
      <c r="D457" s="692"/>
      <c r="E457" s="574"/>
      <c r="F457" s="574"/>
      <c r="G457" s="574"/>
      <c r="H457" s="574"/>
      <c r="I457" s="574"/>
      <c r="J457" s="576"/>
      <c r="K457" s="576"/>
      <c r="L457" s="683"/>
      <c r="N457" s="122"/>
      <c r="O457" s="546">
        <v>0.0</v>
      </c>
      <c r="P457" s="545">
        <v>0.0</v>
      </c>
      <c r="Q457" s="546">
        <v>0.0</v>
      </c>
      <c r="R457" s="655"/>
      <c r="S457" s="75"/>
      <c r="T457" s="655"/>
      <c r="U457" s="75"/>
      <c r="V457" s="655"/>
      <c r="W457" s="144"/>
      <c r="X457" s="549"/>
    </row>
    <row r="458">
      <c r="A458" s="538" t="s">
        <v>3511</v>
      </c>
      <c r="D458" s="692"/>
      <c r="E458" s="574"/>
      <c r="F458" s="574"/>
      <c r="G458" s="574"/>
      <c r="H458" s="574"/>
      <c r="I458" s="574"/>
      <c r="J458" s="576"/>
      <c r="K458" s="576"/>
      <c r="L458" s="683"/>
      <c r="N458" s="122"/>
      <c r="O458" s="546">
        <v>0.0</v>
      </c>
      <c r="P458" s="545">
        <v>0.0</v>
      </c>
      <c r="Q458" s="546">
        <v>0.0</v>
      </c>
      <c r="R458" s="655"/>
      <c r="S458" s="75"/>
      <c r="T458" s="655"/>
      <c r="U458" s="75"/>
      <c r="V458" s="655"/>
      <c r="W458" s="144"/>
      <c r="X458" s="549"/>
    </row>
    <row r="459">
      <c r="A459" s="538" t="s">
        <v>3511</v>
      </c>
      <c r="D459" s="692"/>
      <c r="E459" s="574"/>
      <c r="F459" s="574"/>
      <c r="G459" s="574"/>
      <c r="H459" s="574"/>
      <c r="I459" s="574"/>
      <c r="J459" s="576"/>
      <c r="K459" s="576"/>
      <c r="L459" s="683"/>
      <c r="N459" s="122"/>
      <c r="O459" s="546">
        <v>0.0</v>
      </c>
      <c r="P459" s="545">
        <v>0.0</v>
      </c>
      <c r="Q459" s="546">
        <v>0.0</v>
      </c>
      <c r="R459" s="655"/>
      <c r="S459" s="75"/>
      <c r="T459" s="655"/>
      <c r="U459" s="75"/>
      <c r="V459" s="655"/>
      <c r="W459" s="144"/>
      <c r="X459" s="549"/>
    </row>
    <row r="460">
      <c r="A460" s="538" t="s">
        <v>3511</v>
      </c>
      <c r="D460" s="692"/>
      <c r="E460" s="574"/>
      <c r="F460" s="574"/>
      <c r="G460" s="574"/>
      <c r="H460" s="574"/>
      <c r="I460" s="574"/>
      <c r="J460" s="576"/>
      <c r="K460" s="576"/>
      <c r="L460" s="683"/>
      <c r="N460" s="122"/>
      <c r="O460" s="546">
        <v>0.0</v>
      </c>
      <c r="P460" s="545">
        <v>0.0</v>
      </c>
      <c r="Q460" s="546">
        <v>0.0</v>
      </c>
      <c r="R460" s="655"/>
      <c r="S460" s="75"/>
      <c r="T460" s="655"/>
      <c r="U460" s="75"/>
      <c r="V460" s="655"/>
      <c r="W460" s="144"/>
      <c r="X460" s="549"/>
    </row>
    <row r="461">
      <c r="A461" s="538" t="s">
        <v>3511</v>
      </c>
      <c r="D461" s="692"/>
      <c r="E461" s="574"/>
      <c r="F461" s="574"/>
      <c r="G461" s="574"/>
      <c r="H461" s="574"/>
      <c r="I461" s="574"/>
      <c r="J461" s="576"/>
      <c r="K461" s="576"/>
      <c r="L461" s="683"/>
      <c r="N461" s="122"/>
      <c r="O461" s="546">
        <v>0.0</v>
      </c>
      <c r="P461" s="545">
        <v>0.0</v>
      </c>
      <c r="Q461" s="546">
        <v>0.0</v>
      </c>
      <c r="R461" s="655"/>
      <c r="S461" s="75"/>
      <c r="T461" s="655"/>
      <c r="U461" s="75"/>
      <c r="V461" s="655"/>
      <c r="W461" s="144"/>
      <c r="X461" s="549"/>
    </row>
    <row r="462">
      <c r="A462" s="538" t="s">
        <v>3511</v>
      </c>
      <c r="D462" s="692"/>
      <c r="E462" s="574"/>
      <c r="F462" s="574"/>
      <c r="G462" s="574"/>
      <c r="H462" s="574"/>
      <c r="I462" s="574"/>
      <c r="J462" s="576"/>
      <c r="K462" s="576"/>
      <c r="L462" s="683"/>
      <c r="N462" s="122"/>
      <c r="O462" s="546">
        <v>0.0</v>
      </c>
      <c r="P462" s="545">
        <v>0.0</v>
      </c>
      <c r="Q462" s="546">
        <v>0.0</v>
      </c>
      <c r="R462" s="655"/>
      <c r="S462" s="75"/>
      <c r="T462" s="655"/>
      <c r="U462" s="75"/>
      <c r="V462" s="655"/>
      <c r="W462" s="144"/>
      <c r="X462" s="549"/>
    </row>
    <row r="463">
      <c r="A463" s="538" t="s">
        <v>3511</v>
      </c>
      <c r="D463" s="692"/>
      <c r="E463" s="574"/>
      <c r="F463" s="574"/>
      <c r="G463" s="574"/>
      <c r="H463" s="574"/>
      <c r="I463" s="574"/>
      <c r="J463" s="576"/>
      <c r="K463" s="576"/>
      <c r="L463" s="683"/>
      <c r="N463" s="122"/>
      <c r="O463" s="546">
        <v>0.0</v>
      </c>
      <c r="P463" s="545">
        <v>0.0</v>
      </c>
      <c r="Q463" s="546">
        <v>0.0</v>
      </c>
      <c r="R463" s="655"/>
      <c r="S463" s="75"/>
      <c r="T463" s="655"/>
      <c r="U463" s="75"/>
      <c r="V463" s="655"/>
      <c r="W463" s="144"/>
      <c r="X463" s="549"/>
    </row>
    <row r="464">
      <c r="A464" s="538" t="s">
        <v>3511</v>
      </c>
      <c r="D464" s="692"/>
      <c r="E464" s="574"/>
      <c r="F464" s="574"/>
      <c r="G464" s="574"/>
      <c r="H464" s="574"/>
      <c r="I464" s="574"/>
      <c r="J464" s="576"/>
      <c r="K464" s="576"/>
      <c r="L464" s="683"/>
      <c r="N464" s="122"/>
      <c r="O464" s="546">
        <v>0.0</v>
      </c>
      <c r="P464" s="545">
        <v>0.0</v>
      </c>
      <c r="Q464" s="546">
        <v>0.0</v>
      </c>
      <c r="R464" s="655"/>
      <c r="S464" s="75"/>
      <c r="T464" s="655"/>
      <c r="U464" s="75"/>
      <c r="V464" s="655"/>
      <c r="W464" s="144"/>
      <c r="X464" s="549"/>
    </row>
    <row r="465">
      <c r="A465" s="538" t="s">
        <v>3511</v>
      </c>
      <c r="D465" s="692"/>
      <c r="E465" s="574"/>
      <c r="F465" s="574"/>
      <c r="G465" s="574"/>
      <c r="H465" s="574"/>
      <c r="I465" s="574"/>
      <c r="J465" s="576"/>
      <c r="K465" s="576"/>
      <c r="L465" s="683"/>
      <c r="N465" s="122"/>
      <c r="O465" s="546">
        <v>0.0</v>
      </c>
      <c r="P465" s="545">
        <v>0.0</v>
      </c>
      <c r="Q465" s="546">
        <v>0.0</v>
      </c>
      <c r="R465" s="655"/>
      <c r="S465" s="75"/>
      <c r="T465" s="655"/>
      <c r="U465" s="75"/>
      <c r="V465" s="655"/>
      <c r="W465" s="144"/>
      <c r="X465" s="549"/>
    </row>
    <row r="466">
      <c r="A466" s="538" t="s">
        <v>3511</v>
      </c>
      <c r="D466" s="692"/>
      <c r="E466" s="574"/>
      <c r="F466" s="574"/>
      <c r="G466" s="574"/>
      <c r="H466" s="574"/>
      <c r="I466" s="574"/>
      <c r="J466" s="576"/>
      <c r="K466" s="576"/>
      <c r="L466" s="683"/>
      <c r="N466" s="122"/>
      <c r="O466" s="546">
        <v>0.0</v>
      </c>
      <c r="P466" s="545">
        <v>0.0</v>
      </c>
      <c r="Q466" s="546">
        <v>0.0</v>
      </c>
      <c r="R466" s="655"/>
      <c r="S466" s="75"/>
      <c r="T466" s="655"/>
      <c r="U466" s="75"/>
      <c r="V466" s="655"/>
      <c r="W466" s="144"/>
      <c r="X466" s="549"/>
    </row>
    <row r="467">
      <c r="A467" s="538" t="s">
        <v>3511</v>
      </c>
      <c r="D467" s="692"/>
      <c r="E467" s="574"/>
      <c r="F467" s="574"/>
      <c r="G467" s="574"/>
      <c r="H467" s="574"/>
      <c r="I467" s="574"/>
      <c r="J467" s="576"/>
      <c r="K467" s="576"/>
      <c r="L467" s="683"/>
      <c r="N467" s="122"/>
      <c r="O467" s="546">
        <v>0.0</v>
      </c>
      <c r="P467" s="545">
        <v>0.0</v>
      </c>
      <c r="Q467" s="546">
        <v>0.0</v>
      </c>
      <c r="R467" s="655"/>
      <c r="S467" s="75"/>
      <c r="T467" s="655"/>
      <c r="U467" s="75"/>
      <c r="V467" s="655"/>
      <c r="W467" s="144"/>
      <c r="X467" s="549"/>
    </row>
    <row r="468">
      <c r="A468" s="538" t="s">
        <v>3511</v>
      </c>
      <c r="D468" s="692"/>
      <c r="E468" s="574"/>
      <c r="F468" s="574"/>
      <c r="G468" s="574"/>
      <c r="H468" s="574"/>
      <c r="I468" s="574"/>
      <c r="J468" s="576"/>
      <c r="K468" s="576"/>
      <c r="L468" s="683"/>
      <c r="N468" s="122"/>
      <c r="O468" s="546">
        <v>0.0</v>
      </c>
      <c r="P468" s="545">
        <v>0.0</v>
      </c>
      <c r="Q468" s="546">
        <v>0.0</v>
      </c>
      <c r="R468" s="655"/>
      <c r="S468" s="75"/>
      <c r="T468" s="655"/>
      <c r="U468" s="75"/>
      <c r="V468" s="655"/>
      <c r="W468" s="144"/>
      <c r="X468" s="549"/>
    </row>
    <row r="469">
      <c r="A469" s="538" t="s">
        <v>3511</v>
      </c>
      <c r="D469" s="692"/>
      <c r="E469" s="574"/>
      <c r="F469" s="574"/>
      <c r="G469" s="574"/>
      <c r="H469" s="574"/>
      <c r="I469" s="574"/>
      <c r="J469" s="576"/>
      <c r="K469" s="576"/>
      <c r="L469" s="683"/>
      <c r="N469" s="122"/>
      <c r="O469" s="546">
        <v>0.0</v>
      </c>
      <c r="P469" s="545">
        <v>0.0</v>
      </c>
      <c r="Q469" s="546">
        <v>0.0</v>
      </c>
      <c r="R469" s="655"/>
      <c r="S469" s="75"/>
      <c r="T469" s="655"/>
      <c r="U469" s="75"/>
      <c r="V469" s="655"/>
      <c r="W469" s="144"/>
      <c r="X469" s="549"/>
    </row>
    <row r="470">
      <c r="A470" s="538" t="s">
        <v>3511</v>
      </c>
      <c r="D470" s="692"/>
      <c r="E470" s="574"/>
      <c r="F470" s="574"/>
      <c r="G470" s="574"/>
      <c r="H470" s="574"/>
      <c r="I470" s="574"/>
      <c r="J470" s="576"/>
      <c r="K470" s="576"/>
      <c r="L470" s="683"/>
      <c r="N470" s="122"/>
      <c r="O470" s="546">
        <v>0.0</v>
      </c>
      <c r="P470" s="545">
        <v>0.0</v>
      </c>
      <c r="Q470" s="546">
        <v>0.0</v>
      </c>
      <c r="R470" s="655"/>
      <c r="S470" s="75"/>
      <c r="T470" s="655"/>
      <c r="U470" s="75"/>
      <c r="V470" s="655"/>
      <c r="W470" s="144"/>
      <c r="X470" s="549"/>
    </row>
    <row r="471">
      <c r="A471" s="538" t="s">
        <v>3511</v>
      </c>
      <c r="D471" s="692"/>
      <c r="E471" s="574"/>
      <c r="F471" s="574"/>
      <c r="G471" s="574"/>
      <c r="H471" s="574"/>
      <c r="I471" s="574"/>
      <c r="J471" s="576"/>
      <c r="K471" s="576"/>
      <c r="L471" s="683"/>
      <c r="N471" s="122"/>
      <c r="O471" s="546">
        <v>0.0</v>
      </c>
      <c r="P471" s="545">
        <v>0.0</v>
      </c>
      <c r="Q471" s="546">
        <v>0.0</v>
      </c>
      <c r="R471" s="655"/>
      <c r="S471" s="75"/>
      <c r="T471" s="655"/>
      <c r="U471" s="75"/>
      <c r="V471" s="655"/>
      <c r="W471" s="144"/>
      <c r="X471" s="549"/>
    </row>
    <row r="472">
      <c r="A472" s="538" t="s">
        <v>3511</v>
      </c>
      <c r="D472" s="692"/>
      <c r="E472" s="574"/>
      <c r="F472" s="574"/>
      <c r="G472" s="574"/>
      <c r="H472" s="574"/>
      <c r="I472" s="574"/>
      <c r="J472" s="576"/>
      <c r="K472" s="576"/>
      <c r="L472" s="683"/>
      <c r="N472" s="122"/>
      <c r="O472" s="546">
        <v>0.0</v>
      </c>
      <c r="P472" s="545">
        <v>0.0</v>
      </c>
      <c r="Q472" s="546">
        <v>0.0</v>
      </c>
      <c r="R472" s="655"/>
      <c r="S472" s="75"/>
      <c r="T472" s="655"/>
      <c r="U472" s="75"/>
      <c r="V472" s="655"/>
      <c r="W472" s="144"/>
      <c r="X472" s="549"/>
    </row>
    <row r="473">
      <c r="A473" s="538" t="s">
        <v>3511</v>
      </c>
      <c r="D473" s="692"/>
      <c r="E473" s="574"/>
      <c r="F473" s="574"/>
      <c r="G473" s="574"/>
      <c r="H473" s="574"/>
      <c r="I473" s="574"/>
      <c r="J473" s="576"/>
      <c r="K473" s="576"/>
      <c r="L473" s="683"/>
      <c r="N473" s="122"/>
      <c r="O473" s="546">
        <v>0.0</v>
      </c>
      <c r="P473" s="545">
        <v>0.0</v>
      </c>
      <c r="Q473" s="546">
        <v>0.0</v>
      </c>
      <c r="R473" s="655"/>
      <c r="S473" s="75"/>
      <c r="T473" s="655"/>
      <c r="U473" s="75"/>
      <c r="V473" s="655"/>
      <c r="W473" s="144"/>
      <c r="X473" s="549"/>
    </row>
    <row r="474">
      <c r="A474" s="538" t="s">
        <v>3511</v>
      </c>
      <c r="D474" s="692"/>
      <c r="E474" s="574"/>
      <c r="F474" s="574"/>
      <c r="G474" s="574"/>
      <c r="H474" s="574"/>
      <c r="I474" s="574"/>
      <c r="J474" s="576"/>
      <c r="K474" s="576"/>
      <c r="L474" s="683"/>
      <c r="N474" s="122"/>
      <c r="O474" s="546">
        <v>0.0</v>
      </c>
      <c r="P474" s="545">
        <v>0.0</v>
      </c>
      <c r="Q474" s="546">
        <v>0.0</v>
      </c>
      <c r="R474" s="655"/>
      <c r="S474" s="75"/>
      <c r="T474" s="655"/>
      <c r="U474" s="75"/>
      <c r="V474" s="655"/>
      <c r="W474" s="144"/>
      <c r="X474" s="549"/>
    </row>
    <row r="475">
      <c r="A475" s="538" t="s">
        <v>3511</v>
      </c>
      <c r="D475" s="692"/>
      <c r="E475" s="574"/>
      <c r="F475" s="574"/>
      <c r="G475" s="574"/>
      <c r="H475" s="574"/>
      <c r="I475" s="574"/>
      <c r="J475" s="576"/>
      <c r="K475" s="576"/>
      <c r="L475" s="683"/>
      <c r="N475" s="122"/>
      <c r="O475" s="546">
        <v>0.0</v>
      </c>
      <c r="P475" s="545">
        <v>0.0</v>
      </c>
      <c r="Q475" s="546">
        <v>0.0</v>
      </c>
      <c r="R475" s="655"/>
      <c r="S475" s="75"/>
      <c r="T475" s="655"/>
      <c r="U475" s="75"/>
      <c r="V475" s="655"/>
      <c r="W475" s="144"/>
      <c r="X475" s="549"/>
    </row>
    <row r="476">
      <c r="A476" s="538" t="s">
        <v>3511</v>
      </c>
      <c r="D476" s="692"/>
      <c r="E476" s="574"/>
      <c r="F476" s="574"/>
      <c r="G476" s="574"/>
      <c r="H476" s="574"/>
      <c r="I476" s="574"/>
      <c r="J476" s="576"/>
      <c r="K476" s="576"/>
      <c r="L476" s="683"/>
      <c r="N476" s="122"/>
      <c r="O476" s="546">
        <v>0.0</v>
      </c>
      <c r="P476" s="545">
        <v>0.0</v>
      </c>
      <c r="Q476" s="546">
        <v>0.0</v>
      </c>
      <c r="R476" s="655"/>
      <c r="S476" s="75"/>
      <c r="T476" s="655"/>
      <c r="U476" s="75"/>
      <c r="V476" s="655"/>
      <c r="W476" s="144"/>
      <c r="X476" s="549"/>
    </row>
    <row r="477">
      <c r="A477" s="538" t="s">
        <v>3511</v>
      </c>
      <c r="D477" s="692"/>
      <c r="E477" s="574"/>
      <c r="F477" s="574"/>
      <c r="G477" s="574"/>
      <c r="H477" s="574"/>
      <c r="I477" s="574"/>
      <c r="J477" s="576"/>
      <c r="K477" s="576"/>
      <c r="L477" s="683"/>
      <c r="N477" s="122"/>
      <c r="O477" s="546">
        <v>0.0</v>
      </c>
      <c r="P477" s="545">
        <v>0.0</v>
      </c>
      <c r="Q477" s="546">
        <v>0.0</v>
      </c>
      <c r="R477" s="655"/>
      <c r="S477" s="75"/>
      <c r="T477" s="655"/>
      <c r="U477" s="75"/>
      <c r="V477" s="655"/>
      <c r="W477" s="144"/>
      <c r="X477" s="549"/>
    </row>
    <row r="478">
      <c r="A478" s="538" t="s">
        <v>3511</v>
      </c>
      <c r="D478" s="692"/>
      <c r="E478" s="574"/>
      <c r="F478" s="574"/>
      <c r="G478" s="574"/>
      <c r="H478" s="574"/>
      <c r="I478" s="574"/>
      <c r="J478" s="576"/>
      <c r="K478" s="576"/>
      <c r="L478" s="683"/>
      <c r="N478" s="122"/>
      <c r="O478" s="546">
        <v>0.0</v>
      </c>
      <c r="P478" s="545">
        <v>0.0</v>
      </c>
      <c r="Q478" s="546">
        <v>0.0</v>
      </c>
      <c r="R478" s="655"/>
      <c r="S478" s="75"/>
      <c r="T478" s="655"/>
      <c r="U478" s="75"/>
      <c r="V478" s="655"/>
      <c r="W478" s="144"/>
      <c r="X478" s="549"/>
    </row>
    <row r="479">
      <c r="A479" s="538" t="s">
        <v>3511</v>
      </c>
      <c r="D479" s="692"/>
      <c r="E479" s="574"/>
      <c r="F479" s="574"/>
      <c r="G479" s="574"/>
      <c r="H479" s="574"/>
      <c r="I479" s="574"/>
      <c r="J479" s="576"/>
      <c r="K479" s="576"/>
      <c r="L479" s="683"/>
      <c r="N479" s="122"/>
      <c r="O479" s="546">
        <v>0.0</v>
      </c>
      <c r="P479" s="545">
        <v>0.0</v>
      </c>
      <c r="Q479" s="546">
        <v>0.0</v>
      </c>
      <c r="R479" s="655"/>
      <c r="S479" s="75"/>
      <c r="T479" s="655"/>
      <c r="U479" s="75"/>
      <c r="V479" s="655"/>
      <c r="W479" s="144"/>
      <c r="X479" s="549"/>
    </row>
    <row r="480">
      <c r="A480" s="538" t="s">
        <v>3511</v>
      </c>
      <c r="D480" s="692"/>
      <c r="E480" s="574"/>
      <c r="F480" s="574"/>
      <c r="G480" s="574"/>
      <c r="H480" s="574"/>
      <c r="I480" s="574"/>
      <c r="J480" s="576"/>
      <c r="K480" s="576"/>
      <c r="L480" s="683"/>
      <c r="N480" s="122"/>
      <c r="O480" s="546">
        <v>0.0</v>
      </c>
      <c r="P480" s="545">
        <v>0.0</v>
      </c>
      <c r="Q480" s="546">
        <v>0.0</v>
      </c>
      <c r="R480" s="655"/>
      <c r="S480" s="75"/>
      <c r="T480" s="655"/>
      <c r="U480" s="75"/>
      <c r="V480" s="655"/>
      <c r="W480" s="144"/>
      <c r="X480" s="549"/>
    </row>
    <row r="481">
      <c r="A481" s="538" t="s">
        <v>3511</v>
      </c>
      <c r="D481" s="692"/>
      <c r="E481" s="574"/>
      <c r="F481" s="574"/>
      <c r="G481" s="574"/>
      <c r="H481" s="574"/>
      <c r="I481" s="574"/>
      <c r="J481" s="576"/>
      <c r="K481" s="576"/>
      <c r="L481" s="683"/>
      <c r="N481" s="122"/>
      <c r="O481" s="546">
        <v>0.0</v>
      </c>
      <c r="P481" s="545">
        <v>0.0</v>
      </c>
      <c r="Q481" s="546">
        <v>0.0</v>
      </c>
      <c r="R481" s="655"/>
      <c r="S481" s="75"/>
      <c r="T481" s="655"/>
      <c r="U481" s="75"/>
      <c r="V481" s="655"/>
      <c r="W481" s="144"/>
      <c r="X481" s="549"/>
    </row>
    <row r="482">
      <c r="A482" s="538" t="s">
        <v>3511</v>
      </c>
      <c r="D482" s="692"/>
      <c r="E482" s="574"/>
      <c r="F482" s="574"/>
      <c r="G482" s="574"/>
      <c r="H482" s="574"/>
      <c r="I482" s="574"/>
      <c r="J482" s="576"/>
      <c r="K482" s="576"/>
      <c r="L482" s="683"/>
      <c r="N482" s="122"/>
      <c r="O482" s="546">
        <v>0.0</v>
      </c>
      <c r="P482" s="545">
        <v>0.0</v>
      </c>
      <c r="Q482" s="546">
        <v>0.0</v>
      </c>
      <c r="R482" s="655"/>
      <c r="S482" s="75"/>
      <c r="T482" s="655"/>
      <c r="U482" s="75"/>
      <c r="V482" s="655"/>
      <c r="W482" s="144"/>
      <c r="X482" s="549"/>
    </row>
    <row r="483">
      <c r="A483" s="538" t="s">
        <v>3511</v>
      </c>
      <c r="D483" s="692"/>
      <c r="E483" s="574"/>
      <c r="F483" s="574"/>
      <c r="G483" s="574"/>
      <c r="H483" s="574"/>
      <c r="I483" s="574"/>
      <c r="J483" s="576"/>
      <c r="K483" s="576"/>
      <c r="L483" s="683"/>
      <c r="N483" s="122"/>
      <c r="O483" s="546">
        <v>0.0</v>
      </c>
      <c r="P483" s="545">
        <v>0.0</v>
      </c>
      <c r="Q483" s="546">
        <v>0.0</v>
      </c>
      <c r="R483" s="655"/>
      <c r="S483" s="75"/>
      <c r="T483" s="655"/>
      <c r="U483" s="75"/>
      <c r="V483" s="655"/>
      <c r="W483" s="144"/>
      <c r="X483" s="549"/>
    </row>
    <row r="484">
      <c r="A484" s="538" t="s">
        <v>3511</v>
      </c>
      <c r="D484" s="692"/>
      <c r="E484" s="574"/>
      <c r="F484" s="574"/>
      <c r="G484" s="574"/>
      <c r="H484" s="574"/>
      <c r="I484" s="574"/>
      <c r="J484" s="576"/>
      <c r="K484" s="576"/>
      <c r="L484" s="683"/>
      <c r="N484" s="122"/>
      <c r="O484" s="546">
        <v>0.0</v>
      </c>
      <c r="P484" s="545">
        <v>0.0</v>
      </c>
      <c r="Q484" s="546">
        <v>0.0</v>
      </c>
      <c r="R484" s="655"/>
      <c r="S484" s="75"/>
      <c r="T484" s="655"/>
      <c r="U484" s="75"/>
      <c r="V484" s="655"/>
      <c r="W484" s="144"/>
      <c r="X484" s="549"/>
    </row>
    <row r="485">
      <c r="A485" s="538" t="s">
        <v>3511</v>
      </c>
      <c r="D485" s="692"/>
      <c r="E485" s="574"/>
      <c r="F485" s="574"/>
      <c r="G485" s="574"/>
      <c r="H485" s="574"/>
      <c r="I485" s="574"/>
      <c r="J485" s="576"/>
      <c r="K485" s="576"/>
      <c r="L485" s="683"/>
      <c r="N485" s="122"/>
      <c r="O485" s="546">
        <v>0.0</v>
      </c>
      <c r="P485" s="545">
        <v>0.0</v>
      </c>
      <c r="Q485" s="546">
        <v>0.0</v>
      </c>
      <c r="R485" s="655"/>
      <c r="S485" s="75"/>
      <c r="T485" s="655"/>
      <c r="U485" s="75"/>
      <c r="V485" s="655"/>
      <c r="W485" s="144"/>
      <c r="X485" s="549"/>
    </row>
    <row r="486">
      <c r="A486" s="538" t="s">
        <v>3511</v>
      </c>
      <c r="D486" s="692"/>
      <c r="E486" s="574"/>
      <c r="F486" s="574"/>
      <c r="G486" s="574"/>
      <c r="H486" s="574"/>
      <c r="I486" s="574"/>
      <c r="J486" s="576"/>
      <c r="K486" s="576"/>
      <c r="L486" s="683"/>
      <c r="N486" s="122"/>
      <c r="O486" s="546">
        <v>0.0</v>
      </c>
      <c r="P486" s="545">
        <v>0.0</v>
      </c>
      <c r="Q486" s="546">
        <v>0.0</v>
      </c>
      <c r="R486" s="655"/>
      <c r="S486" s="75"/>
      <c r="T486" s="655"/>
      <c r="U486" s="75"/>
      <c r="V486" s="655"/>
      <c r="W486" s="144"/>
      <c r="X486" s="549"/>
    </row>
    <row r="487">
      <c r="A487" s="538" t="s">
        <v>3511</v>
      </c>
      <c r="D487" s="692"/>
      <c r="E487" s="574"/>
      <c r="F487" s="574"/>
      <c r="G487" s="574"/>
      <c r="H487" s="574"/>
      <c r="I487" s="574"/>
      <c r="J487" s="576"/>
      <c r="K487" s="576"/>
      <c r="L487" s="683"/>
      <c r="N487" s="122"/>
      <c r="O487" s="546">
        <v>0.0</v>
      </c>
      <c r="P487" s="545">
        <v>0.0</v>
      </c>
      <c r="Q487" s="546">
        <v>0.0</v>
      </c>
      <c r="R487" s="655"/>
      <c r="S487" s="75"/>
      <c r="T487" s="655"/>
      <c r="U487" s="75"/>
      <c r="V487" s="655"/>
      <c r="W487" s="144"/>
      <c r="X487" s="549"/>
    </row>
    <row r="488">
      <c r="A488" s="538" t="s">
        <v>3511</v>
      </c>
      <c r="D488" s="692"/>
      <c r="E488" s="574"/>
      <c r="F488" s="574"/>
      <c r="G488" s="574"/>
      <c r="H488" s="574"/>
      <c r="I488" s="574"/>
      <c r="J488" s="576"/>
      <c r="K488" s="576"/>
      <c r="L488" s="683"/>
      <c r="N488" s="122"/>
      <c r="O488" s="546">
        <v>0.0</v>
      </c>
      <c r="P488" s="545">
        <v>0.0</v>
      </c>
      <c r="Q488" s="546">
        <v>0.0</v>
      </c>
      <c r="R488" s="655"/>
      <c r="S488" s="75"/>
      <c r="T488" s="655"/>
      <c r="U488" s="75"/>
      <c r="V488" s="655"/>
      <c r="W488" s="144"/>
      <c r="X488" s="549"/>
    </row>
    <row r="489">
      <c r="A489" s="538" t="s">
        <v>3511</v>
      </c>
      <c r="D489" s="692"/>
      <c r="E489" s="574"/>
      <c r="F489" s="574"/>
      <c r="G489" s="574"/>
      <c r="H489" s="574"/>
      <c r="I489" s="574"/>
      <c r="J489" s="576"/>
      <c r="K489" s="576"/>
      <c r="L489" s="683"/>
      <c r="N489" s="122"/>
      <c r="O489" s="546">
        <v>0.0</v>
      </c>
      <c r="P489" s="545">
        <v>0.0</v>
      </c>
      <c r="Q489" s="546">
        <v>0.0</v>
      </c>
      <c r="R489" s="655"/>
      <c r="S489" s="75"/>
      <c r="T489" s="655"/>
      <c r="U489" s="75"/>
      <c r="V489" s="655"/>
      <c r="W489" s="144"/>
      <c r="X489" s="549"/>
    </row>
    <row r="490">
      <c r="A490" s="538" t="s">
        <v>3511</v>
      </c>
      <c r="D490" s="692"/>
      <c r="E490" s="574"/>
      <c r="F490" s="574"/>
      <c r="G490" s="574"/>
      <c r="H490" s="574"/>
      <c r="I490" s="574"/>
      <c r="J490" s="576"/>
      <c r="K490" s="576"/>
      <c r="L490" s="683"/>
      <c r="N490" s="122"/>
      <c r="O490" s="546">
        <v>0.0</v>
      </c>
      <c r="P490" s="545">
        <v>0.0</v>
      </c>
      <c r="Q490" s="546">
        <v>0.0</v>
      </c>
      <c r="R490" s="655"/>
      <c r="S490" s="75"/>
      <c r="T490" s="655"/>
      <c r="U490" s="75"/>
      <c r="V490" s="655"/>
      <c r="W490" s="144"/>
      <c r="X490" s="549"/>
    </row>
    <row r="491">
      <c r="A491" s="538" t="s">
        <v>3511</v>
      </c>
      <c r="D491" s="692"/>
      <c r="E491" s="574"/>
      <c r="F491" s="574"/>
      <c r="G491" s="574"/>
      <c r="H491" s="574"/>
      <c r="I491" s="574"/>
      <c r="J491" s="576"/>
      <c r="K491" s="576"/>
      <c r="L491" s="683"/>
      <c r="N491" s="122"/>
      <c r="O491" s="546">
        <v>0.0</v>
      </c>
      <c r="P491" s="545">
        <v>0.0</v>
      </c>
      <c r="Q491" s="546">
        <v>0.0</v>
      </c>
      <c r="R491" s="655"/>
      <c r="S491" s="75"/>
      <c r="T491" s="655"/>
      <c r="U491" s="75"/>
      <c r="V491" s="655"/>
      <c r="W491" s="144"/>
      <c r="X491" s="549"/>
    </row>
    <row r="492">
      <c r="A492" s="538" t="s">
        <v>3511</v>
      </c>
      <c r="D492" s="692"/>
      <c r="E492" s="574"/>
      <c r="F492" s="574"/>
      <c r="G492" s="574"/>
      <c r="H492" s="574"/>
      <c r="I492" s="574"/>
      <c r="J492" s="576"/>
      <c r="K492" s="576"/>
      <c r="L492" s="683"/>
      <c r="N492" s="122"/>
      <c r="O492" s="546">
        <v>0.0</v>
      </c>
      <c r="P492" s="545">
        <v>0.0</v>
      </c>
      <c r="Q492" s="546">
        <v>0.0</v>
      </c>
      <c r="R492" s="655"/>
      <c r="S492" s="75"/>
      <c r="T492" s="655"/>
      <c r="U492" s="75"/>
      <c r="V492" s="655"/>
      <c r="W492" s="144"/>
      <c r="X492" s="549"/>
    </row>
    <row r="493">
      <c r="A493" s="538" t="s">
        <v>3511</v>
      </c>
      <c r="D493" s="692"/>
      <c r="E493" s="574"/>
      <c r="F493" s="574"/>
      <c r="G493" s="574"/>
      <c r="H493" s="574"/>
      <c r="I493" s="574"/>
      <c r="J493" s="576"/>
      <c r="K493" s="576"/>
      <c r="L493" s="683"/>
      <c r="N493" s="122"/>
      <c r="O493" s="546">
        <v>0.0</v>
      </c>
      <c r="P493" s="545">
        <v>0.0</v>
      </c>
      <c r="Q493" s="546">
        <v>0.0</v>
      </c>
      <c r="R493" s="655"/>
      <c r="S493" s="75"/>
      <c r="T493" s="655"/>
      <c r="U493" s="75"/>
      <c r="V493" s="655"/>
      <c r="W493" s="144"/>
      <c r="X493" s="549"/>
    </row>
    <row r="494">
      <c r="A494" s="538" t="s">
        <v>3511</v>
      </c>
      <c r="D494" s="692"/>
      <c r="E494" s="574"/>
      <c r="F494" s="574"/>
      <c r="G494" s="574"/>
      <c r="H494" s="574"/>
      <c r="I494" s="574"/>
      <c r="J494" s="576"/>
      <c r="K494" s="576"/>
      <c r="L494" s="683"/>
      <c r="N494" s="122"/>
      <c r="O494" s="546">
        <v>0.0</v>
      </c>
      <c r="P494" s="545">
        <v>0.0</v>
      </c>
      <c r="Q494" s="546">
        <v>0.0</v>
      </c>
      <c r="R494" s="655"/>
      <c r="S494" s="75"/>
      <c r="T494" s="655"/>
      <c r="U494" s="75"/>
      <c r="V494" s="655"/>
      <c r="W494" s="144"/>
      <c r="X494" s="549"/>
    </row>
    <row r="495">
      <c r="A495" s="538" t="s">
        <v>3511</v>
      </c>
      <c r="D495" s="692"/>
      <c r="E495" s="574"/>
      <c r="F495" s="574"/>
      <c r="G495" s="574"/>
      <c r="H495" s="574"/>
      <c r="I495" s="574"/>
      <c r="J495" s="576"/>
      <c r="K495" s="576"/>
      <c r="L495" s="683"/>
      <c r="N495" s="122"/>
      <c r="O495" s="546">
        <v>0.0</v>
      </c>
      <c r="P495" s="545">
        <v>0.0</v>
      </c>
      <c r="Q495" s="546">
        <v>0.0</v>
      </c>
      <c r="R495" s="655"/>
      <c r="S495" s="75"/>
      <c r="T495" s="655"/>
      <c r="U495" s="75"/>
      <c r="V495" s="655"/>
      <c r="W495" s="144"/>
      <c r="X495" s="549"/>
    </row>
    <row r="496">
      <c r="A496" s="538" t="s">
        <v>3511</v>
      </c>
      <c r="D496" s="692"/>
      <c r="E496" s="574"/>
      <c r="F496" s="574"/>
      <c r="G496" s="574"/>
      <c r="H496" s="574"/>
      <c r="I496" s="574"/>
      <c r="J496" s="576"/>
      <c r="K496" s="576"/>
      <c r="L496" s="683"/>
      <c r="N496" s="122"/>
      <c r="O496" s="546">
        <v>0.0</v>
      </c>
      <c r="P496" s="545">
        <v>0.0</v>
      </c>
      <c r="Q496" s="546">
        <v>0.0</v>
      </c>
      <c r="R496" s="655"/>
      <c r="S496" s="75"/>
      <c r="T496" s="655"/>
      <c r="U496" s="75"/>
      <c r="V496" s="655"/>
      <c r="W496" s="144"/>
      <c r="X496" s="549"/>
    </row>
    <row r="497">
      <c r="A497" s="538" t="s">
        <v>3511</v>
      </c>
      <c r="D497" s="692"/>
      <c r="E497" s="574"/>
      <c r="F497" s="574"/>
      <c r="G497" s="574"/>
      <c r="H497" s="574"/>
      <c r="I497" s="574"/>
      <c r="J497" s="576"/>
      <c r="K497" s="576"/>
      <c r="L497" s="683"/>
      <c r="N497" s="122"/>
      <c r="O497" s="546">
        <v>0.0</v>
      </c>
      <c r="P497" s="545">
        <v>0.0</v>
      </c>
      <c r="Q497" s="546">
        <v>0.0</v>
      </c>
      <c r="R497" s="655"/>
      <c r="S497" s="75"/>
      <c r="T497" s="655"/>
      <c r="U497" s="75"/>
      <c r="V497" s="655"/>
      <c r="W497" s="144"/>
      <c r="X497" s="549"/>
    </row>
    <row r="498">
      <c r="A498" s="538" t="s">
        <v>3511</v>
      </c>
      <c r="D498" s="692"/>
      <c r="E498" s="574"/>
      <c r="F498" s="574"/>
      <c r="G498" s="574"/>
      <c r="H498" s="574"/>
      <c r="I498" s="574"/>
      <c r="J498" s="576"/>
      <c r="K498" s="576"/>
      <c r="L498" s="683"/>
      <c r="N498" s="122"/>
      <c r="O498" s="546">
        <v>0.0</v>
      </c>
      <c r="P498" s="545">
        <v>0.0</v>
      </c>
      <c r="Q498" s="546">
        <v>0.0</v>
      </c>
      <c r="R498" s="655"/>
      <c r="S498" s="75"/>
      <c r="T498" s="655"/>
      <c r="U498" s="75"/>
      <c r="V498" s="655"/>
      <c r="W498" s="144"/>
      <c r="X498" s="549"/>
    </row>
    <row r="499">
      <c r="A499" s="538" t="s">
        <v>3511</v>
      </c>
      <c r="D499" s="692"/>
      <c r="E499" s="574"/>
      <c r="F499" s="574"/>
      <c r="G499" s="574"/>
      <c r="H499" s="574"/>
      <c r="I499" s="574"/>
      <c r="J499" s="576"/>
      <c r="K499" s="576"/>
      <c r="L499" s="683"/>
      <c r="N499" s="122"/>
      <c r="O499" s="546">
        <v>0.0</v>
      </c>
      <c r="P499" s="545">
        <v>0.0</v>
      </c>
      <c r="Q499" s="546">
        <v>0.0</v>
      </c>
      <c r="R499" s="655"/>
      <c r="S499" s="75"/>
      <c r="T499" s="655"/>
      <c r="U499" s="75"/>
      <c r="V499" s="655"/>
      <c r="W499" s="144"/>
      <c r="X499" s="549"/>
    </row>
    <row r="500">
      <c r="A500" s="538" t="s">
        <v>3511</v>
      </c>
      <c r="D500" s="692"/>
      <c r="E500" s="574"/>
      <c r="F500" s="574"/>
      <c r="G500" s="574"/>
      <c r="H500" s="574"/>
      <c r="I500" s="574"/>
      <c r="J500" s="576"/>
      <c r="K500" s="576"/>
      <c r="L500" s="683"/>
      <c r="N500" s="122"/>
      <c r="O500" s="546">
        <v>0.0</v>
      </c>
      <c r="P500" s="545">
        <v>0.0</v>
      </c>
      <c r="Q500" s="546">
        <v>0.0</v>
      </c>
      <c r="R500" s="655"/>
      <c r="S500" s="75"/>
      <c r="T500" s="655"/>
      <c r="U500" s="75"/>
      <c r="V500" s="655"/>
      <c r="W500" s="144"/>
      <c r="X500" s="549"/>
    </row>
    <row r="501">
      <c r="A501" s="538" t="s">
        <v>3511</v>
      </c>
      <c r="D501" s="692"/>
      <c r="E501" s="574"/>
      <c r="F501" s="574"/>
      <c r="G501" s="574"/>
      <c r="H501" s="574"/>
      <c r="I501" s="574"/>
      <c r="J501" s="576"/>
      <c r="K501" s="576"/>
      <c r="L501" s="683"/>
      <c r="N501" s="122"/>
      <c r="O501" s="546">
        <v>0.0</v>
      </c>
      <c r="P501" s="545">
        <v>0.0</v>
      </c>
      <c r="Q501" s="546">
        <v>0.0</v>
      </c>
      <c r="R501" s="655"/>
      <c r="S501" s="75"/>
      <c r="T501" s="655"/>
      <c r="U501" s="75"/>
      <c r="V501" s="655"/>
      <c r="W501" s="144"/>
      <c r="X501" s="549"/>
    </row>
    <row r="502">
      <c r="A502" s="538" t="s">
        <v>3511</v>
      </c>
      <c r="D502" s="692"/>
      <c r="E502" s="574"/>
      <c r="F502" s="574"/>
      <c r="G502" s="574"/>
      <c r="H502" s="574"/>
      <c r="I502" s="574"/>
      <c r="J502" s="576"/>
      <c r="K502" s="576"/>
      <c r="L502" s="683"/>
      <c r="N502" s="122"/>
      <c r="O502" s="546">
        <v>0.0</v>
      </c>
      <c r="P502" s="545">
        <v>0.0</v>
      </c>
      <c r="Q502" s="546">
        <v>0.0</v>
      </c>
      <c r="R502" s="655"/>
      <c r="S502" s="75"/>
      <c r="T502" s="655"/>
      <c r="U502" s="75"/>
      <c r="V502" s="655"/>
      <c r="W502" s="144"/>
      <c r="X502" s="549"/>
    </row>
    <row r="503">
      <c r="A503" s="538" t="s">
        <v>3511</v>
      </c>
      <c r="D503" s="692"/>
      <c r="E503" s="574"/>
      <c r="F503" s="574"/>
      <c r="G503" s="574"/>
      <c r="H503" s="574"/>
      <c r="I503" s="574"/>
      <c r="J503" s="576"/>
      <c r="K503" s="576"/>
      <c r="L503" s="683"/>
      <c r="N503" s="122"/>
      <c r="O503" s="546">
        <v>0.0</v>
      </c>
      <c r="P503" s="545">
        <v>0.0</v>
      </c>
      <c r="Q503" s="546">
        <v>0.0</v>
      </c>
      <c r="R503" s="655"/>
      <c r="S503" s="75"/>
      <c r="T503" s="655"/>
      <c r="U503" s="75"/>
      <c r="V503" s="655"/>
      <c r="W503" s="144"/>
      <c r="X503" s="549"/>
    </row>
    <row r="504">
      <c r="A504" s="538" t="s">
        <v>3511</v>
      </c>
      <c r="D504" s="692"/>
      <c r="E504" s="574"/>
      <c r="F504" s="574"/>
      <c r="G504" s="574"/>
      <c r="H504" s="574"/>
      <c r="I504" s="574"/>
      <c r="J504" s="576"/>
      <c r="K504" s="576"/>
      <c r="L504" s="683"/>
      <c r="N504" s="122"/>
      <c r="O504" s="546">
        <v>0.0</v>
      </c>
      <c r="P504" s="545">
        <v>0.0</v>
      </c>
      <c r="Q504" s="546">
        <v>0.0</v>
      </c>
      <c r="R504" s="655"/>
      <c r="S504" s="75"/>
      <c r="T504" s="655"/>
      <c r="U504" s="75"/>
      <c r="V504" s="655"/>
      <c r="W504" s="144"/>
      <c r="X504" s="549"/>
    </row>
    <row r="505">
      <c r="A505" s="538" t="s">
        <v>3511</v>
      </c>
      <c r="D505" s="692"/>
      <c r="E505" s="574"/>
      <c r="F505" s="574"/>
      <c r="G505" s="574"/>
      <c r="H505" s="574"/>
      <c r="I505" s="574"/>
      <c r="J505" s="576"/>
      <c r="K505" s="576"/>
      <c r="L505" s="683"/>
      <c r="N505" s="122"/>
      <c r="O505" s="546">
        <v>0.0</v>
      </c>
      <c r="P505" s="545">
        <v>0.0</v>
      </c>
      <c r="Q505" s="546">
        <v>0.0</v>
      </c>
      <c r="R505" s="655"/>
      <c r="S505" s="75"/>
      <c r="T505" s="655"/>
      <c r="U505" s="75"/>
      <c r="V505" s="655"/>
      <c r="W505" s="144"/>
      <c r="X505" s="549"/>
    </row>
    <row r="506">
      <c r="A506" s="538" t="s">
        <v>3511</v>
      </c>
      <c r="D506" s="692"/>
      <c r="E506" s="574"/>
      <c r="F506" s="574"/>
      <c r="G506" s="574"/>
      <c r="H506" s="574"/>
      <c r="I506" s="574"/>
      <c r="J506" s="576"/>
      <c r="K506" s="576"/>
      <c r="L506" s="683"/>
      <c r="N506" s="122"/>
      <c r="O506" s="546">
        <v>0.0</v>
      </c>
      <c r="P506" s="545">
        <v>0.0</v>
      </c>
      <c r="Q506" s="546">
        <v>0.0</v>
      </c>
      <c r="R506" s="655"/>
      <c r="S506" s="75"/>
      <c r="T506" s="655"/>
      <c r="U506" s="75"/>
      <c r="V506" s="655"/>
      <c r="W506" s="144"/>
      <c r="X506" s="549"/>
    </row>
    <row r="507">
      <c r="A507" s="538" t="s">
        <v>3511</v>
      </c>
      <c r="D507" s="692"/>
      <c r="E507" s="574"/>
      <c r="F507" s="574"/>
      <c r="G507" s="574"/>
      <c r="H507" s="574"/>
      <c r="I507" s="574"/>
      <c r="J507" s="576"/>
      <c r="K507" s="576"/>
      <c r="L507" s="683"/>
      <c r="N507" s="122"/>
      <c r="O507" s="546">
        <v>0.0</v>
      </c>
      <c r="P507" s="545">
        <v>0.0</v>
      </c>
      <c r="Q507" s="546">
        <v>0.0</v>
      </c>
      <c r="R507" s="655"/>
      <c r="S507" s="75"/>
      <c r="T507" s="655"/>
      <c r="U507" s="75"/>
      <c r="V507" s="655"/>
      <c r="W507" s="144"/>
      <c r="X507" s="549"/>
    </row>
    <row r="508">
      <c r="A508" s="538" t="s">
        <v>3511</v>
      </c>
      <c r="D508" s="692"/>
      <c r="E508" s="574"/>
      <c r="F508" s="574"/>
      <c r="G508" s="574"/>
      <c r="H508" s="574"/>
      <c r="I508" s="574"/>
      <c r="J508" s="576"/>
      <c r="K508" s="576"/>
      <c r="L508" s="683"/>
      <c r="N508" s="122"/>
      <c r="O508" s="546">
        <v>0.0</v>
      </c>
      <c r="P508" s="545">
        <v>0.0</v>
      </c>
      <c r="Q508" s="546">
        <v>0.0</v>
      </c>
      <c r="R508" s="655"/>
      <c r="S508" s="75"/>
      <c r="T508" s="655"/>
      <c r="U508" s="75"/>
      <c r="V508" s="655"/>
      <c r="W508" s="144"/>
      <c r="X508" s="549"/>
    </row>
    <row r="509">
      <c r="A509" s="538" t="s">
        <v>3511</v>
      </c>
      <c r="D509" s="692"/>
      <c r="E509" s="574"/>
      <c r="F509" s="574"/>
      <c r="G509" s="574"/>
      <c r="H509" s="574"/>
      <c r="I509" s="574"/>
      <c r="J509" s="576"/>
      <c r="K509" s="576"/>
      <c r="L509" s="683"/>
      <c r="N509" s="122"/>
      <c r="O509" s="546">
        <v>0.0</v>
      </c>
      <c r="P509" s="545">
        <v>0.0</v>
      </c>
      <c r="Q509" s="546">
        <v>0.0</v>
      </c>
      <c r="R509" s="655"/>
      <c r="S509" s="75"/>
      <c r="T509" s="655"/>
      <c r="U509" s="75"/>
      <c r="V509" s="655"/>
      <c r="W509" s="144"/>
      <c r="X509" s="549"/>
    </row>
    <row r="510">
      <c r="A510" s="538" t="s">
        <v>3511</v>
      </c>
      <c r="D510" s="692"/>
      <c r="E510" s="574"/>
      <c r="F510" s="574"/>
      <c r="G510" s="574"/>
      <c r="H510" s="574"/>
      <c r="I510" s="574"/>
      <c r="J510" s="576"/>
      <c r="K510" s="576"/>
      <c r="L510" s="683"/>
      <c r="N510" s="122"/>
      <c r="O510" s="546">
        <v>0.0</v>
      </c>
      <c r="P510" s="545">
        <v>0.0</v>
      </c>
      <c r="Q510" s="546">
        <v>0.0</v>
      </c>
      <c r="R510" s="655"/>
      <c r="S510" s="75"/>
      <c r="T510" s="655"/>
      <c r="U510" s="75"/>
      <c r="V510" s="655"/>
      <c r="W510" s="144"/>
      <c r="X510" s="549"/>
    </row>
    <row r="511">
      <c r="A511" s="538" t="s">
        <v>3511</v>
      </c>
      <c r="D511" s="692"/>
      <c r="E511" s="574"/>
      <c r="F511" s="574"/>
      <c r="G511" s="574"/>
      <c r="H511" s="574"/>
      <c r="I511" s="574"/>
      <c r="J511" s="576"/>
      <c r="K511" s="576"/>
      <c r="L511" s="683"/>
      <c r="N511" s="122"/>
      <c r="O511" s="546">
        <v>0.0</v>
      </c>
      <c r="P511" s="545">
        <v>0.0</v>
      </c>
      <c r="Q511" s="546">
        <v>0.0</v>
      </c>
      <c r="R511" s="655"/>
      <c r="S511" s="75"/>
      <c r="T511" s="655"/>
      <c r="U511" s="75"/>
      <c r="V511" s="655"/>
      <c r="W511" s="144"/>
      <c r="X511" s="549"/>
    </row>
    <row r="512">
      <c r="A512" s="538" t="s">
        <v>3511</v>
      </c>
      <c r="D512" s="692"/>
      <c r="E512" s="574"/>
      <c r="F512" s="574"/>
      <c r="G512" s="574"/>
      <c r="H512" s="574"/>
      <c r="I512" s="574"/>
      <c r="J512" s="576"/>
      <c r="K512" s="576"/>
      <c r="L512" s="683"/>
      <c r="N512" s="122"/>
      <c r="O512" s="546">
        <v>0.0</v>
      </c>
      <c r="P512" s="545">
        <v>0.0</v>
      </c>
      <c r="Q512" s="546">
        <v>0.0</v>
      </c>
      <c r="R512" s="655"/>
      <c r="S512" s="75"/>
      <c r="T512" s="655"/>
      <c r="U512" s="75"/>
      <c r="V512" s="655"/>
      <c r="W512" s="144"/>
      <c r="X512" s="549"/>
    </row>
    <row r="513">
      <c r="A513" s="538" t="s">
        <v>3511</v>
      </c>
      <c r="D513" s="692"/>
      <c r="E513" s="574"/>
      <c r="F513" s="574"/>
      <c r="G513" s="574"/>
      <c r="H513" s="574"/>
      <c r="I513" s="574"/>
      <c r="J513" s="576"/>
      <c r="K513" s="576"/>
      <c r="L513" s="683"/>
      <c r="N513" s="122"/>
      <c r="O513" s="546">
        <v>0.0</v>
      </c>
      <c r="P513" s="545">
        <v>0.0</v>
      </c>
      <c r="Q513" s="546">
        <v>0.0</v>
      </c>
      <c r="R513" s="655"/>
      <c r="S513" s="75"/>
      <c r="T513" s="655"/>
      <c r="U513" s="75"/>
      <c r="V513" s="655"/>
      <c r="W513" s="144"/>
      <c r="X513" s="549"/>
    </row>
    <row r="514">
      <c r="A514" s="538" t="s">
        <v>3511</v>
      </c>
      <c r="D514" s="692"/>
      <c r="E514" s="574"/>
      <c r="F514" s="574"/>
      <c r="G514" s="574"/>
      <c r="H514" s="574"/>
      <c r="I514" s="574"/>
      <c r="J514" s="576"/>
      <c r="K514" s="576"/>
      <c r="L514" s="683"/>
      <c r="N514" s="122"/>
      <c r="O514" s="546">
        <v>0.0</v>
      </c>
      <c r="P514" s="545">
        <v>0.0</v>
      </c>
      <c r="Q514" s="546">
        <v>0.0</v>
      </c>
      <c r="R514" s="655"/>
      <c r="S514" s="75"/>
      <c r="T514" s="655"/>
      <c r="U514" s="75"/>
      <c r="V514" s="655"/>
      <c r="W514" s="144"/>
      <c r="X514" s="549"/>
    </row>
    <row r="515">
      <c r="A515" s="538" t="s">
        <v>3511</v>
      </c>
      <c r="D515" s="692"/>
      <c r="E515" s="574"/>
      <c r="F515" s="574"/>
      <c r="G515" s="574"/>
      <c r="H515" s="574"/>
      <c r="I515" s="574"/>
      <c r="J515" s="576"/>
      <c r="K515" s="576"/>
      <c r="L515" s="683"/>
      <c r="N515" s="122"/>
      <c r="O515" s="546">
        <v>0.0</v>
      </c>
      <c r="P515" s="545">
        <v>0.0</v>
      </c>
      <c r="Q515" s="546">
        <v>0.0</v>
      </c>
      <c r="R515" s="655"/>
      <c r="S515" s="75"/>
      <c r="T515" s="655"/>
      <c r="U515" s="75"/>
      <c r="V515" s="655"/>
      <c r="W515" s="144"/>
      <c r="X515" s="549"/>
    </row>
    <row r="516">
      <c r="A516" s="538" t="s">
        <v>3511</v>
      </c>
      <c r="D516" s="692"/>
      <c r="E516" s="574"/>
      <c r="F516" s="574"/>
      <c r="G516" s="574"/>
      <c r="H516" s="574"/>
      <c r="I516" s="574"/>
      <c r="J516" s="576"/>
      <c r="K516" s="576"/>
      <c r="L516" s="683"/>
      <c r="N516" s="122"/>
      <c r="O516" s="546">
        <v>0.0</v>
      </c>
      <c r="P516" s="545">
        <v>0.0</v>
      </c>
      <c r="Q516" s="546">
        <v>0.0</v>
      </c>
      <c r="R516" s="655"/>
      <c r="S516" s="75"/>
      <c r="T516" s="655"/>
      <c r="U516" s="75"/>
      <c r="V516" s="655"/>
      <c r="W516" s="144"/>
      <c r="X516" s="549"/>
    </row>
    <row r="517">
      <c r="A517" s="538" t="s">
        <v>3511</v>
      </c>
      <c r="D517" s="692"/>
      <c r="E517" s="574"/>
      <c r="F517" s="574"/>
      <c r="G517" s="574"/>
      <c r="H517" s="574"/>
      <c r="I517" s="574"/>
      <c r="J517" s="576"/>
      <c r="K517" s="576"/>
      <c r="L517" s="683"/>
      <c r="N517" s="122"/>
      <c r="O517" s="546">
        <v>0.0</v>
      </c>
      <c r="P517" s="545">
        <v>0.0</v>
      </c>
      <c r="Q517" s="546">
        <v>0.0</v>
      </c>
      <c r="R517" s="655"/>
      <c r="S517" s="75"/>
      <c r="T517" s="655"/>
      <c r="U517" s="75"/>
      <c r="V517" s="655"/>
      <c r="W517" s="144"/>
      <c r="X517" s="549"/>
    </row>
    <row r="518">
      <c r="A518" s="538" t="s">
        <v>3511</v>
      </c>
      <c r="D518" s="692"/>
      <c r="E518" s="574"/>
      <c r="F518" s="574"/>
      <c r="G518" s="574"/>
      <c r="H518" s="574"/>
      <c r="I518" s="574"/>
      <c r="J518" s="576"/>
      <c r="K518" s="576"/>
      <c r="L518" s="683"/>
      <c r="N518" s="122"/>
      <c r="O518" s="546">
        <v>0.0</v>
      </c>
      <c r="P518" s="545">
        <v>0.0</v>
      </c>
      <c r="Q518" s="546">
        <v>0.0</v>
      </c>
      <c r="R518" s="655"/>
      <c r="S518" s="75"/>
      <c r="T518" s="655"/>
      <c r="U518" s="75"/>
      <c r="V518" s="655"/>
      <c r="W518" s="144"/>
      <c r="X518" s="549"/>
    </row>
    <row r="519">
      <c r="A519" s="538" t="s">
        <v>3511</v>
      </c>
      <c r="D519" s="692"/>
      <c r="E519" s="574"/>
      <c r="F519" s="574"/>
      <c r="G519" s="574"/>
      <c r="H519" s="574"/>
      <c r="I519" s="574"/>
      <c r="J519" s="576"/>
      <c r="K519" s="576"/>
      <c r="L519" s="683"/>
      <c r="N519" s="122"/>
      <c r="O519" s="546">
        <v>0.0</v>
      </c>
      <c r="P519" s="545">
        <v>0.0</v>
      </c>
      <c r="Q519" s="546">
        <v>0.0</v>
      </c>
      <c r="R519" s="655"/>
      <c r="S519" s="75"/>
      <c r="T519" s="655"/>
      <c r="U519" s="75"/>
      <c r="V519" s="655"/>
      <c r="W519" s="144"/>
      <c r="X519" s="549"/>
    </row>
    <row r="520">
      <c r="A520" s="538" t="s">
        <v>3511</v>
      </c>
      <c r="D520" s="692"/>
      <c r="E520" s="574"/>
      <c r="F520" s="574"/>
      <c r="G520" s="574"/>
      <c r="H520" s="574"/>
      <c r="I520" s="574"/>
      <c r="J520" s="576"/>
      <c r="K520" s="576"/>
      <c r="L520" s="683"/>
      <c r="N520" s="122"/>
      <c r="O520" s="546">
        <v>0.0</v>
      </c>
      <c r="P520" s="545">
        <v>0.0</v>
      </c>
      <c r="Q520" s="546">
        <v>0.0</v>
      </c>
      <c r="R520" s="655"/>
      <c r="S520" s="75"/>
      <c r="T520" s="655"/>
      <c r="U520" s="75"/>
      <c r="V520" s="655"/>
      <c r="W520" s="144"/>
      <c r="X520" s="549"/>
    </row>
    <row r="521">
      <c r="A521" s="538" t="s">
        <v>3511</v>
      </c>
      <c r="D521" s="692"/>
      <c r="E521" s="574"/>
      <c r="F521" s="574"/>
      <c r="G521" s="574"/>
      <c r="H521" s="574"/>
      <c r="I521" s="574"/>
      <c r="J521" s="576"/>
      <c r="K521" s="576"/>
      <c r="L521" s="683"/>
      <c r="N521" s="122"/>
      <c r="O521" s="546">
        <v>0.0</v>
      </c>
      <c r="P521" s="545">
        <v>0.0</v>
      </c>
      <c r="Q521" s="546">
        <v>0.0</v>
      </c>
      <c r="R521" s="655"/>
      <c r="S521" s="75"/>
      <c r="T521" s="655"/>
      <c r="U521" s="75"/>
      <c r="V521" s="655"/>
      <c r="W521" s="144"/>
      <c r="X521" s="549"/>
    </row>
    <row r="522">
      <c r="A522" s="538" t="s">
        <v>3511</v>
      </c>
      <c r="D522" s="692"/>
      <c r="E522" s="574"/>
      <c r="F522" s="574"/>
      <c r="G522" s="574"/>
      <c r="H522" s="574"/>
      <c r="I522" s="574"/>
      <c r="J522" s="576"/>
      <c r="K522" s="576"/>
      <c r="L522" s="683"/>
      <c r="N522" s="122"/>
      <c r="O522" s="546">
        <v>0.0</v>
      </c>
      <c r="P522" s="545">
        <v>0.0</v>
      </c>
      <c r="Q522" s="546">
        <v>0.0</v>
      </c>
      <c r="R522" s="655"/>
      <c r="S522" s="75"/>
      <c r="T522" s="655"/>
      <c r="U522" s="75"/>
      <c r="V522" s="655"/>
      <c r="W522" s="144"/>
      <c r="X522" s="549"/>
    </row>
    <row r="523">
      <c r="A523" s="538" t="s">
        <v>3511</v>
      </c>
      <c r="D523" s="692"/>
      <c r="E523" s="574"/>
      <c r="F523" s="574"/>
      <c r="G523" s="574"/>
      <c r="H523" s="574"/>
      <c r="I523" s="574"/>
      <c r="J523" s="576"/>
      <c r="K523" s="576"/>
      <c r="L523" s="683"/>
      <c r="N523" s="122"/>
      <c r="O523" s="546">
        <v>0.0</v>
      </c>
      <c r="P523" s="545">
        <v>0.0</v>
      </c>
      <c r="Q523" s="546">
        <v>0.0</v>
      </c>
      <c r="R523" s="655"/>
      <c r="S523" s="75"/>
      <c r="T523" s="655"/>
      <c r="U523" s="75"/>
      <c r="V523" s="655"/>
      <c r="W523" s="144"/>
      <c r="X523" s="549"/>
    </row>
    <row r="524">
      <c r="A524" s="538" t="s">
        <v>3511</v>
      </c>
      <c r="D524" s="692"/>
      <c r="E524" s="574"/>
      <c r="F524" s="574"/>
      <c r="G524" s="574"/>
      <c r="H524" s="574"/>
      <c r="I524" s="574"/>
      <c r="J524" s="576"/>
      <c r="K524" s="576"/>
      <c r="L524" s="683"/>
      <c r="N524" s="122"/>
      <c r="O524" s="546">
        <v>0.0</v>
      </c>
      <c r="P524" s="545">
        <v>0.0</v>
      </c>
      <c r="Q524" s="546">
        <v>0.0</v>
      </c>
      <c r="R524" s="655"/>
      <c r="S524" s="75"/>
      <c r="T524" s="655"/>
      <c r="U524" s="75"/>
      <c r="V524" s="655"/>
      <c r="W524" s="144"/>
      <c r="X524" s="549"/>
    </row>
    <row r="525">
      <c r="A525" s="538" t="s">
        <v>3511</v>
      </c>
      <c r="D525" s="692"/>
      <c r="E525" s="574"/>
      <c r="F525" s="574"/>
      <c r="G525" s="574"/>
      <c r="H525" s="574"/>
      <c r="I525" s="574"/>
      <c r="J525" s="576"/>
      <c r="K525" s="576"/>
      <c r="L525" s="683"/>
      <c r="N525" s="122"/>
      <c r="O525" s="546">
        <v>0.0</v>
      </c>
      <c r="P525" s="545">
        <v>0.0</v>
      </c>
      <c r="Q525" s="546">
        <v>0.0</v>
      </c>
      <c r="R525" s="655"/>
      <c r="S525" s="75"/>
      <c r="T525" s="655"/>
      <c r="U525" s="75"/>
      <c r="V525" s="655"/>
      <c r="W525" s="144"/>
      <c r="X525" s="549"/>
    </row>
    <row r="526">
      <c r="A526" s="538" t="s">
        <v>3511</v>
      </c>
      <c r="D526" s="692"/>
      <c r="E526" s="574"/>
      <c r="F526" s="574"/>
      <c r="G526" s="574"/>
      <c r="H526" s="574"/>
      <c r="I526" s="574"/>
      <c r="J526" s="576"/>
      <c r="K526" s="576"/>
      <c r="L526" s="683"/>
      <c r="N526" s="122"/>
      <c r="O526" s="546">
        <v>0.0</v>
      </c>
      <c r="P526" s="545">
        <v>0.0</v>
      </c>
      <c r="Q526" s="546">
        <v>0.0</v>
      </c>
      <c r="R526" s="655"/>
      <c r="S526" s="75"/>
      <c r="T526" s="655"/>
      <c r="U526" s="75"/>
      <c r="V526" s="655"/>
      <c r="W526" s="144"/>
      <c r="X526" s="549"/>
    </row>
    <row r="527">
      <c r="A527" s="538" t="s">
        <v>3511</v>
      </c>
      <c r="D527" s="692"/>
      <c r="E527" s="574"/>
      <c r="F527" s="574"/>
      <c r="G527" s="574"/>
      <c r="H527" s="574"/>
      <c r="I527" s="574"/>
      <c r="J527" s="576"/>
      <c r="K527" s="576"/>
      <c r="L527" s="683"/>
      <c r="N527" s="122"/>
      <c r="O527" s="546">
        <v>0.0</v>
      </c>
      <c r="P527" s="545">
        <v>0.0</v>
      </c>
      <c r="Q527" s="546">
        <v>0.0</v>
      </c>
      <c r="R527" s="655"/>
      <c r="S527" s="75"/>
      <c r="T527" s="655"/>
      <c r="U527" s="75"/>
      <c r="V527" s="655"/>
      <c r="W527" s="144"/>
      <c r="X527" s="549"/>
    </row>
    <row r="528">
      <c r="A528" s="538" t="s">
        <v>3511</v>
      </c>
      <c r="D528" s="692"/>
      <c r="E528" s="574"/>
      <c r="F528" s="574"/>
      <c r="G528" s="574"/>
      <c r="H528" s="574"/>
      <c r="I528" s="574"/>
      <c r="J528" s="576"/>
      <c r="K528" s="576"/>
      <c r="L528" s="683"/>
      <c r="N528" s="122"/>
      <c r="O528" s="546">
        <v>0.0</v>
      </c>
      <c r="P528" s="545">
        <v>0.0</v>
      </c>
      <c r="Q528" s="546">
        <v>0.0</v>
      </c>
      <c r="R528" s="655"/>
      <c r="S528" s="75"/>
      <c r="T528" s="655"/>
      <c r="U528" s="75"/>
      <c r="V528" s="655"/>
      <c r="W528" s="144"/>
      <c r="X528" s="549"/>
    </row>
    <row r="529">
      <c r="A529" s="538" t="s">
        <v>3511</v>
      </c>
      <c r="D529" s="692"/>
      <c r="E529" s="574"/>
      <c r="F529" s="574"/>
      <c r="G529" s="574"/>
      <c r="H529" s="574"/>
      <c r="I529" s="574"/>
      <c r="J529" s="576"/>
      <c r="K529" s="576"/>
      <c r="L529" s="683"/>
      <c r="N529" s="122"/>
      <c r="O529" s="546">
        <v>0.0</v>
      </c>
      <c r="P529" s="545">
        <v>0.0</v>
      </c>
      <c r="Q529" s="546">
        <v>0.0</v>
      </c>
      <c r="R529" s="655"/>
      <c r="S529" s="75"/>
      <c r="T529" s="655"/>
      <c r="U529" s="75"/>
      <c r="V529" s="655"/>
      <c r="W529" s="144"/>
      <c r="X529" s="549"/>
    </row>
    <row r="530">
      <c r="A530" s="538" t="s">
        <v>3511</v>
      </c>
      <c r="D530" s="692"/>
      <c r="E530" s="574"/>
      <c r="F530" s="574"/>
      <c r="G530" s="574"/>
      <c r="H530" s="574"/>
      <c r="I530" s="574"/>
      <c r="J530" s="576"/>
      <c r="K530" s="576"/>
      <c r="L530" s="683"/>
      <c r="N530" s="122"/>
      <c r="O530" s="546">
        <v>0.0</v>
      </c>
      <c r="P530" s="545">
        <v>0.0</v>
      </c>
      <c r="Q530" s="546">
        <v>0.0</v>
      </c>
      <c r="R530" s="655"/>
      <c r="S530" s="75"/>
      <c r="T530" s="655"/>
      <c r="U530" s="75"/>
      <c r="V530" s="655"/>
      <c r="W530" s="144"/>
      <c r="X530" s="549"/>
    </row>
    <row r="531">
      <c r="A531" s="538" t="s">
        <v>3511</v>
      </c>
      <c r="D531" s="692"/>
      <c r="E531" s="574"/>
      <c r="F531" s="574"/>
      <c r="G531" s="574"/>
      <c r="H531" s="574"/>
      <c r="I531" s="574"/>
      <c r="J531" s="576"/>
      <c r="K531" s="576"/>
      <c r="L531" s="683"/>
      <c r="N531" s="122"/>
      <c r="O531" s="546">
        <v>0.0</v>
      </c>
      <c r="P531" s="545">
        <v>0.0</v>
      </c>
      <c r="Q531" s="546">
        <v>0.0</v>
      </c>
      <c r="R531" s="655"/>
      <c r="S531" s="75"/>
      <c r="T531" s="655"/>
      <c r="U531" s="75"/>
      <c r="V531" s="655"/>
      <c r="W531" s="144"/>
      <c r="X531" s="549"/>
    </row>
    <row r="532">
      <c r="A532" s="538" t="s">
        <v>3511</v>
      </c>
      <c r="D532" s="692"/>
      <c r="E532" s="574"/>
      <c r="F532" s="574"/>
      <c r="G532" s="574"/>
      <c r="H532" s="574"/>
      <c r="I532" s="574"/>
      <c r="J532" s="576"/>
      <c r="K532" s="576"/>
      <c r="L532" s="683"/>
      <c r="N532" s="122"/>
      <c r="O532" s="546">
        <v>0.0</v>
      </c>
      <c r="P532" s="545">
        <v>0.0</v>
      </c>
      <c r="Q532" s="546">
        <v>0.0</v>
      </c>
      <c r="R532" s="655"/>
      <c r="S532" s="75"/>
      <c r="T532" s="655"/>
      <c r="U532" s="75"/>
      <c r="V532" s="655"/>
      <c r="W532" s="144"/>
      <c r="X532" s="549"/>
    </row>
    <row r="533">
      <c r="A533" s="538" t="s">
        <v>3511</v>
      </c>
      <c r="D533" s="692"/>
      <c r="E533" s="574"/>
      <c r="F533" s="574"/>
      <c r="G533" s="574"/>
      <c r="H533" s="574"/>
      <c r="I533" s="574"/>
      <c r="J533" s="576"/>
      <c r="K533" s="576"/>
      <c r="L533" s="683"/>
      <c r="N533" s="122"/>
      <c r="O533" s="546">
        <v>0.0</v>
      </c>
      <c r="P533" s="545">
        <v>0.0</v>
      </c>
      <c r="Q533" s="546">
        <v>0.0</v>
      </c>
      <c r="R533" s="655"/>
      <c r="S533" s="75"/>
      <c r="T533" s="655"/>
      <c r="U533" s="75"/>
      <c r="V533" s="655"/>
      <c r="W533" s="144"/>
      <c r="X533" s="549"/>
    </row>
    <row r="534">
      <c r="A534" s="538" t="s">
        <v>3511</v>
      </c>
      <c r="D534" s="692"/>
      <c r="E534" s="574"/>
      <c r="F534" s="574"/>
      <c r="G534" s="574"/>
      <c r="H534" s="574"/>
      <c r="I534" s="574"/>
      <c r="J534" s="576"/>
      <c r="K534" s="576"/>
      <c r="L534" s="683"/>
      <c r="N534" s="122"/>
      <c r="O534" s="546">
        <v>0.0</v>
      </c>
      <c r="P534" s="545">
        <v>0.0</v>
      </c>
      <c r="Q534" s="546">
        <v>0.0</v>
      </c>
      <c r="R534" s="655"/>
      <c r="S534" s="75"/>
      <c r="T534" s="655"/>
      <c r="U534" s="75"/>
      <c r="V534" s="655"/>
      <c r="W534" s="144"/>
      <c r="X534" s="549"/>
    </row>
    <row r="535">
      <c r="A535" s="538" t="s">
        <v>3511</v>
      </c>
      <c r="D535" s="692"/>
      <c r="E535" s="574"/>
      <c r="F535" s="574"/>
      <c r="G535" s="574"/>
      <c r="H535" s="574"/>
      <c r="I535" s="574"/>
      <c r="J535" s="576"/>
      <c r="K535" s="576"/>
      <c r="L535" s="683"/>
      <c r="N535" s="122"/>
      <c r="O535" s="546">
        <v>0.0</v>
      </c>
      <c r="P535" s="545">
        <v>0.0</v>
      </c>
      <c r="Q535" s="546">
        <v>0.0</v>
      </c>
      <c r="R535" s="655"/>
      <c r="S535" s="75"/>
      <c r="T535" s="655"/>
      <c r="U535" s="75"/>
      <c r="V535" s="655"/>
      <c r="W535" s="144"/>
      <c r="X535" s="549"/>
    </row>
    <row r="536">
      <c r="A536" s="538" t="s">
        <v>3511</v>
      </c>
      <c r="D536" s="692"/>
      <c r="E536" s="574"/>
      <c r="F536" s="574"/>
      <c r="G536" s="574"/>
      <c r="H536" s="574"/>
      <c r="I536" s="574"/>
      <c r="J536" s="576"/>
      <c r="K536" s="576"/>
      <c r="L536" s="683"/>
      <c r="N536" s="122"/>
      <c r="O536" s="546">
        <v>0.0</v>
      </c>
      <c r="P536" s="545">
        <v>0.0</v>
      </c>
      <c r="Q536" s="546">
        <v>0.0</v>
      </c>
      <c r="R536" s="655"/>
      <c r="S536" s="75"/>
      <c r="T536" s="655"/>
      <c r="U536" s="75"/>
      <c r="V536" s="655"/>
      <c r="W536" s="144"/>
      <c r="X536" s="549"/>
    </row>
    <row r="537">
      <c r="A537" s="538" t="s">
        <v>3511</v>
      </c>
      <c r="D537" s="692"/>
      <c r="E537" s="574"/>
      <c r="F537" s="574"/>
      <c r="G537" s="574"/>
      <c r="H537" s="574"/>
      <c r="I537" s="574"/>
      <c r="J537" s="576"/>
      <c r="K537" s="576"/>
      <c r="L537" s="683"/>
      <c r="N537" s="122"/>
      <c r="O537" s="546">
        <v>0.0</v>
      </c>
      <c r="P537" s="545">
        <v>0.0</v>
      </c>
      <c r="Q537" s="546">
        <v>0.0</v>
      </c>
      <c r="R537" s="655"/>
      <c r="S537" s="75"/>
      <c r="T537" s="655"/>
      <c r="U537" s="75"/>
      <c r="V537" s="655"/>
      <c r="W537" s="144"/>
      <c r="X537" s="549"/>
    </row>
    <row r="538">
      <c r="A538" s="538" t="s">
        <v>3511</v>
      </c>
      <c r="D538" s="692"/>
      <c r="E538" s="574"/>
      <c r="F538" s="574"/>
      <c r="G538" s="574"/>
      <c r="H538" s="574"/>
      <c r="I538" s="574"/>
      <c r="J538" s="576"/>
      <c r="K538" s="576"/>
      <c r="L538" s="683"/>
      <c r="N538" s="122"/>
      <c r="O538" s="546">
        <v>0.0</v>
      </c>
      <c r="P538" s="545">
        <v>0.0</v>
      </c>
      <c r="Q538" s="546">
        <v>0.0</v>
      </c>
      <c r="R538" s="655"/>
      <c r="S538" s="75"/>
      <c r="T538" s="655"/>
      <c r="U538" s="75"/>
      <c r="V538" s="655"/>
      <c r="W538" s="144"/>
      <c r="X538" s="549"/>
    </row>
    <row r="539">
      <c r="A539" s="538" t="s">
        <v>3511</v>
      </c>
      <c r="D539" s="692"/>
      <c r="E539" s="574"/>
      <c r="F539" s="574"/>
      <c r="G539" s="574"/>
      <c r="H539" s="574"/>
      <c r="I539" s="574"/>
      <c r="J539" s="576"/>
      <c r="K539" s="576"/>
      <c r="L539" s="683"/>
      <c r="N539" s="122"/>
      <c r="O539" s="546">
        <v>0.0</v>
      </c>
      <c r="P539" s="545">
        <v>0.0</v>
      </c>
      <c r="Q539" s="546">
        <v>0.0</v>
      </c>
      <c r="R539" s="655"/>
      <c r="S539" s="75"/>
      <c r="T539" s="655"/>
      <c r="U539" s="75"/>
      <c r="V539" s="655"/>
      <c r="W539" s="144"/>
      <c r="X539" s="549"/>
    </row>
    <row r="540">
      <c r="A540" s="538" t="s">
        <v>3511</v>
      </c>
      <c r="D540" s="692"/>
      <c r="E540" s="574"/>
      <c r="F540" s="574"/>
      <c r="G540" s="574"/>
      <c r="H540" s="574"/>
      <c r="I540" s="574"/>
      <c r="J540" s="576"/>
      <c r="K540" s="576"/>
      <c r="L540" s="683"/>
      <c r="N540" s="122"/>
      <c r="O540" s="546">
        <v>0.0</v>
      </c>
      <c r="P540" s="545">
        <v>0.0</v>
      </c>
      <c r="Q540" s="546">
        <v>0.0</v>
      </c>
      <c r="R540" s="655"/>
      <c r="S540" s="75"/>
      <c r="T540" s="655"/>
      <c r="U540" s="75"/>
      <c r="V540" s="655"/>
      <c r="W540" s="144"/>
      <c r="X540" s="549"/>
    </row>
    <row r="541">
      <c r="A541" s="538" t="s">
        <v>3511</v>
      </c>
      <c r="D541" s="692"/>
      <c r="E541" s="574"/>
      <c r="F541" s="574"/>
      <c r="G541" s="574"/>
      <c r="H541" s="574"/>
      <c r="I541" s="574"/>
      <c r="J541" s="576"/>
      <c r="K541" s="576"/>
      <c r="L541" s="683"/>
      <c r="N541" s="122"/>
      <c r="O541" s="546">
        <v>0.0</v>
      </c>
      <c r="P541" s="545">
        <v>0.0</v>
      </c>
      <c r="Q541" s="546">
        <v>0.0</v>
      </c>
      <c r="R541" s="655"/>
      <c r="S541" s="75"/>
      <c r="T541" s="655"/>
      <c r="U541" s="75"/>
      <c r="V541" s="655"/>
      <c r="W541" s="144"/>
      <c r="X541" s="549"/>
    </row>
    <row r="542">
      <c r="A542" s="538" t="s">
        <v>3511</v>
      </c>
      <c r="D542" s="692"/>
      <c r="E542" s="574"/>
      <c r="F542" s="574"/>
      <c r="G542" s="574"/>
      <c r="H542" s="574"/>
      <c r="I542" s="574"/>
      <c r="J542" s="576"/>
      <c r="K542" s="576"/>
      <c r="L542" s="683"/>
      <c r="N542" s="122"/>
      <c r="O542" s="546">
        <v>0.0</v>
      </c>
      <c r="P542" s="545">
        <v>0.0</v>
      </c>
      <c r="Q542" s="546">
        <v>0.0</v>
      </c>
      <c r="R542" s="655"/>
      <c r="S542" s="75"/>
      <c r="T542" s="655"/>
      <c r="U542" s="75"/>
      <c r="V542" s="655"/>
      <c r="W542" s="144"/>
      <c r="X542" s="549"/>
    </row>
    <row r="543">
      <c r="A543" s="538" t="s">
        <v>3511</v>
      </c>
      <c r="D543" s="692"/>
      <c r="E543" s="574"/>
      <c r="F543" s="574"/>
      <c r="G543" s="574"/>
      <c r="H543" s="574"/>
      <c r="I543" s="574"/>
      <c r="J543" s="576"/>
      <c r="K543" s="576"/>
      <c r="L543" s="683"/>
      <c r="N543" s="122"/>
      <c r="O543" s="546">
        <v>0.0</v>
      </c>
      <c r="P543" s="545">
        <v>0.0</v>
      </c>
      <c r="Q543" s="546">
        <v>0.0</v>
      </c>
      <c r="R543" s="655"/>
      <c r="S543" s="75"/>
      <c r="T543" s="655"/>
      <c r="U543" s="75"/>
      <c r="V543" s="655"/>
      <c r="W543" s="144"/>
      <c r="X543" s="549"/>
    </row>
    <row r="544">
      <c r="A544" s="538" t="s">
        <v>3511</v>
      </c>
      <c r="D544" s="692"/>
      <c r="E544" s="574"/>
      <c r="F544" s="574"/>
      <c r="G544" s="574"/>
      <c r="H544" s="574"/>
      <c r="I544" s="574"/>
      <c r="J544" s="576"/>
      <c r="K544" s="576"/>
      <c r="L544" s="683"/>
      <c r="N544" s="122"/>
      <c r="O544" s="546">
        <v>0.0</v>
      </c>
      <c r="P544" s="545">
        <v>0.0</v>
      </c>
      <c r="Q544" s="546">
        <v>0.0</v>
      </c>
      <c r="R544" s="655"/>
      <c r="S544" s="75"/>
      <c r="T544" s="655"/>
      <c r="U544" s="75"/>
      <c r="V544" s="655"/>
      <c r="W544" s="144"/>
      <c r="X544" s="549"/>
    </row>
    <row r="545">
      <c r="A545" s="538" t="s">
        <v>3511</v>
      </c>
      <c r="D545" s="692"/>
      <c r="E545" s="574"/>
      <c r="F545" s="574"/>
      <c r="G545" s="574"/>
      <c r="H545" s="574"/>
      <c r="I545" s="574"/>
      <c r="J545" s="576"/>
      <c r="K545" s="576"/>
      <c r="L545" s="683"/>
      <c r="N545" s="122"/>
      <c r="O545" s="546">
        <v>0.0</v>
      </c>
      <c r="P545" s="545">
        <v>0.0</v>
      </c>
      <c r="Q545" s="546">
        <v>0.0</v>
      </c>
      <c r="R545" s="655"/>
      <c r="S545" s="75"/>
      <c r="T545" s="655"/>
      <c r="U545" s="75"/>
      <c r="V545" s="655"/>
      <c r="W545" s="144"/>
      <c r="X545" s="549"/>
    </row>
    <row r="546">
      <c r="A546" s="538" t="s">
        <v>3511</v>
      </c>
      <c r="D546" s="692"/>
      <c r="E546" s="574"/>
      <c r="F546" s="574"/>
      <c r="G546" s="574"/>
      <c r="H546" s="574"/>
      <c r="I546" s="574"/>
      <c r="J546" s="576"/>
      <c r="K546" s="576"/>
      <c r="L546" s="683"/>
      <c r="N546" s="122"/>
      <c r="O546" s="546">
        <v>0.0</v>
      </c>
      <c r="P546" s="545">
        <v>0.0</v>
      </c>
      <c r="Q546" s="546">
        <v>0.0</v>
      </c>
      <c r="R546" s="655"/>
      <c r="S546" s="75"/>
      <c r="T546" s="655"/>
      <c r="U546" s="75"/>
      <c r="V546" s="655"/>
      <c r="W546" s="144"/>
      <c r="X546" s="549"/>
    </row>
    <row r="547">
      <c r="A547" s="538" t="s">
        <v>3511</v>
      </c>
      <c r="D547" s="692"/>
      <c r="E547" s="574"/>
      <c r="F547" s="574"/>
      <c r="G547" s="574"/>
      <c r="H547" s="574"/>
      <c r="I547" s="574"/>
      <c r="J547" s="576"/>
      <c r="K547" s="576"/>
      <c r="L547" s="683"/>
      <c r="N547" s="122"/>
      <c r="O547" s="546">
        <v>0.0</v>
      </c>
      <c r="P547" s="545">
        <v>0.0</v>
      </c>
      <c r="Q547" s="546">
        <v>0.0</v>
      </c>
      <c r="R547" s="655"/>
      <c r="S547" s="75"/>
      <c r="T547" s="655"/>
      <c r="U547" s="75"/>
      <c r="V547" s="655"/>
      <c r="W547" s="144"/>
      <c r="X547" s="549"/>
    </row>
    <row r="548">
      <c r="A548" s="538" t="s">
        <v>3511</v>
      </c>
      <c r="D548" s="692"/>
      <c r="E548" s="574"/>
      <c r="F548" s="574"/>
      <c r="G548" s="574"/>
      <c r="H548" s="574"/>
      <c r="I548" s="574"/>
      <c r="J548" s="576"/>
      <c r="K548" s="576"/>
      <c r="L548" s="683"/>
      <c r="N548" s="122"/>
      <c r="O548" s="546">
        <v>0.0</v>
      </c>
      <c r="P548" s="545">
        <v>0.0</v>
      </c>
      <c r="Q548" s="546">
        <v>0.0</v>
      </c>
      <c r="R548" s="655"/>
      <c r="S548" s="75"/>
      <c r="T548" s="655"/>
      <c r="U548" s="75"/>
      <c r="V548" s="655"/>
      <c r="W548" s="144"/>
      <c r="X548" s="549"/>
    </row>
    <row r="549">
      <c r="A549" s="538" t="s">
        <v>3511</v>
      </c>
      <c r="D549" s="692"/>
      <c r="E549" s="574"/>
      <c r="F549" s="574"/>
      <c r="G549" s="574"/>
      <c r="H549" s="574"/>
      <c r="I549" s="574"/>
      <c r="J549" s="576"/>
      <c r="K549" s="576"/>
      <c r="L549" s="683"/>
      <c r="N549" s="122"/>
      <c r="O549" s="546">
        <v>0.0</v>
      </c>
      <c r="P549" s="545">
        <v>0.0</v>
      </c>
      <c r="Q549" s="546">
        <v>0.0</v>
      </c>
      <c r="R549" s="655"/>
      <c r="S549" s="75"/>
      <c r="T549" s="655"/>
      <c r="U549" s="75"/>
      <c r="V549" s="655"/>
      <c r="W549" s="144"/>
      <c r="X549" s="549"/>
    </row>
    <row r="550">
      <c r="A550" s="538" t="s">
        <v>3511</v>
      </c>
      <c r="D550" s="692"/>
      <c r="E550" s="574"/>
      <c r="F550" s="574"/>
      <c r="G550" s="574"/>
      <c r="H550" s="574"/>
      <c r="I550" s="574"/>
      <c r="J550" s="576"/>
      <c r="K550" s="576"/>
      <c r="L550" s="683"/>
      <c r="N550" s="122"/>
      <c r="O550" s="546">
        <v>0.0</v>
      </c>
      <c r="P550" s="545">
        <v>0.0</v>
      </c>
      <c r="Q550" s="546">
        <v>0.0</v>
      </c>
      <c r="R550" s="655"/>
      <c r="S550" s="75"/>
      <c r="T550" s="655"/>
      <c r="U550" s="75"/>
      <c r="V550" s="655"/>
      <c r="W550" s="144"/>
      <c r="X550" s="549"/>
    </row>
    <row r="551">
      <c r="A551" s="538" t="s">
        <v>3511</v>
      </c>
      <c r="D551" s="692"/>
      <c r="E551" s="574"/>
      <c r="F551" s="574"/>
      <c r="G551" s="574"/>
      <c r="H551" s="574"/>
      <c r="I551" s="574"/>
      <c r="J551" s="576"/>
      <c r="K551" s="576"/>
      <c r="L551" s="683"/>
      <c r="N551" s="122"/>
      <c r="O551" s="546">
        <v>0.0</v>
      </c>
      <c r="P551" s="545">
        <v>0.0</v>
      </c>
      <c r="Q551" s="546">
        <v>0.0</v>
      </c>
      <c r="R551" s="655"/>
      <c r="S551" s="75"/>
      <c r="T551" s="655"/>
      <c r="U551" s="75"/>
      <c r="V551" s="655"/>
      <c r="W551" s="144"/>
      <c r="X551" s="549"/>
    </row>
    <row r="552">
      <c r="A552" s="538" t="s">
        <v>3511</v>
      </c>
      <c r="D552" s="692"/>
      <c r="E552" s="574"/>
      <c r="F552" s="574"/>
      <c r="G552" s="574"/>
      <c r="H552" s="574"/>
      <c r="I552" s="574"/>
      <c r="J552" s="576"/>
      <c r="K552" s="576"/>
      <c r="L552" s="683"/>
      <c r="N552" s="122"/>
      <c r="O552" s="546">
        <v>0.0</v>
      </c>
      <c r="P552" s="545">
        <v>0.0</v>
      </c>
      <c r="Q552" s="546">
        <v>0.0</v>
      </c>
      <c r="R552" s="655"/>
      <c r="S552" s="75"/>
      <c r="T552" s="655"/>
      <c r="U552" s="75"/>
      <c r="V552" s="655"/>
      <c r="W552" s="144"/>
      <c r="X552" s="549"/>
    </row>
    <row r="553">
      <c r="A553" s="538" t="s">
        <v>3511</v>
      </c>
      <c r="D553" s="692"/>
      <c r="E553" s="574"/>
      <c r="F553" s="574"/>
      <c r="G553" s="574"/>
      <c r="H553" s="574"/>
      <c r="I553" s="574"/>
      <c r="J553" s="576"/>
      <c r="K553" s="576"/>
      <c r="L553" s="683"/>
      <c r="N553" s="122"/>
      <c r="O553" s="546">
        <v>0.0</v>
      </c>
      <c r="P553" s="545">
        <v>0.0</v>
      </c>
      <c r="Q553" s="546">
        <v>0.0</v>
      </c>
      <c r="R553" s="655"/>
      <c r="S553" s="75"/>
      <c r="T553" s="655"/>
      <c r="U553" s="75"/>
      <c r="V553" s="655"/>
      <c r="W553" s="144"/>
      <c r="X553" s="549"/>
    </row>
    <row r="554">
      <c r="A554" s="538" t="s">
        <v>3511</v>
      </c>
      <c r="D554" s="692"/>
      <c r="E554" s="574"/>
      <c r="F554" s="574"/>
      <c r="G554" s="574"/>
      <c r="H554" s="574"/>
      <c r="I554" s="574"/>
      <c r="J554" s="576"/>
      <c r="K554" s="576"/>
      <c r="L554" s="683"/>
      <c r="N554" s="122"/>
      <c r="O554" s="546">
        <v>0.0</v>
      </c>
      <c r="P554" s="545">
        <v>0.0</v>
      </c>
      <c r="Q554" s="546">
        <v>0.0</v>
      </c>
      <c r="R554" s="655"/>
      <c r="S554" s="75"/>
      <c r="T554" s="655"/>
      <c r="U554" s="75"/>
      <c r="V554" s="655"/>
      <c r="W554" s="144"/>
      <c r="X554" s="549"/>
    </row>
    <row r="555">
      <c r="A555" s="538" t="s">
        <v>3511</v>
      </c>
      <c r="D555" s="692"/>
      <c r="E555" s="574"/>
      <c r="F555" s="574"/>
      <c r="G555" s="574"/>
      <c r="H555" s="574"/>
      <c r="I555" s="574"/>
      <c r="J555" s="576"/>
      <c r="K555" s="576"/>
      <c r="L555" s="683"/>
      <c r="N555" s="122"/>
      <c r="O555" s="546">
        <v>0.0</v>
      </c>
      <c r="P555" s="545">
        <v>0.0</v>
      </c>
      <c r="Q555" s="546">
        <v>0.0</v>
      </c>
      <c r="R555" s="655"/>
      <c r="S555" s="75"/>
      <c r="T555" s="655"/>
      <c r="U555" s="75"/>
      <c r="V555" s="655"/>
      <c r="W555" s="144"/>
      <c r="X555" s="549"/>
    </row>
    <row r="556">
      <c r="A556" s="538" t="s">
        <v>3511</v>
      </c>
      <c r="D556" s="692"/>
      <c r="E556" s="574"/>
      <c r="F556" s="574"/>
      <c r="G556" s="574"/>
      <c r="H556" s="574"/>
      <c r="I556" s="574"/>
      <c r="J556" s="576"/>
      <c r="K556" s="576"/>
      <c r="L556" s="683"/>
      <c r="N556" s="122"/>
      <c r="O556" s="546">
        <v>0.0</v>
      </c>
      <c r="P556" s="545">
        <v>0.0</v>
      </c>
      <c r="Q556" s="546">
        <v>0.0</v>
      </c>
      <c r="R556" s="655"/>
      <c r="S556" s="75"/>
      <c r="T556" s="655"/>
      <c r="U556" s="75"/>
      <c r="V556" s="655"/>
      <c r="W556" s="144"/>
      <c r="X556" s="549"/>
    </row>
    <row r="557">
      <c r="A557" s="538" t="s">
        <v>3511</v>
      </c>
      <c r="D557" s="692"/>
      <c r="E557" s="574"/>
      <c r="F557" s="574"/>
      <c r="G557" s="574"/>
      <c r="H557" s="574"/>
      <c r="I557" s="574"/>
      <c r="J557" s="576"/>
      <c r="K557" s="576"/>
      <c r="L557" s="683"/>
      <c r="N557" s="122"/>
      <c r="O557" s="546">
        <v>0.0</v>
      </c>
      <c r="P557" s="545">
        <v>0.0</v>
      </c>
      <c r="Q557" s="546">
        <v>0.0</v>
      </c>
      <c r="R557" s="655"/>
      <c r="S557" s="75"/>
      <c r="T557" s="655"/>
      <c r="U557" s="75"/>
      <c r="V557" s="655"/>
      <c r="W557" s="144"/>
      <c r="X557" s="549"/>
    </row>
    <row r="558">
      <c r="A558" s="538" t="s">
        <v>3511</v>
      </c>
      <c r="D558" s="692"/>
      <c r="E558" s="574"/>
      <c r="F558" s="574"/>
      <c r="G558" s="574"/>
      <c r="H558" s="574"/>
      <c r="I558" s="574"/>
      <c r="J558" s="576"/>
      <c r="K558" s="576"/>
      <c r="L558" s="683"/>
      <c r="N558" s="122"/>
      <c r="O558" s="546">
        <v>0.0</v>
      </c>
      <c r="P558" s="545">
        <v>0.0</v>
      </c>
      <c r="Q558" s="546">
        <v>0.0</v>
      </c>
      <c r="R558" s="655"/>
      <c r="S558" s="75"/>
      <c r="T558" s="655"/>
      <c r="U558" s="75"/>
      <c r="V558" s="655"/>
      <c r="W558" s="144"/>
      <c r="X558" s="549"/>
    </row>
    <row r="559">
      <c r="A559" s="538" t="s">
        <v>3511</v>
      </c>
      <c r="D559" s="692"/>
      <c r="E559" s="574"/>
      <c r="F559" s="574"/>
      <c r="G559" s="574"/>
      <c r="H559" s="574"/>
      <c r="I559" s="574"/>
      <c r="J559" s="576"/>
      <c r="K559" s="576"/>
      <c r="L559" s="683"/>
      <c r="N559" s="122"/>
      <c r="O559" s="546">
        <v>0.0</v>
      </c>
      <c r="P559" s="545">
        <v>0.0</v>
      </c>
      <c r="Q559" s="546">
        <v>0.0</v>
      </c>
      <c r="R559" s="655"/>
      <c r="S559" s="75"/>
      <c r="T559" s="655"/>
      <c r="U559" s="75"/>
      <c r="V559" s="655"/>
      <c r="W559" s="144"/>
      <c r="X559" s="549"/>
    </row>
    <row r="560">
      <c r="A560" s="538" t="s">
        <v>3511</v>
      </c>
      <c r="D560" s="692"/>
      <c r="E560" s="574"/>
      <c r="F560" s="574"/>
      <c r="G560" s="574"/>
      <c r="H560" s="574"/>
      <c r="I560" s="574"/>
      <c r="J560" s="576"/>
      <c r="K560" s="576"/>
      <c r="L560" s="683"/>
      <c r="N560" s="122"/>
      <c r="O560" s="546">
        <v>0.0</v>
      </c>
      <c r="P560" s="545">
        <v>0.0</v>
      </c>
      <c r="Q560" s="546">
        <v>0.0</v>
      </c>
      <c r="R560" s="655"/>
      <c r="S560" s="75"/>
      <c r="T560" s="655"/>
      <c r="U560" s="75"/>
      <c r="V560" s="655"/>
      <c r="W560" s="144"/>
      <c r="X560" s="549"/>
    </row>
    <row r="561">
      <c r="A561" s="538" t="s">
        <v>3511</v>
      </c>
      <c r="D561" s="692"/>
      <c r="E561" s="574"/>
      <c r="F561" s="574"/>
      <c r="G561" s="574"/>
      <c r="H561" s="574"/>
      <c r="I561" s="574"/>
      <c r="J561" s="576"/>
      <c r="K561" s="576"/>
      <c r="L561" s="683"/>
      <c r="N561" s="122"/>
      <c r="O561" s="546">
        <v>0.0</v>
      </c>
      <c r="P561" s="545">
        <v>0.0</v>
      </c>
      <c r="Q561" s="546">
        <v>0.0</v>
      </c>
      <c r="R561" s="655"/>
      <c r="S561" s="75"/>
      <c r="T561" s="655"/>
      <c r="U561" s="75"/>
      <c r="V561" s="655"/>
      <c r="W561" s="144"/>
      <c r="X561" s="549"/>
    </row>
    <row r="562">
      <c r="A562" s="538" t="s">
        <v>3511</v>
      </c>
      <c r="D562" s="692"/>
      <c r="E562" s="574"/>
      <c r="F562" s="574"/>
      <c r="G562" s="574"/>
      <c r="H562" s="574"/>
      <c r="I562" s="574"/>
      <c r="J562" s="576"/>
      <c r="K562" s="576"/>
      <c r="L562" s="683"/>
      <c r="N562" s="122"/>
      <c r="O562" s="546">
        <v>0.0</v>
      </c>
      <c r="P562" s="545">
        <v>0.0</v>
      </c>
      <c r="Q562" s="546">
        <v>0.0</v>
      </c>
      <c r="R562" s="655"/>
      <c r="S562" s="75"/>
      <c r="T562" s="655"/>
      <c r="U562" s="75"/>
      <c r="V562" s="655"/>
      <c r="W562" s="144"/>
      <c r="X562" s="549"/>
    </row>
    <row r="563">
      <c r="A563" s="538" t="s">
        <v>3511</v>
      </c>
      <c r="D563" s="692"/>
      <c r="E563" s="574"/>
      <c r="F563" s="574"/>
      <c r="G563" s="574"/>
      <c r="H563" s="574"/>
      <c r="I563" s="574"/>
      <c r="J563" s="576"/>
      <c r="K563" s="576"/>
      <c r="L563" s="683"/>
      <c r="N563" s="122"/>
      <c r="O563" s="546">
        <v>0.0</v>
      </c>
      <c r="P563" s="545">
        <v>0.0</v>
      </c>
      <c r="Q563" s="546">
        <v>0.0</v>
      </c>
      <c r="R563" s="655"/>
      <c r="S563" s="75"/>
      <c r="T563" s="655"/>
      <c r="U563" s="75"/>
      <c r="V563" s="655"/>
      <c r="W563" s="144"/>
      <c r="X563" s="549"/>
    </row>
    <row r="564">
      <c r="A564" s="538" t="s">
        <v>3511</v>
      </c>
      <c r="D564" s="692"/>
      <c r="E564" s="574"/>
      <c r="F564" s="574"/>
      <c r="G564" s="574"/>
      <c r="H564" s="574"/>
      <c r="I564" s="574"/>
      <c r="J564" s="576"/>
      <c r="K564" s="576"/>
      <c r="L564" s="683"/>
      <c r="N564" s="122"/>
      <c r="O564" s="546">
        <v>0.0</v>
      </c>
      <c r="P564" s="545">
        <v>0.0</v>
      </c>
      <c r="Q564" s="546">
        <v>0.0</v>
      </c>
      <c r="R564" s="655"/>
      <c r="S564" s="75"/>
      <c r="T564" s="655"/>
      <c r="U564" s="75"/>
      <c r="V564" s="655"/>
      <c r="W564" s="144"/>
      <c r="X564" s="549"/>
    </row>
    <row r="565">
      <c r="A565" s="538" t="s">
        <v>3511</v>
      </c>
      <c r="D565" s="692"/>
      <c r="E565" s="574"/>
      <c r="F565" s="574"/>
      <c r="G565" s="574"/>
      <c r="H565" s="574"/>
      <c r="I565" s="574"/>
      <c r="J565" s="576"/>
      <c r="K565" s="576"/>
      <c r="L565" s="683"/>
      <c r="N565" s="122"/>
      <c r="O565" s="546">
        <v>0.0</v>
      </c>
      <c r="P565" s="545">
        <v>0.0</v>
      </c>
      <c r="Q565" s="546">
        <v>0.0</v>
      </c>
      <c r="R565" s="655"/>
      <c r="S565" s="75"/>
      <c r="T565" s="655"/>
      <c r="U565" s="75"/>
      <c r="V565" s="655"/>
      <c r="W565" s="144"/>
      <c r="X565" s="549"/>
    </row>
    <row r="566">
      <c r="A566" s="538" t="s">
        <v>3511</v>
      </c>
      <c r="D566" s="692"/>
      <c r="E566" s="574"/>
      <c r="F566" s="574"/>
      <c r="G566" s="574"/>
      <c r="H566" s="574"/>
      <c r="I566" s="574"/>
      <c r="J566" s="576"/>
      <c r="K566" s="576"/>
      <c r="L566" s="683"/>
      <c r="N566" s="122"/>
      <c r="O566" s="546">
        <v>0.0</v>
      </c>
      <c r="P566" s="545">
        <v>0.0</v>
      </c>
      <c r="Q566" s="546">
        <v>0.0</v>
      </c>
      <c r="R566" s="655"/>
      <c r="S566" s="75"/>
      <c r="T566" s="655"/>
      <c r="U566" s="75"/>
      <c r="V566" s="655"/>
      <c r="W566" s="144"/>
      <c r="X566" s="549"/>
    </row>
    <row r="567">
      <c r="A567" s="538" t="s">
        <v>3511</v>
      </c>
      <c r="D567" s="692"/>
      <c r="E567" s="574"/>
      <c r="F567" s="574"/>
      <c r="G567" s="574"/>
      <c r="H567" s="574"/>
      <c r="I567" s="574"/>
      <c r="J567" s="576"/>
      <c r="K567" s="576"/>
      <c r="L567" s="683"/>
      <c r="N567" s="122"/>
      <c r="O567" s="546">
        <v>0.0</v>
      </c>
      <c r="P567" s="545">
        <v>0.0</v>
      </c>
      <c r="Q567" s="546">
        <v>0.0</v>
      </c>
      <c r="R567" s="655"/>
      <c r="S567" s="75"/>
      <c r="T567" s="655"/>
      <c r="U567" s="75"/>
      <c r="V567" s="655"/>
      <c r="W567" s="144"/>
      <c r="X567" s="549"/>
    </row>
    <row r="568">
      <c r="A568" s="538" t="s">
        <v>3511</v>
      </c>
      <c r="D568" s="692"/>
      <c r="E568" s="574"/>
      <c r="F568" s="574"/>
      <c r="G568" s="574"/>
      <c r="H568" s="574"/>
      <c r="I568" s="574"/>
      <c r="J568" s="576"/>
      <c r="K568" s="576"/>
      <c r="L568" s="683"/>
      <c r="N568" s="122"/>
      <c r="O568" s="546">
        <v>0.0</v>
      </c>
      <c r="P568" s="545">
        <v>0.0</v>
      </c>
      <c r="Q568" s="546">
        <v>0.0</v>
      </c>
      <c r="R568" s="655"/>
      <c r="S568" s="75"/>
      <c r="T568" s="655"/>
      <c r="U568" s="75"/>
      <c r="V568" s="655"/>
      <c r="W568" s="144"/>
      <c r="X568" s="549"/>
    </row>
    <row r="569">
      <c r="A569" s="538" t="s">
        <v>3511</v>
      </c>
      <c r="D569" s="692"/>
      <c r="E569" s="574"/>
      <c r="F569" s="574"/>
      <c r="G569" s="574"/>
      <c r="H569" s="574"/>
      <c r="I569" s="574"/>
      <c r="J569" s="576"/>
      <c r="K569" s="576"/>
      <c r="L569" s="683"/>
      <c r="N569" s="122"/>
      <c r="O569" s="546">
        <v>0.0</v>
      </c>
      <c r="P569" s="545">
        <v>0.0</v>
      </c>
      <c r="Q569" s="546">
        <v>0.0</v>
      </c>
      <c r="R569" s="655"/>
      <c r="S569" s="75"/>
      <c r="T569" s="655"/>
      <c r="U569" s="75"/>
      <c r="V569" s="655"/>
      <c r="W569" s="144"/>
      <c r="X569" s="549"/>
    </row>
    <row r="570">
      <c r="A570" s="538" t="s">
        <v>3511</v>
      </c>
      <c r="D570" s="692"/>
      <c r="E570" s="574"/>
      <c r="F570" s="574"/>
      <c r="G570" s="574"/>
      <c r="H570" s="574"/>
      <c r="I570" s="574"/>
      <c r="J570" s="576"/>
      <c r="K570" s="576"/>
      <c r="L570" s="683"/>
      <c r="N570" s="122"/>
      <c r="O570" s="546">
        <v>0.0</v>
      </c>
      <c r="P570" s="545">
        <v>0.0</v>
      </c>
      <c r="Q570" s="546">
        <v>0.0</v>
      </c>
      <c r="R570" s="655"/>
      <c r="S570" s="75"/>
      <c r="T570" s="655"/>
      <c r="U570" s="75"/>
      <c r="V570" s="655"/>
      <c r="W570" s="144"/>
      <c r="X570" s="549"/>
    </row>
    <row r="571">
      <c r="A571" s="538" t="s">
        <v>3511</v>
      </c>
      <c r="D571" s="692"/>
      <c r="E571" s="574"/>
      <c r="F571" s="574"/>
      <c r="G571" s="574"/>
      <c r="H571" s="574"/>
      <c r="I571" s="574"/>
      <c r="J571" s="576"/>
      <c r="K571" s="576"/>
      <c r="L571" s="683"/>
      <c r="N571" s="122"/>
      <c r="O571" s="546">
        <v>0.0</v>
      </c>
      <c r="P571" s="545">
        <v>0.0</v>
      </c>
      <c r="Q571" s="546">
        <v>0.0</v>
      </c>
      <c r="R571" s="655"/>
      <c r="S571" s="75"/>
      <c r="T571" s="655"/>
      <c r="U571" s="75"/>
      <c r="V571" s="655"/>
      <c r="W571" s="144"/>
      <c r="X571" s="549"/>
    </row>
    <row r="572">
      <c r="A572" s="538" t="s">
        <v>3511</v>
      </c>
      <c r="D572" s="692"/>
      <c r="E572" s="574"/>
      <c r="F572" s="574"/>
      <c r="G572" s="574"/>
      <c r="H572" s="574"/>
      <c r="I572" s="574"/>
      <c r="J572" s="576"/>
      <c r="K572" s="576"/>
      <c r="L572" s="683"/>
      <c r="N572" s="122"/>
      <c r="O572" s="546">
        <v>0.0</v>
      </c>
      <c r="P572" s="545">
        <v>0.0</v>
      </c>
      <c r="Q572" s="546">
        <v>0.0</v>
      </c>
      <c r="R572" s="655"/>
      <c r="S572" s="75"/>
      <c r="T572" s="655"/>
      <c r="U572" s="75"/>
      <c r="V572" s="655"/>
      <c r="W572" s="144"/>
      <c r="X572" s="549"/>
    </row>
    <row r="573">
      <c r="A573" s="538" t="s">
        <v>3511</v>
      </c>
      <c r="D573" s="692"/>
      <c r="E573" s="574"/>
      <c r="F573" s="574"/>
      <c r="G573" s="574"/>
      <c r="H573" s="574"/>
      <c r="I573" s="574"/>
      <c r="J573" s="576"/>
      <c r="K573" s="576"/>
      <c r="L573" s="683"/>
      <c r="N573" s="122"/>
      <c r="O573" s="546">
        <v>0.0</v>
      </c>
      <c r="P573" s="545">
        <v>0.0</v>
      </c>
      <c r="Q573" s="546">
        <v>0.0</v>
      </c>
      <c r="R573" s="655"/>
      <c r="S573" s="75"/>
      <c r="T573" s="655"/>
      <c r="U573" s="75"/>
      <c r="V573" s="655"/>
      <c r="W573" s="144"/>
      <c r="X573" s="549"/>
    </row>
    <row r="574">
      <c r="A574" s="538" t="s">
        <v>3511</v>
      </c>
      <c r="D574" s="692"/>
      <c r="E574" s="574"/>
      <c r="F574" s="574"/>
      <c r="G574" s="574"/>
      <c r="H574" s="574"/>
      <c r="I574" s="574"/>
      <c r="J574" s="576"/>
      <c r="K574" s="576"/>
      <c r="L574" s="683"/>
      <c r="N574" s="122"/>
      <c r="O574" s="546">
        <v>0.0</v>
      </c>
      <c r="P574" s="545">
        <v>0.0</v>
      </c>
      <c r="Q574" s="546">
        <v>0.0</v>
      </c>
      <c r="R574" s="655"/>
      <c r="S574" s="75"/>
      <c r="T574" s="655"/>
      <c r="U574" s="75"/>
      <c r="V574" s="655"/>
      <c r="W574" s="144"/>
      <c r="X574" s="549"/>
    </row>
    <row r="575">
      <c r="A575" s="538" t="s">
        <v>3511</v>
      </c>
      <c r="D575" s="692"/>
      <c r="E575" s="574"/>
      <c r="F575" s="574"/>
      <c r="G575" s="574"/>
      <c r="H575" s="574"/>
      <c r="I575" s="574"/>
      <c r="J575" s="576"/>
      <c r="K575" s="576"/>
      <c r="L575" s="683"/>
      <c r="N575" s="122"/>
      <c r="O575" s="546">
        <v>0.0</v>
      </c>
      <c r="P575" s="545">
        <v>0.0</v>
      </c>
      <c r="Q575" s="546">
        <v>0.0</v>
      </c>
      <c r="R575" s="655"/>
      <c r="S575" s="75"/>
      <c r="T575" s="655"/>
      <c r="U575" s="75"/>
      <c r="V575" s="655"/>
      <c r="W575" s="144"/>
      <c r="X575" s="549"/>
    </row>
    <row r="576">
      <c r="A576" s="538" t="s">
        <v>3511</v>
      </c>
      <c r="D576" s="692"/>
      <c r="E576" s="574"/>
      <c r="F576" s="574"/>
      <c r="G576" s="574"/>
      <c r="H576" s="574"/>
      <c r="I576" s="574"/>
      <c r="J576" s="576"/>
      <c r="K576" s="576"/>
      <c r="L576" s="683"/>
      <c r="N576" s="122"/>
      <c r="O576" s="546">
        <v>0.0</v>
      </c>
      <c r="P576" s="545">
        <v>0.0</v>
      </c>
      <c r="Q576" s="546">
        <v>0.0</v>
      </c>
      <c r="R576" s="655"/>
      <c r="S576" s="75"/>
      <c r="T576" s="655"/>
      <c r="U576" s="75"/>
      <c r="V576" s="655"/>
      <c r="W576" s="144"/>
      <c r="X576" s="549"/>
    </row>
    <row r="577">
      <c r="A577" s="538" t="s">
        <v>3511</v>
      </c>
      <c r="D577" s="692"/>
      <c r="E577" s="574"/>
      <c r="F577" s="574"/>
      <c r="G577" s="574"/>
      <c r="H577" s="574"/>
      <c r="I577" s="574"/>
      <c r="J577" s="576"/>
      <c r="K577" s="576"/>
      <c r="L577" s="683"/>
      <c r="N577" s="122"/>
      <c r="O577" s="546">
        <v>0.0</v>
      </c>
      <c r="P577" s="545">
        <v>0.0</v>
      </c>
      <c r="Q577" s="546">
        <v>0.0</v>
      </c>
      <c r="R577" s="655"/>
      <c r="S577" s="75"/>
      <c r="T577" s="655"/>
      <c r="U577" s="75"/>
      <c r="V577" s="655"/>
      <c r="W577" s="144"/>
      <c r="X577" s="549"/>
    </row>
    <row r="578">
      <c r="A578" s="538" t="s">
        <v>3511</v>
      </c>
      <c r="D578" s="692"/>
      <c r="E578" s="574"/>
      <c r="F578" s="574"/>
      <c r="G578" s="574"/>
      <c r="H578" s="574"/>
      <c r="I578" s="574"/>
      <c r="J578" s="576"/>
      <c r="K578" s="576"/>
      <c r="L578" s="683"/>
      <c r="N578" s="122"/>
      <c r="O578" s="546">
        <v>0.0</v>
      </c>
      <c r="P578" s="545">
        <v>0.0</v>
      </c>
      <c r="Q578" s="546">
        <v>0.0</v>
      </c>
      <c r="R578" s="655"/>
      <c r="S578" s="75"/>
      <c r="T578" s="655"/>
      <c r="U578" s="75"/>
      <c r="V578" s="655"/>
      <c r="W578" s="144"/>
      <c r="X578" s="549"/>
    </row>
    <row r="579">
      <c r="A579" s="538" t="s">
        <v>3511</v>
      </c>
      <c r="D579" s="692"/>
      <c r="E579" s="574"/>
      <c r="F579" s="574"/>
      <c r="G579" s="574"/>
      <c r="H579" s="574"/>
      <c r="I579" s="574"/>
      <c r="J579" s="576"/>
      <c r="K579" s="576"/>
      <c r="L579" s="683"/>
      <c r="N579" s="122"/>
      <c r="O579" s="546">
        <v>0.0</v>
      </c>
      <c r="P579" s="545">
        <v>0.0</v>
      </c>
      <c r="Q579" s="546">
        <v>0.0</v>
      </c>
      <c r="R579" s="655"/>
      <c r="S579" s="75"/>
      <c r="T579" s="655"/>
      <c r="U579" s="75"/>
      <c r="V579" s="655"/>
      <c r="W579" s="144"/>
      <c r="X579" s="549"/>
    </row>
    <row r="580">
      <c r="A580" s="538" t="s">
        <v>3511</v>
      </c>
      <c r="D580" s="692"/>
      <c r="E580" s="574"/>
      <c r="F580" s="574"/>
      <c r="G580" s="574"/>
      <c r="H580" s="574"/>
      <c r="I580" s="574"/>
      <c r="J580" s="576"/>
      <c r="K580" s="576"/>
      <c r="L580" s="683"/>
      <c r="N580" s="122"/>
      <c r="O580" s="546">
        <v>0.0</v>
      </c>
      <c r="P580" s="545">
        <v>0.0</v>
      </c>
      <c r="Q580" s="546">
        <v>0.0</v>
      </c>
      <c r="R580" s="655"/>
      <c r="S580" s="75"/>
      <c r="T580" s="655"/>
      <c r="U580" s="75"/>
      <c r="V580" s="655"/>
      <c r="W580" s="144"/>
      <c r="X580" s="549"/>
    </row>
    <row r="581">
      <c r="A581" s="538" t="s">
        <v>3511</v>
      </c>
      <c r="D581" s="692"/>
      <c r="E581" s="574"/>
      <c r="F581" s="574"/>
      <c r="G581" s="574"/>
      <c r="H581" s="574"/>
      <c r="I581" s="574"/>
      <c r="J581" s="576"/>
      <c r="K581" s="576"/>
      <c r="L581" s="683"/>
      <c r="N581" s="122"/>
      <c r="O581" s="546">
        <v>0.0</v>
      </c>
      <c r="P581" s="545">
        <v>0.0</v>
      </c>
      <c r="Q581" s="546">
        <v>0.0</v>
      </c>
      <c r="R581" s="655"/>
      <c r="S581" s="75"/>
      <c r="T581" s="655"/>
      <c r="U581" s="75"/>
      <c r="V581" s="655"/>
      <c r="W581" s="144"/>
      <c r="X581" s="549"/>
    </row>
    <row r="582">
      <c r="A582" s="538" t="s">
        <v>3511</v>
      </c>
      <c r="D582" s="692"/>
      <c r="E582" s="574"/>
      <c r="F582" s="574"/>
      <c r="G582" s="574"/>
      <c r="H582" s="574"/>
      <c r="I582" s="574"/>
      <c r="J582" s="576"/>
      <c r="K582" s="576"/>
      <c r="L582" s="683"/>
      <c r="N582" s="122"/>
      <c r="O582" s="546">
        <v>0.0</v>
      </c>
      <c r="P582" s="545">
        <v>0.0</v>
      </c>
      <c r="Q582" s="546">
        <v>0.0</v>
      </c>
      <c r="R582" s="655"/>
      <c r="S582" s="75"/>
      <c r="T582" s="655"/>
      <c r="U582" s="75"/>
      <c r="V582" s="655"/>
      <c r="W582" s="144"/>
      <c r="X582" s="549"/>
    </row>
    <row r="583">
      <c r="A583" s="538" t="s">
        <v>3511</v>
      </c>
      <c r="D583" s="692"/>
      <c r="E583" s="574"/>
      <c r="F583" s="574"/>
      <c r="G583" s="574"/>
      <c r="H583" s="574"/>
      <c r="I583" s="574"/>
      <c r="J583" s="576"/>
      <c r="K583" s="576"/>
      <c r="L583" s="683"/>
      <c r="N583" s="122"/>
      <c r="O583" s="546">
        <v>0.0</v>
      </c>
      <c r="P583" s="545">
        <v>0.0</v>
      </c>
      <c r="Q583" s="546">
        <v>0.0</v>
      </c>
      <c r="R583" s="655"/>
      <c r="S583" s="75"/>
      <c r="T583" s="655"/>
      <c r="U583" s="75"/>
      <c r="V583" s="655"/>
      <c r="W583" s="144"/>
      <c r="X583" s="549"/>
    </row>
    <row r="584">
      <c r="A584" s="538" t="s">
        <v>3511</v>
      </c>
      <c r="D584" s="692"/>
      <c r="E584" s="574"/>
      <c r="F584" s="574"/>
      <c r="G584" s="574"/>
      <c r="H584" s="574"/>
      <c r="I584" s="574"/>
      <c r="J584" s="576"/>
      <c r="K584" s="576"/>
      <c r="L584" s="683"/>
      <c r="N584" s="122"/>
      <c r="O584" s="546">
        <v>0.0</v>
      </c>
      <c r="P584" s="545">
        <v>0.0</v>
      </c>
      <c r="Q584" s="546">
        <v>0.0</v>
      </c>
      <c r="R584" s="655"/>
      <c r="S584" s="75"/>
      <c r="T584" s="655"/>
      <c r="U584" s="75"/>
      <c r="V584" s="655"/>
      <c r="W584" s="144"/>
      <c r="X584" s="549"/>
    </row>
    <row r="585">
      <c r="A585" s="538" t="s">
        <v>3511</v>
      </c>
      <c r="D585" s="692"/>
      <c r="E585" s="574"/>
      <c r="F585" s="574"/>
      <c r="G585" s="574"/>
      <c r="H585" s="574"/>
      <c r="I585" s="574"/>
      <c r="J585" s="576"/>
      <c r="K585" s="576"/>
      <c r="L585" s="683"/>
      <c r="N585" s="122"/>
      <c r="O585" s="546">
        <v>0.0</v>
      </c>
      <c r="P585" s="545">
        <v>0.0</v>
      </c>
      <c r="Q585" s="546">
        <v>0.0</v>
      </c>
      <c r="R585" s="655"/>
      <c r="S585" s="75"/>
      <c r="T585" s="655"/>
      <c r="U585" s="75"/>
      <c r="V585" s="655"/>
      <c r="W585" s="144"/>
      <c r="X585" s="549"/>
    </row>
    <row r="586">
      <c r="A586" s="538" t="s">
        <v>3511</v>
      </c>
      <c r="D586" s="692"/>
      <c r="E586" s="574"/>
      <c r="F586" s="574"/>
      <c r="G586" s="574"/>
      <c r="H586" s="574"/>
      <c r="I586" s="574"/>
      <c r="J586" s="576"/>
      <c r="K586" s="576"/>
      <c r="L586" s="683"/>
      <c r="N586" s="122"/>
      <c r="O586" s="546">
        <v>0.0</v>
      </c>
      <c r="P586" s="545">
        <v>0.0</v>
      </c>
      <c r="Q586" s="546">
        <v>0.0</v>
      </c>
      <c r="R586" s="655"/>
      <c r="S586" s="75"/>
      <c r="T586" s="655"/>
      <c r="U586" s="75"/>
      <c r="V586" s="655"/>
      <c r="W586" s="144"/>
      <c r="X586" s="549"/>
    </row>
    <row r="587">
      <c r="A587" s="538" t="s">
        <v>3511</v>
      </c>
      <c r="D587" s="692"/>
      <c r="E587" s="574"/>
      <c r="F587" s="574"/>
      <c r="G587" s="574"/>
      <c r="H587" s="574"/>
      <c r="I587" s="574"/>
      <c r="J587" s="576"/>
      <c r="K587" s="576"/>
      <c r="L587" s="683"/>
      <c r="N587" s="122"/>
      <c r="O587" s="546">
        <v>0.0</v>
      </c>
      <c r="P587" s="545">
        <v>0.0</v>
      </c>
      <c r="Q587" s="546">
        <v>0.0</v>
      </c>
      <c r="R587" s="655"/>
      <c r="S587" s="75"/>
      <c r="T587" s="655"/>
      <c r="U587" s="75"/>
      <c r="V587" s="655"/>
      <c r="W587" s="144"/>
      <c r="X587" s="549"/>
    </row>
    <row r="588">
      <c r="A588" s="538" t="s">
        <v>3511</v>
      </c>
      <c r="D588" s="692"/>
      <c r="E588" s="574"/>
      <c r="F588" s="574"/>
      <c r="G588" s="574"/>
      <c r="H588" s="574"/>
      <c r="I588" s="574"/>
      <c r="J588" s="576"/>
      <c r="K588" s="576"/>
      <c r="L588" s="683"/>
      <c r="N588" s="122"/>
      <c r="O588" s="546">
        <v>0.0</v>
      </c>
      <c r="P588" s="545">
        <v>0.0</v>
      </c>
      <c r="Q588" s="546">
        <v>0.0</v>
      </c>
      <c r="R588" s="655"/>
      <c r="S588" s="75"/>
      <c r="T588" s="655"/>
      <c r="U588" s="75"/>
      <c r="V588" s="655"/>
      <c r="W588" s="144"/>
      <c r="X588" s="549"/>
    </row>
    <row r="589">
      <c r="A589" s="538" t="s">
        <v>3511</v>
      </c>
      <c r="D589" s="692"/>
      <c r="E589" s="574"/>
      <c r="F589" s="574"/>
      <c r="G589" s="574"/>
      <c r="H589" s="574"/>
      <c r="I589" s="574"/>
      <c r="J589" s="576"/>
      <c r="K589" s="576"/>
      <c r="L589" s="683"/>
      <c r="N589" s="122"/>
      <c r="O589" s="546">
        <v>0.0</v>
      </c>
      <c r="P589" s="545">
        <v>0.0</v>
      </c>
      <c r="Q589" s="546">
        <v>0.0</v>
      </c>
      <c r="R589" s="655"/>
      <c r="S589" s="75"/>
      <c r="T589" s="655"/>
      <c r="U589" s="75"/>
      <c r="V589" s="655"/>
      <c r="W589" s="144"/>
      <c r="X589" s="549"/>
    </row>
    <row r="590">
      <c r="A590" s="538" t="s">
        <v>3511</v>
      </c>
      <c r="D590" s="692"/>
      <c r="E590" s="574"/>
      <c r="F590" s="574"/>
      <c r="G590" s="574"/>
      <c r="H590" s="574"/>
      <c r="I590" s="574"/>
      <c r="J590" s="576"/>
      <c r="K590" s="576"/>
      <c r="L590" s="683"/>
      <c r="N590" s="122"/>
      <c r="O590" s="546">
        <v>0.0</v>
      </c>
      <c r="P590" s="545">
        <v>0.0</v>
      </c>
      <c r="Q590" s="546">
        <v>0.0</v>
      </c>
      <c r="R590" s="655"/>
      <c r="S590" s="75"/>
      <c r="T590" s="655"/>
      <c r="U590" s="75"/>
      <c r="V590" s="655"/>
      <c r="W590" s="144"/>
      <c r="X590" s="549"/>
    </row>
    <row r="591">
      <c r="A591" s="538" t="s">
        <v>3511</v>
      </c>
      <c r="D591" s="692"/>
      <c r="E591" s="574"/>
      <c r="F591" s="574"/>
      <c r="G591" s="574"/>
      <c r="H591" s="574"/>
      <c r="I591" s="574"/>
      <c r="J591" s="576"/>
      <c r="K591" s="576"/>
      <c r="L591" s="683"/>
      <c r="N591" s="122"/>
      <c r="O591" s="546">
        <v>0.0</v>
      </c>
      <c r="P591" s="545">
        <v>0.0</v>
      </c>
      <c r="Q591" s="546">
        <v>0.0</v>
      </c>
      <c r="R591" s="655"/>
      <c r="S591" s="75"/>
      <c r="T591" s="655"/>
      <c r="U591" s="75"/>
      <c r="V591" s="655"/>
      <c r="W591" s="144"/>
      <c r="X591" s="549"/>
    </row>
    <row r="592">
      <c r="A592" s="538" t="s">
        <v>3511</v>
      </c>
      <c r="D592" s="692"/>
      <c r="E592" s="574"/>
      <c r="F592" s="574"/>
      <c r="G592" s="574"/>
      <c r="H592" s="574"/>
      <c r="I592" s="574"/>
      <c r="J592" s="576"/>
      <c r="K592" s="576"/>
      <c r="L592" s="683"/>
      <c r="N592" s="122"/>
      <c r="O592" s="546">
        <v>0.0</v>
      </c>
      <c r="P592" s="545">
        <v>0.0</v>
      </c>
      <c r="Q592" s="546">
        <v>0.0</v>
      </c>
      <c r="R592" s="655"/>
      <c r="S592" s="75"/>
      <c r="T592" s="655"/>
      <c r="U592" s="75"/>
      <c r="V592" s="655"/>
      <c r="W592" s="144"/>
      <c r="X592" s="549"/>
    </row>
    <row r="593">
      <c r="A593" s="538" t="s">
        <v>3511</v>
      </c>
      <c r="D593" s="692"/>
      <c r="E593" s="574"/>
      <c r="F593" s="574"/>
      <c r="G593" s="574"/>
      <c r="H593" s="574"/>
      <c r="I593" s="574"/>
      <c r="J593" s="576"/>
      <c r="K593" s="576"/>
      <c r="L593" s="683"/>
      <c r="N593" s="122"/>
      <c r="O593" s="546">
        <v>0.0</v>
      </c>
      <c r="P593" s="545">
        <v>0.0</v>
      </c>
      <c r="Q593" s="546">
        <v>0.0</v>
      </c>
      <c r="R593" s="655"/>
      <c r="S593" s="75"/>
      <c r="T593" s="655"/>
      <c r="U593" s="75"/>
      <c r="V593" s="655"/>
      <c r="W593" s="144"/>
      <c r="X593" s="549"/>
    </row>
    <row r="594">
      <c r="A594" s="538" t="s">
        <v>3511</v>
      </c>
      <c r="D594" s="692"/>
      <c r="E594" s="574"/>
      <c r="F594" s="574"/>
      <c r="G594" s="574"/>
      <c r="H594" s="574"/>
      <c r="I594" s="574"/>
      <c r="J594" s="576"/>
      <c r="K594" s="576"/>
      <c r="L594" s="683"/>
      <c r="N594" s="122"/>
      <c r="O594" s="546">
        <v>0.0</v>
      </c>
      <c r="P594" s="545">
        <v>0.0</v>
      </c>
      <c r="Q594" s="546">
        <v>0.0</v>
      </c>
      <c r="R594" s="655"/>
      <c r="S594" s="75"/>
      <c r="T594" s="655"/>
      <c r="U594" s="75"/>
      <c r="V594" s="655"/>
      <c r="W594" s="144"/>
      <c r="X594" s="549"/>
    </row>
    <row r="595">
      <c r="A595" s="538" t="s">
        <v>3511</v>
      </c>
      <c r="D595" s="692"/>
      <c r="E595" s="574"/>
      <c r="F595" s="574"/>
      <c r="G595" s="574"/>
      <c r="H595" s="574"/>
      <c r="I595" s="574"/>
      <c r="J595" s="576"/>
      <c r="K595" s="576"/>
      <c r="L595" s="683"/>
      <c r="N595" s="122"/>
      <c r="O595" s="546">
        <v>0.0</v>
      </c>
      <c r="P595" s="545">
        <v>0.0</v>
      </c>
      <c r="Q595" s="546">
        <v>0.0</v>
      </c>
      <c r="R595" s="655"/>
      <c r="S595" s="75"/>
      <c r="T595" s="655"/>
      <c r="U595" s="75"/>
      <c r="V595" s="655"/>
      <c r="W595" s="144"/>
      <c r="X595" s="549"/>
    </row>
    <row r="596">
      <c r="A596" s="538" t="s">
        <v>3511</v>
      </c>
      <c r="D596" s="692"/>
      <c r="E596" s="574"/>
      <c r="F596" s="574"/>
      <c r="G596" s="574"/>
      <c r="H596" s="574"/>
      <c r="I596" s="574"/>
      <c r="J596" s="576"/>
      <c r="K596" s="576"/>
      <c r="L596" s="683"/>
      <c r="N596" s="122"/>
      <c r="O596" s="546">
        <v>0.0</v>
      </c>
      <c r="P596" s="545">
        <v>0.0</v>
      </c>
      <c r="Q596" s="546">
        <v>0.0</v>
      </c>
      <c r="R596" s="655"/>
      <c r="S596" s="75"/>
      <c r="T596" s="655"/>
      <c r="U596" s="75"/>
      <c r="V596" s="655"/>
      <c r="W596" s="144"/>
      <c r="X596" s="549"/>
    </row>
    <row r="597">
      <c r="A597" s="538" t="s">
        <v>3511</v>
      </c>
      <c r="D597" s="692"/>
      <c r="E597" s="574"/>
      <c r="F597" s="574"/>
      <c r="G597" s="574"/>
      <c r="H597" s="574"/>
      <c r="I597" s="574"/>
      <c r="J597" s="576"/>
      <c r="K597" s="576"/>
      <c r="L597" s="683"/>
      <c r="N597" s="122"/>
      <c r="O597" s="546">
        <v>0.0</v>
      </c>
      <c r="P597" s="545">
        <v>0.0</v>
      </c>
      <c r="Q597" s="546">
        <v>0.0</v>
      </c>
      <c r="R597" s="655"/>
      <c r="S597" s="75"/>
      <c r="T597" s="655"/>
      <c r="U597" s="75"/>
      <c r="V597" s="655"/>
      <c r="W597" s="144"/>
      <c r="X597" s="549"/>
    </row>
    <row r="598">
      <c r="A598" s="538" t="s">
        <v>3511</v>
      </c>
      <c r="D598" s="692"/>
      <c r="E598" s="574"/>
      <c r="F598" s="574"/>
      <c r="G598" s="574"/>
      <c r="H598" s="574"/>
      <c r="I598" s="574"/>
      <c r="J598" s="576"/>
      <c r="K598" s="576"/>
      <c r="L598" s="683"/>
      <c r="N598" s="122"/>
      <c r="O598" s="546">
        <v>0.0</v>
      </c>
      <c r="P598" s="545">
        <v>0.0</v>
      </c>
      <c r="Q598" s="546">
        <v>0.0</v>
      </c>
      <c r="R598" s="655"/>
      <c r="S598" s="75"/>
      <c r="T598" s="655"/>
      <c r="U598" s="75"/>
      <c r="V598" s="655"/>
      <c r="W598" s="144"/>
      <c r="X598" s="549"/>
    </row>
    <row r="599">
      <c r="A599" s="538" t="s">
        <v>3511</v>
      </c>
      <c r="D599" s="692"/>
      <c r="E599" s="574"/>
      <c r="F599" s="574"/>
      <c r="G599" s="574"/>
      <c r="H599" s="574"/>
      <c r="I599" s="574"/>
      <c r="J599" s="576"/>
      <c r="K599" s="576"/>
      <c r="L599" s="683"/>
      <c r="N599" s="122"/>
      <c r="O599" s="546">
        <v>0.0</v>
      </c>
      <c r="P599" s="545">
        <v>0.0</v>
      </c>
      <c r="Q599" s="546">
        <v>0.0</v>
      </c>
      <c r="R599" s="655"/>
      <c r="S599" s="75"/>
      <c r="T599" s="655"/>
      <c r="U599" s="75"/>
      <c r="V599" s="655"/>
      <c r="W599" s="144"/>
      <c r="X599" s="549"/>
    </row>
    <row r="600">
      <c r="A600" s="538" t="s">
        <v>3511</v>
      </c>
      <c r="D600" s="692"/>
      <c r="E600" s="574"/>
      <c r="F600" s="574"/>
      <c r="G600" s="574"/>
      <c r="H600" s="574"/>
      <c r="I600" s="574"/>
      <c r="J600" s="576"/>
      <c r="K600" s="576"/>
      <c r="L600" s="683"/>
      <c r="N600" s="122"/>
      <c r="O600" s="546">
        <v>0.0</v>
      </c>
      <c r="P600" s="545">
        <v>0.0</v>
      </c>
      <c r="Q600" s="546">
        <v>0.0</v>
      </c>
      <c r="R600" s="655"/>
      <c r="S600" s="75"/>
      <c r="T600" s="655"/>
      <c r="U600" s="75"/>
      <c r="V600" s="655"/>
      <c r="W600" s="144"/>
      <c r="X600" s="549"/>
    </row>
    <row r="601">
      <c r="A601" s="538" t="s">
        <v>3511</v>
      </c>
      <c r="D601" s="692"/>
      <c r="E601" s="574"/>
      <c r="F601" s="574"/>
      <c r="G601" s="574"/>
      <c r="H601" s="574"/>
      <c r="I601" s="574"/>
      <c r="J601" s="576"/>
      <c r="K601" s="576"/>
      <c r="L601" s="683"/>
      <c r="N601" s="122"/>
      <c r="O601" s="546">
        <v>0.0</v>
      </c>
      <c r="P601" s="545">
        <v>0.0</v>
      </c>
      <c r="Q601" s="546">
        <v>0.0</v>
      </c>
      <c r="R601" s="655"/>
      <c r="S601" s="75"/>
      <c r="T601" s="655"/>
      <c r="U601" s="75"/>
      <c r="V601" s="655"/>
      <c r="W601" s="144"/>
      <c r="X601" s="549"/>
    </row>
    <row r="602">
      <c r="A602" s="538" t="s">
        <v>3511</v>
      </c>
      <c r="D602" s="692"/>
      <c r="E602" s="574"/>
      <c r="F602" s="574"/>
      <c r="G602" s="574"/>
      <c r="H602" s="574"/>
      <c r="I602" s="574"/>
      <c r="J602" s="576"/>
      <c r="K602" s="576"/>
      <c r="L602" s="683"/>
      <c r="N602" s="122"/>
      <c r="O602" s="546">
        <v>0.0</v>
      </c>
      <c r="P602" s="545">
        <v>0.0</v>
      </c>
      <c r="Q602" s="546">
        <v>0.0</v>
      </c>
      <c r="R602" s="655"/>
      <c r="S602" s="75"/>
      <c r="T602" s="655"/>
      <c r="U602" s="75"/>
      <c r="V602" s="655"/>
      <c r="W602" s="144"/>
      <c r="X602" s="549"/>
    </row>
    <row r="603">
      <c r="A603" s="538" t="s">
        <v>3511</v>
      </c>
      <c r="D603" s="692"/>
      <c r="E603" s="574"/>
      <c r="F603" s="574"/>
      <c r="G603" s="574"/>
      <c r="H603" s="574"/>
      <c r="I603" s="574"/>
      <c r="J603" s="576"/>
      <c r="K603" s="576"/>
      <c r="L603" s="683"/>
      <c r="N603" s="122"/>
      <c r="O603" s="546">
        <v>0.0</v>
      </c>
      <c r="P603" s="545">
        <v>0.0</v>
      </c>
      <c r="Q603" s="546">
        <v>0.0</v>
      </c>
      <c r="R603" s="655"/>
      <c r="S603" s="75"/>
      <c r="T603" s="655"/>
      <c r="U603" s="75"/>
      <c r="V603" s="655"/>
      <c r="W603" s="144"/>
      <c r="X603" s="549"/>
    </row>
    <row r="604">
      <c r="A604" s="538" t="s">
        <v>3511</v>
      </c>
      <c r="D604" s="692"/>
      <c r="E604" s="574"/>
      <c r="F604" s="574"/>
      <c r="G604" s="574"/>
      <c r="H604" s="574"/>
      <c r="I604" s="574"/>
      <c r="J604" s="576"/>
      <c r="K604" s="576"/>
      <c r="L604" s="683"/>
      <c r="N604" s="122"/>
      <c r="O604" s="546">
        <v>0.0</v>
      </c>
      <c r="P604" s="545">
        <v>0.0</v>
      </c>
      <c r="Q604" s="546">
        <v>0.0</v>
      </c>
      <c r="R604" s="655"/>
      <c r="S604" s="75"/>
      <c r="T604" s="655"/>
      <c r="U604" s="75"/>
      <c r="V604" s="655"/>
      <c r="W604" s="144"/>
      <c r="X604" s="549"/>
    </row>
    <row r="605">
      <c r="A605" s="538" t="s">
        <v>3511</v>
      </c>
      <c r="D605" s="692"/>
      <c r="E605" s="574"/>
      <c r="F605" s="574"/>
      <c r="G605" s="574"/>
      <c r="H605" s="574"/>
      <c r="I605" s="574"/>
      <c r="J605" s="576"/>
      <c r="K605" s="576"/>
      <c r="L605" s="683"/>
      <c r="N605" s="122"/>
      <c r="O605" s="546">
        <v>0.0</v>
      </c>
      <c r="P605" s="545">
        <v>0.0</v>
      </c>
      <c r="Q605" s="546">
        <v>0.0</v>
      </c>
      <c r="R605" s="655"/>
      <c r="S605" s="75"/>
      <c r="T605" s="655"/>
      <c r="U605" s="75"/>
      <c r="V605" s="655"/>
      <c r="W605" s="144"/>
      <c r="X605" s="549"/>
    </row>
    <row r="606">
      <c r="A606" s="538" t="s">
        <v>3511</v>
      </c>
      <c r="D606" s="692"/>
      <c r="E606" s="574"/>
      <c r="F606" s="574"/>
      <c r="G606" s="574"/>
      <c r="H606" s="574"/>
      <c r="I606" s="574"/>
      <c r="J606" s="576"/>
      <c r="K606" s="576"/>
      <c r="L606" s="683"/>
      <c r="N606" s="122"/>
      <c r="O606" s="546">
        <v>0.0</v>
      </c>
      <c r="P606" s="545">
        <v>0.0</v>
      </c>
      <c r="Q606" s="546">
        <v>0.0</v>
      </c>
      <c r="R606" s="655"/>
      <c r="S606" s="75"/>
      <c r="T606" s="655"/>
      <c r="U606" s="75"/>
      <c r="V606" s="655"/>
      <c r="W606" s="144"/>
      <c r="X606" s="549"/>
    </row>
    <row r="607">
      <c r="A607" s="538" t="s">
        <v>3511</v>
      </c>
      <c r="D607" s="692"/>
      <c r="E607" s="574"/>
      <c r="F607" s="574"/>
      <c r="G607" s="574"/>
      <c r="H607" s="574"/>
      <c r="I607" s="574"/>
      <c r="J607" s="576"/>
      <c r="K607" s="576"/>
      <c r="L607" s="683"/>
      <c r="N607" s="122"/>
      <c r="O607" s="546">
        <v>0.0</v>
      </c>
      <c r="P607" s="545">
        <v>0.0</v>
      </c>
      <c r="Q607" s="546">
        <v>0.0</v>
      </c>
      <c r="R607" s="655"/>
      <c r="S607" s="75"/>
      <c r="T607" s="655"/>
      <c r="U607" s="75"/>
      <c r="V607" s="655"/>
      <c r="W607" s="144"/>
      <c r="X607" s="549"/>
    </row>
    <row r="608">
      <c r="A608" s="538" t="s">
        <v>3511</v>
      </c>
      <c r="D608" s="692"/>
      <c r="E608" s="574"/>
      <c r="F608" s="574"/>
      <c r="G608" s="574"/>
      <c r="H608" s="574"/>
      <c r="I608" s="574"/>
      <c r="J608" s="576"/>
      <c r="K608" s="576"/>
      <c r="L608" s="683"/>
      <c r="N608" s="122"/>
      <c r="O608" s="546">
        <v>0.0</v>
      </c>
      <c r="P608" s="545">
        <v>0.0</v>
      </c>
      <c r="Q608" s="546">
        <v>0.0</v>
      </c>
      <c r="R608" s="655"/>
      <c r="S608" s="75"/>
      <c r="T608" s="655"/>
      <c r="U608" s="75"/>
      <c r="V608" s="655"/>
      <c r="W608" s="144"/>
      <c r="X608" s="549"/>
    </row>
    <row r="609">
      <c r="A609" s="538" t="s">
        <v>3511</v>
      </c>
      <c r="D609" s="692"/>
      <c r="E609" s="574"/>
      <c r="F609" s="574"/>
      <c r="G609" s="574"/>
      <c r="H609" s="574"/>
      <c r="I609" s="574"/>
      <c r="J609" s="576"/>
      <c r="K609" s="576"/>
      <c r="L609" s="683"/>
      <c r="N609" s="122"/>
      <c r="O609" s="546">
        <v>0.0</v>
      </c>
      <c r="P609" s="545">
        <v>0.0</v>
      </c>
      <c r="Q609" s="546">
        <v>0.0</v>
      </c>
      <c r="R609" s="655"/>
      <c r="S609" s="75"/>
      <c r="T609" s="655"/>
      <c r="U609" s="75"/>
      <c r="V609" s="655"/>
      <c r="W609" s="144"/>
      <c r="X609" s="549"/>
    </row>
    <row r="610">
      <c r="A610" s="538" t="s">
        <v>3511</v>
      </c>
      <c r="D610" s="692"/>
      <c r="E610" s="574"/>
      <c r="F610" s="574"/>
      <c r="G610" s="574"/>
      <c r="H610" s="574"/>
      <c r="I610" s="574"/>
      <c r="J610" s="576"/>
      <c r="K610" s="576"/>
      <c r="L610" s="683"/>
      <c r="N610" s="122"/>
      <c r="O610" s="546">
        <v>0.0</v>
      </c>
      <c r="P610" s="545">
        <v>0.0</v>
      </c>
      <c r="Q610" s="546">
        <v>0.0</v>
      </c>
      <c r="R610" s="655"/>
      <c r="S610" s="75"/>
      <c r="T610" s="655"/>
      <c r="U610" s="75"/>
      <c r="V610" s="655"/>
      <c r="W610" s="144"/>
      <c r="X610" s="549"/>
    </row>
    <row r="611">
      <c r="A611" s="538" t="s">
        <v>3511</v>
      </c>
      <c r="D611" s="692"/>
      <c r="E611" s="574"/>
      <c r="F611" s="574"/>
      <c r="G611" s="574"/>
      <c r="H611" s="574"/>
      <c r="I611" s="574"/>
      <c r="J611" s="576"/>
      <c r="K611" s="576"/>
      <c r="L611" s="683"/>
      <c r="N611" s="122"/>
      <c r="O611" s="546">
        <v>0.0</v>
      </c>
      <c r="P611" s="545">
        <v>0.0</v>
      </c>
      <c r="Q611" s="546">
        <v>0.0</v>
      </c>
      <c r="R611" s="655"/>
      <c r="S611" s="75"/>
      <c r="T611" s="655"/>
      <c r="U611" s="75"/>
      <c r="V611" s="655"/>
      <c r="W611" s="144"/>
      <c r="X611" s="549"/>
    </row>
    <row r="612">
      <c r="A612" s="538" t="s">
        <v>3511</v>
      </c>
      <c r="D612" s="692"/>
      <c r="E612" s="574"/>
      <c r="F612" s="574"/>
      <c r="G612" s="574"/>
      <c r="H612" s="574"/>
      <c r="I612" s="574"/>
      <c r="J612" s="576"/>
      <c r="K612" s="576"/>
      <c r="L612" s="683"/>
      <c r="N612" s="122"/>
      <c r="O612" s="546">
        <v>0.0</v>
      </c>
      <c r="P612" s="545">
        <v>0.0</v>
      </c>
      <c r="Q612" s="546">
        <v>0.0</v>
      </c>
      <c r="R612" s="655"/>
      <c r="S612" s="75"/>
      <c r="T612" s="655"/>
      <c r="U612" s="75"/>
      <c r="V612" s="655"/>
      <c r="W612" s="144"/>
      <c r="X612" s="549"/>
    </row>
    <row r="613">
      <c r="A613" s="538" t="s">
        <v>3511</v>
      </c>
      <c r="D613" s="692"/>
      <c r="E613" s="574"/>
      <c r="F613" s="574"/>
      <c r="G613" s="574"/>
      <c r="H613" s="574"/>
      <c r="I613" s="574"/>
      <c r="J613" s="576"/>
      <c r="K613" s="576"/>
      <c r="L613" s="683"/>
      <c r="N613" s="122"/>
      <c r="O613" s="546">
        <v>0.0</v>
      </c>
      <c r="P613" s="545">
        <v>0.0</v>
      </c>
      <c r="Q613" s="546">
        <v>0.0</v>
      </c>
      <c r="R613" s="655"/>
      <c r="S613" s="75"/>
      <c r="T613" s="655"/>
      <c r="U613" s="75"/>
      <c r="V613" s="655"/>
      <c r="W613" s="144"/>
      <c r="X613" s="549"/>
    </row>
    <row r="614">
      <c r="A614" s="538" t="s">
        <v>3511</v>
      </c>
      <c r="D614" s="692"/>
      <c r="E614" s="574"/>
      <c r="F614" s="574"/>
      <c r="G614" s="574"/>
      <c r="H614" s="574"/>
      <c r="I614" s="574"/>
      <c r="J614" s="576"/>
      <c r="K614" s="576"/>
      <c r="L614" s="683"/>
      <c r="N614" s="122"/>
      <c r="O614" s="546">
        <v>0.0</v>
      </c>
      <c r="P614" s="545">
        <v>0.0</v>
      </c>
      <c r="Q614" s="546">
        <v>0.0</v>
      </c>
      <c r="R614" s="655"/>
      <c r="S614" s="75"/>
      <c r="T614" s="655"/>
      <c r="U614" s="75"/>
      <c r="V614" s="655"/>
      <c r="W614" s="144"/>
      <c r="X614" s="549"/>
    </row>
    <row r="615">
      <c r="A615" s="538" t="s">
        <v>3511</v>
      </c>
      <c r="D615" s="692"/>
      <c r="E615" s="574"/>
      <c r="F615" s="574"/>
      <c r="G615" s="574"/>
      <c r="H615" s="574"/>
      <c r="I615" s="574"/>
      <c r="J615" s="576"/>
      <c r="K615" s="576"/>
      <c r="L615" s="683"/>
      <c r="N615" s="122"/>
      <c r="O615" s="546">
        <v>0.0</v>
      </c>
      <c r="P615" s="545">
        <v>0.0</v>
      </c>
      <c r="Q615" s="546">
        <v>0.0</v>
      </c>
      <c r="R615" s="655"/>
      <c r="S615" s="75"/>
      <c r="T615" s="655"/>
      <c r="U615" s="75"/>
      <c r="V615" s="655"/>
      <c r="W615" s="144"/>
      <c r="X615" s="549"/>
    </row>
    <row r="616">
      <c r="A616" s="538" t="s">
        <v>3511</v>
      </c>
      <c r="D616" s="692"/>
      <c r="E616" s="574"/>
      <c r="F616" s="574"/>
      <c r="G616" s="574"/>
      <c r="H616" s="574"/>
      <c r="I616" s="574"/>
      <c r="J616" s="576"/>
      <c r="K616" s="576"/>
      <c r="L616" s="683"/>
      <c r="N616" s="122"/>
      <c r="O616" s="546">
        <v>0.0</v>
      </c>
      <c r="P616" s="545">
        <v>0.0</v>
      </c>
      <c r="Q616" s="546">
        <v>0.0</v>
      </c>
      <c r="R616" s="655"/>
      <c r="S616" s="75"/>
      <c r="T616" s="655"/>
      <c r="U616" s="75"/>
      <c r="V616" s="655"/>
      <c r="W616" s="144"/>
      <c r="X616" s="549"/>
    </row>
    <row r="617">
      <c r="A617" s="538" t="s">
        <v>3511</v>
      </c>
      <c r="D617" s="692"/>
      <c r="E617" s="574"/>
      <c r="F617" s="574"/>
      <c r="G617" s="574"/>
      <c r="H617" s="574"/>
      <c r="I617" s="574"/>
      <c r="J617" s="576"/>
      <c r="K617" s="576"/>
      <c r="L617" s="683"/>
      <c r="N617" s="122"/>
      <c r="O617" s="546">
        <v>0.0</v>
      </c>
      <c r="P617" s="545">
        <v>0.0</v>
      </c>
      <c r="Q617" s="546">
        <v>0.0</v>
      </c>
      <c r="R617" s="655"/>
      <c r="S617" s="75"/>
      <c r="T617" s="655"/>
      <c r="U617" s="75"/>
      <c r="V617" s="655"/>
      <c r="W617" s="144"/>
      <c r="X617" s="549"/>
    </row>
    <row r="618">
      <c r="A618" s="538" t="s">
        <v>3511</v>
      </c>
      <c r="D618" s="692"/>
      <c r="E618" s="574"/>
      <c r="F618" s="574"/>
      <c r="G618" s="574"/>
      <c r="H618" s="574"/>
      <c r="I618" s="574"/>
      <c r="J618" s="576"/>
      <c r="K618" s="576"/>
      <c r="L618" s="683"/>
      <c r="N618" s="122"/>
      <c r="O618" s="546">
        <v>0.0</v>
      </c>
      <c r="P618" s="545">
        <v>0.0</v>
      </c>
      <c r="Q618" s="546">
        <v>0.0</v>
      </c>
      <c r="R618" s="655"/>
      <c r="S618" s="75"/>
      <c r="T618" s="655"/>
      <c r="U618" s="75"/>
      <c r="V618" s="655"/>
      <c r="W618" s="144"/>
      <c r="X618" s="549"/>
    </row>
    <row r="619">
      <c r="A619" s="538" t="s">
        <v>3511</v>
      </c>
      <c r="D619" s="692"/>
      <c r="E619" s="574"/>
      <c r="F619" s="574"/>
      <c r="G619" s="574"/>
      <c r="H619" s="574"/>
      <c r="I619" s="574"/>
      <c r="J619" s="576"/>
      <c r="K619" s="576"/>
      <c r="L619" s="683"/>
      <c r="N619" s="122"/>
      <c r="O619" s="546">
        <v>0.0</v>
      </c>
      <c r="P619" s="545">
        <v>0.0</v>
      </c>
      <c r="Q619" s="546">
        <v>0.0</v>
      </c>
      <c r="R619" s="655"/>
      <c r="S619" s="75"/>
      <c r="T619" s="655"/>
      <c r="U619" s="75"/>
      <c r="V619" s="655"/>
      <c r="W619" s="144"/>
      <c r="X619" s="549"/>
    </row>
    <row r="620">
      <c r="A620" s="538" t="s">
        <v>3511</v>
      </c>
      <c r="D620" s="692"/>
      <c r="E620" s="574"/>
      <c r="F620" s="574"/>
      <c r="G620" s="574"/>
      <c r="H620" s="574"/>
      <c r="I620" s="574"/>
      <c r="J620" s="576"/>
      <c r="K620" s="576"/>
      <c r="L620" s="683"/>
      <c r="N620" s="122"/>
      <c r="O620" s="546">
        <v>0.0</v>
      </c>
      <c r="P620" s="545">
        <v>0.0</v>
      </c>
      <c r="Q620" s="546">
        <v>0.0</v>
      </c>
      <c r="R620" s="655"/>
      <c r="S620" s="75"/>
      <c r="T620" s="655"/>
      <c r="U620" s="75"/>
      <c r="V620" s="655"/>
      <c r="W620" s="144"/>
      <c r="X620" s="549"/>
    </row>
    <row r="621">
      <c r="A621" s="538" t="s">
        <v>3511</v>
      </c>
      <c r="D621" s="692"/>
      <c r="E621" s="574"/>
      <c r="F621" s="574"/>
      <c r="G621" s="574"/>
      <c r="H621" s="574"/>
      <c r="I621" s="574"/>
      <c r="J621" s="576"/>
      <c r="K621" s="576"/>
      <c r="L621" s="683"/>
      <c r="N621" s="122"/>
      <c r="O621" s="546">
        <v>0.0</v>
      </c>
      <c r="P621" s="545">
        <v>0.0</v>
      </c>
      <c r="Q621" s="546">
        <v>0.0</v>
      </c>
      <c r="R621" s="655"/>
      <c r="S621" s="75"/>
      <c r="T621" s="655"/>
      <c r="U621" s="75"/>
      <c r="V621" s="655"/>
      <c r="W621" s="144"/>
      <c r="X621" s="549"/>
    </row>
    <row r="622">
      <c r="A622" s="538" t="s">
        <v>3511</v>
      </c>
      <c r="D622" s="692"/>
      <c r="E622" s="574"/>
      <c r="F622" s="574"/>
      <c r="G622" s="574"/>
      <c r="H622" s="574"/>
      <c r="I622" s="574"/>
      <c r="J622" s="576"/>
      <c r="K622" s="576"/>
      <c r="L622" s="683"/>
      <c r="N622" s="122"/>
      <c r="O622" s="546">
        <v>0.0</v>
      </c>
      <c r="P622" s="545">
        <v>0.0</v>
      </c>
      <c r="Q622" s="546">
        <v>0.0</v>
      </c>
      <c r="R622" s="655"/>
      <c r="S622" s="75"/>
      <c r="T622" s="655"/>
      <c r="U622" s="75"/>
      <c r="V622" s="655"/>
      <c r="W622" s="144"/>
      <c r="X622" s="549"/>
    </row>
    <row r="623">
      <c r="A623" s="538" t="s">
        <v>3511</v>
      </c>
      <c r="D623" s="692"/>
      <c r="E623" s="574"/>
      <c r="F623" s="574"/>
      <c r="G623" s="574"/>
      <c r="H623" s="574"/>
      <c r="I623" s="574"/>
      <c r="J623" s="576"/>
      <c r="K623" s="576"/>
      <c r="L623" s="683"/>
      <c r="N623" s="122"/>
      <c r="O623" s="546">
        <v>0.0</v>
      </c>
      <c r="P623" s="545">
        <v>0.0</v>
      </c>
      <c r="Q623" s="546">
        <v>0.0</v>
      </c>
      <c r="R623" s="655"/>
      <c r="S623" s="75"/>
      <c r="T623" s="655"/>
      <c r="U623" s="75"/>
      <c r="V623" s="655"/>
      <c r="W623" s="144"/>
      <c r="X623" s="549"/>
    </row>
    <row r="624">
      <c r="A624" s="538" t="s">
        <v>3511</v>
      </c>
      <c r="D624" s="692"/>
      <c r="E624" s="574"/>
      <c r="F624" s="574"/>
      <c r="G624" s="574"/>
      <c r="H624" s="574"/>
      <c r="I624" s="574"/>
      <c r="J624" s="576"/>
      <c r="K624" s="576"/>
      <c r="L624" s="683"/>
      <c r="N624" s="122"/>
      <c r="O624" s="546">
        <v>0.0</v>
      </c>
      <c r="P624" s="545">
        <v>0.0</v>
      </c>
      <c r="Q624" s="546">
        <v>0.0</v>
      </c>
      <c r="R624" s="655"/>
      <c r="S624" s="75"/>
      <c r="T624" s="655"/>
      <c r="U624" s="75"/>
      <c r="V624" s="655"/>
      <c r="W624" s="144"/>
      <c r="X624" s="549"/>
    </row>
    <row r="625">
      <c r="A625" s="538" t="s">
        <v>3511</v>
      </c>
      <c r="D625" s="692"/>
      <c r="E625" s="574"/>
      <c r="F625" s="574"/>
      <c r="G625" s="574"/>
      <c r="H625" s="574"/>
      <c r="I625" s="574"/>
      <c r="J625" s="576"/>
      <c r="K625" s="576"/>
      <c r="L625" s="683"/>
      <c r="N625" s="122"/>
      <c r="O625" s="546">
        <v>0.0</v>
      </c>
      <c r="P625" s="545">
        <v>0.0</v>
      </c>
      <c r="Q625" s="546">
        <v>0.0</v>
      </c>
      <c r="R625" s="655"/>
      <c r="S625" s="75"/>
      <c r="T625" s="655"/>
      <c r="U625" s="75"/>
      <c r="V625" s="655"/>
      <c r="W625" s="144"/>
      <c r="X625" s="549"/>
    </row>
    <row r="626">
      <c r="A626" s="538" t="s">
        <v>3511</v>
      </c>
      <c r="D626" s="692"/>
      <c r="E626" s="574"/>
      <c r="F626" s="574"/>
      <c r="G626" s="574"/>
      <c r="H626" s="574"/>
      <c r="I626" s="574"/>
      <c r="J626" s="576"/>
      <c r="K626" s="576"/>
      <c r="L626" s="683"/>
      <c r="N626" s="122"/>
      <c r="O626" s="546">
        <v>0.0</v>
      </c>
      <c r="P626" s="545">
        <v>0.0</v>
      </c>
      <c r="Q626" s="546">
        <v>0.0</v>
      </c>
      <c r="R626" s="655"/>
      <c r="S626" s="75"/>
      <c r="T626" s="655"/>
      <c r="U626" s="75"/>
      <c r="V626" s="655"/>
      <c r="W626" s="144"/>
      <c r="X626" s="549"/>
    </row>
    <row r="627">
      <c r="A627" s="538" t="s">
        <v>3511</v>
      </c>
      <c r="D627" s="692"/>
      <c r="E627" s="574"/>
      <c r="F627" s="574"/>
      <c r="G627" s="574"/>
      <c r="H627" s="574"/>
      <c r="I627" s="574"/>
      <c r="J627" s="576"/>
      <c r="K627" s="576"/>
      <c r="L627" s="683"/>
      <c r="N627" s="122"/>
      <c r="O627" s="546">
        <v>0.0</v>
      </c>
      <c r="P627" s="545">
        <v>0.0</v>
      </c>
      <c r="Q627" s="546">
        <v>0.0</v>
      </c>
      <c r="R627" s="655"/>
      <c r="S627" s="75"/>
      <c r="T627" s="655"/>
      <c r="U627" s="75"/>
      <c r="V627" s="655"/>
      <c r="W627" s="144"/>
      <c r="X627" s="549"/>
    </row>
    <row r="628">
      <c r="A628" s="538" t="s">
        <v>3511</v>
      </c>
      <c r="D628" s="692"/>
      <c r="E628" s="574"/>
      <c r="F628" s="574"/>
      <c r="G628" s="574"/>
      <c r="H628" s="574"/>
      <c r="I628" s="574"/>
      <c r="J628" s="576"/>
      <c r="K628" s="576"/>
      <c r="L628" s="683"/>
      <c r="N628" s="122"/>
      <c r="O628" s="546">
        <v>0.0</v>
      </c>
      <c r="P628" s="545">
        <v>0.0</v>
      </c>
      <c r="Q628" s="546">
        <v>0.0</v>
      </c>
      <c r="R628" s="655"/>
      <c r="S628" s="75"/>
      <c r="T628" s="655"/>
      <c r="U628" s="75"/>
      <c r="V628" s="655"/>
      <c r="W628" s="144"/>
      <c r="X628" s="549"/>
    </row>
    <row r="629">
      <c r="A629" s="538" t="s">
        <v>3511</v>
      </c>
      <c r="D629" s="692"/>
      <c r="E629" s="574"/>
      <c r="F629" s="574"/>
      <c r="G629" s="574"/>
      <c r="H629" s="574"/>
      <c r="I629" s="574"/>
      <c r="J629" s="576"/>
      <c r="K629" s="576"/>
      <c r="L629" s="683"/>
      <c r="N629" s="122"/>
      <c r="O629" s="546">
        <v>0.0</v>
      </c>
      <c r="P629" s="545">
        <v>0.0</v>
      </c>
      <c r="Q629" s="546">
        <v>0.0</v>
      </c>
      <c r="R629" s="655"/>
      <c r="S629" s="75"/>
      <c r="T629" s="655"/>
      <c r="U629" s="75"/>
      <c r="V629" s="655"/>
      <c r="W629" s="144"/>
      <c r="X629" s="549"/>
    </row>
    <row r="630">
      <c r="A630" s="538" t="s">
        <v>3511</v>
      </c>
      <c r="D630" s="692"/>
      <c r="E630" s="574"/>
      <c r="F630" s="574"/>
      <c r="G630" s="574"/>
      <c r="H630" s="574"/>
      <c r="I630" s="574"/>
      <c r="J630" s="576"/>
      <c r="K630" s="576"/>
      <c r="L630" s="683"/>
      <c r="N630" s="122"/>
      <c r="O630" s="546">
        <v>0.0</v>
      </c>
      <c r="P630" s="545">
        <v>0.0</v>
      </c>
      <c r="Q630" s="546">
        <v>0.0</v>
      </c>
      <c r="R630" s="655"/>
      <c r="S630" s="75"/>
      <c r="T630" s="655"/>
      <c r="U630" s="75"/>
      <c r="V630" s="655"/>
      <c r="W630" s="144"/>
      <c r="X630" s="549"/>
    </row>
    <row r="631">
      <c r="A631" s="538" t="s">
        <v>3511</v>
      </c>
      <c r="D631" s="692"/>
      <c r="E631" s="574"/>
      <c r="F631" s="574"/>
      <c r="G631" s="574"/>
      <c r="H631" s="574"/>
      <c r="I631" s="574"/>
      <c r="J631" s="576"/>
      <c r="K631" s="576"/>
      <c r="L631" s="683"/>
      <c r="N631" s="122"/>
      <c r="O631" s="546">
        <v>0.0</v>
      </c>
      <c r="P631" s="545">
        <v>0.0</v>
      </c>
      <c r="Q631" s="546">
        <v>0.0</v>
      </c>
      <c r="R631" s="655"/>
      <c r="S631" s="75"/>
      <c r="T631" s="655"/>
      <c r="U631" s="75"/>
      <c r="V631" s="655"/>
      <c r="W631" s="144"/>
      <c r="X631" s="549"/>
    </row>
    <row r="632">
      <c r="A632" s="538" t="s">
        <v>3511</v>
      </c>
      <c r="D632" s="692"/>
      <c r="E632" s="574"/>
      <c r="F632" s="574"/>
      <c r="G632" s="574"/>
      <c r="H632" s="574"/>
      <c r="I632" s="574"/>
      <c r="J632" s="576"/>
      <c r="K632" s="576"/>
      <c r="L632" s="683"/>
      <c r="N632" s="122"/>
      <c r="O632" s="546">
        <v>0.0</v>
      </c>
      <c r="P632" s="545">
        <v>0.0</v>
      </c>
      <c r="Q632" s="546">
        <v>0.0</v>
      </c>
      <c r="R632" s="655"/>
      <c r="S632" s="75"/>
      <c r="T632" s="655"/>
      <c r="U632" s="75"/>
      <c r="V632" s="655"/>
      <c r="W632" s="144"/>
      <c r="X632" s="549"/>
    </row>
    <row r="633">
      <c r="A633" s="538" t="s">
        <v>3511</v>
      </c>
      <c r="D633" s="692"/>
      <c r="E633" s="574"/>
      <c r="F633" s="574"/>
      <c r="G633" s="574"/>
      <c r="H633" s="574"/>
      <c r="I633" s="574"/>
      <c r="J633" s="576"/>
      <c r="K633" s="576"/>
      <c r="L633" s="683"/>
      <c r="N633" s="122"/>
      <c r="O633" s="546">
        <v>0.0</v>
      </c>
      <c r="P633" s="545">
        <v>0.0</v>
      </c>
      <c r="Q633" s="546">
        <v>0.0</v>
      </c>
      <c r="R633" s="655"/>
      <c r="S633" s="75"/>
      <c r="T633" s="655"/>
      <c r="U633" s="75"/>
      <c r="V633" s="655"/>
      <c r="W633" s="144"/>
      <c r="X633" s="549"/>
    </row>
    <row r="634">
      <c r="A634" s="538" t="s">
        <v>3511</v>
      </c>
      <c r="D634" s="692"/>
      <c r="E634" s="574"/>
      <c r="F634" s="574"/>
      <c r="G634" s="574"/>
      <c r="H634" s="574"/>
      <c r="I634" s="574"/>
      <c r="J634" s="576"/>
      <c r="K634" s="576"/>
      <c r="L634" s="683"/>
      <c r="N634" s="122"/>
      <c r="O634" s="546">
        <v>0.0</v>
      </c>
      <c r="P634" s="545">
        <v>0.0</v>
      </c>
      <c r="Q634" s="546">
        <v>0.0</v>
      </c>
      <c r="R634" s="655"/>
      <c r="S634" s="75"/>
      <c r="T634" s="655"/>
      <c r="U634" s="75"/>
      <c r="V634" s="655"/>
      <c r="W634" s="144"/>
      <c r="X634" s="549"/>
    </row>
    <row r="635">
      <c r="A635" s="538" t="s">
        <v>3511</v>
      </c>
      <c r="D635" s="692"/>
      <c r="E635" s="574"/>
      <c r="F635" s="574"/>
      <c r="G635" s="574"/>
      <c r="H635" s="574"/>
      <c r="I635" s="574"/>
      <c r="J635" s="576"/>
      <c r="K635" s="576"/>
      <c r="L635" s="683"/>
      <c r="N635" s="122"/>
      <c r="O635" s="546">
        <v>0.0</v>
      </c>
      <c r="P635" s="545">
        <v>0.0</v>
      </c>
      <c r="Q635" s="546">
        <v>0.0</v>
      </c>
      <c r="R635" s="655"/>
      <c r="S635" s="75"/>
      <c r="T635" s="655"/>
      <c r="U635" s="75"/>
      <c r="V635" s="655"/>
      <c r="W635" s="144"/>
      <c r="X635" s="549"/>
    </row>
    <row r="636">
      <c r="A636" s="538" t="s">
        <v>3511</v>
      </c>
      <c r="D636" s="692"/>
      <c r="E636" s="574"/>
      <c r="F636" s="574"/>
      <c r="G636" s="574"/>
      <c r="H636" s="574"/>
      <c r="I636" s="574"/>
      <c r="J636" s="576"/>
      <c r="K636" s="576"/>
      <c r="L636" s="683"/>
      <c r="N636" s="122"/>
      <c r="O636" s="546">
        <v>0.0</v>
      </c>
      <c r="P636" s="545">
        <v>0.0</v>
      </c>
      <c r="Q636" s="546">
        <v>0.0</v>
      </c>
      <c r="R636" s="655"/>
      <c r="S636" s="75"/>
      <c r="T636" s="655"/>
      <c r="U636" s="75"/>
      <c r="V636" s="655"/>
      <c r="W636" s="144"/>
      <c r="X636" s="549"/>
    </row>
    <row r="637">
      <c r="A637" s="538" t="s">
        <v>3511</v>
      </c>
      <c r="D637" s="692"/>
      <c r="E637" s="574"/>
      <c r="F637" s="574"/>
      <c r="G637" s="574"/>
      <c r="H637" s="574"/>
      <c r="I637" s="574"/>
      <c r="J637" s="576"/>
      <c r="K637" s="576"/>
      <c r="L637" s="683"/>
      <c r="N637" s="122"/>
      <c r="O637" s="546">
        <v>0.0</v>
      </c>
      <c r="P637" s="545">
        <v>0.0</v>
      </c>
      <c r="Q637" s="546">
        <v>0.0</v>
      </c>
      <c r="R637" s="655"/>
      <c r="S637" s="75"/>
      <c r="T637" s="655"/>
      <c r="U637" s="75"/>
      <c r="V637" s="655"/>
      <c r="W637" s="144"/>
      <c r="X637" s="549"/>
    </row>
    <row r="638">
      <c r="A638" s="538" t="s">
        <v>3511</v>
      </c>
      <c r="D638" s="692"/>
      <c r="E638" s="574"/>
      <c r="F638" s="574"/>
      <c r="G638" s="574"/>
      <c r="H638" s="574"/>
      <c r="I638" s="574"/>
      <c r="J638" s="576"/>
      <c r="K638" s="576"/>
      <c r="L638" s="683"/>
      <c r="N638" s="122"/>
      <c r="O638" s="546">
        <v>0.0</v>
      </c>
      <c r="P638" s="545">
        <v>0.0</v>
      </c>
      <c r="Q638" s="546">
        <v>0.0</v>
      </c>
      <c r="R638" s="655"/>
      <c r="S638" s="75"/>
      <c r="T638" s="655"/>
      <c r="U638" s="75"/>
      <c r="V638" s="655"/>
      <c r="W638" s="144"/>
      <c r="X638" s="549"/>
    </row>
    <row r="639">
      <c r="A639" s="538" t="s">
        <v>3511</v>
      </c>
      <c r="D639" s="692"/>
      <c r="E639" s="574"/>
      <c r="F639" s="574"/>
      <c r="G639" s="574"/>
      <c r="H639" s="574"/>
      <c r="I639" s="574"/>
      <c r="J639" s="576"/>
      <c r="K639" s="576"/>
      <c r="L639" s="683"/>
      <c r="N639" s="122"/>
      <c r="O639" s="546">
        <v>0.0</v>
      </c>
      <c r="P639" s="545">
        <v>0.0</v>
      </c>
      <c r="Q639" s="546">
        <v>0.0</v>
      </c>
      <c r="R639" s="655"/>
      <c r="S639" s="75"/>
      <c r="T639" s="655"/>
      <c r="U639" s="75"/>
      <c r="V639" s="655"/>
      <c r="W639" s="144"/>
      <c r="X639" s="549"/>
    </row>
    <row r="640">
      <c r="A640" s="538" t="s">
        <v>3511</v>
      </c>
      <c r="D640" s="692"/>
      <c r="E640" s="574"/>
      <c r="F640" s="574"/>
      <c r="G640" s="574"/>
      <c r="H640" s="574"/>
      <c r="I640" s="574"/>
      <c r="J640" s="576"/>
      <c r="K640" s="576"/>
      <c r="L640" s="683"/>
      <c r="N640" s="122"/>
      <c r="O640" s="546">
        <v>0.0</v>
      </c>
      <c r="P640" s="545">
        <v>0.0</v>
      </c>
      <c r="Q640" s="546">
        <v>0.0</v>
      </c>
      <c r="R640" s="655"/>
      <c r="S640" s="75"/>
      <c r="T640" s="655"/>
      <c r="U640" s="75"/>
      <c r="V640" s="655"/>
      <c r="W640" s="144"/>
      <c r="X640" s="549"/>
    </row>
    <row r="641">
      <c r="A641" s="538" t="s">
        <v>3511</v>
      </c>
      <c r="D641" s="692"/>
      <c r="E641" s="574"/>
      <c r="F641" s="574"/>
      <c r="G641" s="574"/>
      <c r="H641" s="574"/>
      <c r="I641" s="574"/>
      <c r="J641" s="576"/>
      <c r="K641" s="576"/>
      <c r="L641" s="683"/>
      <c r="N641" s="122"/>
      <c r="O641" s="546">
        <v>0.0</v>
      </c>
      <c r="P641" s="545">
        <v>0.0</v>
      </c>
      <c r="Q641" s="546">
        <v>0.0</v>
      </c>
      <c r="R641" s="655"/>
      <c r="S641" s="75"/>
      <c r="T641" s="655"/>
      <c r="U641" s="75"/>
      <c r="V641" s="655"/>
      <c r="W641" s="144"/>
      <c r="X641" s="549"/>
    </row>
    <row r="642">
      <c r="A642" s="538" t="s">
        <v>3511</v>
      </c>
      <c r="D642" s="692"/>
      <c r="E642" s="574"/>
      <c r="F642" s="574"/>
      <c r="G642" s="574"/>
      <c r="H642" s="574"/>
      <c r="I642" s="574"/>
      <c r="J642" s="576"/>
      <c r="K642" s="576"/>
      <c r="L642" s="683"/>
      <c r="N642" s="122"/>
      <c r="O642" s="546">
        <v>0.0</v>
      </c>
      <c r="P642" s="545">
        <v>0.0</v>
      </c>
      <c r="Q642" s="546">
        <v>0.0</v>
      </c>
      <c r="R642" s="655"/>
      <c r="S642" s="75"/>
      <c r="T642" s="655"/>
      <c r="U642" s="75"/>
      <c r="V642" s="655"/>
      <c r="W642" s="144"/>
      <c r="X642" s="549"/>
    </row>
    <row r="643">
      <c r="A643" s="538" t="s">
        <v>3511</v>
      </c>
      <c r="D643" s="692"/>
      <c r="E643" s="574"/>
      <c r="F643" s="574"/>
      <c r="G643" s="574"/>
      <c r="H643" s="574"/>
      <c r="I643" s="574"/>
      <c r="J643" s="576"/>
      <c r="K643" s="576"/>
      <c r="L643" s="683"/>
      <c r="N643" s="122"/>
      <c r="O643" s="546">
        <v>0.0</v>
      </c>
      <c r="P643" s="545">
        <v>0.0</v>
      </c>
      <c r="Q643" s="546">
        <v>0.0</v>
      </c>
      <c r="R643" s="655"/>
      <c r="S643" s="75"/>
      <c r="T643" s="655"/>
      <c r="U643" s="75"/>
      <c r="V643" s="655"/>
      <c r="W643" s="144"/>
      <c r="X643" s="549"/>
    </row>
    <row r="644">
      <c r="A644" s="538" t="s">
        <v>3511</v>
      </c>
      <c r="D644" s="692"/>
      <c r="E644" s="574"/>
      <c r="F644" s="574"/>
      <c r="G644" s="574"/>
      <c r="H644" s="574"/>
      <c r="I644" s="574"/>
      <c r="J644" s="576"/>
      <c r="K644" s="576"/>
      <c r="L644" s="683"/>
      <c r="N644" s="122"/>
      <c r="O644" s="546">
        <v>0.0</v>
      </c>
      <c r="P644" s="545">
        <v>0.0</v>
      </c>
      <c r="Q644" s="546">
        <v>0.0</v>
      </c>
      <c r="R644" s="655"/>
      <c r="S644" s="75"/>
      <c r="T644" s="655"/>
      <c r="U644" s="75"/>
      <c r="V644" s="655"/>
      <c r="W644" s="144"/>
      <c r="X644" s="549"/>
    </row>
    <row r="645">
      <c r="A645" s="538" t="s">
        <v>3511</v>
      </c>
      <c r="D645" s="692"/>
      <c r="E645" s="574"/>
      <c r="F645" s="574"/>
      <c r="G645" s="574"/>
      <c r="H645" s="574"/>
      <c r="I645" s="574"/>
      <c r="J645" s="576"/>
      <c r="K645" s="576"/>
      <c r="L645" s="683"/>
      <c r="N645" s="122"/>
      <c r="O645" s="546">
        <v>0.0</v>
      </c>
      <c r="P645" s="545">
        <v>0.0</v>
      </c>
      <c r="Q645" s="546">
        <v>0.0</v>
      </c>
      <c r="R645" s="655"/>
      <c r="S645" s="75"/>
      <c r="T645" s="655"/>
      <c r="U645" s="75"/>
      <c r="V645" s="655"/>
      <c r="W645" s="144"/>
      <c r="X645" s="549"/>
    </row>
    <row r="646">
      <c r="A646" s="538" t="s">
        <v>3511</v>
      </c>
      <c r="D646" s="692"/>
      <c r="E646" s="574"/>
      <c r="F646" s="574"/>
      <c r="G646" s="574"/>
      <c r="H646" s="574"/>
      <c r="I646" s="574"/>
      <c r="J646" s="576"/>
      <c r="K646" s="576"/>
      <c r="L646" s="683"/>
      <c r="N646" s="122"/>
      <c r="O646" s="546">
        <v>0.0</v>
      </c>
      <c r="P646" s="545">
        <v>0.0</v>
      </c>
      <c r="Q646" s="546">
        <v>0.0</v>
      </c>
      <c r="R646" s="655"/>
      <c r="S646" s="75"/>
      <c r="T646" s="655"/>
      <c r="U646" s="75"/>
      <c r="V646" s="655"/>
      <c r="W646" s="144"/>
      <c r="X646" s="549"/>
    </row>
    <row r="647">
      <c r="A647" s="538" t="s">
        <v>3511</v>
      </c>
      <c r="D647" s="692"/>
      <c r="E647" s="574"/>
      <c r="F647" s="574"/>
      <c r="G647" s="574"/>
      <c r="H647" s="574"/>
      <c r="I647" s="574"/>
      <c r="J647" s="576"/>
      <c r="K647" s="576"/>
      <c r="L647" s="683"/>
      <c r="N647" s="122"/>
      <c r="O647" s="546">
        <v>0.0</v>
      </c>
      <c r="P647" s="545">
        <v>0.0</v>
      </c>
      <c r="Q647" s="546">
        <v>0.0</v>
      </c>
      <c r="R647" s="655"/>
      <c r="S647" s="75"/>
      <c r="T647" s="655"/>
      <c r="U647" s="75"/>
      <c r="V647" s="655"/>
      <c r="W647" s="144"/>
      <c r="X647" s="549"/>
    </row>
    <row r="648">
      <c r="A648" s="538" t="s">
        <v>3511</v>
      </c>
      <c r="D648" s="692"/>
      <c r="E648" s="574"/>
      <c r="F648" s="574"/>
      <c r="G648" s="574"/>
      <c r="H648" s="574"/>
      <c r="I648" s="574"/>
      <c r="J648" s="576"/>
      <c r="K648" s="576"/>
      <c r="L648" s="683"/>
      <c r="N648" s="122"/>
      <c r="O648" s="546">
        <v>0.0</v>
      </c>
      <c r="P648" s="545">
        <v>0.0</v>
      </c>
      <c r="Q648" s="546">
        <v>0.0</v>
      </c>
      <c r="R648" s="655"/>
      <c r="S648" s="75"/>
      <c r="T648" s="655"/>
      <c r="U648" s="75"/>
      <c r="V648" s="655"/>
      <c r="W648" s="144"/>
      <c r="X648" s="549"/>
    </row>
    <row r="649">
      <c r="A649" s="538" t="s">
        <v>3511</v>
      </c>
      <c r="D649" s="692"/>
      <c r="E649" s="574"/>
      <c r="F649" s="574"/>
      <c r="G649" s="574"/>
      <c r="H649" s="574"/>
      <c r="I649" s="574"/>
      <c r="J649" s="576"/>
      <c r="K649" s="576"/>
      <c r="L649" s="683"/>
      <c r="N649" s="122"/>
      <c r="O649" s="546">
        <v>0.0</v>
      </c>
      <c r="P649" s="545">
        <v>0.0</v>
      </c>
      <c r="Q649" s="546">
        <v>0.0</v>
      </c>
      <c r="R649" s="655"/>
      <c r="S649" s="75"/>
      <c r="T649" s="655"/>
      <c r="U649" s="75"/>
      <c r="V649" s="655"/>
      <c r="W649" s="144"/>
      <c r="X649" s="549"/>
    </row>
    <row r="650">
      <c r="A650" s="538" t="s">
        <v>3511</v>
      </c>
      <c r="D650" s="692"/>
      <c r="E650" s="574"/>
      <c r="F650" s="574"/>
      <c r="G650" s="574"/>
      <c r="H650" s="574"/>
      <c r="I650" s="574"/>
      <c r="J650" s="576"/>
      <c r="K650" s="576"/>
      <c r="L650" s="683"/>
      <c r="N650" s="122"/>
      <c r="O650" s="546">
        <v>0.0</v>
      </c>
      <c r="P650" s="545">
        <v>0.0</v>
      </c>
      <c r="Q650" s="546">
        <v>0.0</v>
      </c>
      <c r="R650" s="655"/>
      <c r="S650" s="75"/>
      <c r="T650" s="655"/>
      <c r="U650" s="75"/>
      <c r="V650" s="655"/>
      <c r="W650" s="144"/>
      <c r="X650" s="549"/>
    </row>
    <row r="651">
      <c r="A651" s="538" t="s">
        <v>3511</v>
      </c>
      <c r="D651" s="692"/>
      <c r="E651" s="574"/>
      <c r="F651" s="574"/>
      <c r="G651" s="574"/>
      <c r="H651" s="574"/>
      <c r="I651" s="574"/>
      <c r="J651" s="576"/>
      <c r="K651" s="576"/>
      <c r="L651" s="683"/>
      <c r="N651" s="122"/>
      <c r="O651" s="546">
        <v>0.0</v>
      </c>
      <c r="P651" s="545">
        <v>0.0</v>
      </c>
      <c r="Q651" s="546">
        <v>0.0</v>
      </c>
      <c r="R651" s="655"/>
      <c r="S651" s="75"/>
      <c r="T651" s="655"/>
      <c r="U651" s="75"/>
      <c r="V651" s="655"/>
      <c r="W651" s="144"/>
      <c r="X651" s="549"/>
    </row>
    <row r="652">
      <c r="A652" s="538" t="s">
        <v>3511</v>
      </c>
      <c r="D652" s="692"/>
      <c r="E652" s="574"/>
      <c r="F652" s="574"/>
      <c r="G652" s="574"/>
      <c r="H652" s="574"/>
      <c r="I652" s="574"/>
      <c r="J652" s="576"/>
      <c r="K652" s="576"/>
      <c r="L652" s="683"/>
      <c r="N652" s="122"/>
      <c r="O652" s="546">
        <v>0.0</v>
      </c>
      <c r="P652" s="545">
        <v>0.0</v>
      </c>
      <c r="Q652" s="546">
        <v>0.0</v>
      </c>
      <c r="R652" s="655"/>
      <c r="S652" s="75"/>
      <c r="T652" s="655"/>
      <c r="U652" s="75"/>
      <c r="V652" s="655"/>
      <c r="W652" s="144"/>
      <c r="X652" s="549"/>
    </row>
    <row r="653">
      <c r="A653" s="538" t="s">
        <v>3511</v>
      </c>
      <c r="D653" s="692"/>
      <c r="E653" s="574"/>
      <c r="F653" s="574"/>
      <c r="G653" s="574"/>
      <c r="H653" s="574"/>
      <c r="I653" s="574"/>
      <c r="J653" s="576"/>
      <c r="K653" s="576"/>
      <c r="L653" s="683"/>
      <c r="N653" s="122"/>
      <c r="O653" s="546">
        <v>0.0</v>
      </c>
      <c r="P653" s="545">
        <v>0.0</v>
      </c>
      <c r="Q653" s="546">
        <v>0.0</v>
      </c>
      <c r="R653" s="655"/>
      <c r="S653" s="75"/>
      <c r="T653" s="655"/>
      <c r="U653" s="75"/>
      <c r="V653" s="655"/>
      <c r="W653" s="144"/>
      <c r="X653" s="549"/>
    </row>
    <row r="654">
      <c r="A654" s="538" t="s">
        <v>3511</v>
      </c>
      <c r="D654" s="692"/>
      <c r="E654" s="574"/>
      <c r="F654" s="574"/>
      <c r="G654" s="574"/>
      <c r="H654" s="574"/>
      <c r="I654" s="574"/>
      <c r="J654" s="576"/>
      <c r="K654" s="576"/>
      <c r="L654" s="683"/>
      <c r="N654" s="122"/>
      <c r="O654" s="546">
        <v>0.0</v>
      </c>
      <c r="P654" s="545">
        <v>0.0</v>
      </c>
      <c r="Q654" s="546">
        <v>0.0</v>
      </c>
      <c r="R654" s="655"/>
      <c r="S654" s="75"/>
      <c r="T654" s="655"/>
      <c r="U654" s="75"/>
      <c r="V654" s="655"/>
      <c r="W654" s="144"/>
      <c r="X654" s="549"/>
    </row>
    <row r="655">
      <c r="A655" s="538" t="s">
        <v>3511</v>
      </c>
      <c r="D655" s="692"/>
      <c r="E655" s="574"/>
      <c r="F655" s="574"/>
      <c r="G655" s="574"/>
      <c r="H655" s="574"/>
      <c r="I655" s="574"/>
      <c r="J655" s="576"/>
      <c r="K655" s="576"/>
      <c r="L655" s="683"/>
      <c r="N655" s="122"/>
      <c r="O655" s="546">
        <v>0.0</v>
      </c>
      <c r="P655" s="545">
        <v>0.0</v>
      </c>
      <c r="Q655" s="546">
        <v>0.0</v>
      </c>
      <c r="R655" s="655"/>
      <c r="S655" s="75"/>
      <c r="T655" s="655"/>
      <c r="U655" s="75"/>
      <c r="V655" s="655"/>
      <c r="W655" s="144"/>
      <c r="X655" s="549"/>
    </row>
    <row r="656">
      <c r="A656" s="538" t="s">
        <v>3511</v>
      </c>
      <c r="D656" s="692"/>
      <c r="E656" s="574"/>
      <c r="F656" s="574"/>
      <c r="G656" s="574"/>
      <c r="H656" s="574"/>
      <c r="I656" s="574"/>
      <c r="J656" s="576"/>
      <c r="K656" s="576"/>
      <c r="L656" s="683"/>
      <c r="N656" s="122"/>
      <c r="O656" s="546">
        <v>0.0</v>
      </c>
      <c r="P656" s="545">
        <v>0.0</v>
      </c>
      <c r="Q656" s="546">
        <v>0.0</v>
      </c>
      <c r="R656" s="655"/>
      <c r="S656" s="75"/>
      <c r="T656" s="655"/>
      <c r="U656" s="75"/>
      <c r="V656" s="655"/>
      <c r="W656" s="144"/>
      <c r="X656" s="549"/>
    </row>
    <row r="657">
      <c r="A657" s="538" t="s">
        <v>3511</v>
      </c>
      <c r="D657" s="692"/>
      <c r="E657" s="574"/>
      <c r="F657" s="574"/>
      <c r="G657" s="574"/>
      <c r="H657" s="574"/>
      <c r="I657" s="574"/>
      <c r="J657" s="576"/>
      <c r="K657" s="576"/>
      <c r="L657" s="683"/>
      <c r="N657" s="122"/>
      <c r="O657" s="546">
        <v>0.0</v>
      </c>
      <c r="P657" s="545">
        <v>0.0</v>
      </c>
      <c r="Q657" s="546">
        <v>0.0</v>
      </c>
      <c r="R657" s="655"/>
      <c r="S657" s="75"/>
      <c r="T657" s="655"/>
      <c r="U657" s="75"/>
      <c r="V657" s="655"/>
      <c r="W657" s="144"/>
      <c r="X657" s="549"/>
    </row>
    <row r="658">
      <c r="A658" s="538" t="s">
        <v>3511</v>
      </c>
      <c r="D658" s="692"/>
      <c r="E658" s="574"/>
      <c r="F658" s="574"/>
      <c r="G658" s="574"/>
      <c r="H658" s="574"/>
      <c r="I658" s="574"/>
      <c r="J658" s="576"/>
      <c r="K658" s="576"/>
      <c r="L658" s="683"/>
      <c r="N658" s="122"/>
      <c r="O658" s="546">
        <v>0.0</v>
      </c>
      <c r="P658" s="545">
        <v>0.0</v>
      </c>
      <c r="Q658" s="546">
        <v>0.0</v>
      </c>
      <c r="R658" s="655"/>
      <c r="S658" s="75"/>
      <c r="T658" s="655"/>
      <c r="U658" s="75"/>
      <c r="V658" s="655"/>
      <c r="W658" s="144"/>
      <c r="X658" s="549"/>
    </row>
    <row r="659">
      <c r="A659" s="538" t="s">
        <v>3511</v>
      </c>
      <c r="D659" s="692"/>
      <c r="E659" s="574"/>
      <c r="F659" s="574"/>
      <c r="G659" s="574"/>
      <c r="H659" s="574"/>
      <c r="I659" s="574"/>
      <c r="J659" s="576"/>
      <c r="K659" s="576"/>
      <c r="L659" s="683"/>
      <c r="N659" s="122"/>
      <c r="O659" s="546">
        <v>0.0</v>
      </c>
      <c r="P659" s="545">
        <v>0.0</v>
      </c>
      <c r="Q659" s="546">
        <v>0.0</v>
      </c>
      <c r="R659" s="655"/>
      <c r="S659" s="75"/>
      <c r="T659" s="655"/>
      <c r="U659" s="75"/>
      <c r="V659" s="655"/>
      <c r="W659" s="144"/>
      <c r="X659" s="549"/>
    </row>
    <row r="660">
      <c r="A660" s="538" t="s">
        <v>3511</v>
      </c>
      <c r="D660" s="692"/>
      <c r="E660" s="574"/>
      <c r="F660" s="574"/>
      <c r="G660" s="574"/>
      <c r="H660" s="574"/>
      <c r="I660" s="574"/>
      <c r="J660" s="576"/>
      <c r="K660" s="576"/>
      <c r="L660" s="683"/>
      <c r="N660" s="122"/>
      <c r="O660" s="546">
        <v>0.0</v>
      </c>
      <c r="P660" s="545">
        <v>0.0</v>
      </c>
      <c r="Q660" s="546">
        <v>0.0</v>
      </c>
      <c r="R660" s="655"/>
      <c r="S660" s="75"/>
      <c r="T660" s="655"/>
      <c r="U660" s="75"/>
      <c r="V660" s="655"/>
      <c r="W660" s="144"/>
      <c r="X660" s="549"/>
    </row>
    <row r="661">
      <c r="A661" s="538" t="s">
        <v>3511</v>
      </c>
      <c r="D661" s="692"/>
      <c r="E661" s="574"/>
      <c r="F661" s="574"/>
      <c r="G661" s="574"/>
      <c r="H661" s="574"/>
      <c r="I661" s="574"/>
      <c r="J661" s="576"/>
      <c r="K661" s="576"/>
      <c r="L661" s="683"/>
      <c r="N661" s="122"/>
      <c r="O661" s="546">
        <v>0.0</v>
      </c>
      <c r="P661" s="545">
        <v>0.0</v>
      </c>
      <c r="Q661" s="546">
        <v>0.0</v>
      </c>
      <c r="R661" s="655"/>
      <c r="S661" s="75"/>
      <c r="T661" s="655"/>
      <c r="U661" s="75"/>
      <c r="V661" s="655"/>
      <c r="W661" s="144"/>
      <c r="X661" s="549"/>
    </row>
    <row r="662">
      <c r="A662" s="538" t="s">
        <v>3511</v>
      </c>
      <c r="D662" s="692"/>
      <c r="E662" s="574"/>
      <c r="F662" s="574"/>
      <c r="G662" s="574"/>
      <c r="H662" s="574"/>
      <c r="I662" s="574"/>
      <c r="J662" s="576"/>
      <c r="K662" s="576"/>
      <c r="L662" s="683"/>
      <c r="N662" s="122"/>
      <c r="O662" s="546">
        <v>0.0</v>
      </c>
      <c r="P662" s="545">
        <v>0.0</v>
      </c>
      <c r="Q662" s="546">
        <v>0.0</v>
      </c>
      <c r="R662" s="655"/>
      <c r="S662" s="75"/>
      <c r="T662" s="655"/>
      <c r="U662" s="75"/>
      <c r="V662" s="655"/>
      <c r="W662" s="144"/>
      <c r="X662" s="549"/>
    </row>
    <row r="663">
      <c r="A663" s="538" t="s">
        <v>3511</v>
      </c>
      <c r="D663" s="692"/>
      <c r="E663" s="574"/>
      <c r="F663" s="574"/>
      <c r="G663" s="574"/>
      <c r="H663" s="574"/>
      <c r="I663" s="574"/>
      <c r="J663" s="576"/>
      <c r="K663" s="576"/>
      <c r="L663" s="683"/>
      <c r="N663" s="122"/>
      <c r="O663" s="546">
        <v>0.0</v>
      </c>
      <c r="P663" s="545">
        <v>0.0</v>
      </c>
      <c r="Q663" s="546">
        <v>0.0</v>
      </c>
      <c r="R663" s="655"/>
      <c r="S663" s="75"/>
      <c r="T663" s="655"/>
      <c r="U663" s="75"/>
      <c r="V663" s="655"/>
      <c r="W663" s="144"/>
      <c r="X663" s="549"/>
    </row>
    <row r="664">
      <c r="A664" s="538" t="s">
        <v>3511</v>
      </c>
      <c r="D664" s="692"/>
      <c r="E664" s="574"/>
      <c r="F664" s="574"/>
      <c r="G664" s="574"/>
      <c r="H664" s="574"/>
      <c r="I664" s="574"/>
      <c r="J664" s="576"/>
      <c r="K664" s="576"/>
      <c r="L664" s="683"/>
      <c r="N664" s="122"/>
      <c r="O664" s="546">
        <v>0.0</v>
      </c>
      <c r="P664" s="545">
        <v>0.0</v>
      </c>
      <c r="Q664" s="546">
        <v>0.0</v>
      </c>
      <c r="R664" s="655"/>
      <c r="S664" s="75"/>
      <c r="T664" s="655"/>
      <c r="U664" s="75"/>
      <c r="V664" s="655"/>
      <c r="W664" s="144"/>
      <c r="X664" s="549"/>
    </row>
    <row r="665">
      <c r="A665" s="538" t="s">
        <v>3511</v>
      </c>
      <c r="D665" s="692"/>
      <c r="E665" s="574"/>
      <c r="F665" s="574"/>
      <c r="G665" s="574"/>
      <c r="H665" s="574"/>
      <c r="I665" s="574"/>
      <c r="J665" s="576"/>
      <c r="K665" s="576"/>
      <c r="L665" s="683"/>
      <c r="N665" s="122"/>
      <c r="O665" s="546">
        <v>0.0</v>
      </c>
      <c r="P665" s="545">
        <v>0.0</v>
      </c>
      <c r="Q665" s="546">
        <v>0.0</v>
      </c>
      <c r="R665" s="655"/>
      <c r="S665" s="75"/>
      <c r="T665" s="655"/>
      <c r="U665" s="75"/>
      <c r="V665" s="655"/>
      <c r="W665" s="144"/>
      <c r="X665" s="549"/>
    </row>
    <row r="666">
      <c r="A666" s="538" t="s">
        <v>3511</v>
      </c>
      <c r="D666" s="692"/>
      <c r="E666" s="574"/>
      <c r="F666" s="574"/>
      <c r="G666" s="574"/>
      <c r="H666" s="574"/>
      <c r="I666" s="574"/>
      <c r="J666" s="576"/>
      <c r="K666" s="576"/>
      <c r="L666" s="683"/>
      <c r="N666" s="122"/>
      <c r="O666" s="546">
        <v>0.0</v>
      </c>
      <c r="P666" s="545">
        <v>0.0</v>
      </c>
      <c r="Q666" s="546">
        <v>0.0</v>
      </c>
      <c r="R666" s="655"/>
      <c r="S666" s="75"/>
      <c r="T666" s="655"/>
      <c r="U666" s="75"/>
      <c r="V666" s="655"/>
      <c r="W666" s="144"/>
      <c r="X666" s="549"/>
    </row>
    <row r="667">
      <c r="A667" s="538" t="s">
        <v>3511</v>
      </c>
      <c r="D667" s="692"/>
      <c r="E667" s="574"/>
      <c r="F667" s="574"/>
      <c r="G667" s="574"/>
      <c r="H667" s="574"/>
      <c r="I667" s="574"/>
      <c r="J667" s="576"/>
      <c r="K667" s="576"/>
      <c r="L667" s="683"/>
      <c r="N667" s="122"/>
      <c r="O667" s="546">
        <v>0.0</v>
      </c>
      <c r="P667" s="545">
        <v>0.0</v>
      </c>
      <c r="Q667" s="546">
        <v>0.0</v>
      </c>
      <c r="R667" s="655"/>
      <c r="S667" s="75"/>
      <c r="T667" s="655"/>
      <c r="U667" s="75"/>
      <c r="V667" s="655"/>
      <c r="W667" s="144"/>
      <c r="X667" s="549"/>
    </row>
    <row r="668">
      <c r="A668" s="538" t="s">
        <v>3511</v>
      </c>
      <c r="D668" s="692"/>
      <c r="E668" s="574"/>
      <c r="F668" s="574"/>
      <c r="G668" s="574"/>
      <c r="H668" s="574"/>
      <c r="I668" s="574"/>
      <c r="J668" s="576"/>
      <c r="K668" s="576"/>
      <c r="L668" s="683"/>
      <c r="N668" s="122"/>
      <c r="O668" s="546">
        <v>0.0</v>
      </c>
      <c r="P668" s="545">
        <v>0.0</v>
      </c>
      <c r="Q668" s="546">
        <v>0.0</v>
      </c>
      <c r="R668" s="655"/>
      <c r="S668" s="75"/>
      <c r="T668" s="655"/>
      <c r="U668" s="75"/>
      <c r="V668" s="655"/>
      <c r="W668" s="144"/>
      <c r="X668" s="549"/>
    </row>
    <row r="669">
      <c r="A669" s="538" t="s">
        <v>3511</v>
      </c>
      <c r="D669" s="692"/>
      <c r="E669" s="574"/>
      <c r="F669" s="574"/>
      <c r="G669" s="574"/>
      <c r="H669" s="574"/>
      <c r="I669" s="574"/>
      <c r="J669" s="576"/>
      <c r="K669" s="576"/>
      <c r="L669" s="683"/>
      <c r="N669" s="122"/>
      <c r="O669" s="546">
        <v>0.0</v>
      </c>
      <c r="P669" s="545">
        <v>0.0</v>
      </c>
      <c r="Q669" s="546">
        <v>0.0</v>
      </c>
      <c r="R669" s="655"/>
      <c r="S669" s="75"/>
      <c r="T669" s="655"/>
      <c r="U669" s="75"/>
      <c r="V669" s="655"/>
      <c r="W669" s="144"/>
      <c r="X669" s="549"/>
    </row>
    <row r="670">
      <c r="A670" s="538" t="s">
        <v>3511</v>
      </c>
      <c r="D670" s="692"/>
      <c r="E670" s="574"/>
      <c r="F670" s="574"/>
      <c r="G670" s="574"/>
      <c r="H670" s="574"/>
      <c r="I670" s="574"/>
      <c r="J670" s="576"/>
      <c r="K670" s="576"/>
      <c r="L670" s="683"/>
      <c r="N670" s="122"/>
      <c r="O670" s="546">
        <v>0.0</v>
      </c>
      <c r="P670" s="545">
        <v>0.0</v>
      </c>
      <c r="Q670" s="546">
        <v>0.0</v>
      </c>
      <c r="R670" s="655"/>
      <c r="S670" s="75"/>
      <c r="T670" s="655"/>
      <c r="U670" s="75"/>
      <c r="V670" s="655"/>
      <c r="W670" s="144"/>
      <c r="X670" s="549"/>
    </row>
    <row r="671">
      <c r="A671" s="538" t="s">
        <v>3511</v>
      </c>
      <c r="D671" s="692"/>
      <c r="E671" s="574"/>
      <c r="F671" s="574"/>
      <c r="G671" s="574"/>
      <c r="H671" s="574"/>
      <c r="I671" s="574"/>
      <c r="J671" s="576"/>
      <c r="K671" s="576"/>
      <c r="L671" s="683"/>
      <c r="N671" s="122"/>
      <c r="O671" s="546">
        <v>0.0</v>
      </c>
      <c r="P671" s="545">
        <v>0.0</v>
      </c>
      <c r="Q671" s="546">
        <v>0.0</v>
      </c>
      <c r="R671" s="655"/>
      <c r="S671" s="75"/>
      <c r="T671" s="655"/>
      <c r="U671" s="75"/>
      <c r="V671" s="655"/>
      <c r="W671" s="144"/>
      <c r="X671" s="549"/>
    </row>
    <row r="672">
      <c r="A672" s="538" t="s">
        <v>3511</v>
      </c>
      <c r="D672" s="692"/>
      <c r="E672" s="574"/>
      <c r="F672" s="574"/>
      <c r="G672" s="574"/>
      <c r="H672" s="574"/>
      <c r="I672" s="574"/>
      <c r="J672" s="576"/>
      <c r="K672" s="576"/>
      <c r="L672" s="683"/>
      <c r="N672" s="122"/>
      <c r="O672" s="546">
        <v>0.0</v>
      </c>
      <c r="P672" s="545">
        <v>0.0</v>
      </c>
      <c r="Q672" s="546">
        <v>0.0</v>
      </c>
      <c r="R672" s="655"/>
      <c r="S672" s="75"/>
      <c r="T672" s="655"/>
      <c r="U672" s="75"/>
      <c r="V672" s="655"/>
      <c r="W672" s="144"/>
      <c r="X672" s="549"/>
    </row>
    <row r="673">
      <c r="A673" s="538" t="s">
        <v>3511</v>
      </c>
      <c r="D673" s="692"/>
      <c r="E673" s="574"/>
      <c r="F673" s="574"/>
      <c r="G673" s="574"/>
      <c r="H673" s="574"/>
      <c r="I673" s="574"/>
      <c r="J673" s="576"/>
      <c r="K673" s="576"/>
      <c r="L673" s="683"/>
      <c r="N673" s="122"/>
      <c r="O673" s="546">
        <v>0.0</v>
      </c>
      <c r="P673" s="545">
        <v>0.0</v>
      </c>
      <c r="Q673" s="546">
        <v>0.0</v>
      </c>
      <c r="R673" s="655"/>
      <c r="S673" s="75"/>
      <c r="T673" s="655"/>
      <c r="U673" s="75"/>
      <c r="V673" s="655"/>
      <c r="W673" s="144"/>
      <c r="X673" s="549"/>
    </row>
    <row r="674">
      <c r="A674" s="538" t="s">
        <v>3511</v>
      </c>
      <c r="D674" s="692"/>
      <c r="E674" s="574"/>
      <c r="F674" s="574"/>
      <c r="G674" s="574"/>
      <c r="H674" s="574"/>
      <c r="I674" s="574"/>
      <c r="J674" s="576"/>
      <c r="K674" s="576"/>
      <c r="L674" s="683"/>
      <c r="N674" s="122"/>
      <c r="O674" s="546">
        <v>0.0</v>
      </c>
      <c r="P674" s="545">
        <v>0.0</v>
      </c>
      <c r="Q674" s="546">
        <v>0.0</v>
      </c>
      <c r="R674" s="655"/>
      <c r="S674" s="75"/>
      <c r="T674" s="655"/>
      <c r="U674" s="75"/>
      <c r="V674" s="655"/>
      <c r="W674" s="144"/>
      <c r="X674" s="549"/>
    </row>
    <row r="675">
      <c r="A675" s="538" t="s">
        <v>3511</v>
      </c>
      <c r="D675" s="692"/>
      <c r="E675" s="574"/>
      <c r="F675" s="574"/>
      <c r="G675" s="574"/>
      <c r="H675" s="574"/>
      <c r="I675" s="574"/>
      <c r="J675" s="576"/>
      <c r="K675" s="576"/>
      <c r="L675" s="683"/>
      <c r="N675" s="122"/>
      <c r="O675" s="546">
        <v>0.0</v>
      </c>
      <c r="P675" s="545">
        <v>0.0</v>
      </c>
      <c r="Q675" s="546">
        <v>0.0</v>
      </c>
      <c r="R675" s="655"/>
      <c r="S675" s="75"/>
      <c r="T675" s="655"/>
      <c r="U675" s="75"/>
      <c r="V675" s="655"/>
      <c r="W675" s="144"/>
      <c r="X675" s="549"/>
    </row>
    <row r="676">
      <c r="A676" s="538" t="s">
        <v>3511</v>
      </c>
      <c r="D676" s="692"/>
      <c r="E676" s="574"/>
      <c r="F676" s="574"/>
      <c r="G676" s="574"/>
      <c r="H676" s="574"/>
      <c r="I676" s="574"/>
      <c r="J676" s="576"/>
      <c r="K676" s="576"/>
      <c r="L676" s="683"/>
      <c r="N676" s="122"/>
      <c r="O676" s="546">
        <v>0.0</v>
      </c>
      <c r="P676" s="545">
        <v>0.0</v>
      </c>
      <c r="Q676" s="546">
        <v>0.0</v>
      </c>
      <c r="R676" s="655"/>
      <c r="S676" s="75"/>
      <c r="T676" s="655"/>
      <c r="U676" s="75"/>
      <c r="V676" s="655"/>
      <c r="W676" s="144"/>
      <c r="X676" s="549"/>
    </row>
    <row r="677">
      <c r="A677" s="538" t="s">
        <v>3511</v>
      </c>
      <c r="D677" s="692"/>
      <c r="E677" s="574"/>
      <c r="F677" s="574"/>
      <c r="G677" s="574"/>
      <c r="H677" s="574"/>
      <c r="I677" s="574"/>
      <c r="J677" s="576"/>
      <c r="K677" s="576"/>
      <c r="L677" s="683"/>
      <c r="N677" s="122"/>
      <c r="O677" s="546">
        <v>0.0</v>
      </c>
      <c r="P677" s="545">
        <v>0.0</v>
      </c>
      <c r="Q677" s="546">
        <v>0.0</v>
      </c>
      <c r="R677" s="655"/>
      <c r="S677" s="75"/>
      <c r="T677" s="655"/>
      <c r="U677" s="75"/>
      <c r="V677" s="655"/>
      <c r="W677" s="144"/>
      <c r="X677" s="549"/>
    </row>
    <row r="678">
      <c r="A678" s="538" t="s">
        <v>3511</v>
      </c>
      <c r="D678" s="692"/>
      <c r="E678" s="574"/>
      <c r="F678" s="574"/>
      <c r="G678" s="574"/>
      <c r="H678" s="574"/>
      <c r="I678" s="574"/>
      <c r="J678" s="576"/>
      <c r="K678" s="576"/>
      <c r="L678" s="683"/>
      <c r="N678" s="122"/>
      <c r="O678" s="546">
        <v>0.0</v>
      </c>
      <c r="P678" s="545">
        <v>0.0</v>
      </c>
      <c r="Q678" s="546">
        <v>0.0</v>
      </c>
      <c r="R678" s="655"/>
      <c r="S678" s="75"/>
      <c r="T678" s="655"/>
      <c r="U678" s="75"/>
      <c r="V678" s="655"/>
      <c r="W678" s="144"/>
      <c r="X678" s="549"/>
    </row>
    <row r="679">
      <c r="A679" s="538" t="s">
        <v>3511</v>
      </c>
      <c r="D679" s="692"/>
      <c r="E679" s="574"/>
      <c r="F679" s="574"/>
      <c r="G679" s="574"/>
      <c r="H679" s="574"/>
      <c r="I679" s="574"/>
      <c r="J679" s="576"/>
      <c r="K679" s="576"/>
      <c r="L679" s="683"/>
      <c r="N679" s="122"/>
      <c r="O679" s="546">
        <v>0.0</v>
      </c>
      <c r="P679" s="545">
        <v>0.0</v>
      </c>
      <c r="Q679" s="546">
        <v>0.0</v>
      </c>
      <c r="R679" s="655"/>
      <c r="S679" s="75"/>
      <c r="T679" s="655"/>
      <c r="U679" s="75"/>
      <c r="V679" s="655"/>
      <c r="W679" s="144"/>
      <c r="X679" s="549"/>
    </row>
    <row r="680">
      <c r="A680" s="538" t="s">
        <v>3511</v>
      </c>
      <c r="D680" s="692"/>
      <c r="E680" s="574"/>
      <c r="F680" s="574"/>
      <c r="G680" s="574"/>
      <c r="H680" s="574"/>
      <c r="I680" s="574"/>
      <c r="J680" s="576"/>
      <c r="K680" s="576"/>
      <c r="L680" s="683"/>
      <c r="N680" s="122"/>
      <c r="O680" s="546">
        <v>0.0</v>
      </c>
      <c r="P680" s="545">
        <v>0.0</v>
      </c>
      <c r="Q680" s="546">
        <v>0.0</v>
      </c>
      <c r="R680" s="655"/>
      <c r="S680" s="75"/>
      <c r="T680" s="655"/>
      <c r="U680" s="75"/>
      <c r="V680" s="655"/>
      <c r="W680" s="144"/>
      <c r="X680" s="549"/>
    </row>
    <row r="681">
      <c r="A681" s="538" t="s">
        <v>3511</v>
      </c>
      <c r="D681" s="692"/>
      <c r="E681" s="574"/>
      <c r="F681" s="574"/>
      <c r="G681" s="574"/>
      <c r="H681" s="574"/>
      <c r="I681" s="574"/>
      <c r="J681" s="576"/>
      <c r="K681" s="576"/>
      <c r="L681" s="683"/>
      <c r="N681" s="122"/>
      <c r="O681" s="546">
        <v>0.0</v>
      </c>
      <c r="P681" s="545">
        <v>0.0</v>
      </c>
      <c r="Q681" s="546">
        <v>0.0</v>
      </c>
      <c r="R681" s="655"/>
      <c r="S681" s="75"/>
      <c r="T681" s="655"/>
      <c r="U681" s="75"/>
      <c r="V681" s="655"/>
      <c r="W681" s="144"/>
      <c r="X681" s="549"/>
    </row>
    <row r="682">
      <c r="A682" s="538" t="s">
        <v>3511</v>
      </c>
      <c r="D682" s="692"/>
      <c r="E682" s="574"/>
      <c r="F682" s="574"/>
      <c r="G682" s="574"/>
      <c r="H682" s="574"/>
      <c r="I682" s="574"/>
      <c r="J682" s="576"/>
      <c r="K682" s="576"/>
      <c r="L682" s="683"/>
      <c r="N682" s="122"/>
      <c r="O682" s="546">
        <v>0.0</v>
      </c>
      <c r="P682" s="545">
        <v>0.0</v>
      </c>
      <c r="Q682" s="546">
        <v>0.0</v>
      </c>
      <c r="R682" s="655"/>
      <c r="S682" s="75"/>
      <c r="T682" s="655"/>
      <c r="U682" s="75"/>
      <c r="V682" s="655"/>
      <c r="W682" s="144"/>
      <c r="X682" s="549"/>
    </row>
    <row r="683">
      <c r="A683" s="538" t="s">
        <v>3511</v>
      </c>
      <c r="D683" s="692"/>
      <c r="E683" s="574"/>
      <c r="F683" s="574"/>
      <c r="G683" s="574"/>
      <c r="H683" s="574"/>
      <c r="I683" s="574"/>
      <c r="J683" s="576"/>
      <c r="K683" s="576"/>
      <c r="L683" s="683"/>
      <c r="N683" s="122"/>
      <c r="O683" s="546">
        <v>0.0</v>
      </c>
      <c r="P683" s="545">
        <v>0.0</v>
      </c>
      <c r="Q683" s="546">
        <v>0.0</v>
      </c>
      <c r="R683" s="655"/>
      <c r="S683" s="75"/>
      <c r="T683" s="655"/>
      <c r="U683" s="75"/>
      <c r="V683" s="655"/>
      <c r="W683" s="144"/>
      <c r="X683" s="549"/>
    </row>
    <row r="684">
      <c r="A684" s="538" t="s">
        <v>3511</v>
      </c>
      <c r="D684" s="692"/>
      <c r="E684" s="574"/>
      <c r="F684" s="574"/>
      <c r="G684" s="574"/>
      <c r="H684" s="574"/>
      <c r="I684" s="574"/>
      <c r="J684" s="576"/>
      <c r="K684" s="576"/>
      <c r="L684" s="683"/>
      <c r="N684" s="122"/>
      <c r="O684" s="546">
        <v>0.0</v>
      </c>
      <c r="P684" s="545">
        <v>0.0</v>
      </c>
      <c r="Q684" s="546">
        <v>0.0</v>
      </c>
      <c r="R684" s="655"/>
      <c r="S684" s="75"/>
      <c r="T684" s="655"/>
      <c r="U684" s="75"/>
      <c r="V684" s="655"/>
      <c r="W684" s="144"/>
      <c r="X684" s="549"/>
    </row>
    <row r="685">
      <c r="A685" s="538" t="s">
        <v>3511</v>
      </c>
      <c r="D685" s="692"/>
      <c r="E685" s="574"/>
      <c r="F685" s="574"/>
      <c r="G685" s="574"/>
      <c r="H685" s="574"/>
      <c r="I685" s="574"/>
      <c r="J685" s="576"/>
      <c r="K685" s="576"/>
      <c r="L685" s="683"/>
      <c r="N685" s="122"/>
      <c r="O685" s="546">
        <v>0.0</v>
      </c>
      <c r="P685" s="545">
        <v>0.0</v>
      </c>
      <c r="Q685" s="546">
        <v>0.0</v>
      </c>
      <c r="R685" s="655"/>
      <c r="S685" s="75"/>
      <c r="T685" s="655"/>
      <c r="U685" s="75"/>
      <c r="V685" s="655"/>
      <c r="W685" s="144"/>
      <c r="X685" s="549"/>
    </row>
    <row r="686">
      <c r="A686" s="538" t="s">
        <v>3511</v>
      </c>
      <c r="D686" s="692"/>
      <c r="E686" s="574"/>
      <c r="F686" s="574"/>
      <c r="G686" s="574"/>
      <c r="H686" s="574"/>
      <c r="I686" s="574"/>
      <c r="J686" s="576"/>
      <c r="K686" s="576"/>
      <c r="L686" s="683"/>
      <c r="N686" s="122"/>
      <c r="O686" s="546">
        <v>0.0</v>
      </c>
      <c r="P686" s="545">
        <v>0.0</v>
      </c>
      <c r="Q686" s="546">
        <v>0.0</v>
      </c>
      <c r="R686" s="655"/>
      <c r="S686" s="75"/>
      <c r="T686" s="655"/>
      <c r="U686" s="75"/>
      <c r="V686" s="655"/>
      <c r="W686" s="144"/>
      <c r="X686" s="549"/>
    </row>
    <row r="687">
      <c r="A687" s="538" t="s">
        <v>3511</v>
      </c>
      <c r="D687" s="692"/>
      <c r="E687" s="574"/>
      <c r="F687" s="574"/>
      <c r="G687" s="574"/>
      <c r="H687" s="574"/>
      <c r="I687" s="574"/>
      <c r="J687" s="576"/>
      <c r="K687" s="576"/>
      <c r="L687" s="683"/>
      <c r="N687" s="122"/>
      <c r="O687" s="546">
        <v>0.0</v>
      </c>
      <c r="P687" s="545">
        <v>0.0</v>
      </c>
      <c r="Q687" s="546">
        <v>0.0</v>
      </c>
      <c r="R687" s="655"/>
      <c r="S687" s="75"/>
      <c r="T687" s="655"/>
      <c r="U687" s="75"/>
      <c r="V687" s="655"/>
      <c r="W687" s="144"/>
      <c r="X687" s="549"/>
    </row>
    <row r="688">
      <c r="A688" s="538" t="s">
        <v>3511</v>
      </c>
      <c r="D688" s="692"/>
      <c r="E688" s="574"/>
      <c r="F688" s="574"/>
      <c r="G688" s="574"/>
      <c r="H688" s="574"/>
      <c r="I688" s="574"/>
      <c r="J688" s="576"/>
      <c r="K688" s="576"/>
      <c r="L688" s="683"/>
      <c r="N688" s="122"/>
      <c r="O688" s="546">
        <v>0.0</v>
      </c>
      <c r="P688" s="545">
        <v>0.0</v>
      </c>
      <c r="Q688" s="546">
        <v>0.0</v>
      </c>
      <c r="R688" s="655"/>
      <c r="S688" s="75"/>
      <c r="T688" s="655"/>
      <c r="U688" s="75"/>
      <c r="V688" s="655"/>
      <c r="W688" s="144"/>
      <c r="X688" s="549"/>
    </row>
    <row r="689">
      <c r="A689" s="538" t="s">
        <v>3511</v>
      </c>
      <c r="D689" s="692"/>
      <c r="E689" s="574"/>
      <c r="F689" s="574"/>
      <c r="G689" s="574"/>
      <c r="H689" s="574"/>
      <c r="I689" s="574"/>
      <c r="J689" s="576"/>
      <c r="K689" s="576"/>
      <c r="L689" s="683"/>
      <c r="N689" s="122"/>
      <c r="O689" s="546">
        <v>0.0</v>
      </c>
      <c r="P689" s="545">
        <v>0.0</v>
      </c>
      <c r="Q689" s="546">
        <v>0.0</v>
      </c>
      <c r="R689" s="655"/>
      <c r="S689" s="75"/>
      <c r="T689" s="655"/>
      <c r="U689" s="75"/>
      <c r="V689" s="655"/>
      <c r="W689" s="144"/>
      <c r="X689" s="549"/>
    </row>
    <row r="690">
      <c r="A690" s="538" t="s">
        <v>3511</v>
      </c>
      <c r="D690" s="692"/>
      <c r="E690" s="574"/>
      <c r="F690" s="574"/>
      <c r="G690" s="574"/>
      <c r="H690" s="574"/>
      <c r="I690" s="574"/>
      <c r="J690" s="576"/>
      <c r="K690" s="576"/>
      <c r="L690" s="683"/>
      <c r="N690" s="122"/>
      <c r="O690" s="546">
        <v>0.0</v>
      </c>
      <c r="P690" s="545">
        <v>0.0</v>
      </c>
      <c r="Q690" s="546">
        <v>0.0</v>
      </c>
      <c r="R690" s="655"/>
      <c r="S690" s="75"/>
      <c r="T690" s="655"/>
      <c r="U690" s="75"/>
      <c r="V690" s="655"/>
      <c r="W690" s="144"/>
      <c r="X690" s="549"/>
    </row>
    <row r="691">
      <c r="A691" s="538" t="s">
        <v>3511</v>
      </c>
      <c r="D691" s="692"/>
      <c r="E691" s="574"/>
      <c r="F691" s="574"/>
      <c r="G691" s="574"/>
      <c r="H691" s="574"/>
      <c r="I691" s="574"/>
      <c r="J691" s="576"/>
      <c r="K691" s="576"/>
      <c r="L691" s="683"/>
      <c r="N691" s="122"/>
      <c r="O691" s="546">
        <v>0.0</v>
      </c>
      <c r="P691" s="545">
        <v>0.0</v>
      </c>
      <c r="Q691" s="546">
        <v>0.0</v>
      </c>
      <c r="R691" s="655"/>
      <c r="S691" s="75"/>
      <c r="T691" s="655"/>
      <c r="U691" s="75"/>
      <c r="V691" s="655"/>
      <c r="W691" s="144"/>
      <c r="X691" s="549"/>
    </row>
    <row r="692">
      <c r="A692" s="538" t="s">
        <v>3511</v>
      </c>
      <c r="D692" s="692"/>
      <c r="E692" s="574"/>
      <c r="F692" s="574"/>
      <c r="G692" s="574"/>
      <c r="H692" s="574"/>
      <c r="I692" s="574"/>
      <c r="J692" s="576"/>
      <c r="K692" s="576"/>
      <c r="L692" s="683"/>
      <c r="N692" s="122"/>
      <c r="O692" s="546">
        <v>0.0</v>
      </c>
      <c r="P692" s="545">
        <v>0.0</v>
      </c>
      <c r="Q692" s="546">
        <v>0.0</v>
      </c>
      <c r="R692" s="655"/>
      <c r="S692" s="75"/>
      <c r="T692" s="655"/>
      <c r="U692" s="75"/>
      <c r="V692" s="655"/>
      <c r="W692" s="144"/>
      <c r="X692" s="549"/>
    </row>
    <row r="693">
      <c r="A693" s="538" t="s">
        <v>3511</v>
      </c>
      <c r="D693" s="692"/>
      <c r="E693" s="574"/>
      <c r="F693" s="574"/>
      <c r="G693" s="574"/>
      <c r="H693" s="574"/>
      <c r="I693" s="574"/>
      <c r="J693" s="576"/>
      <c r="K693" s="576"/>
      <c r="L693" s="683"/>
      <c r="N693" s="122"/>
      <c r="O693" s="546">
        <v>0.0</v>
      </c>
      <c r="P693" s="545">
        <v>0.0</v>
      </c>
      <c r="Q693" s="546">
        <v>0.0</v>
      </c>
      <c r="R693" s="655"/>
      <c r="S693" s="75"/>
      <c r="T693" s="655"/>
      <c r="U693" s="75"/>
      <c r="V693" s="655"/>
      <c r="W693" s="144"/>
      <c r="X693" s="549"/>
    </row>
    <row r="694">
      <c r="A694" s="538" t="s">
        <v>3511</v>
      </c>
      <c r="D694" s="692"/>
      <c r="E694" s="574"/>
      <c r="F694" s="574"/>
      <c r="G694" s="574"/>
      <c r="H694" s="574"/>
      <c r="I694" s="574"/>
      <c r="J694" s="576"/>
      <c r="K694" s="576"/>
      <c r="L694" s="683"/>
      <c r="N694" s="122"/>
      <c r="O694" s="546">
        <v>0.0</v>
      </c>
      <c r="P694" s="545">
        <v>0.0</v>
      </c>
      <c r="Q694" s="546">
        <v>0.0</v>
      </c>
      <c r="R694" s="655"/>
      <c r="S694" s="75"/>
      <c r="T694" s="655"/>
      <c r="U694" s="75"/>
      <c r="V694" s="655"/>
      <c r="W694" s="144"/>
      <c r="X694" s="549"/>
    </row>
    <row r="695">
      <c r="A695" s="538" t="s">
        <v>3511</v>
      </c>
      <c r="D695" s="692"/>
      <c r="E695" s="574"/>
      <c r="F695" s="574"/>
      <c r="G695" s="574"/>
      <c r="H695" s="574"/>
      <c r="I695" s="574"/>
      <c r="J695" s="576"/>
      <c r="K695" s="576"/>
      <c r="L695" s="683"/>
      <c r="N695" s="122"/>
      <c r="O695" s="546">
        <v>0.0</v>
      </c>
      <c r="P695" s="545">
        <v>0.0</v>
      </c>
      <c r="Q695" s="546">
        <v>0.0</v>
      </c>
      <c r="R695" s="655"/>
      <c r="S695" s="75"/>
      <c r="T695" s="655"/>
      <c r="U695" s="75"/>
      <c r="V695" s="655"/>
      <c r="W695" s="144"/>
      <c r="X695" s="549"/>
    </row>
    <row r="696">
      <c r="A696" s="538" t="s">
        <v>3511</v>
      </c>
      <c r="D696" s="692"/>
      <c r="E696" s="574"/>
      <c r="F696" s="574"/>
      <c r="G696" s="574"/>
      <c r="H696" s="574"/>
      <c r="I696" s="574"/>
      <c r="J696" s="576"/>
      <c r="K696" s="576"/>
      <c r="L696" s="683"/>
      <c r="N696" s="122"/>
      <c r="O696" s="546">
        <v>0.0</v>
      </c>
      <c r="P696" s="545">
        <v>0.0</v>
      </c>
      <c r="Q696" s="546">
        <v>0.0</v>
      </c>
      <c r="R696" s="655"/>
      <c r="S696" s="75"/>
      <c r="T696" s="655"/>
      <c r="U696" s="75"/>
      <c r="V696" s="655"/>
      <c r="W696" s="144"/>
      <c r="X696" s="549"/>
    </row>
    <row r="697">
      <c r="A697" s="538" t="s">
        <v>3511</v>
      </c>
      <c r="D697" s="692"/>
      <c r="E697" s="574"/>
      <c r="F697" s="574"/>
      <c r="G697" s="574"/>
      <c r="H697" s="574"/>
      <c r="I697" s="574"/>
      <c r="J697" s="576"/>
      <c r="K697" s="576"/>
      <c r="L697" s="683"/>
      <c r="N697" s="122"/>
      <c r="O697" s="546">
        <v>0.0</v>
      </c>
      <c r="P697" s="545">
        <v>0.0</v>
      </c>
      <c r="Q697" s="546">
        <v>0.0</v>
      </c>
      <c r="R697" s="655"/>
      <c r="S697" s="75"/>
      <c r="T697" s="655"/>
      <c r="U697" s="75"/>
      <c r="V697" s="655"/>
      <c r="W697" s="144"/>
      <c r="X697" s="549"/>
    </row>
    <row r="698">
      <c r="A698" s="538" t="s">
        <v>3511</v>
      </c>
      <c r="D698" s="692"/>
      <c r="E698" s="574"/>
      <c r="F698" s="574"/>
      <c r="G698" s="574"/>
      <c r="H698" s="574"/>
      <c r="I698" s="574"/>
      <c r="J698" s="576"/>
      <c r="K698" s="576"/>
      <c r="L698" s="683"/>
      <c r="N698" s="122"/>
      <c r="O698" s="546">
        <v>0.0</v>
      </c>
      <c r="P698" s="545">
        <v>0.0</v>
      </c>
      <c r="Q698" s="546">
        <v>0.0</v>
      </c>
      <c r="R698" s="655"/>
      <c r="S698" s="75"/>
      <c r="T698" s="655"/>
      <c r="U698" s="75"/>
      <c r="V698" s="655"/>
      <c r="W698" s="144"/>
      <c r="X698" s="549"/>
    </row>
    <row r="699">
      <c r="A699" s="538" t="s">
        <v>3511</v>
      </c>
      <c r="D699" s="692"/>
      <c r="E699" s="574"/>
      <c r="F699" s="574"/>
      <c r="G699" s="574"/>
      <c r="H699" s="574"/>
      <c r="I699" s="574"/>
      <c r="J699" s="576"/>
      <c r="K699" s="576"/>
      <c r="L699" s="683"/>
      <c r="N699" s="122"/>
      <c r="O699" s="546">
        <v>0.0</v>
      </c>
      <c r="P699" s="545">
        <v>0.0</v>
      </c>
      <c r="Q699" s="546">
        <v>0.0</v>
      </c>
      <c r="R699" s="655"/>
      <c r="S699" s="75"/>
      <c r="T699" s="655"/>
      <c r="U699" s="75"/>
      <c r="V699" s="655"/>
      <c r="W699" s="144"/>
      <c r="X699" s="549"/>
    </row>
    <row r="700">
      <c r="A700" s="538" t="s">
        <v>3511</v>
      </c>
      <c r="D700" s="692"/>
      <c r="E700" s="574"/>
      <c r="F700" s="574"/>
      <c r="G700" s="574"/>
      <c r="H700" s="574"/>
      <c r="I700" s="574"/>
      <c r="J700" s="576"/>
      <c r="K700" s="576"/>
      <c r="L700" s="683"/>
      <c r="N700" s="122"/>
      <c r="O700" s="546">
        <v>0.0</v>
      </c>
      <c r="P700" s="545">
        <v>0.0</v>
      </c>
      <c r="Q700" s="546">
        <v>0.0</v>
      </c>
      <c r="R700" s="655"/>
      <c r="S700" s="75"/>
      <c r="T700" s="655"/>
      <c r="U700" s="75"/>
      <c r="V700" s="655"/>
      <c r="W700" s="144"/>
      <c r="X700" s="549"/>
    </row>
    <row r="701">
      <c r="A701" s="538" t="s">
        <v>3511</v>
      </c>
      <c r="D701" s="692"/>
      <c r="E701" s="574"/>
      <c r="F701" s="574"/>
      <c r="G701" s="574"/>
      <c r="H701" s="574"/>
      <c r="I701" s="574"/>
      <c r="J701" s="576"/>
      <c r="K701" s="576"/>
      <c r="L701" s="683"/>
      <c r="N701" s="122"/>
      <c r="O701" s="546">
        <v>0.0</v>
      </c>
      <c r="P701" s="545">
        <v>0.0</v>
      </c>
      <c r="Q701" s="546">
        <v>0.0</v>
      </c>
      <c r="R701" s="655"/>
      <c r="S701" s="75"/>
      <c r="T701" s="655"/>
      <c r="U701" s="75"/>
      <c r="V701" s="655"/>
      <c r="W701" s="144"/>
      <c r="X701" s="549"/>
    </row>
    <row r="702">
      <c r="A702" s="538" t="s">
        <v>3511</v>
      </c>
      <c r="D702" s="692"/>
      <c r="E702" s="574"/>
      <c r="F702" s="574"/>
      <c r="G702" s="574"/>
      <c r="H702" s="574"/>
      <c r="I702" s="574"/>
      <c r="J702" s="576"/>
      <c r="K702" s="576"/>
      <c r="L702" s="683"/>
      <c r="N702" s="122"/>
      <c r="O702" s="546">
        <v>0.0</v>
      </c>
      <c r="P702" s="545">
        <v>0.0</v>
      </c>
      <c r="Q702" s="546">
        <v>0.0</v>
      </c>
      <c r="R702" s="655"/>
      <c r="S702" s="75"/>
      <c r="T702" s="655"/>
      <c r="U702" s="75"/>
      <c r="V702" s="655"/>
      <c r="W702" s="144"/>
      <c r="X702" s="549"/>
    </row>
    <row r="703">
      <c r="A703" s="538" t="s">
        <v>3511</v>
      </c>
      <c r="D703" s="692"/>
      <c r="E703" s="574"/>
      <c r="F703" s="574"/>
      <c r="G703" s="574"/>
      <c r="H703" s="574"/>
      <c r="I703" s="574"/>
      <c r="J703" s="576"/>
      <c r="K703" s="576"/>
      <c r="L703" s="683"/>
      <c r="N703" s="122"/>
      <c r="O703" s="546">
        <v>0.0</v>
      </c>
      <c r="P703" s="545">
        <v>0.0</v>
      </c>
      <c r="Q703" s="546">
        <v>0.0</v>
      </c>
      <c r="R703" s="655"/>
      <c r="S703" s="75"/>
      <c r="T703" s="655"/>
      <c r="U703" s="75"/>
      <c r="V703" s="655"/>
      <c r="W703" s="144"/>
      <c r="X703" s="549"/>
    </row>
    <row r="704">
      <c r="A704" s="538" t="s">
        <v>3511</v>
      </c>
      <c r="D704" s="692"/>
      <c r="E704" s="574"/>
      <c r="F704" s="574"/>
      <c r="G704" s="574"/>
      <c r="H704" s="574"/>
      <c r="I704" s="574"/>
      <c r="J704" s="576"/>
      <c r="K704" s="576"/>
      <c r="L704" s="683"/>
      <c r="N704" s="122"/>
      <c r="O704" s="546">
        <v>0.0</v>
      </c>
      <c r="P704" s="545">
        <v>0.0</v>
      </c>
      <c r="Q704" s="546">
        <v>0.0</v>
      </c>
      <c r="R704" s="655"/>
      <c r="S704" s="75"/>
      <c r="T704" s="655"/>
      <c r="U704" s="75"/>
      <c r="V704" s="655"/>
      <c r="W704" s="144"/>
      <c r="X704" s="549"/>
    </row>
    <row r="705">
      <c r="A705" s="538" t="s">
        <v>3511</v>
      </c>
      <c r="D705" s="692"/>
      <c r="E705" s="574"/>
      <c r="F705" s="574"/>
      <c r="G705" s="574"/>
      <c r="H705" s="574"/>
      <c r="I705" s="574"/>
      <c r="J705" s="576"/>
      <c r="K705" s="576"/>
      <c r="L705" s="683"/>
      <c r="N705" s="122"/>
      <c r="O705" s="546">
        <v>0.0</v>
      </c>
      <c r="P705" s="545">
        <v>0.0</v>
      </c>
      <c r="Q705" s="546">
        <v>0.0</v>
      </c>
      <c r="R705" s="655"/>
      <c r="S705" s="75"/>
      <c r="T705" s="655"/>
      <c r="U705" s="75"/>
      <c r="V705" s="655"/>
      <c r="W705" s="144"/>
      <c r="X705" s="549"/>
    </row>
    <row r="706">
      <c r="A706" s="538" t="s">
        <v>3511</v>
      </c>
      <c r="D706" s="692"/>
      <c r="E706" s="574"/>
      <c r="F706" s="574"/>
      <c r="G706" s="574"/>
      <c r="H706" s="574"/>
      <c r="I706" s="574"/>
      <c r="J706" s="576"/>
      <c r="K706" s="576"/>
      <c r="L706" s="683"/>
      <c r="N706" s="122"/>
      <c r="O706" s="546">
        <v>0.0</v>
      </c>
      <c r="P706" s="545">
        <v>0.0</v>
      </c>
      <c r="Q706" s="546">
        <v>0.0</v>
      </c>
      <c r="R706" s="655"/>
      <c r="S706" s="75"/>
      <c r="T706" s="655"/>
      <c r="U706" s="75"/>
      <c r="V706" s="655"/>
      <c r="W706" s="144"/>
      <c r="X706" s="549"/>
    </row>
    <row r="707">
      <c r="A707" s="538" t="s">
        <v>3511</v>
      </c>
      <c r="D707" s="692"/>
      <c r="E707" s="574"/>
      <c r="F707" s="574"/>
      <c r="G707" s="574"/>
      <c r="H707" s="574"/>
      <c r="I707" s="574"/>
      <c r="J707" s="576"/>
      <c r="K707" s="576"/>
      <c r="L707" s="683"/>
      <c r="N707" s="122"/>
      <c r="O707" s="546">
        <v>0.0</v>
      </c>
      <c r="P707" s="545">
        <v>0.0</v>
      </c>
      <c r="Q707" s="546">
        <v>0.0</v>
      </c>
      <c r="R707" s="655"/>
      <c r="S707" s="75"/>
      <c r="T707" s="655"/>
      <c r="U707" s="75"/>
      <c r="V707" s="655"/>
      <c r="W707" s="144"/>
      <c r="X707" s="549"/>
    </row>
    <row r="708">
      <c r="A708" s="538" t="s">
        <v>3511</v>
      </c>
      <c r="D708" s="692"/>
      <c r="E708" s="574"/>
      <c r="F708" s="574"/>
      <c r="G708" s="574"/>
      <c r="H708" s="574"/>
      <c r="I708" s="574"/>
      <c r="J708" s="576"/>
      <c r="K708" s="576"/>
      <c r="L708" s="683"/>
      <c r="N708" s="122"/>
      <c r="O708" s="546">
        <v>0.0</v>
      </c>
      <c r="P708" s="545">
        <v>0.0</v>
      </c>
      <c r="Q708" s="546">
        <v>0.0</v>
      </c>
      <c r="R708" s="655"/>
      <c r="S708" s="75"/>
      <c r="T708" s="655"/>
      <c r="U708" s="75"/>
      <c r="V708" s="655"/>
      <c r="W708" s="144"/>
      <c r="X708" s="549"/>
    </row>
    <row r="709">
      <c r="A709" s="538" t="s">
        <v>3511</v>
      </c>
      <c r="D709" s="692"/>
      <c r="E709" s="574"/>
      <c r="F709" s="574"/>
      <c r="G709" s="574"/>
      <c r="H709" s="574"/>
      <c r="I709" s="574"/>
      <c r="J709" s="576"/>
      <c r="K709" s="576"/>
      <c r="L709" s="683"/>
      <c r="N709" s="122"/>
      <c r="O709" s="546">
        <v>0.0</v>
      </c>
      <c r="P709" s="545">
        <v>0.0</v>
      </c>
      <c r="Q709" s="546">
        <v>0.0</v>
      </c>
      <c r="R709" s="655"/>
      <c r="S709" s="75"/>
      <c r="T709" s="655"/>
      <c r="U709" s="75"/>
      <c r="V709" s="655"/>
      <c r="W709" s="144"/>
      <c r="X709" s="549"/>
    </row>
    <row r="710">
      <c r="A710" s="538" t="s">
        <v>3511</v>
      </c>
      <c r="D710" s="692"/>
      <c r="E710" s="574"/>
      <c r="F710" s="574"/>
      <c r="G710" s="574"/>
      <c r="H710" s="574"/>
      <c r="I710" s="574"/>
      <c r="J710" s="576"/>
      <c r="K710" s="576"/>
      <c r="L710" s="683"/>
      <c r="N710" s="122"/>
      <c r="O710" s="546">
        <v>0.0</v>
      </c>
      <c r="P710" s="545">
        <v>0.0</v>
      </c>
      <c r="Q710" s="546">
        <v>0.0</v>
      </c>
      <c r="R710" s="655"/>
      <c r="S710" s="75"/>
      <c r="T710" s="655"/>
      <c r="U710" s="75"/>
      <c r="V710" s="655"/>
      <c r="W710" s="144"/>
      <c r="X710" s="549"/>
    </row>
    <row r="711">
      <c r="A711" s="538" t="s">
        <v>3511</v>
      </c>
      <c r="D711" s="692"/>
      <c r="E711" s="574"/>
      <c r="F711" s="574"/>
      <c r="G711" s="574"/>
      <c r="H711" s="574"/>
      <c r="I711" s="574"/>
      <c r="J711" s="576"/>
      <c r="K711" s="576"/>
      <c r="L711" s="683"/>
      <c r="N711" s="122"/>
      <c r="O711" s="546">
        <v>0.0</v>
      </c>
      <c r="P711" s="545">
        <v>0.0</v>
      </c>
      <c r="Q711" s="546">
        <v>0.0</v>
      </c>
      <c r="R711" s="655"/>
      <c r="S711" s="75"/>
      <c r="T711" s="655"/>
      <c r="U711" s="75"/>
      <c r="V711" s="655"/>
      <c r="W711" s="144"/>
      <c r="X711" s="549"/>
    </row>
    <row r="712">
      <c r="A712" s="538" t="s">
        <v>3511</v>
      </c>
      <c r="D712" s="692"/>
      <c r="E712" s="574"/>
      <c r="F712" s="574"/>
      <c r="G712" s="574"/>
      <c r="H712" s="574"/>
      <c r="I712" s="574"/>
      <c r="J712" s="576"/>
      <c r="K712" s="576"/>
      <c r="L712" s="683"/>
      <c r="N712" s="122"/>
      <c r="O712" s="546">
        <v>0.0</v>
      </c>
      <c r="P712" s="545">
        <v>0.0</v>
      </c>
      <c r="Q712" s="546">
        <v>0.0</v>
      </c>
      <c r="R712" s="655"/>
      <c r="S712" s="75"/>
      <c r="T712" s="655"/>
      <c r="U712" s="75"/>
      <c r="V712" s="655"/>
      <c r="W712" s="144"/>
      <c r="X712" s="549"/>
    </row>
    <row r="713">
      <c r="A713" s="538" t="s">
        <v>3511</v>
      </c>
      <c r="D713" s="692"/>
      <c r="E713" s="574"/>
      <c r="F713" s="574"/>
      <c r="G713" s="574"/>
      <c r="H713" s="574"/>
      <c r="I713" s="574"/>
      <c r="J713" s="576"/>
      <c r="K713" s="576"/>
      <c r="L713" s="683"/>
      <c r="N713" s="122"/>
      <c r="O713" s="546">
        <v>0.0</v>
      </c>
      <c r="P713" s="545">
        <v>0.0</v>
      </c>
      <c r="Q713" s="546">
        <v>0.0</v>
      </c>
      <c r="R713" s="655"/>
      <c r="S713" s="75"/>
      <c r="T713" s="655"/>
      <c r="U713" s="75"/>
      <c r="V713" s="655"/>
      <c r="W713" s="144"/>
      <c r="X713" s="549"/>
    </row>
    <row r="714">
      <c r="A714" s="538" t="s">
        <v>3511</v>
      </c>
      <c r="D714" s="692"/>
      <c r="E714" s="574"/>
      <c r="F714" s="574"/>
      <c r="G714" s="574"/>
      <c r="H714" s="574"/>
      <c r="I714" s="574"/>
      <c r="J714" s="576"/>
      <c r="K714" s="576"/>
      <c r="L714" s="683"/>
      <c r="N714" s="122"/>
      <c r="O714" s="546">
        <v>0.0</v>
      </c>
      <c r="P714" s="545">
        <v>0.0</v>
      </c>
      <c r="Q714" s="546">
        <v>0.0</v>
      </c>
      <c r="R714" s="655"/>
      <c r="S714" s="75"/>
      <c r="T714" s="655"/>
      <c r="U714" s="75"/>
      <c r="V714" s="655"/>
      <c r="W714" s="144"/>
      <c r="X714" s="549"/>
    </row>
    <row r="715">
      <c r="A715" s="538" t="s">
        <v>3511</v>
      </c>
      <c r="D715" s="692"/>
      <c r="E715" s="574"/>
      <c r="F715" s="574"/>
      <c r="G715" s="574"/>
      <c r="H715" s="574"/>
      <c r="I715" s="574"/>
      <c r="J715" s="576"/>
      <c r="K715" s="576"/>
      <c r="L715" s="683"/>
      <c r="N715" s="122"/>
      <c r="O715" s="546">
        <v>0.0</v>
      </c>
      <c r="P715" s="545">
        <v>0.0</v>
      </c>
      <c r="Q715" s="546">
        <v>0.0</v>
      </c>
      <c r="R715" s="655"/>
      <c r="S715" s="75"/>
      <c r="T715" s="655"/>
      <c r="U715" s="75"/>
      <c r="V715" s="655"/>
      <c r="W715" s="144"/>
      <c r="X715" s="549"/>
    </row>
    <row r="716">
      <c r="A716" s="538" t="s">
        <v>3511</v>
      </c>
      <c r="D716" s="692"/>
      <c r="E716" s="574"/>
      <c r="F716" s="574"/>
      <c r="G716" s="574"/>
      <c r="H716" s="574"/>
      <c r="I716" s="574"/>
      <c r="J716" s="576"/>
      <c r="K716" s="576"/>
      <c r="L716" s="683"/>
      <c r="N716" s="122"/>
      <c r="O716" s="546">
        <v>0.0</v>
      </c>
      <c r="P716" s="545">
        <v>0.0</v>
      </c>
      <c r="Q716" s="546">
        <v>0.0</v>
      </c>
      <c r="R716" s="655"/>
      <c r="S716" s="75"/>
      <c r="T716" s="655"/>
      <c r="U716" s="75"/>
      <c r="V716" s="655"/>
      <c r="W716" s="144"/>
      <c r="X716" s="549"/>
    </row>
    <row r="717">
      <c r="A717" s="538" t="s">
        <v>3511</v>
      </c>
      <c r="D717" s="692"/>
      <c r="E717" s="574"/>
      <c r="F717" s="574"/>
      <c r="G717" s="574"/>
      <c r="H717" s="574"/>
      <c r="I717" s="574"/>
      <c r="J717" s="576"/>
      <c r="K717" s="576"/>
      <c r="L717" s="683"/>
      <c r="N717" s="122"/>
      <c r="O717" s="546">
        <v>0.0</v>
      </c>
      <c r="P717" s="545">
        <v>0.0</v>
      </c>
      <c r="Q717" s="546">
        <v>0.0</v>
      </c>
      <c r="R717" s="655"/>
      <c r="S717" s="75"/>
      <c r="T717" s="655"/>
      <c r="U717" s="75"/>
      <c r="V717" s="655"/>
      <c r="W717" s="144"/>
      <c r="X717" s="549"/>
    </row>
    <row r="718">
      <c r="A718" s="538" t="s">
        <v>3511</v>
      </c>
      <c r="D718" s="692"/>
      <c r="E718" s="574"/>
      <c r="F718" s="574"/>
      <c r="G718" s="574"/>
      <c r="H718" s="574"/>
      <c r="I718" s="574"/>
      <c r="J718" s="576"/>
      <c r="K718" s="576"/>
      <c r="L718" s="683"/>
      <c r="N718" s="122"/>
      <c r="O718" s="546">
        <v>0.0</v>
      </c>
      <c r="P718" s="545">
        <v>0.0</v>
      </c>
      <c r="Q718" s="546">
        <v>0.0</v>
      </c>
      <c r="R718" s="655"/>
      <c r="S718" s="75"/>
      <c r="T718" s="655"/>
      <c r="U718" s="75"/>
      <c r="V718" s="655"/>
      <c r="W718" s="144"/>
      <c r="X718" s="549"/>
    </row>
    <row r="719">
      <c r="A719" s="538" t="s">
        <v>3511</v>
      </c>
      <c r="D719" s="692"/>
      <c r="E719" s="574"/>
      <c r="F719" s="574"/>
      <c r="G719" s="574"/>
      <c r="H719" s="574"/>
      <c r="I719" s="574"/>
      <c r="J719" s="576"/>
      <c r="K719" s="576"/>
      <c r="L719" s="683"/>
      <c r="N719" s="122"/>
      <c r="O719" s="546">
        <v>0.0</v>
      </c>
      <c r="P719" s="545">
        <v>0.0</v>
      </c>
      <c r="Q719" s="546">
        <v>0.0</v>
      </c>
      <c r="R719" s="655"/>
      <c r="S719" s="75"/>
      <c r="T719" s="655"/>
      <c r="U719" s="75"/>
      <c r="V719" s="655"/>
      <c r="W719" s="144"/>
      <c r="X719" s="549"/>
    </row>
    <row r="720">
      <c r="A720" s="538" t="s">
        <v>3511</v>
      </c>
      <c r="D720" s="692"/>
      <c r="E720" s="574"/>
      <c r="F720" s="574"/>
      <c r="G720" s="574"/>
      <c r="H720" s="574"/>
      <c r="I720" s="574"/>
      <c r="J720" s="576"/>
      <c r="K720" s="576"/>
      <c r="L720" s="683"/>
      <c r="N720" s="122"/>
      <c r="O720" s="546">
        <v>0.0</v>
      </c>
      <c r="P720" s="545">
        <v>0.0</v>
      </c>
      <c r="Q720" s="546">
        <v>0.0</v>
      </c>
      <c r="R720" s="655"/>
      <c r="S720" s="75"/>
      <c r="T720" s="655"/>
      <c r="U720" s="75"/>
      <c r="V720" s="655"/>
      <c r="W720" s="144"/>
      <c r="X720" s="549"/>
    </row>
    <row r="721">
      <c r="A721" s="538" t="s">
        <v>3511</v>
      </c>
      <c r="D721" s="692"/>
      <c r="E721" s="574"/>
      <c r="F721" s="574"/>
      <c r="G721" s="574"/>
      <c r="H721" s="574"/>
      <c r="I721" s="574"/>
      <c r="J721" s="576"/>
      <c r="K721" s="576"/>
      <c r="L721" s="683"/>
      <c r="N721" s="122"/>
      <c r="O721" s="546">
        <v>0.0</v>
      </c>
      <c r="P721" s="545">
        <v>0.0</v>
      </c>
      <c r="Q721" s="546">
        <v>0.0</v>
      </c>
      <c r="R721" s="655"/>
      <c r="S721" s="75"/>
      <c r="T721" s="655"/>
      <c r="U721" s="75"/>
      <c r="V721" s="655"/>
      <c r="W721" s="144"/>
      <c r="X721" s="549"/>
    </row>
    <row r="722">
      <c r="A722" s="538" t="s">
        <v>3511</v>
      </c>
      <c r="D722" s="692"/>
      <c r="E722" s="574"/>
      <c r="F722" s="574"/>
      <c r="G722" s="574"/>
      <c r="H722" s="574"/>
      <c r="I722" s="574"/>
      <c r="J722" s="576"/>
      <c r="K722" s="576"/>
      <c r="L722" s="683"/>
      <c r="N722" s="122"/>
      <c r="O722" s="546">
        <v>0.0</v>
      </c>
      <c r="P722" s="545">
        <v>0.0</v>
      </c>
      <c r="Q722" s="546">
        <v>0.0</v>
      </c>
      <c r="R722" s="655"/>
      <c r="S722" s="75"/>
      <c r="T722" s="655"/>
      <c r="U722" s="75"/>
      <c r="V722" s="655"/>
      <c r="W722" s="144"/>
      <c r="X722" s="549"/>
    </row>
    <row r="723">
      <c r="A723" s="538" t="s">
        <v>3511</v>
      </c>
      <c r="D723" s="692"/>
      <c r="E723" s="574"/>
      <c r="F723" s="574"/>
      <c r="G723" s="574"/>
      <c r="H723" s="574"/>
      <c r="I723" s="574"/>
      <c r="J723" s="576"/>
      <c r="K723" s="576"/>
      <c r="L723" s="683"/>
      <c r="N723" s="122"/>
      <c r="O723" s="546">
        <v>0.0</v>
      </c>
      <c r="P723" s="545">
        <v>0.0</v>
      </c>
      <c r="Q723" s="546">
        <v>0.0</v>
      </c>
      <c r="R723" s="655"/>
      <c r="S723" s="75"/>
      <c r="T723" s="655"/>
      <c r="U723" s="75"/>
      <c r="V723" s="655"/>
      <c r="W723" s="144"/>
      <c r="X723" s="549"/>
    </row>
    <row r="724">
      <c r="A724" s="538" t="s">
        <v>3511</v>
      </c>
      <c r="D724" s="692"/>
      <c r="E724" s="574"/>
      <c r="F724" s="574"/>
      <c r="G724" s="574"/>
      <c r="H724" s="574"/>
      <c r="I724" s="574"/>
      <c r="J724" s="576"/>
      <c r="K724" s="576"/>
      <c r="L724" s="683"/>
      <c r="N724" s="122"/>
      <c r="O724" s="546">
        <v>0.0</v>
      </c>
      <c r="P724" s="545">
        <v>0.0</v>
      </c>
      <c r="Q724" s="546">
        <v>0.0</v>
      </c>
      <c r="R724" s="655"/>
      <c r="S724" s="75"/>
      <c r="T724" s="655"/>
      <c r="U724" s="75"/>
      <c r="V724" s="655"/>
      <c r="W724" s="144"/>
      <c r="X724" s="549"/>
    </row>
    <row r="725">
      <c r="A725" s="538" t="s">
        <v>3511</v>
      </c>
      <c r="D725" s="692"/>
      <c r="E725" s="574"/>
      <c r="F725" s="574"/>
      <c r="G725" s="574"/>
      <c r="H725" s="574"/>
      <c r="I725" s="574"/>
      <c r="J725" s="576"/>
      <c r="K725" s="576"/>
      <c r="L725" s="683"/>
      <c r="N725" s="122"/>
      <c r="O725" s="546">
        <v>0.0</v>
      </c>
      <c r="P725" s="545">
        <v>0.0</v>
      </c>
      <c r="Q725" s="546">
        <v>0.0</v>
      </c>
      <c r="R725" s="655"/>
      <c r="S725" s="75"/>
      <c r="T725" s="655"/>
      <c r="U725" s="75"/>
      <c r="V725" s="655"/>
      <c r="W725" s="144"/>
      <c r="X725" s="549"/>
    </row>
    <row r="726">
      <c r="A726" s="538" t="s">
        <v>3511</v>
      </c>
      <c r="D726" s="692"/>
      <c r="E726" s="574"/>
      <c r="F726" s="574"/>
      <c r="G726" s="574"/>
      <c r="H726" s="574"/>
      <c r="I726" s="574"/>
      <c r="J726" s="576"/>
      <c r="K726" s="576"/>
      <c r="L726" s="683"/>
      <c r="N726" s="122"/>
      <c r="O726" s="546">
        <v>0.0</v>
      </c>
      <c r="P726" s="545">
        <v>0.0</v>
      </c>
      <c r="Q726" s="546">
        <v>0.0</v>
      </c>
      <c r="R726" s="655"/>
      <c r="S726" s="75"/>
      <c r="T726" s="655"/>
      <c r="U726" s="75"/>
      <c r="V726" s="655"/>
      <c r="W726" s="144"/>
      <c r="X726" s="549"/>
    </row>
    <row r="727">
      <c r="A727" s="538" t="s">
        <v>3511</v>
      </c>
      <c r="D727" s="692"/>
      <c r="E727" s="574"/>
      <c r="F727" s="574"/>
      <c r="G727" s="574"/>
      <c r="H727" s="574"/>
      <c r="I727" s="574"/>
      <c r="J727" s="576"/>
      <c r="K727" s="576"/>
      <c r="L727" s="683"/>
      <c r="N727" s="122"/>
      <c r="O727" s="546">
        <v>0.0</v>
      </c>
      <c r="P727" s="545">
        <v>0.0</v>
      </c>
      <c r="Q727" s="546">
        <v>0.0</v>
      </c>
      <c r="R727" s="655"/>
      <c r="S727" s="75"/>
      <c r="T727" s="655"/>
      <c r="U727" s="75"/>
      <c r="V727" s="655"/>
      <c r="W727" s="144"/>
      <c r="X727" s="549"/>
    </row>
    <row r="728">
      <c r="A728" s="538" t="s">
        <v>3511</v>
      </c>
      <c r="D728" s="692"/>
      <c r="E728" s="574"/>
      <c r="F728" s="574"/>
      <c r="G728" s="574"/>
      <c r="H728" s="574"/>
      <c r="I728" s="574"/>
      <c r="J728" s="576"/>
      <c r="K728" s="576"/>
      <c r="L728" s="683"/>
      <c r="N728" s="122"/>
      <c r="O728" s="546">
        <v>0.0</v>
      </c>
      <c r="P728" s="545">
        <v>0.0</v>
      </c>
      <c r="Q728" s="546">
        <v>0.0</v>
      </c>
      <c r="R728" s="655"/>
      <c r="S728" s="75"/>
      <c r="T728" s="655"/>
      <c r="U728" s="75"/>
      <c r="V728" s="655"/>
      <c r="W728" s="144"/>
      <c r="X728" s="549"/>
    </row>
    <row r="729">
      <c r="A729" s="538" t="s">
        <v>3511</v>
      </c>
      <c r="D729" s="692"/>
      <c r="E729" s="574"/>
      <c r="F729" s="574"/>
      <c r="G729" s="574"/>
      <c r="H729" s="574"/>
      <c r="I729" s="574"/>
      <c r="J729" s="576"/>
      <c r="K729" s="576"/>
      <c r="L729" s="683"/>
      <c r="N729" s="122"/>
      <c r="O729" s="546">
        <v>0.0</v>
      </c>
      <c r="P729" s="545">
        <v>0.0</v>
      </c>
      <c r="Q729" s="546">
        <v>0.0</v>
      </c>
      <c r="R729" s="655"/>
      <c r="S729" s="75"/>
      <c r="T729" s="655"/>
      <c r="U729" s="75"/>
      <c r="V729" s="655"/>
      <c r="W729" s="144"/>
      <c r="X729" s="549"/>
    </row>
    <row r="730">
      <c r="A730" s="538" t="s">
        <v>3511</v>
      </c>
      <c r="D730" s="692"/>
      <c r="E730" s="574"/>
      <c r="F730" s="574"/>
      <c r="G730" s="574"/>
      <c r="H730" s="574"/>
      <c r="I730" s="574"/>
      <c r="J730" s="576"/>
      <c r="K730" s="576"/>
      <c r="L730" s="683"/>
      <c r="N730" s="122"/>
      <c r="O730" s="546">
        <v>0.0</v>
      </c>
      <c r="P730" s="545">
        <v>0.0</v>
      </c>
      <c r="Q730" s="546">
        <v>0.0</v>
      </c>
      <c r="R730" s="655"/>
      <c r="S730" s="75"/>
      <c r="T730" s="655"/>
      <c r="U730" s="75"/>
      <c r="V730" s="655"/>
      <c r="W730" s="144"/>
      <c r="X730" s="549"/>
    </row>
    <row r="731">
      <c r="A731" s="538" t="s">
        <v>3511</v>
      </c>
      <c r="D731" s="692"/>
      <c r="E731" s="574"/>
      <c r="F731" s="574"/>
      <c r="G731" s="574"/>
      <c r="H731" s="574"/>
      <c r="I731" s="574"/>
      <c r="J731" s="576"/>
      <c r="K731" s="576"/>
      <c r="L731" s="683"/>
      <c r="N731" s="122"/>
      <c r="O731" s="546">
        <v>0.0</v>
      </c>
      <c r="P731" s="545">
        <v>0.0</v>
      </c>
      <c r="Q731" s="546">
        <v>0.0</v>
      </c>
      <c r="R731" s="655"/>
      <c r="S731" s="75"/>
      <c r="T731" s="655"/>
      <c r="U731" s="75"/>
      <c r="V731" s="655"/>
      <c r="W731" s="144"/>
      <c r="X731" s="549"/>
    </row>
    <row r="732">
      <c r="A732" s="538" t="s">
        <v>3511</v>
      </c>
      <c r="D732" s="692"/>
      <c r="E732" s="574"/>
      <c r="F732" s="574"/>
      <c r="G732" s="574"/>
      <c r="H732" s="574"/>
      <c r="I732" s="574"/>
      <c r="J732" s="576"/>
      <c r="K732" s="576"/>
      <c r="L732" s="683"/>
      <c r="N732" s="122"/>
      <c r="O732" s="546">
        <v>0.0</v>
      </c>
      <c r="P732" s="545">
        <v>0.0</v>
      </c>
      <c r="Q732" s="546">
        <v>0.0</v>
      </c>
      <c r="R732" s="655"/>
      <c r="S732" s="75"/>
      <c r="T732" s="655"/>
      <c r="U732" s="75"/>
      <c r="V732" s="655"/>
      <c r="W732" s="144"/>
      <c r="X732" s="549"/>
    </row>
    <row r="733">
      <c r="A733" s="538" t="s">
        <v>3511</v>
      </c>
      <c r="D733" s="692"/>
      <c r="E733" s="574"/>
      <c r="F733" s="574"/>
      <c r="G733" s="574"/>
      <c r="H733" s="574"/>
      <c r="I733" s="574"/>
      <c r="J733" s="576"/>
      <c r="K733" s="576"/>
      <c r="L733" s="683"/>
      <c r="N733" s="122"/>
      <c r="O733" s="546">
        <v>0.0</v>
      </c>
      <c r="P733" s="545">
        <v>0.0</v>
      </c>
      <c r="Q733" s="546">
        <v>0.0</v>
      </c>
      <c r="R733" s="655"/>
      <c r="S733" s="75"/>
      <c r="T733" s="655"/>
      <c r="U733" s="75"/>
      <c r="V733" s="655"/>
      <c r="W733" s="144"/>
      <c r="X733" s="549"/>
    </row>
    <row r="734">
      <c r="A734" s="538" t="s">
        <v>3511</v>
      </c>
      <c r="D734" s="692"/>
      <c r="E734" s="574"/>
      <c r="F734" s="574"/>
      <c r="G734" s="574"/>
      <c r="H734" s="574"/>
      <c r="I734" s="574"/>
      <c r="J734" s="576"/>
      <c r="K734" s="576"/>
      <c r="L734" s="683"/>
      <c r="N734" s="122"/>
      <c r="O734" s="546">
        <v>0.0</v>
      </c>
      <c r="P734" s="545">
        <v>0.0</v>
      </c>
      <c r="Q734" s="546">
        <v>0.0</v>
      </c>
      <c r="R734" s="655"/>
      <c r="S734" s="75"/>
      <c r="T734" s="655"/>
      <c r="U734" s="75"/>
      <c r="V734" s="655"/>
      <c r="W734" s="144"/>
      <c r="X734" s="549"/>
    </row>
    <row r="735">
      <c r="A735" s="538" t="s">
        <v>3511</v>
      </c>
      <c r="D735" s="692"/>
      <c r="E735" s="574"/>
      <c r="F735" s="574"/>
      <c r="G735" s="574"/>
      <c r="H735" s="574"/>
      <c r="I735" s="574"/>
      <c r="J735" s="576"/>
      <c r="K735" s="576"/>
      <c r="L735" s="683"/>
      <c r="N735" s="122"/>
      <c r="O735" s="546">
        <v>0.0</v>
      </c>
      <c r="P735" s="545">
        <v>0.0</v>
      </c>
      <c r="Q735" s="546">
        <v>0.0</v>
      </c>
      <c r="R735" s="655"/>
      <c r="S735" s="75"/>
      <c r="T735" s="655"/>
      <c r="U735" s="75"/>
      <c r="V735" s="655"/>
      <c r="W735" s="144"/>
      <c r="X735" s="549"/>
    </row>
    <row r="736">
      <c r="A736" s="538" t="s">
        <v>3511</v>
      </c>
      <c r="D736" s="692"/>
      <c r="E736" s="574"/>
      <c r="F736" s="574"/>
      <c r="G736" s="574"/>
      <c r="H736" s="574"/>
      <c r="I736" s="574"/>
      <c r="J736" s="576"/>
      <c r="K736" s="576"/>
      <c r="L736" s="683"/>
      <c r="N736" s="122"/>
      <c r="O736" s="546">
        <v>0.0</v>
      </c>
      <c r="P736" s="545">
        <v>0.0</v>
      </c>
      <c r="Q736" s="546">
        <v>0.0</v>
      </c>
      <c r="R736" s="655"/>
      <c r="S736" s="75"/>
      <c r="T736" s="655"/>
      <c r="U736" s="75"/>
      <c r="V736" s="655"/>
      <c r="W736" s="144"/>
      <c r="X736" s="549"/>
    </row>
    <row r="737">
      <c r="A737" s="538" t="s">
        <v>3511</v>
      </c>
      <c r="D737" s="692"/>
      <c r="E737" s="574"/>
      <c r="F737" s="574"/>
      <c r="G737" s="574"/>
      <c r="H737" s="574"/>
      <c r="I737" s="574"/>
      <c r="J737" s="576"/>
      <c r="K737" s="576"/>
      <c r="L737" s="683"/>
      <c r="N737" s="122"/>
      <c r="O737" s="546">
        <v>0.0</v>
      </c>
      <c r="P737" s="545">
        <v>0.0</v>
      </c>
      <c r="Q737" s="546">
        <v>0.0</v>
      </c>
      <c r="R737" s="655"/>
      <c r="S737" s="75"/>
      <c r="T737" s="655"/>
      <c r="U737" s="75"/>
      <c r="V737" s="655"/>
      <c r="W737" s="144"/>
      <c r="X737" s="549"/>
    </row>
    <row r="738">
      <c r="A738" s="538" t="s">
        <v>3511</v>
      </c>
      <c r="D738" s="692"/>
      <c r="E738" s="574"/>
      <c r="F738" s="574"/>
      <c r="G738" s="574"/>
      <c r="H738" s="574"/>
      <c r="I738" s="574"/>
      <c r="J738" s="576"/>
      <c r="K738" s="576"/>
      <c r="L738" s="683"/>
      <c r="N738" s="122"/>
      <c r="O738" s="546">
        <v>0.0</v>
      </c>
      <c r="P738" s="545">
        <v>0.0</v>
      </c>
      <c r="Q738" s="546">
        <v>0.0</v>
      </c>
      <c r="R738" s="655"/>
      <c r="S738" s="75"/>
      <c r="T738" s="655"/>
      <c r="U738" s="75"/>
      <c r="V738" s="655"/>
      <c r="W738" s="144"/>
      <c r="X738" s="549"/>
    </row>
    <row r="739">
      <c r="A739" s="538" t="s">
        <v>3511</v>
      </c>
      <c r="D739" s="692"/>
      <c r="E739" s="574"/>
      <c r="F739" s="574"/>
      <c r="G739" s="574"/>
      <c r="H739" s="574"/>
      <c r="I739" s="574"/>
      <c r="J739" s="576"/>
      <c r="K739" s="576"/>
      <c r="L739" s="683"/>
      <c r="N739" s="122"/>
      <c r="O739" s="546">
        <v>0.0</v>
      </c>
      <c r="P739" s="545">
        <v>0.0</v>
      </c>
      <c r="Q739" s="546">
        <v>0.0</v>
      </c>
      <c r="R739" s="655"/>
      <c r="S739" s="75"/>
      <c r="T739" s="655"/>
      <c r="U739" s="75"/>
      <c r="V739" s="655"/>
      <c r="W739" s="144"/>
      <c r="X739" s="549"/>
    </row>
    <row r="740">
      <c r="A740" s="538" t="s">
        <v>3511</v>
      </c>
      <c r="D740" s="692"/>
      <c r="E740" s="574"/>
      <c r="F740" s="574"/>
      <c r="G740" s="574"/>
      <c r="H740" s="574"/>
      <c r="I740" s="574"/>
      <c r="J740" s="576"/>
      <c r="K740" s="576"/>
      <c r="L740" s="683"/>
      <c r="N740" s="122"/>
      <c r="O740" s="546">
        <v>0.0</v>
      </c>
      <c r="P740" s="545">
        <v>0.0</v>
      </c>
      <c r="Q740" s="546">
        <v>0.0</v>
      </c>
      <c r="R740" s="655"/>
      <c r="S740" s="75"/>
      <c r="T740" s="655"/>
      <c r="U740" s="75"/>
      <c r="V740" s="655"/>
      <c r="W740" s="144"/>
      <c r="X740" s="549"/>
    </row>
    <row r="741">
      <c r="A741" s="538" t="s">
        <v>3511</v>
      </c>
      <c r="D741" s="692"/>
      <c r="E741" s="574"/>
      <c r="F741" s="574"/>
      <c r="G741" s="574"/>
      <c r="H741" s="574"/>
      <c r="I741" s="574"/>
      <c r="J741" s="576"/>
      <c r="K741" s="576"/>
      <c r="L741" s="683"/>
      <c r="N741" s="122"/>
      <c r="O741" s="546">
        <v>0.0</v>
      </c>
      <c r="P741" s="545">
        <v>0.0</v>
      </c>
      <c r="Q741" s="546">
        <v>0.0</v>
      </c>
      <c r="R741" s="655"/>
      <c r="S741" s="75"/>
      <c r="T741" s="655"/>
      <c r="U741" s="75"/>
      <c r="V741" s="655"/>
      <c r="W741" s="144"/>
      <c r="X741" s="549"/>
    </row>
    <row r="742">
      <c r="A742" s="538" t="s">
        <v>3511</v>
      </c>
      <c r="D742" s="692"/>
      <c r="E742" s="574"/>
      <c r="F742" s="574"/>
      <c r="G742" s="574"/>
      <c r="H742" s="574"/>
      <c r="I742" s="574"/>
      <c r="J742" s="576"/>
      <c r="K742" s="576"/>
      <c r="L742" s="683"/>
      <c r="N742" s="122"/>
      <c r="O742" s="546">
        <v>0.0</v>
      </c>
      <c r="P742" s="545">
        <v>0.0</v>
      </c>
      <c r="Q742" s="546">
        <v>0.0</v>
      </c>
      <c r="R742" s="655"/>
      <c r="S742" s="75"/>
      <c r="T742" s="655"/>
      <c r="U742" s="75"/>
      <c r="V742" s="655"/>
      <c r="W742" s="144"/>
      <c r="X742" s="549"/>
    </row>
    <row r="743">
      <c r="A743" s="538" t="s">
        <v>3511</v>
      </c>
      <c r="D743" s="692"/>
      <c r="E743" s="574"/>
      <c r="F743" s="574"/>
      <c r="G743" s="574"/>
      <c r="H743" s="574"/>
      <c r="I743" s="574"/>
      <c r="J743" s="576"/>
      <c r="K743" s="576"/>
      <c r="L743" s="683"/>
      <c r="N743" s="122"/>
      <c r="O743" s="546">
        <v>0.0</v>
      </c>
      <c r="P743" s="545">
        <v>0.0</v>
      </c>
      <c r="Q743" s="546">
        <v>0.0</v>
      </c>
      <c r="R743" s="655"/>
      <c r="S743" s="75"/>
      <c r="T743" s="655"/>
      <c r="U743" s="75"/>
      <c r="V743" s="655"/>
      <c r="W743" s="144"/>
      <c r="X743" s="549"/>
    </row>
    <row r="744">
      <c r="A744" s="538" t="s">
        <v>3511</v>
      </c>
      <c r="D744" s="692"/>
      <c r="E744" s="574"/>
      <c r="F744" s="574"/>
      <c r="G744" s="574"/>
      <c r="H744" s="574"/>
      <c r="I744" s="574"/>
      <c r="J744" s="576"/>
      <c r="K744" s="576"/>
      <c r="L744" s="683"/>
      <c r="N744" s="122"/>
      <c r="O744" s="546">
        <v>0.0</v>
      </c>
      <c r="P744" s="545">
        <v>0.0</v>
      </c>
      <c r="Q744" s="546">
        <v>0.0</v>
      </c>
      <c r="R744" s="655"/>
      <c r="S744" s="75"/>
      <c r="T744" s="655"/>
      <c r="U744" s="75"/>
      <c r="V744" s="655"/>
      <c r="W744" s="144"/>
      <c r="X744" s="549"/>
    </row>
    <row r="745">
      <c r="A745" s="538" t="s">
        <v>3511</v>
      </c>
      <c r="D745" s="692"/>
      <c r="E745" s="574"/>
      <c r="F745" s="574"/>
      <c r="G745" s="574"/>
      <c r="H745" s="574"/>
      <c r="I745" s="574"/>
      <c r="J745" s="576"/>
      <c r="K745" s="576"/>
      <c r="L745" s="683"/>
      <c r="N745" s="122"/>
      <c r="O745" s="546">
        <v>0.0</v>
      </c>
      <c r="P745" s="545">
        <v>0.0</v>
      </c>
      <c r="Q745" s="546">
        <v>0.0</v>
      </c>
      <c r="R745" s="655"/>
      <c r="S745" s="75"/>
      <c r="T745" s="655"/>
      <c r="U745" s="75"/>
      <c r="V745" s="655"/>
      <c r="W745" s="144"/>
      <c r="X745" s="549"/>
    </row>
    <row r="746">
      <c r="A746" s="538" t="s">
        <v>3511</v>
      </c>
      <c r="D746" s="692"/>
      <c r="E746" s="574"/>
      <c r="F746" s="574"/>
      <c r="G746" s="574"/>
      <c r="H746" s="574"/>
      <c r="I746" s="574"/>
      <c r="J746" s="576"/>
      <c r="K746" s="576"/>
      <c r="L746" s="683"/>
      <c r="N746" s="122"/>
      <c r="O746" s="546">
        <v>0.0</v>
      </c>
      <c r="P746" s="545">
        <v>0.0</v>
      </c>
      <c r="Q746" s="546">
        <v>0.0</v>
      </c>
      <c r="R746" s="655"/>
      <c r="S746" s="75"/>
      <c r="T746" s="655"/>
      <c r="U746" s="75"/>
      <c r="V746" s="655"/>
      <c r="W746" s="144"/>
      <c r="X746" s="549"/>
    </row>
    <row r="747">
      <c r="A747" s="538" t="s">
        <v>3511</v>
      </c>
      <c r="D747" s="692"/>
      <c r="E747" s="574"/>
      <c r="F747" s="574"/>
      <c r="G747" s="574"/>
      <c r="H747" s="574"/>
      <c r="I747" s="574"/>
      <c r="J747" s="576"/>
      <c r="K747" s="576"/>
      <c r="L747" s="683"/>
      <c r="N747" s="122"/>
      <c r="O747" s="546">
        <v>0.0</v>
      </c>
      <c r="P747" s="545">
        <v>0.0</v>
      </c>
      <c r="Q747" s="546">
        <v>0.0</v>
      </c>
      <c r="R747" s="655"/>
      <c r="S747" s="75"/>
      <c r="T747" s="655"/>
      <c r="U747" s="75"/>
      <c r="V747" s="655"/>
      <c r="W747" s="144"/>
      <c r="X747" s="549"/>
    </row>
    <row r="748">
      <c r="A748" s="538" t="s">
        <v>3511</v>
      </c>
      <c r="D748" s="692"/>
      <c r="E748" s="574"/>
      <c r="F748" s="574"/>
      <c r="G748" s="574"/>
      <c r="H748" s="574"/>
      <c r="I748" s="574"/>
      <c r="J748" s="576"/>
      <c r="K748" s="576"/>
      <c r="L748" s="683"/>
      <c r="N748" s="122"/>
      <c r="O748" s="546">
        <v>0.0</v>
      </c>
      <c r="P748" s="545">
        <v>0.0</v>
      </c>
      <c r="Q748" s="546">
        <v>0.0</v>
      </c>
      <c r="R748" s="655"/>
      <c r="S748" s="75"/>
      <c r="T748" s="655"/>
      <c r="U748" s="75"/>
      <c r="V748" s="655"/>
      <c r="W748" s="144"/>
      <c r="X748" s="549"/>
    </row>
    <row r="749">
      <c r="A749" s="538" t="s">
        <v>3511</v>
      </c>
      <c r="D749" s="692"/>
      <c r="E749" s="574"/>
      <c r="F749" s="574"/>
      <c r="G749" s="574"/>
      <c r="H749" s="574"/>
      <c r="I749" s="574"/>
      <c r="J749" s="576"/>
      <c r="K749" s="576"/>
      <c r="L749" s="683"/>
      <c r="N749" s="122"/>
      <c r="O749" s="546">
        <v>0.0</v>
      </c>
      <c r="P749" s="545">
        <v>0.0</v>
      </c>
      <c r="Q749" s="546">
        <v>0.0</v>
      </c>
      <c r="R749" s="655"/>
      <c r="S749" s="75"/>
      <c r="T749" s="655"/>
      <c r="U749" s="75"/>
      <c r="V749" s="655"/>
      <c r="W749" s="144"/>
      <c r="X749" s="549"/>
    </row>
    <row r="750">
      <c r="A750" s="538" t="s">
        <v>3511</v>
      </c>
      <c r="D750" s="692"/>
      <c r="E750" s="574"/>
      <c r="F750" s="574"/>
      <c r="G750" s="574"/>
      <c r="H750" s="574"/>
      <c r="I750" s="574"/>
      <c r="J750" s="576"/>
      <c r="K750" s="576"/>
      <c r="L750" s="683"/>
      <c r="N750" s="122"/>
      <c r="O750" s="546">
        <v>0.0</v>
      </c>
      <c r="P750" s="545">
        <v>0.0</v>
      </c>
      <c r="Q750" s="546">
        <v>0.0</v>
      </c>
      <c r="R750" s="655"/>
      <c r="S750" s="75"/>
      <c r="T750" s="655"/>
      <c r="U750" s="75"/>
      <c r="V750" s="655"/>
      <c r="W750" s="144"/>
      <c r="X750" s="549"/>
    </row>
    <row r="751">
      <c r="A751" s="538" t="s">
        <v>3511</v>
      </c>
      <c r="D751" s="692"/>
      <c r="E751" s="574"/>
      <c r="F751" s="574"/>
      <c r="G751" s="574"/>
      <c r="H751" s="574"/>
      <c r="I751" s="574"/>
      <c r="J751" s="576"/>
      <c r="K751" s="576"/>
      <c r="L751" s="683"/>
      <c r="N751" s="122"/>
      <c r="O751" s="546">
        <v>0.0</v>
      </c>
      <c r="P751" s="545">
        <v>0.0</v>
      </c>
      <c r="Q751" s="546">
        <v>0.0</v>
      </c>
      <c r="R751" s="655"/>
      <c r="S751" s="75"/>
      <c r="T751" s="655"/>
      <c r="U751" s="75"/>
      <c r="V751" s="655"/>
      <c r="W751" s="144"/>
      <c r="X751" s="549"/>
    </row>
    <row r="752">
      <c r="A752" s="538" t="s">
        <v>3511</v>
      </c>
      <c r="D752" s="692"/>
      <c r="E752" s="574"/>
      <c r="F752" s="574"/>
      <c r="G752" s="574"/>
      <c r="H752" s="574"/>
      <c r="I752" s="574"/>
      <c r="J752" s="576"/>
      <c r="K752" s="576"/>
      <c r="L752" s="683"/>
      <c r="N752" s="122"/>
      <c r="O752" s="546">
        <v>0.0</v>
      </c>
      <c r="P752" s="545">
        <v>0.0</v>
      </c>
      <c r="Q752" s="546">
        <v>0.0</v>
      </c>
      <c r="R752" s="655"/>
      <c r="S752" s="75"/>
      <c r="T752" s="655"/>
      <c r="U752" s="75"/>
      <c r="V752" s="655"/>
      <c r="W752" s="144"/>
      <c r="X752" s="549"/>
    </row>
    <row r="753">
      <c r="A753" s="538" t="s">
        <v>3511</v>
      </c>
      <c r="D753" s="692"/>
      <c r="E753" s="574"/>
      <c r="F753" s="574"/>
      <c r="G753" s="574"/>
      <c r="H753" s="574"/>
      <c r="I753" s="574"/>
      <c r="J753" s="576"/>
      <c r="K753" s="576"/>
      <c r="L753" s="683"/>
      <c r="N753" s="122"/>
      <c r="O753" s="546">
        <v>0.0</v>
      </c>
      <c r="P753" s="545">
        <v>0.0</v>
      </c>
      <c r="Q753" s="546">
        <v>0.0</v>
      </c>
      <c r="R753" s="655"/>
      <c r="S753" s="75"/>
      <c r="T753" s="655"/>
      <c r="U753" s="75"/>
      <c r="V753" s="655"/>
      <c r="W753" s="144"/>
      <c r="X753" s="549"/>
    </row>
    <row r="754">
      <c r="A754" s="538" t="s">
        <v>3511</v>
      </c>
      <c r="D754" s="692"/>
      <c r="E754" s="574"/>
      <c r="F754" s="574"/>
      <c r="G754" s="574"/>
      <c r="H754" s="574"/>
      <c r="I754" s="574"/>
      <c r="J754" s="576"/>
      <c r="K754" s="576"/>
      <c r="L754" s="683"/>
      <c r="N754" s="122"/>
      <c r="O754" s="546">
        <v>0.0</v>
      </c>
      <c r="P754" s="545">
        <v>0.0</v>
      </c>
      <c r="Q754" s="546">
        <v>0.0</v>
      </c>
      <c r="R754" s="655"/>
      <c r="S754" s="75"/>
      <c r="T754" s="655"/>
      <c r="U754" s="75"/>
      <c r="V754" s="655"/>
      <c r="W754" s="144"/>
      <c r="X754" s="549"/>
    </row>
    <row r="755">
      <c r="A755" s="538" t="s">
        <v>3511</v>
      </c>
      <c r="D755" s="692"/>
      <c r="E755" s="574"/>
      <c r="F755" s="574"/>
      <c r="G755" s="574"/>
      <c r="H755" s="574"/>
      <c r="I755" s="574"/>
      <c r="J755" s="576"/>
      <c r="K755" s="576"/>
      <c r="L755" s="683"/>
      <c r="N755" s="122"/>
      <c r="O755" s="546">
        <v>0.0</v>
      </c>
      <c r="P755" s="545">
        <v>0.0</v>
      </c>
      <c r="Q755" s="546">
        <v>0.0</v>
      </c>
      <c r="R755" s="655"/>
      <c r="S755" s="75"/>
      <c r="T755" s="655"/>
      <c r="U755" s="75"/>
      <c r="V755" s="655"/>
      <c r="W755" s="144"/>
      <c r="X755" s="549"/>
    </row>
    <row r="756">
      <c r="A756" s="538" t="s">
        <v>3511</v>
      </c>
      <c r="D756" s="692"/>
      <c r="E756" s="574"/>
      <c r="F756" s="574"/>
      <c r="G756" s="574"/>
      <c r="H756" s="574"/>
      <c r="I756" s="574"/>
      <c r="J756" s="576"/>
      <c r="K756" s="576"/>
      <c r="L756" s="683"/>
      <c r="N756" s="122"/>
      <c r="O756" s="546">
        <v>0.0</v>
      </c>
      <c r="P756" s="545">
        <v>0.0</v>
      </c>
      <c r="Q756" s="546">
        <v>0.0</v>
      </c>
      <c r="R756" s="655"/>
      <c r="S756" s="75"/>
      <c r="T756" s="655"/>
      <c r="U756" s="75"/>
      <c r="V756" s="655"/>
      <c r="W756" s="144"/>
      <c r="X756" s="549"/>
    </row>
    <row r="757">
      <c r="A757" s="538" t="s">
        <v>3511</v>
      </c>
      <c r="D757" s="692"/>
      <c r="E757" s="574"/>
      <c r="F757" s="574"/>
      <c r="G757" s="574"/>
      <c r="H757" s="574"/>
      <c r="I757" s="574"/>
      <c r="J757" s="576"/>
      <c r="K757" s="576"/>
      <c r="L757" s="683"/>
      <c r="N757" s="122"/>
      <c r="O757" s="546">
        <v>0.0</v>
      </c>
      <c r="P757" s="545">
        <v>0.0</v>
      </c>
      <c r="Q757" s="546">
        <v>0.0</v>
      </c>
      <c r="R757" s="655"/>
      <c r="S757" s="75"/>
      <c r="T757" s="655"/>
      <c r="U757" s="75"/>
      <c r="V757" s="655"/>
      <c r="W757" s="144"/>
      <c r="X757" s="549"/>
    </row>
    <row r="758">
      <c r="A758" s="538" t="s">
        <v>3511</v>
      </c>
      <c r="D758" s="692"/>
      <c r="E758" s="574"/>
      <c r="F758" s="574"/>
      <c r="G758" s="574"/>
      <c r="H758" s="574"/>
      <c r="I758" s="574"/>
      <c r="J758" s="576"/>
      <c r="K758" s="576"/>
      <c r="L758" s="683"/>
      <c r="N758" s="122"/>
      <c r="O758" s="546">
        <v>0.0</v>
      </c>
      <c r="P758" s="545">
        <v>0.0</v>
      </c>
      <c r="Q758" s="546">
        <v>0.0</v>
      </c>
      <c r="R758" s="655"/>
      <c r="S758" s="75"/>
      <c r="T758" s="655"/>
      <c r="U758" s="75"/>
      <c r="V758" s="655"/>
      <c r="W758" s="144"/>
      <c r="X758" s="549"/>
    </row>
    <row r="759">
      <c r="A759" s="538" t="s">
        <v>3511</v>
      </c>
      <c r="D759" s="692"/>
      <c r="E759" s="574"/>
      <c r="F759" s="574"/>
      <c r="G759" s="574"/>
      <c r="H759" s="574"/>
      <c r="I759" s="574"/>
      <c r="J759" s="576"/>
      <c r="K759" s="576"/>
      <c r="L759" s="683"/>
      <c r="N759" s="122"/>
      <c r="O759" s="546">
        <v>0.0</v>
      </c>
      <c r="P759" s="545">
        <v>0.0</v>
      </c>
      <c r="Q759" s="546">
        <v>0.0</v>
      </c>
      <c r="R759" s="655"/>
      <c r="S759" s="75"/>
      <c r="T759" s="655"/>
      <c r="U759" s="75"/>
      <c r="V759" s="655"/>
      <c r="W759" s="144"/>
      <c r="X759" s="549"/>
    </row>
    <row r="760">
      <c r="A760" s="538" t="s">
        <v>3511</v>
      </c>
      <c r="D760" s="692"/>
      <c r="E760" s="574"/>
      <c r="F760" s="574"/>
      <c r="G760" s="574"/>
      <c r="H760" s="574"/>
      <c r="I760" s="574"/>
      <c r="J760" s="576"/>
      <c r="K760" s="576"/>
      <c r="L760" s="683"/>
      <c r="N760" s="122"/>
      <c r="O760" s="546">
        <v>0.0</v>
      </c>
      <c r="P760" s="545">
        <v>0.0</v>
      </c>
      <c r="Q760" s="546">
        <v>0.0</v>
      </c>
      <c r="R760" s="655"/>
      <c r="S760" s="75"/>
      <c r="T760" s="655"/>
      <c r="U760" s="75"/>
      <c r="V760" s="655"/>
      <c r="W760" s="144"/>
      <c r="X760" s="549"/>
    </row>
    <row r="761">
      <c r="A761" s="538" t="s">
        <v>3511</v>
      </c>
      <c r="D761" s="692"/>
      <c r="E761" s="574"/>
      <c r="F761" s="574"/>
      <c r="G761" s="574"/>
      <c r="H761" s="574"/>
      <c r="I761" s="574"/>
      <c r="J761" s="576"/>
      <c r="K761" s="576"/>
      <c r="L761" s="683"/>
      <c r="N761" s="122"/>
      <c r="O761" s="546">
        <v>0.0</v>
      </c>
      <c r="P761" s="545">
        <v>0.0</v>
      </c>
      <c r="Q761" s="546">
        <v>0.0</v>
      </c>
      <c r="R761" s="655"/>
      <c r="S761" s="75"/>
      <c r="T761" s="655"/>
      <c r="U761" s="75"/>
      <c r="V761" s="655"/>
      <c r="W761" s="144"/>
      <c r="X761" s="549"/>
    </row>
    <row r="762">
      <c r="A762" s="538" t="s">
        <v>3511</v>
      </c>
      <c r="D762" s="692"/>
      <c r="E762" s="574"/>
      <c r="F762" s="574"/>
      <c r="G762" s="574"/>
      <c r="H762" s="574"/>
      <c r="I762" s="574"/>
      <c r="J762" s="576"/>
      <c r="K762" s="576"/>
      <c r="L762" s="683"/>
      <c r="N762" s="122"/>
      <c r="O762" s="546">
        <v>0.0</v>
      </c>
      <c r="P762" s="545">
        <v>0.0</v>
      </c>
      <c r="Q762" s="546">
        <v>0.0</v>
      </c>
      <c r="R762" s="655"/>
      <c r="S762" s="75"/>
      <c r="T762" s="655"/>
      <c r="U762" s="75"/>
      <c r="V762" s="655"/>
      <c r="W762" s="144"/>
      <c r="X762" s="549"/>
    </row>
    <row r="763">
      <c r="A763" s="538" t="s">
        <v>3511</v>
      </c>
      <c r="D763" s="692"/>
      <c r="E763" s="574"/>
      <c r="F763" s="574"/>
      <c r="G763" s="574"/>
      <c r="H763" s="574"/>
      <c r="I763" s="574"/>
      <c r="J763" s="576"/>
      <c r="K763" s="576"/>
      <c r="L763" s="683"/>
      <c r="N763" s="122"/>
      <c r="O763" s="546">
        <v>0.0</v>
      </c>
      <c r="P763" s="545">
        <v>0.0</v>
      </c>
      <c r="Q763" s="546">
        <v>0.0</v>
      </c>
      <c r="R763" s="655"/>
      <c r="S763" s="75"/>
      <c r="T763" s="655"/>
      <c r="U763" s="75"/>
      <c r="V763" s="655"/>
      <c r="W763" s="144"/>
      <c r="X763" s="549"/>
    </row>
    <row r="764">
      <c r="A764" s="538" t="s">
        <v>3511</v>
      </c>
      <c r="D764" s="692"/>
      <c r="E764" s="574"/>
      <c r="F764" s="574"/>
      <c r="G764" s="574"/>
      <c r="H764" s="574"/>
      <c r="I764" s="574"/>
      <c r="J764" s="576"/>
      <c r="K764" s="576"/>
      <c r="L764" s="683"/>
      <c r="N764" s="122"/>
      <c r="O764" s="546">
        <v>0.0</v>
      </c>
      <c r="P764" s="545">
        <v>0.0</v>
      </c>
      <c r="Q764" s="546">
        <v>0.0</v>
      </c>
      <c r="R764" s="655"/>
      <c r="S764" s="75"/>
      <c r="T764" s="655"/>
      <c r="U764" s="75"/>
      <c r="V764" s="655"/>
      <c r="W764" s="144"/>
      <c r="X764" s="549"/>
    </row>
    <row r="765">
      <c r="A765" s="538" t="s">
        <v>3511</v>
      </c>
      <c r="D765" s="692"/>
      <c r="E765" s="574"/>
      <c r="F765" s="574"/>
      <c r="G765" s="574"/>
      <c r="H765" s="574"/>
      <c r="I765" s="574"/>
      <c r="J765" s="576"/>
      <c r="K765" s="576"/>
      <c r="L765" s="683"/>
      <c r="N765" s="122"/>
      <c r="O765" s="546">
        <v>0.0</v>
      </c>
      <c r="P765" s="545">
        <v>0.0</v>
      </c>
      <c r="Q765" s="546">
        <v>0.0</v>
      </c>
      <c r="R765" s="655"/>
      <c r="S765" s="75"/>
      <c r="T765" s="655"/>
      <c r="U765" s="75"/>
      <c r="V765" s="655"/>
      <c r="W765" s="144"/>
      <c r="X765" s="549"/>
    </row>
    <row r="766">
      <c r="A766" s="538" t="s">
        <v>3511</v>
      </c>
      <c r="D766" s="692"/>
      <c r="E766" s="574"/>
      <c r="F766" s="574"/>
      <c r="G766" s="574"/>
      <c r="H766" s="574"/>
      <c r="I766" s="574"/>
      <c r="J766" s="576"/>
      <c r="K766" s="576"/>
      <c r="L766" s="683"/>
      <c r="N766" s="122"/>
      <c r="O766" s="546">
        <v>0.0</v>
      </c>
      <c r="P766" s="545">
        <v>0.0</v>
      </c>
      <c r="Q766" s="546">
        <v>0.0</v>
      </c>
      <c r="R766" s="655"/>
      <c r="S766" s="75"/>
      <c r="T766" s="655"/>
      <c r="U766" s="75"/>
      <c r="V766" s="655"/>
      <c r="W766" s="144"/>
      <c r="X766" s="549"/>
    </row>
    <row r="767">
      <c r="A767" s="538" t="s">
        <v>3511</v>
      </c>
      <c r="D767" s="692"/>
      <c r="E767" s="574"/>
      <c r="F767" s="574"/>
      <c r="G767" s="574"/>
      <c r="H767" s="574"/>
      <c r="I767" s="574"/>
      <c r="J767" s="576"/>
      <c r="K767" s="576"/>
      <c r="L767" s="683"/>
      <c r="N767" s="122"/>
      <c r="O767" s="546">
        <v>0.0</v>
      </c>
      <c r="P767" s="545">
        <v>0.0</v>
      </c>
      <c r="Q767" s="546">
        <v>0.0</v>
      </c>
      <c r="R767" s="655"/>
      <c r="S767" s="75"/>
      <c r="T767" s="655"/>
      <c r="U767" s="75"/>
      <c r="V767" s="655"/>
      <c r="W767" s="144"/>
      <c r="X767" s="549"/>
    </row>
    <row r="768">
      <c r="A768" s="538" t="s">
        <v>3511</v>
      </c>
      <c r="D768" s="692"/>
      <c r="E768" s="574"/>
      <c r="F768" s="574"/>
      <c r="G768" s="574"/>
      <c r="H768" s="574"/>
      <c r="I768" s="574"/>
      <c r="J768" s="576"/>
      <c r="K768" s="576"/>
      <c r="L768" s="683"/>
      <c r="N768" s="122"/>
      <c r="O768" s="546">
        <v>0.0</v>
      </c>
      <c r="P768" s="545">
        <v>0.0</v>
      </c>
      <c r="Q768" s="546">
        <v>0.0</v>
      </c>
      <c r="R768" s="655"/>
      <c r="S768" s="75"/>
      <c r="T768" s="655"/>
      <c r="U768" s="75"/>
      <c r="V768" s="655"/>
      <c r="W768" s="144"/>
      <c r="X768" s="549"/>
    </row>
    <row r="769">
      <c r="A769" s="538" t="s">
        <v>3511</v>
      </c>
      <c r="D769" s="692"/>
      <c r="E769" s="574"/>
      <c r="F769" s="574"/>
      <c r="G769" s="574"/>
      <c r="H769" s="574"/>
      <c r="I769" s="574"/>
      <c r="J769" s="576"/>
      <c r="K769" s="576"/>
      <c r="L769" s="683"/>
      <c r="N769" s="122"/>
      <c r="O769" s="546">
        <v>0.0</v>
      </c>
      <c r="P769" s="545">
        <v>0.0</v>
      </c>
      <c r="Q769" s="546">
        <v>0.0</v>
      </c>
      <c r="R769" s="655"/>
      <c r="S769" s="75"/>
      <c r="T769" s="655"/>
      <c r="U769" s="75"/>
      <c r="V769" s="655"/>
      <c r="W769" s="144"/>
      <c r="X769" s="549"/>
    </row>
    <row r="770">
      <c r="A770" s="538" t="s">
        <v>3511</v>
      </c>
      <c r="D770" s="692"/>
      <c r="E770" s="574"/>
      <c r="F770" s="574"/>
      <c r="G770" s="574"/>
      <c r="H770" s="574"/>
      <c r="I770" s="574"/>
      <c r="J770" s="576"/>
      <c r="K770" s="576"/>
      <c r="L770" s="683"/>
      <c r="N770" s="122"/>
      <c r="O770" s="546">
        <v>0.0</v>
      </c>
      <c r="P770" s="545">
        <v>0.0</v>
      </c>
      <c r="Q770" s="546">
        <v>0.0</v>
      </c>
      <c r="R770" s="655"/>
      <c r="S770" s="75"/>
      <c r="T770" s="655"/>
      <c r="U770" s="75"/>
      <c r="V770" s="655"/>
      <c r="W770" s="144"/>
      <c r="X770" s="549"/>
    </row>
    <row r="771">
      <c r="A771" s="538" t="s">
        <v>3511</v>
      </c>
      <c r="D771" s="692"/>
      <c r="E771" s="574"/>
      <c r="F771" s="574"/>
      <c r="G771" s="574"/>
      <c r="H771" s="574"/>
      <c r="I771" s="574"/>
      <c r="J771" s="576"/>
      <c r="K771" s="576"/>
      <c r="L771" s="683"/>
      <c r="N771" s="122"/>
      <c r="O771" s="546">
        <v>0.0</v>
      </c>
      <c r="P771" s="545">
        <v>0.0</v>
      </c>
      <c r="Q771" s="546">
        <v>0.0</v>
      </c>
      <c r="R771" s="655"/>
      <c r="S771" s="75"/>
      <c r="T771" s="655"/>
      <c r="U771" s="75"/>
      <c r="V771" s="655"/>
      <c r="W771" s="144"/>
      <c r="X771" s="549"/>
    </row>
    <row r="772">
      <c r="A772" s="538" t="s">
        <v>3511</v>
      </c>
      <c r="D772" s="692"/>
      <c r="E772" s="574"/>
      <c r="F772" s="574"/>
      <c r="G772" s="574"/>
      <c r="H772" s="574"/>
      <c r="I772" s="574"/>
      <c r="J772" s="576"/>
      <c r="K772" s="576"/>
      <c r="L772" s="683"/>
      <c r="N772" s="122"/>
      <c r="O772" s="546">
        <v>0.0</v>
      </c>
      <c r="P772" s="545">
        <v>0.0</v>
      </c>
      <c r="Q772" s="546">
        <v>0.0</v>
      </c>
      <c r="R772" s="655"/>
      <c r="S772" s="75"/>
      <c r="T772" s="655"/>
      <c r="U772" s="75"/>
      <c r="V772" s="655"/>
      <c r="W772" s="144"/>
      <c r="X772" s="549"/>
    </row>
    <row r="773">
      <c r="A773" s="538" t="s">
        <v>3511</v>
      </c>
      <c r="D773" s="692"/>
      <c r="E773" s="574"/>
      <c r="F773" s="574"/>
      <c r="G773" s="574"/>
      <c r="H773" s="574"/>
      <c r="I773" s="574"/>
      <c r="J773" s="576"/>
      <c r="K773" s="576"/>
      <c r="L773" s="683"/>
      <c r="N773" s="122"/>
      <c r="O773" s="546">
        <v>0.0</v>
      </c>
      <c r="P773" s="545">
        <v>0.0</v>
      </c>
      <c r="Q773" s="546">
        <v>0.0</v>
      </c>
      <c r="R773" s="655"/>
      <c r="S773" s="75"/>
      <c r="T773" s="655"/>
      <c r="U773" s="75"/>
      <c r="V773" s="655"/>
      <c r="W773" s="144"/>
      <c r="X773" s="549"/>
    </row>
    <row r="774">
      <c r="A774" s="538" t="s">
        <v>3511</v>
      </c>
      <c r="D774" s="692"/>
      <c r="E774" s="574"/>
      <c r="F774" s="574"/>
      <c r="G774" s="574"/>
      <c r="H774" s="574"/>
      <c r="I774" s="574"/>
      <c r="J774" s="576"/>
      <c r="K774" s="576"/>
      <c r="L774" s="683"/>
      <c r="N774" s="122"/>
      <c r="O774" s="546">
        <v>0.0</v>
      </c>
      <c r="P774" s="545">
        <v>0.0</v>
      </c>
      <c r="Q774" s="546">
        <v>0.0</v>
      </c>
      <c r="R774" s="655"/>
      <c r="S774" s="75"/>
      <c r="T774" s="655"/>
      <c r="U774" s="75"/>
      <c r="V774" s="655"/>
      <c r="W774" s="144"/>
      <c r="X774" s="549"/>
    </row>
    <row r="775">
      <c r="A775" s="538" t="s">
        <v>3511</v>
      </c>
      <c r="D775" s="692"/>
      <c r="E775" s="574"/>
      <c r="F775" s="574"/>
      <c r="G775" s="574"/>
      <c r="H775" s="574"/>
      <c r="I775" s="574"/>
      <c r="J775" s="576"/>
      <c r="K775" s="576"/>
      <c r="L775" s="683"/>
      <c r="N775" s="122"/>
      <c r="O775" s="546">
        <v>0.0</v>
      </c>
      <c r="P775" s="545">
        <v>0.0</v>
      </c>
      <c r="Q775" s="546">
        <v>0.0</v>
      </c>
      <c r="R775" s="655"/>
      <c r="S775" s="75"/>
      <c r="T775" s="655"/>
      <c r="U775" s="75"/>
      <c r="V775" s="655"/>
      <c r="W775" s="144"/>
      <c r="X775" s="549"/>
    </row>
    <row r="776">
      <c r="A776" s="538" t="s">
        <v>3511</v>
      </c>
      <c r="D776" s="692"/>
      <c r="E776" s="574"/>
      <c r="F776" s="574"/>
      <c r="G776" s="574"/>
      <c r="H776" s="574"/>
      <c r="I776" s="574"/>
      <c r="J776" s="576"/>
      <c r="K776" s="576"/>
      <c r="L776" s="683"/>
      <c r="N776" s="122"/>
      <c r="O776" s="546">
        <v>0.0</v>
      </c>
      <c r="P776" s="545">
        <v>0.0</v>
      </c>
      <c r="Q776" s="546">
        <v>0.0</v>
      </c>
      <c r="R776" s="655"/>
      <c r="S776" s="75"/>
      <c r="T776" s="655"/>
      <c r="U776" s="75"/>
      <c r="V776" s="655"/>
      <c r="W776" s="144"/>
      <c r="X776" s="549"/>
    </row>
    <row r="777">
      <c r="A777" s="538" t="s">
        <v>3511</v>
      </c>
      <c r="D777" s="692"/>
      <c r="E777" s="574"/>
      <c r="F777" s="574"/>
      <c r="G777" s="574"/>
      <c r="H777" s="574"/>
      <c r="I777" s="574"/>
      <c r="J777" s="576"/>
      <c r="K777" s="576"/>
      <c r="L777" s="683"/>
      <c r="N777" s="122"/>
      <c r="O777" s="546">
        <v>0.0</v>
      </c>
      <c r="P777" s="545">
        <v>0.0</v>
      </c>
      <c r="Q777" s="546">
        <v>0.0</v>
      </c>
      <c r="R777" s="655"/>
      <c r="S777" s="75"/>
      <c r="T777" s="655"/>
      <c r="U777" s="75"/>
      <c r="V777" s="655"/>
      <c r="W777" s="144"/>
      <c r="X777" s="549"/>
    </row>
    <row r="778">
      <c r="A778" s="538" t="s">
        <v>3511</v>
      </c>
      <c r="D778" s="692"/>
      <c r="E778" s="574"/>
      <c r="F778" s="574"/>
      <c r="G778" s="574"/>
      <c r="H778" s="574"/>
      <c r="I778" s="574"/>
      <c r="J778" s="576"/>
      <c r="K778" s="576"/>
      <c r="L778" s="683"/>
      <c r="N778" s="122"/>
      <c r="O778" s="546">
        <v>0.0</v>
      </c>
      <c r="P778" s="545">
        <v>0.0</v>
      </c>
      <c r="Q778" s="546">
        <v>0.0</v>
      </c>
      <c r="R778" s="655"/>
      <c r="S778" s="75"/>
      <c r="T778" s="655"/>
      <c r="U778" s="75"/>
      <c r="V778" s="655"/>
      <c r="W778" s="144"/>
      <c r="X778" s="549"/>
    </row>
    <row r="779">
      <c r="A779" s="538" t="s">
        <v>3511</v>
      </c>
      <c r="D779" s="692"/>
      <c r="E779" s="574"/>
      <c r="F779" s="574"/>
      <c r="G779" s="574"/>
      <c r="H779" s="574"/>
      <c r="I779" s="574"/>
      <c r="J779" s="576"/>
      <c r="K779" s="576"/>
      <c r="L779" s="683"/>
      <c r="N779" s="122"/>
      <c r="O779" s="546">
        <v>0.0</v>
      </c>
      <c r="P779" s="545">
        <v>0.0</v>
      </c>
      <c r="Q779" s="546">
        <v>0.0</v>
      </c>
      <c r="R779" s="655"/>
      <c r="S779" s="75"/>
      <c r="T779" s="655"/>
      <c r="U779" s="75"/>
      <c r="V779" s="655"/>
      <c r="W779" s="144"/>
      <c r="X779" s="549"/>
    </row>
    <row r="780">
      <c r="A780" s="538" t="s">
        <v>3511</v>
      </c>
      <c r="D780" s="692"/>
      <c r="E780" s="574"/>
      <c r="F780" s="574"/>
      <c r="G780" s="574"/>
      <c r="H780" s="574"/>
      <c r="I780" s="574"/>
      <c r="J780" s="576"/>
      <c r="K780" s="576"/>
      <c r="L780" s="683"/>
      <c r="N780" s="122"/>
      <c r="O780" s="546">
        <v>0.0</v>
      </c>
      <c r="P780" s="545">
        <v>0.0</v>
      </c>
      <c r="Q780" s="546">
        <v>0.0</v>
      </c>
      <c r="R780" s="655"/>
      <c r="S780" s="75"/>
      <c r="T780" s="655"/>
      <c r="U780" s="75"/>
      <c r="V780" s="655"/>
      <c r="W780" s="144"/>
      <c r="X780" s="549"/>
    </row>
    <row r="781">
      <c r="A781" s="538" t="s">
        <v>3511</v>
      </c>
      <c r="D781" s="692"/>
      <c r="E781" s="574"/>
      <c r="F781" s="574"/>
      <c r="G781" s="574"/>
      <c r="H781" s="574"/>
      <c r="I781" s="574"/>
      <c r="J781" s="576"/>
      <c r="K781" s="576"/>
      <c r="L781" s="683"/>
      <c r="N781" s="122"/>
      <c r="O781" s="546">
        <v>0.0</v>
      </c>
      <c r="P781" s="545">
        <v>0.0</v>
      </c>
      <c r="Q781" s="546">
        <v>0.0</v>
      </c>
      <c r="R781" s="655"/>
      <c r="S781" s="75"/>
      <c r="T781" s="655"/>
      <c r="U781" s="75"/>
      <c r="V781" s="655"/>
      <c r="W781" s="144"/>
      <c r="X781" s="549"/>
    </row>
    <row r="782">
      <c r="A782" s="538" t="s">
        <v>3511</v>
      </c>
      <c r="D782" s="692"/>
      <c r="E782" s="574"/>
      <c r="F782" s="574"/>
      <c r="G782" s="574"/>
      <c r="H782" s="574"/>
      <c r="I782" s="574"/>
      <c r="J782" s="576"/>
      <c r="K782" s="576"/>
      <c r="L782" s="683"/>
      <c r="N782" s="122"/>
      <c r="O782" s="546">
        <v>0.0</v>
      </c>
      <c r="P782" s="545">
        <v>0.0</v>
      </c>
      <c r="Q782" s="546">
        <v>0.0</v>
      </c>
      <c r="R782" s="655"/>
      <c r="S782" s="75"/>
      <c r="T782" s="655"/>
      <c r="U782" s="75"/>
      <c r="V782" s="655"/>
      <c r="W782" s="144"/>
      <c r="X782" s="549"/>
    </row>
    <row r="783">
      <c r="A783" s="538" t="s">
        <v>3511</v>
      </c>
      <c r="D783" s="692"/>
      <c r="E783" s="574"/>
      <c r="F783" s="574"/>
      <c r="G783" s="574"/>
      <c r="H783" s="574"/>
      <c r="I783" s="574"/>
      <c r="J783" s="576"/>
      <c r="K783" s="576"/>
      <c r="L783" s="683"/>
      <c r="N783" s="122"/>
      <c r="O783" s="546">
        <v>0.0</v>
      </c>
      <c r="P783" s="545">
        <v>0.0</v>
      </c>
      <c r="Q783" s="546">
        <v>0.0</v>
      </c>
      <c r="R783" s="655"/>
      <c r="S783" s="75"/>
      <c r="T783" s="655"/>
      <c r="U783" s="75"/>
      <c r="V783" s="655"/>
      <c r="W783" s="144"/>
      <c r="X783" s="549"/>
    </row>
    <row r="784">
      <c r="A784" s="538" t="s">
        <v>3511</v>
      </c>
      <c r="D784" s="692"/>
      <c r="E784" s="574"/>
      <c r="F784" s="574"/>
      <c r="G784" s="574"/>
      <c r="H784" s="574"/>
      <c r="I784" s="574"/>
      <c r="J784" s="576"/>
      <c r="K784" s="576"/>
      <c r="L784" s="683"/>
      <c r="N784" s="122"/>
      <c r="O784" s="546">
        <v>0.0</v>
      </c>
      <c r="P784" s="545">
        <v>0.0</v>
      </c>
      <c r="Q784" s="546">
        <v>0.0</v>
      </c>
      <c r="R784" s="655"/>
      <c r="S784" s="75"/>
      <c r="T784" s="655"/>
      <c r="U784" s="75"/>
      <c r="V784" s="655"/>
      <c r="W784" s="144"/>
      <c r="X784" s="549"/>
    </row>
    <row r="785">
      <c r="A785" s="538" t="s">
        <v>3511</v>
      </c>
      <c r="D785" s="692"/>
      <c r="E785" s="574"/>
      <c r="F785" s="574"/>
      <c r="G785" s="574"/>
      <c r="H785" s="574"/>
      <c r="I785" s="574"/>
      <c r="J785" s="576"/>
      <c r="K785" s="576"/>
      <c r="L785" s="683"/>
      <c r="N785" s="122"/>
      <c r="O785" s="546">
        <v>0.0</v>
      </c>
      <c r="P785" s="545">
        <v>0.0</v>
      </c>
      <c r="Q785" s="546">
        <v>0.0</v>
      </c>
      <c r="R785" s="655"/>
      <c r="S785" s="75"/>
      <c r="T785" s="655"/>
      <c r="U785" s="75"/>
      <c r="V785" s="655"/>
      <c r="W785" s="144"/>
      <c r="X785" s="549"/>
    </row>
    <row r="786">
      <c r="A786" s="538" t="s">
        <v>3511</v>
      </c>
      <c r="D786" s="692"/>
      <c r="E786" s="574"/>
      <c r="F786" s="574"/>
      <c r="G786" s="574"/>
      <c r="H786" s="574"/>
      <c r="I786" s="574"/>
      <c r="J786" s="576"/>
      <c r="K786" s="576"/>
      <c r="L786" s="683"/>
      <c r="N786" s="122"/>
      <c r="O786" s="546">
        <v>0.0</v>
      </c>
      <c r="P786" s="545">
        <v>0.0</v>
      </c>
      <c r="Q786" s="546">
        <v>0.0</v>
      </c>
      <c r="R786" s="655"/>
      <c r="S786" s="75"/>
      <c r="T786" s="655"/>
      <c r="U786" s="75"/>
      <c r="V786" s="655"/>
      <c r="W786" s="144"/>
      <c r="X786" s="549"/>
    </row>
    <row r="787">
      <c r="A787" s="538" t="s">
        <v>3511</v>
      </c>
      <c r="D787" s="692"/>
      <c r="E787" s="574"/>
      <c r="F787" s="574"/>
      <c r="G787" s="574"/>
      <c r="H787" s="574"/>
      <c r="I787" s="574"/>
      <c r="J787" s="576"/>
      <c r="K787" s="576"/>
      <c r="L787" s="683"/>
      <c r="N787" s="122"/>
      <c r="O787" s="546">
        <v>0.0</v>
      </c>
      <c r="P787" s="545">
        <v>0.0</v>
      </c>
      <c r="Q787" s="546">
        <v>0.0</v>
      </c>
      <c r="R787" s="655"/>
      <c r="S787" s="75"/>
      <c r="T787" s="655"/>
      <c r="U787" s="75"/>
      <c r="V787" s="655"/>
      <c r="W787" s="144"/>
      <c r="X787" s="549"/>
    </row>
    <row r="788">
      <c r="A788" s="538" t="s">
        <v>3511</v>
      </c>
      <c r="D788" s="692"/>
      <c r="E788" s="574"/>
      <c r="F788" s="574"/>
      <c r="G788" s="574"/>
      <c r="H788" s="574"/>
      <c r="I788" s="574"/>
      <c r="J788" s="576"/>
      <c r="K788" s="576"/>
      <c r="L788" s="683"/>
      <c r="N788" s="122"/>
      <c r="O788" s="546">
        <v>0.0</v>
      </c>
      <c r="P788" s="545">
        <v>0.0</v>
      </c>
      <c r="Q788" s="546">
        <v>0.0</v>
      </c>
      <c r="R788" s="655"/>
      <c r="S788" s="75"/>
      <c r="T788" s="655"/>
      <c r="U788" s="75"/>
      <c r="V788" s="655"/>
      <c r="W788" s="144"/>
      <c r="X788" s="549"/>
    </row>
    <row r="789">
      <c r="A789" s="538" t="s">
        <v>3511</v>
      </c>
      <c r="D789" s="692"/>
      <c r="E789" s="574"/>
      <c r="F789" s="574"/>
      <c r="G789" s="574"/>
      <c r="H789" s="574"/>
      <c r="I789" s="574"/>
      <c r="J789" s="576"/>
      <c r="K789" s="576"/>
      <c r="L789" s="683"/>
      <c r="N789" s="122"/>
      <c r="O789" s="546">
        <v>0.0</v>
      </c>
      <c r="P789" s="545">
        <v>0.0</v>
      </c>
      <c r="Q789" s="546">
        <v>0.0</v>
      </c>
      <c r="R789" s="655"/>
      <c r="S789" s="75"/>
      <c r="T789" s="655"/>
      <c r="U789" s="75"/>
      <c r="V789" s="655"/>
      <c r="W789" s="144"/>
      <c r="X789" s="549"/>
    </row>
    <row r="790">
      <c r="A790" s="538" t="s">
        <v>3511</v>
      </c>
      <c r="D790" s="692"/>
      <c r="E790" s="574"/>
      <c r="F790" s="574"/>
      <c r="G790" s="574"/>
      <c r="H790" s="574"/>
      <c r="I790" s="574"/>
      <c r="J790" s="576"/>
      <c r="K790" s="576"/>
      <c r="L790" s="683"/>
      <c r="N790" s="122"/>
      <c r="O790" s="546">
        <v>0.0</v>
      </c>
      <c r="P790" s="545">
        <v>0.0</v>
      </c>
      <c r="Q790" s="546">
        <v>0.0</v>
      </c>
      <c r="R790" s="655"/>
      <c r="S790" s="75"/>
      <c r="T790" s="655"/>
      <c r="U790" s="75"/>
      <c r="V790" s="655"/>
      <c r="W790" s="144"/>
      <c r="X790" s="549"/>
    </row>
    <row r="791">
      <c r="A791" s="538" t="s">
        <v>3511</v>
      </c>
      <c r="D791" s="692"/>
      <c r="E791" s="574"/>
      <c r="F791" s="574"/>
      <c r="G791" s="574"/>
      <c r="H791" s="574"/>
      <c r="I791" s="574"/>
      <c r="J791" s="576"/>
      <c r="K791" s="576"/>
      <c r="L791" s="683"/>
      <c r="N791" s="122"/>
      <c r="O791" s="546">
        <v>0.0</v>
      </c>
      <c r="P791" s="545">
        <v>0.0</v>
      </c>
      <c r="Q791" s="546">
        <v>0.0</v>
      </c>
      <c r="R791" s="655"/>
      <c r="S791" s="75"/>
      <c r="T791" s="655"/>
      <c r="U791" s="75"/>
      <c r="V791" s="655"/>
      <c r="W791" s="144"/>
      <c r="X791" s="549"/>
    </row>
    <row r="792">
      <c r="A792" s="538" t="s">
        <v>3511</v>
      </c>
      <c r="D792" s="692"/>
      <c r="E792" s="574"/>
      <c r="F792" s="574"/>
      <c r="G792" s="574"/>
      <c r="H792" s="574"/>
      <c r="I792" s="574"/>
      <c r="J792" s="576"/>
      <c r="K792" s="576"/>
      <c r="L792" s="683"/>
      <c r="N792" s="122"/>
      <c r="O792" s="546">
        <v>0.0</v>
      </c>
      <c r="P792" s="545">
        <v>0.0</v>
      </c>
      <c r="Q792" s="546">
        <v>0.0</v>
      </c>
      <c r="R792" s="655"/>
      <c r="S792" s="75"/>
      <c r="T792" s="655"/>
      <c r="U792" s="75"/>
      <c r="V792" s="655"/>
      <c r="W792" s="144"/>
      <c r="X792" s="549"/>
    </row>
    <row r="793">
      <c r="A793" s="538" t="s">
        <v>3511</v>
      </c>
      <c r="D793" s="692"/>
      <c r="E793" s="574"/>
      <c r="F793" s="574"/>
      <c r="G793" s="574"/>
      <c r="H793" s="574"/>
      <c r="I793" s="574"/>
      <c r="J793" s="576"/>
      <c r="K793" s="576"/>
      <c r="L793" s="683"/>
      <c r="N793" s="122"/>
      <c r="O793" s="546">
        <v>0.0</v>
      </c>
      <c r="P793" s="545">
        <v>0.0</v>
      </c>
      <c r="Q793" s="546">
        <v>0.0</v>
      </c>
      <c r="R793" s="655"/>
      <c r="S793" s="75"/>
      <c r="T793" s="655"/>
      <c r="U793" s="75"/>
      <c r="V793" s="655"/>
      <c r="W793" s="144"/>
      <c r="X793" s="549"/>
    </row>
    <row r="794">
      <c r="A794" s="538" t="s">
        <v>3511</v>
      </c>
      <c r="D794" s="692"/>
      <c r="E794" s="574"/>
      <c r="F794" s="574"/>
      <c r="G794" s="574"/>
      <c r="H794" s="574"/>
      <c r="I794" s="574"/>
      <c r="J794" s="576"/>
      <c r="K794" s="576"/>
      <c r="L794" s="683"/>
      <c r="N794" s="122"/>
      <c r="O794" s="546">
        <v>0.0</v>
      </c>
      <c r="P794" s="545">
        <v>0.0</v>
      </c>
      <c r="Q794" s="546">
        <v>0.0</v>
      </c>
      <c r="R794" s="655"/>
      <c r="S794" s="75"/>
      <c r="T794" s="655"/>
      <c r="U794" s="75"/>
      <c r="V794" s="655"/>
      <c r="W794" s="144"/>
      <c r="X794" s="549"/>
    </row>
    <row r="795">
      <c r="A795" s="538" t="s">
        <v>3511</v>
      </c>
      <c r="D795" s="692"/>
      <c r="E795" s="574"/>
      <c r="F795" s="574"/>
      <c r="G795" s="574"/>
      <c r="H795" s="574"/>
      <c r="I795" s="574"/>
      <c r="J795" s="576"/>
      <c r="K795" s="576"/>
      <c r="L795" s="683"/>
      <c r="N795" s="122"/>
      <c r="O795" s="546">
        <v>0.0</v>
      </c>
      <c r="P795" s="545">
        <v>0.0</v>
      </c>
      <c r="Q795" s="546">
        <v>0.0</v>
      </c>
      <c r="R795" s="655"/>
      <c r="S795" s="75"/>
      <c r="T795" s="655"/>
      <c r="U795" s="75"/>
      <c r="V795" s="655"/>
      <c r="W795" s="144"/>
      <c r="X795" s="549"/>
    </row>
    <row r="796">
      <c r="A796" s="538" t="s">
        <v>3511</v>
      </c>
      <c r="D796" s="692"/>
      <c r="E796" s="574"/>
      <c r="F796" s="574"/>
      <c r="G796" s="574"/>
      <c r="H796" s="574"/>
      <c r="I796" s="574"/>
      <c r="J796" s="576"/>
      <c r="K796" s="576"/>
      <c r="L796" s="683"/>
      <c r="N796" s="122"/>
      <c r="O796" s="546">
        <v>0.0</v>
      </c>
      <c r="P796" s="545">
        <v>0.0</v>
      </c>
      <c r="Q796" s="546">
        <v>0.0</v>
      </c>
      <c r="R796" s="655"/>
      <c r="S796" s="75"/>
      <c r="T796" s="655"/>
      <c r="U796" s="75"/>
      <c r="V796" s="655"/>
      <c r="W796" s="144"/>
      <c r="X796" s="549"/>
    </row>
    <row r="797">
      <c r="A797" s="538" t="s">
        <v>3511</v>
      </c>
      <c r="D797" s="692"/>
      <c r="E797" s="574"/>
      <c r="F797" s="574"/>
      <c r="G797" s="574"/>
      <c r="H797" s="574"/>
      <c r="I797" s="574"/>
      <c r="J797" s="576"/>
      <c r="K797" s="576"/>
      <c r="L797" s="683"/>
      <c r="N797" s="122"/>
      <c r="O797" s="546">
        <v>0.0</v>
      </c>
      <c r="P797" s="545">
        <v>0.0</v>
      </c>
      <c r="Q797" s="546">
        <v>0.0</v>
      </c>
      <c r="R797" s="655"/>
      <c r="S797" s="75"/>
      <c r="T797" s="655"/>
      <c r="U797" s="75"/>
      <c r="V797" s="655"/>
      <c r="W797" s="144"/>
      <c r="X797" s="549"/>
    </row>
    <row r="798">
      <c r="A798" s="538" t="s">
        <v>3511</v>
      </c>
      <c r="D798" s="692"/>
      <c r="E798" s="574"/>
      <c r="F798" s="574"/>
      <c r="G798" s="574"/>
      <c r="H798" s="574"/>
      <c r="I798" s="574"/>
      <c r="J798" s="576"/>
      <c r="K798" s="576"/>
      <c r="L798" s="683"/>
      <c r="N798" s="122"/>
      <c r="O798" s="546">
        <v>0.0</v>
      </c>
      <c r="P798" s="545">
        <v>0.0</v>
      </c>
      <c r="Q798" s="546">
        <v>0.0</v>
      </c>
      <c r="R798" s="655"/>
      <c r="S798" s="75"/>
      <c r="T798" s="655"/>
      <c r="U798" s="75"/>
      <c r="V798" s="655"/>
      <c r="W798" s="144"/>
      <c r="X798" s="549"/>
    </row>
    <row r="799">
      <c r="A799" s="538" t="s">
        <v>3511</v>
      </c>
      <c r="D799" s="692"/>
      <c r="E799" s="574"/>
      <c r="F799" s="574"/>
      <c r="G799" s="574"/>
      <c r="H799" s="574"/>
      <c r="I799" s="574"/>
      <c r="J799" s="576"/>
      <c r="K799" s="576"/>
      <c r="L799" s="683"/>
      <c r="N799" s="122"/>
      <c r="O799" s="546">
        <v>0.0</v>
      </c>
      <c r="P799" s="545">
        <v>0.0</v>
      </c>
      <c r="Q799" s="546">
        <v>0.0</v>
      </c>
      <c r="R799" s="655"/>
      <c r="S799" s="75"/>
      <c r="T799" s="655"/>
      <c r="U799" s="75"/>
      <c r="V799" s="655"/>
      <c r="W799" s="144"/>
      <c r="X799" s="549"/>
    </row>
    <row r="800">
      <c r="A800" s="538" t="s">
        <v>3511</v>
      </c>
      <c r="D800" s="692"/>
      <c r="E800" s="574"/>
      <c r="F800" s="574"/>
      <c r="G800" s="574"/>
      <c r="H800" s="574"/>
      <c r="I800" s="574"/>
      <c r="J800" s="576"/>
      <c r="K800" s="576"/>
      <c r="L800" s="683"/>
      <c r="N800" s="122"/>
      <c r="O800" s="546">
        <v>0.0</v>
      </c>
      <c r="P800" s="545">
        <v>0.0</v>
      </c>
      <c r="Q800" s="546">
        <v>0.0</v>
      </c>
      <c r="R800" s="655"/>
      <c r="S800" s="75"/>
      <c r="T800" s="655"/>
      <c r="U800" s="75"/>
      <c r="V800" s="655"/>
      <c r="W800" s="144"/>
      <c r="X800" s="549"/>
    </row>
    <row r="801">
      <c r="A801" s="538" t="s">
        <v>3511</v>
      </c>
      <c r="D801" s="692"/>
      <c r="E801" s="574"/>
      <c r="F801" s="574"/>
      <c r="G801" s="574"/>
      <c r="H801" s="574"/>
      <c r="I801" s="574"/>
      <c r="J801" s="576"/>
      <c r="K801" s="576"/>
      <c r="L801" s="683"/>
      <c r="N801" s="122"/>
      <c r="O801" s="546">
        <v>0.0</v>
      </c>
      <c r="P801" s="545">
        <v>0.0</v>
      </c>
      <c r="Q801" s="546">
        <v>0.0</v>
      </c>
      <c r="R801" s="655"/>
      <c r="S801" s="75"/>
      <c r="T801" s="655"/>
      <c r="U801" s="75"/>
      <c r="V801" s="655"/>
      <c r="W801" s="144"/>
      <c r="X801" s="549"/>
    </row>
    <row r="802">
      <c r="A802" s="538" t="s">
        <v>3511</v>
      </c>
      <c r="D802" s="692"/>
      <c r="E802" s="574"/>
      <c r="F802" s="574"/>
      <c r="G802" s="574"/>
      <c r="H802" s="574"/>
      <c r="I802" s="574"/>
      <c r="J802" s="576"/>
      <c r="K802" s="576"/>
      <c r="L802" s="683"/>
      <c r="N802" s="122"/>
      <c r="O802" s="546">
        <v>0.0</v>
      </c>
      <c r="P802" s="545">
        <v>0.0</v>
      </c>
      <c r="Q802" s="546">
        <v>0.0</v>
      </c>
      <c r="R802" s="655"/>
      <c r="S802" s="75"/>
      <c r="T802" s="655"/>
      <c r="U802" s="75"/>
      <c r="V802" s="655"/>
      <c r="W802" s="144"/>
      <c r="X802" s="549"/>
    </row>
    <row r="803">
      <c r="A803" s="538" t="s">
        <v>3511</v>
      </c>
      <c r="D803" s="692"/>
      <c r="E803" s="574"/>
      <c r="F803" s="574"/>
      <c r="G803" s="574"/>
      <c r="H803" s="574"/>
      <c r="I803" s="574"/>
      <c r="J803" s="576"/>
      <c r="K803" s="576"/>
      <c r="L803" s="683"/>
      <c r="N803" s="122"/>
      <c r="O803" s="546">
        <v>0.0</v>
      </c>
      <c r="P803" s="545">
        <v>0.0</v>
      </c>
      <c r="Q803" s="546">
        <v>0.0</v>
      </c>
      <c r="R803" s="655"/>
      <c r="S803" s="75"/>
      <c r="T803" s="655"/>
      <c r="U803" s="75"/>
      <c r="V803" s="655"/>
      <c r="W803" s="144"/>
      <c r="X803" s="549"/>
    </row>
    <row r="804">
      <c r="A804" s="538" t="s">
        <v>3511</v>
      </c>
      <c r="D804" s="692"/>
      <c r="E804" s="574"/>
      <c r="F804" s="574"/>
      <c r="G804" s="574"/>
      <c r="H804" s="574"/>
      <c r="I804" s="574"/>
      <c r="J804" s="576"/>
      <c r="K804" s="576"/>
      <c r="L804" s="683"/>
      <c r="N804" s="122"/>
      <c r="O804" s="546">
        <v>0.0</v>
      </c>
      <c r="P804" s="545">
        <v>0.0</v>
      </c>
      <c r="Q804" s="546">
        <v>0.0</v>
      </c>
      <c r="R804" s="655"/>
      <c r="S804" s="75"/>
      <c r="T804" s="655"/>
      <c r="U804" s="75"/>
      <c r="V804" s="655"/>
      <c r="W804" s="144"/>
      <c r="X804" s="549"/>
    </row>
    <row r="805">
      <c r="A805" s="538" t="s">
        <v>3511</v>
      </c>
      <c r="D805" s="692"/>
      <c r="E805" s="574"/>
      <c r="F805" s="574"/>
      <c r="G805" s="574"/>
      <c r="H805" s="574"/>
      <c r="I805" s="574"/>
      <c r="J805" s="576"/>
      <c r="K805" s="576"/>
      <c r="L805" s="683"/>
      <c r="N805" s="122"/>
      <c r="O805" s="546">
        <v>0.0</v>
      </c>
      <c r="P805" s="545">
        <v>0.0</v>
      </c>
      <c r="Q805" s="546">
        <v>0.0</v>
      </c>
      <c r="R805" s="655"/>
      <c r="S805" s="75"/>
      <c r="T805" s="655"/>
      <c r="U805" s="75"/>
      <c r="V805" s="655"/>
      <c r="W805" s="144"/>
      <c r="X805" s="549"/>
    </row>
    <row r="806">
      <c r="A806" s="538" t="s">
        <v>3511</v>
      </c>
      <c r="D806" s="692"/>
      <c r="E806" s="574"/>
      <c r="F806" s="574"/>
      <c r="G806" s="574"/>
      <c r="H806" s="574"/>
      <c r="I806" s="574"/>
      <c r="J806" s="576"/>
      <c r="K806" s="576"/>
      <c r="L806" s="683"/>
      <c r="N806" s="122"/>
      <c r="O806" s="546">
        <v>0.0</v>
      </c>
      <c r="P806" s="545">
        <v>0.0</v>
      </c>
      <c r="Q806" s="546">
        <v>0.0</v>
      </c>
      <c r="R806" s="655"/>
      <c r="S806" s="75"/>
      <c r="T806" s="655"/>
      <c r="U806" s="75"/>
      <c r="V806" s="655"/>
      <c r="W806" s="144"/>
      <c r="X806" s="549"/>
    </row>
    <row r="807">
      <c r="A807" s="538" t="s">
        <v>3511</v>
      </c>
      <c r="D807" s="692"/>
      <c r="E807" s="574"/>
      <c r="F807" s="574"/>
      <c r="G807" s="574"/>
      <c r="H807" s="574"/>
      <c r="I807" s="574"/>
      <c r="J807" s="576"/>
      <c r="K807" s="576"/>
      <c r="L807" s="683"/>
      <c r="N807" s="122"/>
      <c r="O807" s="546">
        <v>0.0</v>
      </c>
      <c r="P807" s="545">
        <v>0.0</v>
      </c>
      <c r="Q807" s="546">
        <v>0.0</v>
      </c>
      <c r="R807" s="655"/>
      <c r="S807" s="75"/>
      <c r="T807" s="655"/>
      <c r="U807" s="75"/>
      <c r="V807" s="655"/>
      <c r="W807" s="144"/>
      <c r="X807" s="549"/>
    </row>
    <row r="808">
      <c r="A808" s="538" t="s">
        <v>3511</v>
      </c>
      <c r="D808" s="692"/>
      <c r="E808" s="574"/>
      <c r="F808" s="574"/>
      <c r="G808" s="574"/>
      <c r="H808" s="574"/>
      <c r="I808" s="574"/>
      <c r="J808" s="576"/>
      <c r="K808" s="576"/>
      <c r="L808" s="683"/>
      <c r="N808" s="122"/>
      <c r="O808" s="546">
        <v>0.0</v>
      </c>
      <c r="P808" s="545">
        <v>0.0</v>
      </c>
      <c r="Q808" s="546">
        <v>0.0</v>
      </c>
      <c r="R808" s="655"/>
      <c r="S808" s="75"/>
      <c r="T808" s="655"/>
      <c r="U808" s="75"/>
      <c r="V808" s="655"/>
      <c r="W808" s="144"/>
      <c r="X808" s="549"/>
    </row>
    <row r="809">
      <c r="A809" s="538" t="s">
        <v>3511</v>
      </c>
      <c r="D809" s="692"/>
      <c r="E809" s="574"/>
      <c r="F809" s="574"/>
      <c r="G809" s="574"/>
      <c r="H809" s="574"/>
      <c r="I809" s="574"/>
      <c r="J809" s="576"/>
      <c r="K809" s="576"/>
      <c r="L809" s="683"/>
      <c r="N809" s="122"/>
      <c r="O809" s="546">
        <v>0.0</v>
      </c>
      <c r="P809" s="545">
        <v>0.0</v>
      </c>
      <c r="Q809" s="546">
        <v>0.0</v>
      </c>
      <c r="R809" s="655"/>
      <c r="S809" s="75"/>
      <c r="T809" s="655"/>
      <c r="U809" s="75"/>
      <c r="V809" s="655"/>
      <c r="W809" s="144"/>
      <c r="X809" s="549"/>
    </row>
    <row r="810">
      <c r="A810" s="538" t="s">
        <v>3511</v>
      </c>
      <c r="D810" s="692"/>
      <c r="E810" s="574"/>
      <c r="F810" s="574"/>
      <c r="G810" s="574"/>
      <c r="H810" s="574"/>
      <c r="I810" s="574"/>
      <c r="J810" s="576"/>
      <c r="K810" s="576"/>
      <c r="L810" s="683"/>
      <c r="N810" s="122"/>
      <c r="O810" s="546">
        <v>0.0</v>
      </c>
      <c r="P810" s="545">
        <v>0.0</v>
      </c>
      <c r="Q810" s="546">
        <v>0.0</v>
      </c>
      <c r="R810" s="655"/>
      <c r="S810" s="75"/>
      <c r="T810" s="655"/>
      <c r="U810" s="75"/>
      <c r="V810" s="655"/>
      <c r="W810" s="144"/>
      <c r="X810" s="549"/>
    </row>
    <row r="811">
      <c r="A811" s="538" t="s">
        <v>3511</v>
      </c>
      <c r="D811" s="692"/>
      <c r="E811" s="574"/>
      <c r="F811" s="574"/>
      <c r="G811" s="574"/>
      <c r="H811" s="574"/>
      <c r="I811" s="574"/>
      <c r="J811" s="576"/>
      <c r="K811" s="576"/>
      <c r="L811" s="683"/>
      <c r="N811" s="122"/>
      <c r="O811" s="546">
        <v>0.0</v>
      </c>
      <c r="P811" s="545">
        <v>0.0</v>
      </c>
      <c r="Q811" s="546">
        <v>0.0</v>
      </c>
      <c r="R811" s="655"/>
      <c r="S811" s="75"/>
      <c r="T811" s="655"/>
      <c r="U811" s="75"/>
      <c r="V811" s="655"/>
      <c r="W811" s="144"/>
      <c r="X811" s="549"/>
    </row>
    <row r="812">
      <c r="A812" s="538" t="s">
        <v>3511</v>
      </c>
      <c r="D812" s="692"/>
      <c r="E812" s="574"/>
      <c r="F812" s="574"/>
      <c r="G812" s="574"/>
      <c r="H812" s="574"/>
      <c r="I812" s="574"/>
      <c r="J812" s="576"/>
      <c r="K812" s="576"/>
      <c r="L812" s="683"/>
      <c r="N812" s="122"/>
      <c r="O812" s="546">
        <v>0.0</v>
      </c>
      <c r="P812" s="545">
        <v>0.0</v>
      </c>
      <c r="Q812" s="546">
        <v>0.0</v>
      </c>
      <c r="R812" s="655"/>
      <c r="S812" s="75"/>
      <c r="T812" s="655"/>
      <c r="U812" s="75"/>
      <c r="V812" s="655"/>
      <c r="W812" s="144"/>
      <c r="X812" s="549"/>
    </row>
    <row r="813">
      <c r="A813" s="538" t="s">
        <v>3511</v>
      </c>
      <c r="D813" s="692"/>
      <c r="E813" s="574"/>
      <c r="F813" s="574"/>
      <c r="G813" s="574"/>
      <c r="H813" s="574"/>
      <c r="I813" s="574"/>
      <c r="J813" s="576"/>
      <c r="K813" s="576"/>
      <c r="L813" s="683"/>
      <c r="N813" s="122"/>
      <c r="O813" s="546">
        <v>0.0</v>
      </c>
      <c r="P813" s="545">
        <v>0.0</v>
      </c>
      <c r="Q813" s="546">
        <v>0.0</v>
      </c>
      <c r="R813" s="655"/>
      <c r="S813" s="75"/>
      <c r="T813" s="655"/>
      <c r="U813" s="75"/>
      <c r="V813" s="655"/>
      <c r="W813" s="144"/>
      <c r="X813" s="549"/>
    </row>
    <row r="814">
      <c r="A814" s="538" t="s">
        <v>3511</v>
      </c>
      <c r="D814" s="692"/>
      <c r="E814" s="574"/>
      <c r="F814" s="574"/>
      <c r="G814" s="574"/>
      <c r="H814" s="574"/>
      <c r="I814" s="574"/>
      <c r="J814" s="576"/>
      <c r="K814" s="576"/>
      <c r="L814" s="683"/>
      <c r="N814" s="122"/>
      <c r="O814" s="546">
        <v>0.0</v>
      </c>
      <c r="P814" s="545">
        <v>0.0</v>
      </c>
      <c r="Q814" s="546">
        <v>0.0</v>
      </c>
      <c r="R814" s="655"/>
      <c r="S814" s="75"/>
      <c r="T814" s="655"/>
      <c r="U814" s="75"/>
      <c r="V814" s="655"/>
      <c r="W814" s="144"/>
      <c r="X814" s="549"/>
    </row>
    <row r="815">
      <c r="A815" s="538" t="s">
        <v>3511</v>
      </c>
      <c r="D815" s="692"/>
      <c r="E815" s="574"/>
      <c r="F815" s="574"/>
      <c r="G815" s="574"/>
      <c r="H815" s="574"/>
      <c r="I815" s="574"/>
      <c r="J815" s="576"/>
      <c r="K815" s="576"/>
      <c r="L815" s="683"/>
      <c r="N815" s="122"/>
      <c r="O815" s="546">
        <v>0.0</v>
      </c>
      <c r="P815" s="545">
        <v>0.0</v>
      </c>
      <c r="Q815" s="546">
        <v>0.0</v>
      </c>
      <c r="R815" s="655"/>
      <c r="S815" s="75"/>
      <c r="T815" s="655"/>
      <c r="U815" s="75"/>
      <c r="V815" s="655"/>
      <c r="W815" s="144"/>
      <c r="X815" s="549"/>
    </row>
    <row r="816">
      <c r="A816" s="538" t="s">
        <v>3511</v>
      </c>
      <c r="D816" s="692"/>
      <c r="E816" s="574"/>
      <c r="F816" s="574"/>
      <c r="G816" s="574"/>
      <c r="H816" s="574"/>
      <c r="I816" s="574"/>
      <c r="J816" s="576"/>
      <c r="K816" s="576"/>
      <c r="L816" s="683"/>
      <c r="N816" s="122"/>
      <c r="O816" s="546">
        <v>0.0</v>
      </c>
      <c r="P816" s="545">
        <v>0.0</v>
      </c>
      <c r="Q816" s="546">
        <v>0.0</v>
      </c>
      <c r="R816" s="655"/>
      <c r="S816" s="75"/>
      <c r="T816" s="655"/>
      <c r="U816" s="75"/>
      <c r="V816" s="655"/>
      <c r="W816" s="144"/>
      <c r="X816" s="549"/>
    </row>
    <row r="817">
      <c r="A817" s="538" t="s">
        <v>3511</v>
      </c>
      <c r="D817" s="692"/>
      <c r="E817" s="574"/>
      <c r="F817" s="574"/>
      <c r="G817" s="574"/>
      <c r="H817" s="574"/>
      <c r="I817" s="574"/>
      <c r="J817" s="576"/>
      <c r="K817" s="576"/>
      <c r="L817" s="683"/>
      <c r="N817" s="122"/>
      <c r="O817" s="546">
        <v>0.0</v>
      </c>
      <c r="P817" s="545">
        <v>0.0</v>
      </c>
      <c r="Q817" s="546">
        <v>0.0</v>
      </c>
      <c r="R817" s="655"/>
      <c r="S817" s="75"/>
      <c r="T817" s="655"/>
      <c r="U817" s="75"/>
      <c r="V817" s="655"/>
      <c r="W817" s="144"/>
      <c r="X817" s="549"/>
    </row>
    <row r="818">
      <c r="A818" s="538" t="s">
        <v>3511</v>
      </c>
      <c r="D818" s="692"/>
      <c r="E818" s="574"/>
      <c r="F818" s="574"/>
      <c r="G818" s="574"/>
      <c r="H818" s="574"/>
      <c r="I818" s="574"/>
      <c r="J818" s="576"/>
      <c r="K818" s="576"/>
      <c r="L818" s="683"/>
      <c r="N818" s="122"/>
      <c r="O818" s="546">
        <v>0.0</v>
      </c>
      <c r="P818" s="545">
        <v>0.0</v>
      </c>
      <c r="Q818" s="546">
        <v>0.0</v>
      </c>
      <c r="R818" s="655"/>
      <c r="S818" s="75"/>
      <c r="T818" s="655"/>
      <c r="U818" s="75"/>
      <c r="V818" s="655"/>
      <c r="W818" s="144"/>
      <c r="X818" s="549"/>
    </row>
    <row r="819">
      <c r="A819" s="538" t="s">
        <v>3511</v>
      </c>
      <c r="D819" s="692"/>
      <c r="E819" s="574"/>
      <c r="F819" s="574"/>
      <c r="G819" s="574"/>
      <c r="H819" s="574"/>
      <c r="I819" s="574"/>
      <c r="J819" s="576"/>
      <c r="K819" s="576"/>
      <c r="L819" s="683"/>
      <c r="N819" s="122"/>
      <c r="O819" s="546">
        <v>0.0</v>
      </c>
      <c r="P819" s="545">
        <v>0.0</v>
      </c>
      <c r="Q819" s="546">
        <v>0.0</v>
      </c>
      <c r="R819" s="655"/>
      <c r="S819" s="75"/>
      <c r="T819" s="655"/>
      <c r="U819" s="75"/>
      <c r="V819" s="655"/>
      <c r="W819" s="144"/>
      <c r="X819" s="549"/>
    </row>
    <row r="820">
      <c r="A820" s="538" t="s">
        <v>3511</v>
      </c>
      <c r="D820" s="692"/>
      <c r="E820" s="574"/>
      <c r="F820" s="574"/>
      <c r="G820" s="574"/>
      <c r="H820" s="574"/>
      <c r="I820" s="574"/>
      <c r="J820" s="576"/>
      <c r="K820" s="576"/>
      <c r="L820" s="683"/>
      <c r="N820" s="122"/>
      <c r="O820" s="546">
        <v>0.0</v>
      </c>
      <c r="P820" s="545">
        <v>0.0</v>
      </c>
      <c r="Q820" s="546">
        <v>0.0</v>
      </c>
      <c r="R820" s="655"/>
      <c r="S820" s="75"/>
      <c r="T820" s="655"/>
      <c r="U820" s="75"/>
      <c r="V820" s="655"/>
      <c r="W820" s="144"/>
      <c r="X820" s="549"/>
    </row>
    <row r="821">
      <c r="A821" s="538" t="s">
        <v>3511</v>
      </c>
      <c r="D821" s="692"/>
      <c r="E821" s="574"/>
      <c r="F821" s="574"/>
      <c r="G821" s="574"/>
      <c r="H821" s="574"/>
      <c r="I821" s="574"/>
      <c r="J821" s="576"/>
      <c r="K821" s="576"/>
      <c r="L821" s="683"/>
      <c r="N821" s="122"/>
      <c r="O821" s="546">
        <v>0.0</v>
      </c>
      <c r="P821" s="545">
        <v>0.0</v>
      </c>
      <c r="Q821" s="546">
        <v>0.0</v>
      </c>
      <c r="R821" s="655"/>
      <c r="S821" s="75"/>
      <c r="T821" s="655"/>
      <c r="U821" s="75"/>
      <c r="V821" s="655"/>
      <c r="W821" s="144"/>
      <c r="X821" s="549"/>
    </row>
    <row r="822">
      <c r="A822" s="538" t="s">
        <v>3511</v>
      </c>
      <c r="D822" s="692"/>
      <c r="E822" s="574"/>
      <c r="F822" s="574"/>
      <c r="G822" s="574"/>
      <c r="H822" s="574"/>
      <c r="I822" s="574"/>
      <c r="J822" s="576"/>
      <c r="K822" s="576"/>
      <c r="L822" s="683"/>
      <c r="N822" s="122"/>
      <c r="O822" s="546">
        <v>0.0</v>
      </c>
      <c r="P822" s="545">
        <v>0.0</v>
      </c>
      <c r="Q822" s="546">
        <v>0.0</v>
      </c>
      <c r="R822" s="655"/>
      <c r="S822" s="75"/>
      <c r="T822" s="655"/>
      <c r="U822" s="75"/>
      <c r="V822" s="655"/>
      <c r="W822" s="144"/>
      <c r="X822" s="549"/>
    </row>
    <row r="823">
      <c r="A823" s="538" t="s">
        <v>3511</v>
      </c>
      <c r="D823" s="692"/>
      <c r="E823" s="574"/>
      <c r="F823" s="574"/>
      <c r="G823" s="574"/>
      <c r="H823" s="574"/>
      <c r="I823" s="574"/>
      <c r="J823" s="576"/>
      <c r="K823" s="576"/>
      <c r="L823" s="683"/>
      <c r="N823" s="122"/>
      <c r="O823" s="546">
        <v>0.0</v>
      </c>
      <c r="P823" s="545">
        <v>0.0</v>
      </c>
      <c r="Q823" s="546">
        <v>0.0</v>
      </c>
      <c r="R823" s="655"/>
      <c r="S823" s="75"/>
      <c r="T823" s="655"/>
      <c r="U823" s="75"/>
      <c r="V823" s="655"/>
      <c r="W823" s="144"/>
      <c r="X823" s="549"/>
    </row>
    <row r="824">
      <c r="A824" s="538" t="s">
        <v>3511</v>
      </c>
      <c r="D824" s="692"/>
      <c r="E824" s="574"/>
      <c r="F824" s="574"/>
      <c r="G824" s="574"/>
      <c r="H824" s="574"/>
      <c r="I824" s="574"/>
      <c r="J824" s="576"/>
      <c r="K824" s="576"/>
      <c r="L824" s="683"/>
      <c r="N824" s="122"/>
      <c r="O824" s="546">
        <v>0.0</v>
      </c>
      <c r="P824" s="545">
        <v>0.0</v>
      </c>
      <c r="Q824" s="546">
        <v>0.0</v>
      </c>
      <c r="R824" s="655"/>
      <c r="S824" s="75"/>
      <c r="T824" s="655"/>
      <c r="U824" s="75"/>
      <c r="V824" s="655"/>
      <c r="W824" s="144"/>
      <c r="X824" s="549"/>
    </row>
    <row r="825">
      <c r="A825" s="538" t="s">
        <v>3511</v>
      </c>
      <c r="D825" s="692"/>
      <c r="E825" s="574"/>
      <c r="F825" s="574"/>
      <c r="G825" s="574"/>
      <c r="H825" s="574"/>
      <c r="I825" s="574"/>
      <c r="J825" s="576"/>
      <c r="K825" s="576"/>
      <c r="L825" s="683"/>
      <c r="N825" s="122"/>
      <c r="O825" s="546">
        <v>0.0</v>
      </c>
      <c r="P825" s="545">
        <v>0.0</v>
      </c>
      <c r="Q825" s="546">
        <v>0.0</v>
      </c>
      <c r="R825" s="655"/>
      <c r="S825" s="75"/>
      <c r="T825" s="655"/>
      <c r="U825" s="75"/>
      <c r="V825" s="655"/>
      <c r="W825" s="144"/>
      <c r="X825" s="549"/>
    </row>
    <row r="826">
      <c r="A826" s="538" t="s">
        <v>3511</v>
      </c>
      <c r="D826" s="692"/>
      <c r="E826" s="574"/>
      <c r="F826" s="574"/>
      <c r="G826" s="574"/>
      <c r="H826" s="574"/>
      <c r="I826" s="574"/>
      <c r="J826" s="576"/>
      <c r="K826" s="576"/>
      <c r="L826" s="683"/>
      <c r="N826" s="122"/>
      <c r="O826" s="546">
        <v>0.0</v>
      </c>
      <c r="P826" s="545">
        <v>0.0</v>
      </c>
      <c r="Q826" s="546">
        <v>0.0</v>
      </c>
      <c r="R826" s="655"/>
      <c r="S826" s="75"/>
      <c r="T826" s="655"/>
      <c r="U826" s="75"/>
      <c r="V826" s="655"/>
      <c r="W826" s="144"/>
      <c r="X826" s="549"/>
    </row>
    <row r="827">
      <c r="A827" s="538" t="s">
        <v>3511</v>
      </c>
      <c r="D827" s="692"/>
      <c r="E827" s="574"/>
      <c r="F827" s="574"/>
      <c r="G827" s="574"/>
      <c r="H827" s="574"/>
      <c r="I827" s="574"/>
      <c r="J827" s="576"/>
      <c r="K827" s="576"/>
      <c r="L827" s="683"/>
      <c r="N827" s="122"/>
      <c r="O827" s="546">
        <v>0.0</v>
      </c>
      <c r="P827" s="545">
        <v>0.0</v>
      </c>
      <c r="Q827" s="546">
        <v>0.0</v>
      </c>
      <c r="R827" s="655"/>
      <c r="S827" s="75"/>
      <c r="T827" s="655"/>
      <c r="U827" s="75"/>
      <c r="V827" s="655"/>
      <c r="W827" s="144"/>
      <c r="X827" s="549"/>
    </row>
    <row r="828">
      <c r="A828" s="538" t="s">
        <v>3511</v>
      </c>
      <c r="D828" s="692"/>
      <c r="E828" s="574"/>
      <c r="F828" s="574"/>
      <c r="G828" s="574"/>
      <c r="H828" s="574"/>
      <c r="I828" s="574"/>
      <c r="J828" s="576"/>
      <c r="K828" s="576"/>
      <c r="L828" s="683"/>
      <c r="N828" s="122"/>
      <c r="O828" s="546">
        <v>0.0</v>
      </c>
      <c r="P828" s="545">
        <v>0.0</v>
      </c>
      <c r="Q828" s="546">
        <v>0.0</v>
      </c>
      <c r="R828" s="655"/>
      <c r="S828" s="75"/>
      <c r="T828" s="655"/>
      <c r="U828" s="75"/>
      <c r="V828" s="655"/>
      <c r="W828" s="144"/>
      <c r="X828" s="549"/>
    </row>
    <row r="829">
      <c r="A829" s="538" t="s">
        <v>3511</v>
      </c>
      <c r="D829" s="692"/>
      <c r="E829" s="574"/>
      <c r="F829" s="574"/>
      <c r="G829" s="574"/>
      <c r="H829" s="574"/>
      <c r="I829" s="574"/>
      <c r="J829" s="576"/>
      <c r="K829" s="576"/>
      <c r="L829" s="683"/>
      <c r="N829" s="122"/>
      <c r="O829" s="546">
        <v>0.0</v>
      </c>
      <c r="P829" s="545">
        <v>0.0</v>
      </c>
      <c r="Q829" s="546">
        <v>0.0</v>
      </c>
      <c r="R829" s="655"/>
      <c r="S829" s="75"/>
      <c r="T829" s="655"/>
      <c r="U829" s="75"/>
      <c r="V829" s="655"/>
      <c r="W829" s="144"/>
      <c r="X829" s="549"/>
    </row>
    <row r="830">
      <c r="A830" s="538" t="s">
        <v>3511</v>
      </c>
      <c r="D830" s="692"/>
      <c r="E830" s="574"/>
      <c r="F830" s="574"/>
      <c r="G830" s="574"/>
      <c r="H830" s="574"/>
      <c r="I830" s="574"/>
      <c r="J830" s="576"/>
      <c r="K830" s="576"/>
      <c r="L830" s="683"/>
      <c r="N830" s="122"/>
      <c r="O830" s="546">
        <v>0.0</v>
      </c>
      <c r="P830" s="545">
        <v>0.0</v>
      </c>
      <c r="Q830" s="546">
        <v>0.0</v>
      </c>
      <c r="R830" s="655"/>
      <c r="S830" s="75"/>
      <c r="T830" s="655"/>
      <c r="U830" s="75"/>
      <c r="V830" s="655"/>
      <c r="W830" s="144"/>
      <c r="X830" s="549"/>
    </row>
    <row r="831">
      <c r="A831" s="538" t="s">
        <v>3511</v>
      </c>
      <c r="D831" s="692"/>
      <c r="E831" s="574"/>
      <c r="F831" s="574"/>
      <c r="G831" s="574"/>
      <c r="H831" s="574"/>
      <c r="I831" s="574"/>
      <c r="J831" s="576"/>
      <c r="K831" s="576"/>
      <c r="L831" s="683"/>
      <c r="N831" s="122"/>
      <c r="O831" s="546">
        <v>0.0</v>
      </c>
      <c r="P831" s="545">
        <v>0.0</v>
      </c>
      <c r="Q831" s="546">
        <v>0.0</v>
      </c>
      <c r="R831" s="655"/>
      <c r="S831" s="75"/>
      <c r="T831" s="655"/>
      <c r="U831" s="75"/>
      <c r="V831" s="655"/>
      <c r="W831" s="144"/>
      <c r="X831" s="549"/>
    </row>
    <row r="832">
      <c r="A832" s="538" t="s">
        <v>3511</v>
      </c>
      <c r="D832" s="692"/>
      <c r="E832" s="574"/>
      <c r="F832" s="574"/>
      <c r="G832" s="574"/>
      <c r="H832" s="574"/>
      <c r="I832" s="574"/>
      <c r="J832" s="576"/>
      <c r="K832" s="576"/>
      <c r="L832" s="683"/>
      <c r="N832" s="122"/>
      <c r="O832" s="546">
        <v>0.0</v>
      </c>
      <c r="P832" s="545">
        <v>0.0</v>
      </c>
      <c r="Q832" s="546">
        <v>0.0</v>
      </c>
      <c r="R832" s="655"/>
      <c r="S832" s="75"/>
      <c r="T832" s="655"/>
      <c r="U832" s="75"/>
      <c r="V832" s="655"/>
      <c r="W832" s="144"/>
      <c r="X832" s="549"/>
    </row>
    <row r="833">
      <c r="A833" s="538" t="s">
        <v>3511</v>
      </c>
      <c r="D833" s="692"/>
      <c r="E833" s="574"/>
      <c r="F833" s="574"/>
      <c r="G833" s="574"/>
      <c r="H833" s="574"/>
      <c r="I833" s="574"/>
      <c r="J833" s="576"/>
      <c r="K833" s="576"/>
      <c r="L833" s="683"/>
      <c r="N833" s="122"/>
      <c r="O833" s="546">
        <v>0.0</v>
      </c>
      <c r="P833" s="545">
        <v>0.0</v>
      </c>
      <c r="Q833" s="546">
        <v>0.0</v>
      </c>
      <c r="R833" s="655"/>
      <c r="S833" s="75"/>
      <c r="T833" s="655"/>
      <c r="U833" s="75"/>
      <c r="V833" s="655"/>
      <c r="W833" s="144"/>
      <c r="X833" s="549"/>
    </row>
    <row r="834">
      <c r="A834" s="538" t="s">
        <v>3511</v>
      </c>
      <c r="D834" s="692"/>
      <c r="E834" s="574"/>
      <c r="F834" s="574"/>
      <c r="G834" s="574"/>
      <c r="H834" s="574"/>
      <c r="I834" s="574"/>
      <c r="J834" s="576"/>
      <c r="K834" s="576"/>
      <c r="L834" s="683"/>
      <c r="N834" s="122"/>
      <c r="O834" s="546">
        <v>0.0</v>
      </c>
      <c r="P834" s="545">
        <v>0.0</v>
      </c>
      <c r="Q834" s="546">
        <v>0.0</v>
      </c>
      <c r="R834" s="655"/>
      <c r="S834" s="75"/>
      <c r="T834" s="655"/>
      <c r="U834" s="75"/>
      <c r="V834" s="655"/>
      <c r="W834" s="144"/>
      <c r="X834" s="549"/>
    </row>
    <row r="835">
      <c r="A835" s="538" t="s">
        <v>3511</v>
      </c>
      <c r="D835" s="692"/>
      <c r="E835" s="574"/>
      <c r="F835" s="574"/>
      <c r="G835" s="574"/>
      <c r="H835" s="574"/>
      <c r="I835" s="574"/>
      <c r="J835" s="576"/>
      <c r="K835" s="576"/>
      <c r="L835" s="683"/>
      <c r="N835" s="122"/>
      <c r="O835" s="546">
        <v>0.0</v>
      </c>
      <c r="P835" s="545">
        <v>0.0</v>
      </c>
      <c r="Q835" s="546">
        <v>0.0</v>
      </c>
      <c r="R835" s="655"/>
      <c r="S835" s="75"/>
      <c r="T835" s="655"/>
      <c r="U835" s="75"/>
      <c r="V835" s="655"/>
      <c r="W835" s="144"/>
      <c r="X835" s="549"/>
    </row>
    <row r="836">
      <c r="A836" s="538" t="s">
        <v>3511</v>
      </c>
      <c r="D836" s="692"/>
      <c r="E836" s="574"/>
      <c r="F836" s="574"/>
      <c r="G836" s="574"/>
      <c r="H836" s="574"/>
      <c r="I836" s="574"/>
      <c r="J836" s="576"/>
      <c r="K836" s="576"/>
      <c r="L836" s="683"/>
      <c r="N836" s="122"/>
      <c r="O836" s="546">
        <v>0.0</v>
      </c>
      <c r="P836" s="545">
        <v>0.0</v>
      </c>
      <c r="Q836" s="546">
        <v>0.0</v>
      </c>
      <c r="R836" s="655"/>
      <c r="S836" s="75"/>
      <c r="T836" s="655"/>
      <c r="U836" s="75"/>
      <c r="V836" s="655"/>
      <c r="W836" s="144"/>
      <c r="X836" s="549"/>
    </row>
    <row r="837">
      <c r="A837" s="538" t="s">
        <v>3511</v>
      </c>
      <c r="D837" s="692"/>
      <c r="E837" s="574"/>
      <c r="F837" s="574"/>
      <c r="G837" s="574"/>
      <c r="H837" s="574"/>
      <c r="I837" s="574"/>
      <c r="J837" s="576"/>
      <c r="K837" s="576"/>
      <c r="L837" s="683"/>
      <c r="N837" s="122"/>
      <c r="O837" s="546">
        <v>0.0</v>
      </c>
      <c r="P837" s="545">
        <v>0.0</v>
      </c>
      <c r="Q837" s="546">
        <v>0.0</v>
      </c>
      <c r="R837" s="655"/>
      <c r="S837" s="75"/>
      <c r="T837" s="655"/>
      <c r="U837" s="75"/>
      <c r="V837" s="655"/>
      <c r="W837" s="144"/>
      <c r="X837" s="549"/>
    </row>
    <row r="838">
      <c r="A838" s="538" t="s">
        <v>3511</v>
      </c>
      <c r="D838" s="692"/>
      <c r="E838" s="574"/>
      <c r="F838" s="574"/>
      <c r="G838" s="574"/>
      <c r="H838" s="574"/>
      <c r="I838" s="574"/>
      <c r="J838" s="576"/>
      <c r="K838" s="576"/>
      <c r="L838" s="683"/>
      <c r="N838" s="122"/>
      <c r="O838" s="546">
        <v>0.0</v>
      </c>
      <c r="P838" s="545">
        <v>0.0</v>
      </c>
      <c r="Q838" s="546">
        <v>0.0</v>
      </c>
      <c r="R838" s="655"/>
      <c r="S838" s="75"/>
      <c r="T838" s="655"/>
      <c r="U838" s="75"/>
      <c r="V838" s="655"/>
      <c r="W838" s="144"/>
      <c r="X838" s="549"/>
    </row>
    <row r="839">
      <c r="A839" s="538" t="s">
        <v>3511</v>
      </c>
      <c r="D839" s="692"/>
      <c r="E839" s="574"/>
      <c r="F839" s="574"/>
      <c r="G839" s="574"/>
      <c r="H839" s="574"/>
      <c r="I839" s="574"/>
      <c r="J839" s="576"/>
      <c r="K839" s="576"/>
      <c r="L839" s="683"/>
      <c r="N839" s="122"/>
      <c r="O839" s="546">
        <v>0.0</v>
      </c>
      <c r="P839" s="545">
        <v>0.0</v>
      </c>
      <c r="Q839" s="546">
        <v>0.0</v>
      </c>
      <c r="R839" s="655"/>
      <c r="S839" s="75"/>
      <c r="T839" s="655"/>
      <c r="U839" s="75"/>
      <c r="V839" s="655"/>
      <c r="W839" s="144"/>
      <c r="X839" s="549"/>
    </row>
    <row r="840">
      <c r="A840" s="538" t="s">
        <v>3511</v>
      </c>
      <c r="D840" s="692"/>
      <c r="E840" s="574"/>
      <c r="F840" s="574"/>
      <c r="G840" s="574"/>
      <c r="H840" s="574"/>
      <c r="I840" s="574"/>
      <c r="J840" s="576"/>
      <c r="K840" s="576"/>
      <c r="L840" s="683"/>
      <c r="N840" s="122"/>
      <c r="O840" s="546">
        <v>0.0</v>
      </c>
      <c r="P840" s="545">
        <v>0.0</v>
      </c>
      <c r="Q840" s="546">
        <v>0.0</v>
      </c>
      <c r="R840" s="655"/>
      <c r="S840" s="75"/>
      <c r="T840" s="655"/>
      <c r="U840" s="75"/>
      <c r="V840" s="655"/>
      <c r="W840" s="144"/>
      <c r="X840" s="549"/>
    </row>
    <row r="841">
      <c r="A841" s="538" t="s">
        <v>3511</v>
      </c>
      <c r="D841" s="692"/>
      <c r="E841" s="574"/>
      <c r="F841" s="574"/>
      <c r="G841" s="574"/>
      <c r="H841" s="574"/>
      <c r="I841" s="574"/>
      <c r="J841" s="576"/>
      <c r="K841" s="576"/>
      <c r="L841" s="683"/>
      <c r="N841" s="122"/>
      <c r="O841" s="546">
        <v>0.0</v>
      </c>
      <c r="P841" s="545">
        <v>0.0</v>
      </c>
      <c r="Q841" s="546">
        <v>0.0</v>
      </c>
      <c r="R841" s="655"/>
      <c r="S841" s="75"/>
      <c r="T841" s="655"/>
      <c r="U841" s="75"/>
      <c r="V841" s="655"/>
      <c r="W841" s="144"/>
      <c r="X841" s="549"/>
    </row>
    <row r="842">
      <c r="A842" s="538" t="s">
        <v>3511</v>
      </c>
      <c r="D842" s="692"/>
      <c r="E842" s="574"/>
      <c r="F842" s="574"/>
      <c r="G842" s="574"/>
      <c r="H842" s="574"/>
      <c r="I842" s="574"/>
      <c r="J842" s="576"/>
      <c r="K842" s="576"/>
      <c r="L842" s="683"/>
      <c r="N842" s="122"/>
      <c r="O842" s="546">
        <v>0.0</v>
      </c>
      <c r="P842" s="545">
        <v>0.0</v>
      </c>
      <c r="Q842" s="546">
        <v>0.0</v>
      </c>
      <c r="R842" s="655"/>
      <c r="S842" s="75"/>
      <c r="T842" s="655"/>
      <c r="U842" s="75"/>
      <c r="V842" s="655"/>
      <c r="W842" s="144"/>
      <c r="X842" s="549"/>
    </row>
    <row r="843">
      <c r="A843" s="538" t="s">
        <v>3511</v>
      </c>
      <c r="D843" s="692"/>
      <c r="E843" s="574"/>
      <c r="F843" s="574"/>
      <c r="G843" s="574"/>
      <c r="H843" s="574"/>
      <c r="I843" s="574"/>
      <c r="J843" s="576"/>
      <c r="K843" s="576"/>
      <c r="L843" s="683"/>
      <c r="N843" s="122"/>
      <c r="O843" s="546">
        <v>0.0</v>
      </c>
      <c r="P843" s="545">
        <v>0.0</v>
      </c>
      <c r="Q843" s="546">
        <v>0.0</v>
      </c>
      <c r="R843" s="655"/>
      <c r="S843" s="75"/>
      <c r="T843" s="655"/>
      <c r="U843" s="75"/>
      <c r="V843" s="655"/>
      <c r="W843" s="144"/>
      <c r="X843" s="549"/>
    </row>
    <row r="844">
      <c r="A844" s="538" t="s">
        <v>3511</v>
      </c>
      <c r="D844" s="692"/>
      <c r="E844" s="574"/>
      <c r="F844" s="574"/>
      <c r="G844" s="574"/>
      <c r="H844" s="574"/>
      <c r="I844" s="574"/>
      <c r="J844" s="576"/>
      <c r="K844" s="576"/>
      <c r="L844" s="683"/>
      <c r="N844" s="122"/>
      <c r="O844" s="546">
        <v>0.0</v>
      </c>
      <c r="P844" s="545">
        <v>0.0</v>
      </c>
      <c r="Q844" s="546">
        <v>0.0</v>
      </c>
      <c r="R844" s="655"/>
      <c r="S844" s="75"/>
      <c r="T844" s="655"/>
      <c r="U844" s="75"/>
      <c r="V844" s="655"/>
      <c r="W844" s="144"/>
      <c r="X844" s="549"/>
    </row>
    <row r="845">
      <c r="A845" s="538" t="s">
        <v>3511</v>
      </c>
      <c r="D845" s="692"/>
      <c r="E845" s="574"/>
      <c r="F845" s="574"/>
      <c r="G845" s="574"/>
      <c r="H845" s="574"/>
      <c r="I845" s="574"/>
      <c r="J845" s="576"/>
      <c r="K845" s="576"/>
      <c r="L845" s="683"/>
      <c r="N845" s="122"/>
      <c r="O845" s="546">
        <v>0.0</v>
      </c>
      <c r="P845" s="545">
        <v>0.0</v>
      </c>
      <c r="Q845" s="546">
        <v>0.0</v>
      </c>
      <c r="R845" s="655"/>
      <c r="S845" s="75"/>
      <c r="T845" s="655"/>
      <c r="U845" s="75"/>
      <c r="V845" s="655"/>
      <c r="W845" s="144"/>
      <c r="X845" s="549"/>
    </row>
    <row r="846">
      <c r="A846" s="538" t="s">
        <v>3511</v>
      </c>
      <c r="D846" s="692"/>
      <c r="E846" s="574"/>
      <c r="F846" s="574"/>
      <c r="G846" s="574"/>
      <c r="H846" s="574"/>
      <c r="I846" s="574"/>
      <c r="J846" s="576"/>
      <c r="K846" s="576"/>
      <c r="L846" s="683"/>
      <c r="N846" s="122"/>
      <c r="O846" s="546">
        <v>0.0</v>
      </c>
      <c r="P846" s="545">
        <v>0.0</v>
      </c>
      <c r="Q846" s="546">
        <v>0.0</v>
      </c>
      <c r="R846" s="655"/>
      <c r="S846" s="75"/>
      <c r="T846" s="655"/>
      <c r="U846" s="75"/>
      <c r="V846" s="655"/>
      <c r="W846" s="144"/>
      <c r="X846" s="549"/>
    </row>
    <row r="847">
      <c r="A847" s="538" t="s">
        <v>3511</v>
      </c>
      <c r="D847" s="692"/>
      <c r="E847" s="574"/>
      <c r="F847" s="574"/>
      <c r="G847" s="574"/>
      <c r="H847" s="574"/>
      <c r="I847" s="574"/>
      <c r="J847" s="576"/>
      <c r="K847" s="576"/>
      <c r="L847" s="683"/>
      <c r="N847" s="122"/>
      <c r="O847" s="546">
        <v>0.0</v>
      </c>
      <c r="P847" s="545">
        <v>0.0</v>
      </c>
      <c r="Q847" s="546">
        <v>0.0</v>
      </c>
      <c r="R847" s="655"/>
      <c r="S847" s="75"/>
      <c r="T847" s="655"/>
      <c r="U847" s="75"/>
      <c r="V847" s="655"/>
      <c r="W847" s="144"/>
      <c r="X847" s="549"/>
    </row>
    <row r="848">
      <c r="A848" s="538" t="s">
        <v>3511</v>
      </c>
      <c r="D848" s="692"/>
      <c r="E848" s="574"/>
      <c r="F848" s="574"/>
      <c r="G848" s="574"/>
      <c r="H848" s="574"/>
      <c r="I848" s="574"/>
      <c r="J848" s="576"/>
      <c r="K848" s="576"/>
      <c r="L848" s="683"/>
      <c r="N848" s="122"/>
      <c r="O848" s="546">
        <v>0.0</v>
      </c>
      <c r="P848" s="545">
        <v>0.0</v>
      </c>
      <c r="Q848" s="546">
        <v>0.0</v>
      </c>
      <c r="R848" s="655"/>
      <c r="S848" s="75"/>
      <c r="T848" s="655"/>
      <c r="U848" s="75"/>
      <c r="V848" s="655"/>
      <c r="W848" s="144"/>
      <c r="X848" s="549"/>
    </row>
    <row r="849">
      <c r="A849" s="538" t="s">
        <v>3511</v>
      </c>
      <c r="D849" s="692"/>
      <c r="E849" s="574"/>
      <c r="F849" s="574"/>
      <c r="G849" s="574"/>
      <c r="H849" s="574"/>
      <c r="I849" s="574"/>
      <c r="J849" s="576"/>
      <c r="K849" s="576"/>
      <c r="L849" s="683"/>
      <c r="N849" s="122"/>
      <c r="O849" s="546">
        <v>0.0</v>
      </c>
      <c r="P849" s="545">
        <v>0.0</v>
      </c>
      <c r="Q849" s="546">
        <v>0.0</v>
      </c>
      <c r="R849" s="655"/>
      <c r="S849" s="75"/>
      <c r="T849" s="655"/>
      <c r="U849" s="75"/>
      <c r="V849" s="655"/>
      <c r="W849" s="144"/>
      <c r="X849" s="549"/>
    </row>
    <row r="850">
      <c r="A850" s="538" t="s">
        <v>3511</v>
      </c>
      <c r="D850" s="692"/>
      <c r="E850" s="574"/>
      <c r="F850" s="574"/>
      <c r="G850" s="574"/>
      <c r="H850" s="574"/>
      <c r="I850" s="574"/>
      <c r="J850" s="576"/>
      <c r="K850" s="576"/>
      <c r="L850" s="683"/>
      <c r="N850" s="122"/>
      <c r="O850" s="546">
        <v>0.0</v>
      </c>
      <c r="P850" s="545">
        <v>0.0</v>
      </c>
      <c r="Q850" s="546">
        <v>0.0</v>
      </c>
      <c r="R850" s="655"/>
      <c r="S850" s="75"/>
      <c r="T850" s="655"/>
      <c r="U850" s="75"/>
      <c r="V850" s="655"/>
      <c r="W850" s="144"/>
      <c r="X850" s="549"/>
    </row>
    <row r="851">
      <c r="A851" s="538" t="s">
        <v>3511</v>
      </c>
      <c r="D851" s="692"/>
      <c r="E851" s="574"/>
      <c r="F851" s="574"/>
      <c r="G851" s="574"/>
      <c r="H851" s="574"/>
      <c r="I851" s="574"/>
      <c r="J851" s="576"/>
      <c r="K851" s="576"/>
      <c r="L851" s="683"/>
      <c r="N851" s="122"/>
      <c r="O851" s="546">
        <v>0.0</v>
      </c>
      <c r="P851" s="545">
        <v>0.0</v>
      </c>
      <c r="Q851" s="546">
        <v>0.0</v>
      </c>
      <c r="R851" s="655"/>
      <c r="S851" s="75"/>
      <c r="T851" s="655"/>
      <c r="U851" s="75"/>
      <c r="V851" s="655"/>
      <c r="W851" s="144"/>
      <c r="X851" s="549"/>
    </row>
    <row r="852">
      <c r="A852" s="538" t="s">
        <v>3511</v>
      </c>
      <c r="D852" s="692"/>
      <c r="E852" s="574"/>
      <c r="F852" s="574"/>
      <c r="G852" s="574"/>
      <c r="H852" s="574"/>
      <c r="I852" s="574"/>
      <c r="J852" s="576"/>
      <c r="K852" s="576"/>
      <c r="L852" s="683"/>
      <c r="N852" s="122"/>
      <c r="O852" s="546">
        <v>0.0</v>
      </c>
      <c r="P852" s="545">
        <v>0.0</v>
      </c>
      <c r="Q852" s="546">
        <v>0.0</v>
      </c>
      <c r="R852" s="655"/>
      <c r="S852" s="75"/>
      <c r="T852" s="655"/>
      <c r="U852" s="75"/>
      <c r="V852" s="655"/>
      <c r="W852" s="144"/>
      <c r="X852" s="549"/>
    </row>
    <row r="853">
      <c r="A853" s="538" t="s">
        <v>3511</v>
      </c>
      <c r="D853" s="692"/>
      <c r="E853" s="574"/>
      <c r="F853" s="574"/>
      <c r="G853" s="574"/>
      <c r="H853" s="574"/>
      <c r="I853" s="574"/>
      <c r="J853" s="576"/>
      <c r="K853" s="576"/>
      <c r="L853" s="683"/>
      <c r="N853" s="122"/>
      <c r="O853" s="546">
        <v>0.0</v>
      </c>
      <c r="P853" s="545">
        <v>0.0</v>
      </c>
      <c r="Q853" s="546">
        <v>0.0</v>
      </c>
      <c r="R853" s="655"/>
      <c r="S853" s="75"/>
      <c r="T853" s="655"/>
      <c r="U853" s="75"/>
      <c r="V853" s="655"/>
      <c r="W853" s="144"/>
      <c r="X853" s="549"/>
    </row>
    <row r="854">
      <c r="A854" s="538" t="s">
        <v>3511</v>
      </c>
      <c r="D854" s="692"/>
      <c r="E854" s="574"/>
      <c r="F854" s="574"/>
      <c r="G854" s="574"/>
      <c r="H854" s="574"/>
      <c r="I854" s="574"/>
      <c r="J854" s="576"/>
      <c r="K854" s="576"/>
      <c r="L854" s="683"/>
      <c r="N854" s="122"/>
      <c r="O854" s="546">
        <v>0.0</v>
      </c>
      <c r="P854" s="545">
        <v>0.0</v>
      </c>
      <c r="Q854" s="546">
        <v>0.0</v>
      </c>
      <c r="R854" s="655"/>
      <c r="S854" s="75"/>
      <c r="T854" s="655"/>
      <c r="U854" s="75"/>
      <c r="V854" s="655"/>
      <c r="W854" s="144"/>
      <c r="X854" s="549"/>
    </row>
    <row r="855">
      <c r="A855" s="538" t="s">
        <v>3511</v>
      </c>
      <c r="D855" s="692"/>
      <c r="E855" s="574"/>
      <c r="F855" s="574"/>
      <c r="G855" s="574"/>
      <c r="H855" s="574"/>
      <c r="I855" s="574"/>
      <c r="J855" s="576"/>
      <c r="K855" s="576"/>
      <c r="L855" s="683"/>
      <c r="N855" s="122"/>
      <c r="O855" s="546">
        <v>0.0</v>
      </c>
      <c r="P855" s="545">
        <v>0.0</v>
      </c>
      <c r="Q855" s="546">
        <v>0.0</v>
      </c>
      <c r="R855" s="655"/>
      <c r="S855" s="75"/>
      <c r="T855" s="655"/>
      <c r="U855" s="75"/>
      <c r="V855" s="655"/>
      <c r="W855" s="144"/>
      <c r="X855" s="549"/>
    </row>
    <row r="856">
      <c r="A856" s="538" t="s">
        <v>3511</v>
      </c>
      <c r="D856" s="692"/>
      <c r="E856" s="574"/>
      <c r="F856" s="574"/>
      <c r="G856" s="574"/>
      <c r="H856" s="574"/>
      <c r="I856" s="574"/>
      <c r="J856" s="576"/>
      <c r="K856" s="576"/>
      <c r="L856" s="683"/>
      <c r="N856" s="122"/>
      <c r="O856" s="546">
        <v>0.0</v>
      </c>
      <c r="P856" s="545">
        <v>0.0</v>
      </c>
      <c r="Q856" s="546">
        <v>0.0</v>
      </c>
      <c r="R856" s="655"/>
      <c r="S856" s="75"/>
      <c r="T856" s="655"/>
      <c r="U856" s="75"/>
      <c r="V856" s="655"/>
      <c r="W856" s="144"/>
      <c r="X856" s="549"/>
    </row>
    <row r="857">
      <c r="A857" s="538" t="s">
        <v>3511</v>
      </c>
      <c r="D857" s="692"/>
      <c r="E857" s="574"/>
      <c r="F857" s="574"/>
      <c r="G857" s="574"/>
      <c r="H857" s="574"/>
      <c r="I857" s="574"/>
      <c r="J857" s="576"/>
      <c r="K857" s="576"/>
      <c r="L857" s="683"/>
      <c r="N857" s="122"/>
      <c r="O857" s="546">
        <v>0.0</v>
      </c>
      <c r="P857" s="545">
        <v>0.0</v>
      </c>
      <c r="Q857" s="546">
        <v>0.0</v>
      </c>
      <c r="R857" s="655"/>
      <c r="S857" s="75"/>
      <c r="T857" s="655"/>
      <c r="U857" s="75"/>
      <c r="V857" s="655"/>
      <c r="W857" s="144"/>
      <c r="X857" s="549"/>
    </row>
    <row r="858">
      <c r="A858" s="538" t="s">
        <v>3511</v>
      </c>
      <c r="D858" s="692"/>
      <c r="E858" s="574"/>
      <c r="F858" s="574"/>
      <c r="G858" s="574"/>
      <c r="H858" s="574"/>
      <c r="I858" s="574"/>
      <c r="J858" s="576"/>
      <c r="K858" s="576"/>
      <c r="L858" s="683"/>
      <c r="N858" s="122"/>
      <c r="O858" s="546">
        <v>0.0</v>
      </c>
      <c r="P858" s="545">
        <v>0.0</v>
      </c>
      <c r="Q858" s="546">
        <v>0.0</v>
      </c>
      <c r="R858" s="655"/>
      <c r="S858" s="75"/>
      <c r="T858" s="655"/>
      <c r="U858" s="75"/>
      <c r="V858" s="655"/>
      <c r="W858" s="144"/>
      <c r="X858" s="549"/>
    </row>
    <row r="859">
      <c r="A859" s="538" t="s">
        <v>3511</v>
      </c>
      <c r="D859" s="692"/>
      <c r="E859" s="574"/>
      <c r="F859" s="574"/>
      <c r="G859" s="574"/>
      <c r="H859" s="574"/>
      <c r="I859" s="574"/>
      <c r="J859" s="576"/>
      <c r="K859" s="576"/>
      <c r="L859" s="683"/>
      <c r="N859" s="122"/>
      <c r="O859" s="546">
        <v>0.0</v>
      </c>
      <c r="P859" s="545">
        <v>0.0</v>
      </c>
      <c r="Q859" s="546">
        <v>0.0</v>
      </c>
      <c r="R859" s="655"/>
      <c r="S859" s="75"/>
      <c r="T859" s="655"/>
      <c r="U859" s="75"/>
      <c r="V859" s="655"/>
      <c r="W859" s="144"/>
      <c r="X859" s="549"/>
    </row>
    <row r="860">
      <c r="A860" s="538" t="s">
        <v>3511</v>
      </c>
      <c r="D860" s="692"/>
      <c r="E860" s="574"/>
      <c r="F860" s="574"/>
      <c r="G860" s="574"/>
      <c r="H860" s="574"/>
      <c r="I860" s="574"/>
      <c r="J860" s="576"/>
      <c r="K860" s="576"/>
      <c r="L860" s="683"/>
      <c r="N860" s="122"/>
      <c r="O860" s="546">
        <v>0.0</v>
      </c>
      <c r="P860" s="545">
        <v>0.0</v>
      </c>
      <c r="Q860" s="546">
        <v>0.0</v>
      </c>
      <c r="R860" s="655"/>
      <c r="S860" s="75"/>
      <c r="T860" s="655"/>
      <c r="U860" s="75"/>
      <c r="V860" s="655"/>
      <c r="W860" s="144"/>
      <c r="X860" s="549"/>
    </row>
    <row r="861">
      <c r="A861" s="538" t="s">
        <v>3511</v>
      </c>
      <c r="D861" s="692"/>
      <c r="E861" s="574"/>
      <c r="F861" s="574"/>
      <c r="G861" s="574"/>
      <c r="H861" s="574"/>
      <c r="I861" s="574"/>
      <c r="J861" s="576"/>
      <c r="K861" s="576"/>
      <c r="L861" s="683"/>
      <c r="N861" s="122"/>
      <c r="O861" s="546">
        <v>0.0</v>
      </c>
      <c r="P861" s="545">
        <v>0.0</v>
      </c>
      <c r="Q861" s="546">
        <v>0.0</v>
      </c>
      <c r="R861" s="655"/>
      <c r="S861" s="75"/>
      <c r="T861" s="655"/>
      <c r="U861" s="75"/>
      <c r="V861" s="655"/>
      <c r="W861" s="144"/>
      <c r="X861" s="549"/>
    </row>
    <row r="862">
      <c r="A862" s="538" t="s">
        <v>3511</v>
      </c>
      <c r="D862" s="692"/>
      <c r="E862" s="574"/>
      <c r="F862" s="574"/>
      <c r="G862" s="574"/>
      <c r="H862" s="574"/>
      <c r="I862" s="574"/>
      <c r="J862" s="576"/>
      <c r="K862" s="576"/>
      <c r="L862" s="683"/>
      <c r="N862" s="122"/>
      <c r="O862" s="546">
        <v>0.0</v>
      </c>
      <c r="P862" s="545">
        <v>0.0</v>
      </c>
      <c r="Q862" s="546">
        <v>0.0</v>
      </c>
      <c r="R862" s="655"/>
      <c r="S862" s="75"/>
      <c r="T862" s="655"/>
      <c r="U862" s="75"/>
      <c r="V862" s="655"/>
      <c r="W862" s="144"/>
      <c r="X862" s="549"/>
    </row>
    <row r="863">
      <c r="A863" s="538" t="s">
        <v>3511</v>
      </c>
      <c r="D863" s="692"/>
      <c r="E863" s="574"/>
      <c r="F863" s="574"/>
      <c r="G863" s="574"/>
      <c r="H863" s="574"/>
      <c r="I863" s="574"/>
      <c r="J863" s="576"/>
      <c r="K863" s="576"/>
      <c r="L863" s="683"/>
      <c r="N863" s="122"/>
      <c r="O863" s="546">
        <v>0.0</v>
      </c>
      <c r="P863" s="545">
        <v>0.0</v>
      </c>
      <c r="Q863" s="546">
        <v>0.0</v>
      </c>
      <c r="R863" s="655"/>
      <c r="S863" s="75"/>
      <c r="T863" s="655"/>
      <c r="U863" s="75"/>
      <c r="V863" s="655"/>
      <c r="W863" s="144"/>
      <c r="X863" s="549"/>
    </row>
    <row r="864">
      <c r="A864" s="538" t="s">
        <v>3511</v>
      </c>
      <c r="D864" s="692"/>
      <c r="E864" s="574"/>
      <c r="F864" s="574"/>
      <c r="G864" s="574"/>
      <c r="H864" s="574"/>
      <c r="I864" s="574"/>
      <c r="J864" s="576"/>
      <c r="K864" s="576"/>
      <c r="L864" s="683"/>
      <c r="N864" s="122"/>
      <c r="O864" s="546">
        <v>0.0</v>
      </c>
      <c r="P864" s="545">
        <v>0.0</v>
      </c>
      <c r="Q864" s="546">
        <v>0.0</v>
      </c>
      <c r="R864" s="655"/>
      <c r="S864" s="75"/>
      <c r="T864" s="655"/>
      <c r="U864" s="75"/>
      <c r="V864" s="655"/>
      <c r="W864" s="144"/>
      <c r="X864" s="549"/>
    </row>
    <row r="865">
      <c r="A865" s="538" t="s">
        <v>3511</v>
      </c>
      <c r="D865" s="692"/>
      <c r="E865" s="574"/>
      <c r="F865" s="574"/>
      <c r="G865" s="574"/>
      <c r="H865" s="574"/>
      <c r="I865" s="574"/>
      <c r="J865" s="576"/>
      <c r="K865" s="576"/>
      <c r="L865" s="683"/>
      <c r="N865" s="122"/>
      <c r="O865" s="546">
        <v>0.0</v>
      </c>
      <c r="P865" s="545">
        <v>0.0</v>
      </c>
      <c r="Q865" s="546">
        <v>0.0</v>
      </c>
      <c r="R865" s="655"/>
      <c r="S865" s="75"/>
      <c r="T865" s="655"/>
      <c r="U865" s="75"/>
      <c r="V865" s="655"/>
      <c r="W865" s="144"/>
      <c r="X865" s="549"/>
    </row>
    <row r="866">
      <c r="A866" s="538" t="s">
        <v>3511</v>
      </c>
      <c r="D866" s="692"/>
      <c r="E866" s="574"/>
      <c r="F866" s="574"/>
      <c r="G866" s="574"/>
      <c r="H866" s="574"/>
      <c r="I866" s="574"/>
      <c r="J866" s="576"/>
      <c r="K866" s="576"/>
      <c r="L866" s="683"/>
      <c r="N866" s="122"/>
      <c r="O866" s="546">
        <v>0.0</v>
      </c>
      <c r="P866" s="545">
        <v>0.0</v>
      </c>
      <c r="Q866" s="546">
        <v>0.0</v>
      </c>
      <c r="R866" s="655"/>
      <c r="S866" s="75"/>
      <c r="T866" s="655"/>
      <c r="U866" s="75"/>
      <c r="V866" s="655"/>
      <c r="W866" s="144"/>
      <c r="X866" s="549"/>
    </row>
    <row r="867">
      <c r="A867" s="538" t="s">
        <v>3511</v>
      </c>
      <c r="D867" s="692"/>
      <c r="E867" s="574"/>
      <c r="F867" s="574"/>
      <c r="G867" s="574"/>
      <c r="H867" s="574"/>
      <c r="I867" s="574"/>
      <c r="J867" s="576"/>
      <c r="K867" s="576"/>
      <c r="L867" s="683"/>
      <c r="N867" s="122"/>
      <c r="O867" s="546">
        <v>0.0</v>
      </c>
      <c r="P867" s="545">
        <v>0.0</v>
      </c>
      <c r="Q867" s="546">
        <v>0.0</v>
      </c>
      <c r="R867" s="655"/>
      <c r="S867" s="75"/>
      <c r="T867" s="655"/>
      <c r="U867" s="75"/>
      <c r="V867" s="655"/>
      <c r="W867" s="144"/>
      <c r="X867" s="549"/>
    </row>
    <row r="868">
      <c r="A868" s="538" t="s">
        <v>3511</v>
      </c>
      <c r="D868" s="692"/>
      <c r="E868" s="574"/>
      <c r="F868" s="574"/>
      <c r="G868" s="574"/>
      <c r="H868" s="574"/>
      <c r="I868" s="574"/>
      <c r="J868" s="576"/>
      <c r="K868" s="576"/>
      <c r="L868" s="683"/>
      <c r="N868" s="122"/>
      <c r="O868" s="546">
        <v>0.0</v>
      </c>
      <c r="P868" s="545">
        <v>0.0</v>
      </c>
      <c r="Q868" s="546">
        <v>0.0</v>
      </c>
      <c r="R868" s="655"/>
      <c r="S868" s="75"/>
      <c r="T868" s="655"/>
      <c r="U868" s="75"/>
      <c r="V868" s="655"/>
      <c r="W868" s="144"/>
      <c r="X868" s="549"/>
    </row>
    <row r="869">
      <c r="A869" s="538" t="s">
        <v>3511</v>
      </c>
      <c r="D869" s="692"/>
      <c r="E869" s="574"/>
      <c r="F869" s="574"/>
      <c r="G869" s="574"/>
      <c r="H869" s="574"/>
      <c r="I869" s="574"/>
      <c r="J869" s="576"/>
      <c r="K869" s="576"/>
      <c r="L869" s="683"/>
      <c r="N869" s="122"/>
      <c r="O869" s="546">
        <v>0.0</v>
      </c>
      <c r="P869" s="545">
        <v>0.0</v>
      </c>
      <c r="Q869" s="546">
        <v>0.0</v>
      </c>
      <c r="R869" s="655"/>
      <c r="S869" s="75"/>
      <c r="T869" s="655"/>
      <c r="U869" s="75"/>
      <c r="V869" s="655"/>
      <c r="W869" s="144"/>
      <c r="X869" s="549"/>
    </row>
    <row r="870">
      <c r="A870" s="538" t="s">
        <v>3511</v>
      </c>
      <c r="D870" s="692"/>
      <c r="E870" s="574"/>
      <c r="F870" s="574"/>
      <c r="G870" s="574"/>
      <c r="H870" s="574"/>
      <c r="I870" s="574"/>
      <c r="J870" s="576"/>
      <c r="K870" s="576"/>
      <c r="L870" s="683"/>
      <c r="N870" s="122"/>
      <c r="O870" s="546">
        <v>0.0</v>
      </c>
      <c r="P870" s="545">
        <v>0.0</v>
      </c>
      <c r="Q870" s="546">
        <v>0.0</v>
      </c>
      <c r="R870" s="655"/>
      <c r="S870" s="75"/>
      <c r="T870" s="655"/>
      <c r="U870" s="75"/>
      <c r="V870" s="655"/>
      <c r="W870" s="144"/>
      <c r="X870" s="549"/>
    </row>
    <row r="871">
      <c r="A871" s="538" t="s">
        <v>3511</v>
      </c>
      <c r="D871" s="692"/>
      <c r="E871" s="574"/>
      <c r="F871" s="574"/>
      <c r="G871" s="574"/>
      <c r="H871" s="574"/>
      <c r="I871" s="574"/>
      <c r="J871" s="576"/>
      <c r="K871" s="576"/>
      <c r="L871" s="683"/>
      <c r="N871" s="122"/>
      <c r="O871" s="546">
        <v>0.0</v>
      </c>
      <c r="P871" s="545">
        <v>0.0</v>
      </c>
      <c r="Q871" s="546">
        <v>0.0</v>
      </c>
      <c r="R871" s="655"/>
      <c r="S871" s="75"/>
      <c r="T871" s="655"/>
      <c r="U871" s="75"/>
      <c r="V871" s="655"/>
      <c r="W871" s="144"/>
      <c r="X871" s="549"/>
    </row>
    <row r="872">
      <c r="A872" s="538" t="s">
        <v>3511</v>
      </c>
      <c r="D872" s="692"/>
      <c r="E872" s="574"/>
      <c r="F872" s="574"/>
      <c r="G872" s="574"/>
      <c r="H872" s="574"/>
      <c r="I872" s="574"/>
      <c r="J872" s="576"/>
      <c r="K872" s="576"/>
      <c r="L872" s="683"/>
      <c r="N872" s="122"/>
      <c r="O872" s="546">
        <v>0.0</v>
      </c>
      <c r="P872" s="545">
        <v>0.0</v>
      </c>
      <c r="Q872" s="546">
        <v>0.0</v>
      </c>
      <c r="R872" s="655"/>
      <c r="S872" s="75"/>
      <c r="T872" s="655"/>
      <c r="U872" s="75"/>
      <c r="V872" s="655"/>
      <c r="W872" s="144"/>
      <c r="X872" s="549"/>
    </row>
    <row r="873">
      <c r="A873" s="538" t="s">
        <v>3511</v>
      </c>
      <c r="D873" s="692"/>
      <c r="E873" s="574"/>
      <c r="F873" s="574"/>
      <c r="G873" s="574"/>
      <c r="H873" s="574"/>
      <c r="I873" s="574"/>
      <c r="J873" s="576"/>
      <c r="K873" s="576"/>
      <c r="L873" s="683"/>
      <c r="N873" s="122"/>
      <c r="O873" s="546">
        <v>0.0</v>
      </c>
      <c r="P873" s="545">
        <v>0.0</v>
      </c>
      <c r="Q873" s="546">
        <v>0.0</v>
      </c>
      <c r="R873" s="655"/>
      <c r="S873" s="75"/>
      <c r="T873" s="655"/>
      <c r="U873" s="75"/>
      <c r="V873" s="655"/>
      <c r="W873" s="144"/>
      <c r="X873" s="549"/>
    </row>
    <row r="874">
      <c r="A874" s="538" t="s">
        <v>3511</v>
      </c>
      <c r="D874" s="692"/>
      <c r="E874" s="574"/>
      <c r="F874" s="574"/>
      <c r="G874" s="574"/>
      <c r="H874" s="574"/>
      <c r="I874" s="574"/>
      <c r="J874" s="576"/>
      <c r="K874" s="576"/>
      <c r="L874" s="683"/>
      <c r="N874" s="122"/>
      <c r="O874" s="546">
        <v>0.0</v>
      </c>
      <c r="P874" s="545">
        <v>0.0</v>
      </c>
      <c r="Q874" s="546">
        <v>0.0</v>
      </c>
      <c r="R874" s="655"/>
      <c r="S874" s="75"/>
      <c r="T874" s="655"/>
      <c r="U874" s="75"/>
      <c r="V874" s="655"/>
      <c r="W874" s="144"/>
      <c r="X874" s="549"/>
    </row>
    <row r="875">
      <c r="A875" s="538" t="s">
        <v>3511</v>
      </c>
      <c r="D875" s="692"/>
      <c r="E875" s="574"/>
      <c r="F875" s="574"/>
      <c r="G875" s="574"/>
      <c r="H875" s="574"/>
      <c r="I875" s="574"/>
      <c r="J875" s="576"/>
      <c r="K875" s="576"/>
      <c r="L875" s="683"/>
      <c r="N875" s="122"/>
      <c r="O875" s="546">
        <v>0.0</v>
      </c>
      <c r="P875" s="545">
        <v>0.0</v>
      </c>
      <c r="Q875" s="546">
        <v>0.0</v>
      </c>
      <c r="R875" s="655"/>
      <c r="S875" s="75"/>
      <c r="T875" s="655"/>
      <c r="U875" s="75"/>
      <c r="V875" s="655"/>
      <c r="W875" s="144"/>
      <c r="X875" s="549"/>
    </row>
    <row r="876">
      <c r="A876" s="538" t="s">
        <v>3511</v>
      </c>
      <c r="D876" s="692"/>
      <c r="E876" s="574"/>
      <c r="F876" s="574"/>
      <c r="G876" s="574"/>
      <c r="H876" s="574"/>
      <c r="I876" s="574"/>
      <c r="J876" s="576"/>
      <c r="K876" s="576"/>
      <c r="L876" s="683"/>
      <c r="N876" s="122"/>
      <c r="O876" s="546">
        <v>0.0</v>
      </c>
      <c r="P876" s="545">
        <v>0.0</v>
      </c>
      <c r="Q876" s="546">
        <v>0.0</v>
      </c>
      <c r="R876" s="655"/>
      <c r="S876" s="75"/>
      <c r="T876" s="655"/>
      <c r="U876" s="75"/>
      <c r="V876" s="655"/>
      <c r="W876" s="144"/>
      <c r="X876" s="549"/>
    </row>
    <row r="877">
      <c r="A877" s="538" t="s">
        <v>3511</v>
      </c>
      <c r="D877" s="692"/>
      <c r="E877" s="574"/>
      <c r="F877" s="574"/>
      <c r="G877" s="574"/>
      <c r="H877" s="574"/>
      <c r="I877" s="574"/>
      <c r="J877" s="576"/>
      <c r="K877" s="576"/>
      <c r="L877" s="683"/>
      <c r="N877" s="122"/>
      <c r="O877" s="546">
        <v>0.0</v>
      </c>
      <c r="P877" s="545">
        <v>0.0</v>
      </c>
      <c r="Q877" s="546">
        <v>0.0</v>
      </c>
      <c r="R877" s="655"/>
      <c r="S877" s="75"/>
      <c r="T877" s="655"/>
      <c r="U877" s="75"/>
      <c r="V877" s="655"/>
      <c r="W877" s="144"/>
      <c r="X877" s="549"/>
    </row>
    <row r="878">
      <c r="A878" s="538" t="s">
        <v>3511</v>
      </c>
      <c r="D878" s="692"/>
      <c r="E878" s="574"/>
      <c r="F878" s="574"/>
      <c r="G878" s="574"/>
      <c r="H878" s="574"/>
      <c r="I878" s="574"/>
      <c r="J878" s="576"/>
      <c r="K878" s="576"/>
      <c r="L878" s="683"/>
      <c r="N878" s="122"/>
      <c r="O878" s="546">
        <v>0.0</v>
      </c>
      <c r="P878" s="545">
        <v>0.0</v>
      </c>
      <c r="Q878" s="546">
        <v>0.0</v>
      </c>
      <c r="R878" s="655"/>
      <c r="S878" s="75"/>
      <c r="T878" s="655"/>
      <c r="U878" s="75"/>
      <c r="V878" s="655"/>
      <c r="W878" s="144"/>
      <c r="X878" s="549"/>
    </row>
    <row r="879">
      <c r="A879" s="538" t="s">
        <v>3511</v>
      </c>
      <c r="D879" s="692"/>
      <c r="E879" s="574"/>
      <c r="F879" s="574"/>
      <c r="G879" s="574"/>
      <c r="H879" s="574"/>
      <c r="I879" s="574"/>
      <c r="J879" s="576"/>
      <c r="K879" s="576"/>
      <c r="L879" s="683"/>
      <c r="N879" s="122"/>
      <c r="O879" s="546">
        <v>0.0</v>
      </c>
      <c r="P879" s="545">
        <v>0.0</v>
      </c>
      <c r="Q879" s="546">
        <v>0.0</v>
      </c>
      <c r="R879" s="655"/>
      <c r="S879" s="75"/>
      <c r="T879" s="655"/>
      <c r="U879" s="75"/>
      <c r="V879" s="655"/>
      <c r="W879" s="144"/>
      <c r="X879" s="549"/>
    </row>
    <row r="880">
      <c r="A880" s="538" t="s">
        <v>3511</v>
      </c>
      <c r="D880" s="692"/>
      <c r="E880" s="574"/>
      <c r="F880" s="574"/>
      <c r="G880" s="574"/>
      <c r="H880" s="574"/>
      <c r="I880" s="574"/>
      <c r="J880" s="576"/>
      <c r="K880" s="576"/>
      <c r="L880" s="683"/>
      <c r="N880" s="122"/>
      <c r="O880" s="546">
        <v>0.0</v>
      </c>
      <c r="P880" s="545">
        <v>0.0</v>
      </c>
      <c r="Q880" s="546">
        <v>0.0</v>
      </c>
      <c r="R880" s="655"/>
      <c r="S880" s="75"/>
      <c r="T880" s="655"/>
      <c r="U880" s="75"/>
      <c r="V880" s="655"/>
      <c r="W880" s="144"/>
      <c r="X880" s="549"/>
    </row>
    <row r="881">
      <c r="A881" s="538" t="s">
        <v>3511</v>
      </c>
      <c r="D881" s="692"/>
      <c r="E881" s="574"/>
      <c r="F881" s="574"/>
      <c r="G881" s="574"/>
      <c r="H881" s="574"/>
      <c r="I881" s="574"/>
      <c r="J881" s="576"/>
      <c r="K881" s="576"/>
      <c r="L881" s="683"/>
      <c r="N881" s="122"/>
      <c r="O881" s="546">
        <v>0.0</v>
      </c>
      <c r="P881" s="545">
        <v>0.0</v>
      </c>
      <c r="Q881" s="546">
        <v>0.0</v>
      </c>
      <c r="R881" s="655"/>
      <c r="S881" s="75"/>
      <c r="T881" s="655"/>
      <c r="U881" s="75"/>
      <c r="V881" s="655"/>
      <c r="W881" s="144"/>
      <c r="X881" s="549"/>
    </row>
    <row r="882">
      <c r="A882" s="538" t="s">
        <v>3511</v>
      </c>
      <c r="D882" s="692"/>
      <c r="E882" s="574"/>
      <c r="F882" s="574"/>
      <c r="G882" s="574"/>
      <c r="H882" s="574"/>
      <c r="I882" s="574"/>
      <c r="J882" s="576"/>
      <c r="K882" s="576"/>
      <c r="L882" s="683"/>
      <c r="N882" s="122"/>
      <c r="O882" s="546">
        <v>0.0</v>
      </c>
      <c r="P882" s="545">
        <v>0.0</v>
      </c>
      <c r="Q882" s="546">
        <v>0.0</v>
      </c>
      <c r="R882" s="655"/>
      <c r="S882" s="75"/>
      <c r="T882" s="655"/>
      <c r="U882" s="75"/>
      <c r="V882" s="655"/>
      <c r="W882" s="144"/>
      <c r="X882" s="549"/>
    </row>
    <row r="883">
      <c r="A883" s="538" t="s">
        <v>3511</v>
      </c>
      <c r="D883" s="692"/>
      <c r="E883" s="574"/>
      <c r="F883" s="574"/>
      <c r="G883" s="574"/>
      <c r="H883" s="574"/>
      <c r="I883" s="574"/>
      <c r="J883" s="576"/>
      <c r="K883" s="576"/>
      <c r="L883" s="683"/>
      <c r="N883" s="122"/>
      <c r="O883" s="546">
        <v>0.0</v>
      </c>
      <c r="P883" s="545">
        <v>0.0</v>
      </c>
      <c r="Q883" s="546">
        <v>0.0</v>
      </c>
      <c r="R883" s="655"/>
      <c r="S883" s="75"/>
      <c r="T883" s="655"/>
      <c r="U883" s="75"/>
      <c r="V883" s="655"/>
      <c r="W883" s="144"/>
      <c r="X883" s="549"/>
    </row>
    <row r="884">
      <c r="A884" s="538" t="s">
        <v>3511</v>
      </c>
      <c r="D884" s="692"/>
      <c r="E884" s="574"/>
      <c r="F884" s="574"/>
      <c r="G884" s="574"/>
      <c r="H884" s="574"/>
      <c r="I884" s="574"/>
      <c r="J884" s="576"/>
      <c r="K884" s="576"/>
      <c r="L884" s="683"/>
      <c r="N884" s="122"/>
      <c r="O884" s="546">
        <v>0.0</v>
      </c>
      <c r="P884" s="545">
        <v>0.0</v>
      </c>
      <c r="Q884" s="546">
        <v>0.0</v>
      </c>
      <c r="R884" s="655"/>
      <c r="S884" s="75"/>
      <c r="T884" s="655"/>
      <c r="U884" s="75"/>
      <c r="V884" s="655"/>
      <c r="W884" s="144"/>
      <c r="X884" s="549"/>
    </row>
    <row r="885">
      <c r="A885" s="538" t="s">
        <v>3511</v>
      </c>
      <c r="D885" s="692"/>
      <c r="E885" s="574"/>
      <c r="F885" s="574"/>
      <c r="G885" s="574"/>
      <c r="H885" s="574"/>
      <c r="I885" s="574"/>
      <c r="J885" s="576"/>
      <c r="K885" s="576"/>
      <c r="L885" s="683"/>
      <c r="N885" s="122"/>
      <c r="O885" s="546">
        <v>0.0</v>
      </c>
      <c r="P885" s="545">
        <v>0.0</v>
      </c>
      <c r="Q885" s="546">
        <v>0.0</v>
      </c>
      <c r="R885" s="655"/>
      <c r="S885" s="75"/>
      <c r="T885" s="655"/>
      <c r="U885" s="75"/>
      <c r="V885" s="655"/>
      <c r="W885" s="144"/>
      <c r="X885" s="549"/>
    </row>
    <row r="886">
      <c r="A886" s="538" t="s">
        <v>3511</v>
      </c>
      <c r="D886" s="692"/>
      <c r="E886" s="574"/>
      <c r="F886" s="574"/>
      <c r="G886" s="574"/>
      <c r="H886" s="574"/>
      <c r="I886" s="574"/>
      <c r="J886" s="576"/>
      <c r="K886" s="576"/>
      <c r="L886" s="683"/>
      <c r="N886" s="122"/>
      <c r="O886" s="546">
        <v>0.0</v>
      </c>
      <c r="P886" s="545">
        <v>0.0</v>
      </c>
      <c r="Q886" s="546">
        <v>0.0</v>
      </c>
      <c r="R886" s="655"/>
      <c r="S886" s="75"/>
      <c r="T886" s="655"/>
      <c r="U886" s="75"/>
      <c r="V886" s="655"/>
      <c r="W886" s="144"/>
      <c r="X886" s="549"/>
    </row>
    <row r="887">
      <c r="A887" s="538" t="s">
        <v>3511</v>
      </c>
      <c r="D887" s="692"/>
      <c r="E887" s="574"/>
      <c r="F887" s="574"/>
      <c r="G887" s="574"/>
      <c r="H887" s="574"/>
      <c r="I887" s="574"/>
      <c r="J887" s="576"/>
      <c r="K887" s="576"/>
      <c r="L887" s="683"/>
      <c r="N887" s="122"/>
      <c r="O887" s="546">
        <v>0.0</v>
      </c>
      <c r="P887" s="545">
        <v>0.0</v>
      </c>
      <c r="Q887" s="546">
        <v>0.0</v>
      </c>
      <c r="R887" s="655"/>
      <c r="S887" s="75"/>
      <c r="T887" s="655"/>
      <c r="U887" s="75"/>
      <c r="V887" s="655"/>
      <c r="W887" s="144"/>
      <c r="X887" s="549"/>
    </row>
    <row r="888">
      <c r="A888" s="538" t="s">
        <v>3511</v>
      </c>
      <c r="D888" s="692"/>
      <c r="E888" s="574"/>
      <c r="F888" s="574"/>
      <c r="G888" s="574"/>
      <c r="H888" s="574"/>
      <c r="I888" s="574"/>
      <c r="J888" s="576"/>
      <c r="K888" s="576"/>
      <c r="L888" s="683"/>
      <c r="N888" s="122"/>
      <c r="O888" s="546">
        <v>0.0</v>
      </c>
      <c r="P888" s="545">
        <v>0.0</v>
      </c>
      <c r="Q888" s="546">
        <v>0.0</v>
      </c>
      <c r="R888" s="655"/>
      <c r="S888" s="75"/>
      <c r="T888" s="655"/>
      <c r="U888" s="75"/>
      <c r="V888" s="655"/>
      <c r="W888" s="144"/>
      <c r="X888" s="549"/>
    </row>
    <row r="889">
      <c r="A889" s="538" t="s">
        <v>3511</v>
      </c>
      <c r="D889" s="692"/>
      <c r="E889" s="574"/>
      <c r="F889" s="574"/>
      <c r="G889" s="574"/>
      <c r="H889" s="574"/>
      <c r="I889" s="574"/>
      <c r="J889" s="576"/>
      <c r="K889" s="576"/>
      <c r="L889" s="683"/>
      <c r="N889" s="122"/>
      <c r="O889" s="546">
        <v>0.0</v>
      </c>
      <c r="P889" s="545">
        <v>0.0</v>
      </c>
      <c r="Q889" s="546">
        <v>0.0</v>
      </c>
      <c r="R889" s="655"/>
      <c r="S889" s="75"/>
      <c r="T889" s="655"/>
      <c r="U889" s="75"/>
      <c r="V889" s="655"/>
      <c r="W889" s="144"/>
      <c r="X889" s="549"/>
    </row>
    <row r="890">
      <c r="A890" s="538" t="s">
        <v>3511</v>
      </c>
      <c r="D890" s="692"/>
      <c r="E890" s="574"/>
      <c r="F890" s="574"/>
      <c r="G890" s="574"/>
      <c r="H890" s="574"/>
      <c r="I890" s="574"/>
      <c r="J890" s="576"/>
      <c r="K890" s="576"/>
      <c r="L890" s="683"/>
      <c r="N890" s="122"/>
      <c r="O890" s="546">
        <v>0.0</v>
      </c>
      <c r="P890" s="545">
        <v>0.0</v>
      </c>
      <c r="Q890" s="546">
        <v>0.0</v>
      </c>
      <c r="R890" s="655"/>
      <c r="S890" s="75"/>
      <c r="T890" s="655"/>
      <c r="U890" s="75"/>
      <c r="V890" s="655"/>
      <c r="W890" s="144"/>
      <c r="X890" s="549"/>
    </row>
    <row r="891">
      <c r="A891" s="538" t="s">
        <v>3511</v>
      </c>
      <c r="D891" s="692"/>
      <c r="E891" s="574"/>
      <c r="F891" s="574"/>
      <c r="G891" s="574"/>
      <c r="H891" s="574"/>
      <c r="I891" s="574"/>
      <c r="J891" s="576"/>
      <c r="K891" s="576"/>
      <c r="L891" s="683"/>
      <c r="N891" s="122"/>
      <c r="O891" s="546">
        <v>0.0</v>
      </c>
      <c r="P891" s="545">
        <v>0.0</v>
      </c>
      <c r="Q891" s="546">
        <v>0.0</v>
      </c>
      <c r="R891" s="655"/>
      <c r="S891" s="75"/>
      <c r="T891" s="655"/>
      <c r="U891" s="75"/>
      <c r="V891" s="655"/>
      <c r="W891" s="144"/>
      <c r="X891" s="549"/>
    </row>
    <row r="892">
      <c r="A892" s="538" t="s">
        <v>3511</v>
      </c>
      <c r="D892" s="692"/>
      <c r="E892" s="574"/>
      <c r="F892" s="574"/>
      <c r="G892" s="574"/>
      <c r="H892" s="574"/>
      <c r="I892" s="574"/>
      <c r="J892" s="576"/>
      <c r="K892" s="576"/>
      <c r="L892" s="683"/>
      <c r="N892" s="122"/>
      <c r="O892" s="546">
        <v>0.0</v>
      </c>
      <c r="P892" s="545">
        <v>0.0</v>
      </c>
      <c r="Q892" s="546">
        <v>0.0</v>
      </c>
      <c r="R892" s="655"/>
      <c r="S892" s="75"/>
      <c r="T892" s="655"/>
      <c r="U892" s="75"/>
      <c r="V892" s="655"/>
      <c r="W892" s="144"/>
      <c r="X892" s="549"/>
    </row>
    <row r="893">
      <c r="A893" s="538" t="s">
        <v>3511</v>
      </c>
      <c r="D893" s="692"/>
      <c r="E893" s="574"/>
      <c r="F893" s="574"/>
      <c r="G893" s="574"/>
      <c r="H893" s="574"/>
      <c r="I893" s="574"/>
      <c r="J893" s="576"/>
      <c r="K893" s="576"/>
      <c r="L893" s="683"/>
      <c r="N893" s="122"/>
      <c r="O893" s="546">
        <v>0.0</v>
      </c>
      <c r="P893" s="545">
        <v>0.0</v>
      </c>
      <c r="Q893" s="546">
        <v>0.0</v>
      </c>
      <c r="R893" s="655"/>
      <c r="S893" s="75"/>
      <c r="T893" s="655"/>
      <c r="U893" s="75"/>
      <c r="V893" s="655"/>
      <c r="W893" s="144"/>
      <c r="X893" s="549"/>
    </row>
    <row r="894">
      <c r="A894" s="538" t="s">
        <v>3511</v>
      </c>
      <c r="D894" s="692"/>
      <c r="E894" s="574"/>
      <c r="F894" s="574"/>
      <c r="G894" s="574"/>
      <c r="H894" s="574"/>
      <c r="I894" s="574"/>
      <c r="J894" s="576"/>
      <c r="K894" s="576"/>
      <c r="L894" s="683"/>
      <c r="N894" s="122"/>
      <c r="O894" s="546">
        <v>0.0</v>
      </c>
      <c r="P894" s="545">
        <v>0.0</v>
      </c>
      <c r="Q894" s="546">
        <v>0.0</v>
      </c>
      <c r="R894" s="655"/>
      <c r="S894" s="75"/>
      <c r="T894" s="655"/>
      <c r="U894" s="75"/>
      <c r="V894" s="655"/>
      <c r="W894" s="144"/>
      <c r="X894" s="549"/>
    </row>
    <row r="895">
      <c r="A895" s="538" t="s">
        <v>3511</v>
      </c>
      <c r="D895" s="692"/>
      <c r="E895" s="574"/>
      <c r="F895" s="574"/>
      <c r="G895" s="574"/>
      <c r="H895" s="574"/>
      <c r="I895" s="574"/>
      <c r="J895" s="576"/>
      <c r="K895" s="576"/>
      <c r="L895" s="683"/>
      <c r="N895" s="122"/>
      <c r="O895" s="546">
        <v>0.0</v>
      </c>
      <c r="P895" s="545">
        <v>0.0</v>
      </c>
      <c r="Q895" s="546">
        <v>0.0</v>
      </c>
      <c r="R895" s="655"/>
      <c r="S895" s="75"/>
      <c r="T895" s="655"/>
      <c r="U895" s="75"/>
      <c r="V895" s="655"/>
      <c r="W895" s="144"/>
      <c r="X895" s="549"/>
    </row>
    <row r="896">
      <c r="A896" s="538" t="s">
        <v>3511</v>
      </c>
      <c r="D896" s="692"/>
      <c r="E896" s="574"/>
      <c r="F896" s="574"/>
      <c r="G896" s="574"/>
      <c r="H896" s="574"/>
      <c r="I896" s="574"/>
      <c r="J896" s="576"/>
      <c r="K896" s="576"/>
      <c r="L896" s="683"/>
      <c r="N896" s="122"/>
      <c r="O896" s="546">
        <v>0.0</v>
      </c>
      <c r="P896" s="545">
        <v>0.0</v>
      </c>
      <c r="Q896" s="546">
        <v>0.0</v>
      </c>
      <c r="R896" s="655"/>
      <c r="S896" s="75"/>
      <c r="T896" s="655"/>
      <c r="U896" s="75"/>
      <c r="V896" s="655"/>
      <c r="W896" s="144"/>
      <c r="X896" s="549"/>
    </row>
    <row r="897">
      <c r="A897" s="538" t="s">
        <v>3511</v>
      </c>
      <c r="D897" s="692"/>
      <c r="E897" s="574"/>
      <c r="F897" s="574"/>
      <c r="G897" s="574"/>
      <c r="H897" s="574"/>
      <c r="I897" s="574"/>
      <c r="J897" s="576"/>
      <c r="K897" s="576"/>
      <c r="L897" s="683"/>
      <c r="N897" s="122"/>
      <c r="O897" s="546">
        <v>0.0</v>
      </c>
      <c r="P897" s="545">
        <v>0.0</v>
      </c>
      <c r="Q897" s="546">
        <v>0.0</v>
      </c>
      <c r="R897" s="655"/>
      <c r="S897" s="75"/>
      <c r="T897" s="655"/>
      <c r="U897" s="75"/>
      <c r="V897" s="655"/>
      <c r="W897" s="144"/>
      <c r="X897" s="549"/>
    </row>
    <row r="898">
      <c r="A898" s="538" t="s">
        <v>3511</v>
      </c>
      <c r="D898" s="692"/>
      <c r="E898" s="574"/>
      <c r="F898" s="574"/>
      <c r="G898" s="574"/>
      <c r="H898" s="574"/>
      <c r="I898" s="574"/>
      <c r="J898" s="576"/>
      <c r="K898" s="576"/>
      <c r="L898" s="683"/>
      <c r="N898" s="122"/>
      <c r="O898" s="546">
        <v>0.0</v>
      </c>
      <c r="P898" s="545">
        <v>0.0</v>
      </c>
      <c r="Q898" s="546">
        <v>0.0</v>
      </c>
      <c r="R898" s="655"/>
      <c r="S898" s="75"/>
      <c r="T898" s="655"/>
      <c r="U898" s="75"/>
      <c r="V898" s="655"/>
      <c r="W898" s="144"/>
      <c r="X898" s="549"/>
    </row>
    <row r="899">
      <c r="A899" s="538" t="s">
        <v>3511</v>
      </c>
      <c r="D899" s="692"/>
      <c r="E899" s="574"/>
      <c r="F899" s="574"/>
      <c r="G899" s="574"/>
      <c r="H899" s="574"/>
      <c r="I899" s="574"/>
      <c r="J899" s="576"/>
      <c r="K899" s="576"/>
      <c r="L899" s="683"/>
      <c r="N899" s="122"/>
      <c r="O899" s="546">
        <v>0.0</v>
      </c>
      <c r="P899" s="545">
        <v>0.0</v>
      </c>
      <c r="Q899" s="546">
        <v>0.0</v>
      </c>
      <c r="R899" s="655"/>
      <c r="S899" s="75"/>
      <c r="T899" s="655"/>
      <c r="U899" s="75"/>
      <c r="V899" s="655"/>
      <c r="W899" s="144"/>
      <c r="X899" s="549"/>
    </row>
    <row r="900">
      <c r="A900" s="538" t="s">
        <v>3511</v>
      </c>
      <c r="D900" s="692"/>
      <c r="E900" s="574"/>
      <c r="F900" s="574"/>
      <c r="G900" s="574"/>
      <c r="H900" s="574"/>
      <c r="I900" s="574"/>
      <c r="J900" s="576"/>
      <c r="K900" s="576"/>
      <c r="L900" s="683"/>
      <c r="N900" s="122"/>
      <c r="O900" s="546">
        <v>0.0</v>
      </c>
      <c r="P900" s="545">
        <v>0.0</v>
      </c>
      <c r="Q900" s="546">
        <v>0.0</v>
      </c>
      <c r="R900" s="655"/>
      <c r="S900" s="75"/>
      <c r="T900" s="655"/>
      <c r="U900" s="75"/>
      <c r="V900" s="655"/>
      <c r="W900" s="144"/>
      <c r="X900" s="549"/>
    </row>
    <row r="901">
      <c r="A901" s="538" t="s">
        <v>3511</v>
      </c>
      <c r="D901" s="692"/>
      <c r="E901" s="574"/>
      <c r="F901" s="574"/>
      <c r="G901" s="574"/>
      <c r="H901" s="574"/>
      <c r="I901" s="574"/>
      <c r="J901" s="576"/>
      <c r="K901" s="576"/>
      <c r="L901" s="683"/>
      <c r="N901" s="122"/>
      <c r="O901" s="546">
        <v>0.0</v>
      </c>
      <c r="P901" s="545">
        <v>0.0</v>
      </c>
      <c r="Q901" s="546">
        <v>0.0</v>
      </c>
      <c r="R901" s="655"/>
      <c r="S901" s="75"/>
      <c r="T901" s="655"/>
      <c r="U901" s="75"/>
      <c r="V901" s="655"/>
      <c r="W901" s="144"/>
      <c r="X901" s="549"/>
    </row>
    <row r="902">
      <c r="A902" s="538" t="s">
        <v>3511</v>
      </c>
      <c r="D902" s="692"/>
      <c r="E902" s="574"/>
      <c r="F902" s="574"/>
      <c r="G902" s="574"/>
      <c r="H902" s="574"/>
      <c r="I902" s="574"/>
      <c r="J902" s="576"/>
      <c r="K902" s="576"/>
      <c r="L902" s="683"/>
      <c r="N902" s="122"/>
      <c r="O902" s="546">
        <v>0.0</v>
      </c>
      <c r="P902" s="545">
        <v>0.0</v>
      </c>
      <c r="Q902" s="546">
        <v>0.0</v>
      </c>
      <c r="R902" s="655"/>
      <c r="S902" s="75"/>
      <c r="T902" s="655"/>
      <c r="U902" s="75"/>
      <c r="V902" s="655"/>
      <c r="W902" s="144"/>
      <c r="X902" s="549"/>
    </row>
    <row r="903">
      <c r="A903" s="538" t="s">
        <v>3511</v>
      </c>
      <c r="D903" s="692"/>
      <c r="E903" s="574"/>
      <c r="F903" s="574"/>
      <c r="G903" s="574"/>
      <c r="H903" s="574"/>
      <c r="I903" s="574"/>
      <c r="J903" s="576"/>
      <c r="K903" s="576"/>
      <c r="L903" s="683"/>
      <c r="N903" s="122"/>
      <c r="O903" s="546">
        <v>0.0</v>
      </c>
      <c r="P903" s="545">
        <v>0.0</v>
      </c>
      <c r="Q903" s="546">
        <v>0.0</v>
      </c>
      <c r="R903" s="655"/>
      <c r="S903" s="75"/>
      <c r="T903" s="655"/>
      <c r="U903" s="75"/>
      <c r="V903" s="655"/>
      <c r="W903" s="144"/>
      <c r="X903" s="549"/>
    </row>
    <row r="904">
      <c r="A904" s="538" t="s">
        <v>3511</v>
      </c>
      <c r="D904" s="692"/>
      <c r="E904" s="574"/>
      <c r="F904" s="574"/>
      <c r="G904" s="574"/>
      <c r="H904" s="574"/>
      <c r="I904" s="574"/>
      <c r="J904" s="576"/>
      <c r="K904" s="576"/>
      <c r="L904" s="683"/>
      <c r="N904" s="122"/>
      <c r="O904" s="546">
        <v>0.0</v>
      </c>
      <c r="P904" s="545">
        <v>0.0</v>
      </c>
      <c r="Q904" s="546">
        <v>0.0</v>
      </c>
      <c r="R904" s="655"/>
      <c r="S904" s="75"/>
      <c r="T904" s="655"/>
      <c r="U904" s="75"/>
      <c r="V904" s="655"/>
      <c r="W904" s="144"/>
      <c r="X904" s="549"/>
    </row>
    <row r="905">
      <c r="A905" s="538" t="s">
        <v>3511</v>
      </c>
      <c r="D905" s="692"/>
      <c r="E905" s="574"/>
      <c r="F905" s="574"/>
      <c r="G905" s="574"/>
      <c r="H905" s="574"/>
      <c r="I905" s="574"/>
      <c r="J905" s="576"/>
      <c r="K905" s="576"/>
      <c r="L905" s="683"/>
      <c r="N905" s="122"/>
      <c r="O905" s="546">
        <v>0.0</v>
      </c>
      <c r="P905" s="545">
        <v>0.0</v>
      </c>
      <c r="Q905" s="546">
        <v>0.0</v>
      </c>
      <c r="R905" s="655"/>
      <c r="S905" s="75"/>
      <c r="T905" s="655"/>
      <c r="U905" s="75"/>
      <c r="V905" s="655"/>
      <c r="W905" s="144"/>
      <c r="X905" s="549"/>
    </row>
    <row r="906">
      <c r="A906" s="538" t="s">
        <v>3511</v>
      </c>
      <c r="D906" s="692"/>
      <c r="E906" s="574"/>
      <c r="F906" s="574"/>
      <c r="G906" s="574"/>
      <c r="H906" s="574"/>
      <c r="I906" s="574"/>
      <c r="J906" s="576"/>
      <c r="K906" s="576"/>
      <c r="L906" s="683"/>
      <c r="N906" s="122"/>
      <c r="O906" s="546">
        <v>0.0</v>
      </c>
      <c r="P906" s="545">
        <v>0.0</v>
      </c>
      <c r="Q906" s="546">
        <v>0.0</v>
      </c>
      <c r="R906" s="655"/>
      <c r="S906" s="75"/>
      <c r="T906" s="655"/>
      <c r="U906" s="75"/>
      <c r="V906" s="655"/>
      <c r="W906" s="144"/>
      <c r="X906" s="549"/>
    </row>
    <row r="907">
      <c r="A907" s="538" t="s">
        <v>3511</v>
      </c>
      <c r="D907" s="692"/>
      <c r="E907" s="574"/>
      <c r="F907" s="574"/>
      <c r="G907" s="574"/>
      <c r="H907" s="574"/>
      <c r="I907" s="574"/>
      <c r="J907" s="576"/>
      <c r="K907" s="576"/>
      <c r="L907" s="683"/>
      <c r="N907" s="122"/>
      <c r="O907" s="546">
        <v>0.0</v>
      </c>
      <c r="P907" s="545">
        <v>0.0</v>
      </c>
      <c r="Q907" s="546">
        <v>0.0</v>
      </c>
      <c r="R907" s="655"/>
      <c r="S907" s="75"/>
      <c r="T907" s="655"/>
      <c r="U907" s="75"/>
      <c r="V907" s="655"/>
      <c r="W907" s="144"/>
      <c r="X907" s="549"/>
    </row>
    <row r="908">
      <c r="A908" s="538" t="s">
        <v>3511</v>
      </c>
      <c r="D908" s="692"/>
      <c r="E908" s="574"/>
      <c r="F908" s="574"/>
      <c r="G908" s="574"/>
      <c r="H908" s="574"/>
      <c r="I908" s="574"/>
      <c r="J908" s="576"/>
      <c r="K908" s="576"/>
      <c r="L908" s="683"/>
      <c r="N908" s="122"/>
      <c r="O908" s="546">
        <v>0.0</v>
      </c>
      <c r="P908" s="545">
        <v>0.0</v>
      </c>
      <c r="Q908" s="546">
        <v>0.0</v>
      </c>
      <c r="R908" s="655"/>
      <c r="S908" s="75"/>
      <c r="T908" s="655"/>
      <c r="U908" s="75"/>
      <c r="V908" s="655"/>
      <c r="W908" s="144"/>
      <c r="X908" s="549"/>
    </row>
    <row r="909">
      <c r="A909" s="538" t="s">
        <v>3511</v>
      </c>
      <c r="D909" s="692"/>
      <c r="E909" s="574"/>
      <c r="F909" s="574"/>
      <c r="G909" s="574"/>
      <c r="H909" s="574"/>
      <c r="I909" s="574"/>
      <c r="J909" s="576"/>
      <c r="K909" s="576"/>
      <c r="L909" s="683"/>
      <c r="N909" s="122"/>
      <c r="O909" s="546">
        <v>0.0</v>
      </c>
      <c r="P909" s="545">
        <v>0.0</v>
      </c>
      <c r="Q909" s="546">
        <v>0.0</v>
      </c>
      <c r="R909" s="655"/>
      <c r="S909" s="75"/>
      <c r="T909" s="655"/>
      <c r="U909" s="75"/>
      <c r="V909" s="655"/>
      <c r="W909" s="144"/>
      <c r="X909" s="549"/>
    </row>
    <row r="910">
      <c r="A910" s="538" t="s">
        <v>3511</v>
      </c>
      <c r="D910" s="692"/>
      <c r="E910" s="574"/>
      <c r="F910" s="574"/>
      <c r="G910" s="574"/>
      <c r="H910" s="574"/>
      <c r="I910" s="574"/>
      <c r="J910" s="576"/>
      <c r="K910" s="576"/>
      <c r="L910" s="683"/>
      <c r="N910" s="122"/>
      <c r="O910" s="546">
        <v>0.0</v>
      </c>
      <c r="P910" s="545">
        <v>0.0</v>
      </c>
      <c r="Q910" s="546">
        <v>0.0</v>
      </c>
      <c r="R910" s="655"/>
      <c r="S910" s="75"/>
      <c r="T910" s="655"/>
      <c r="U910" s="75"/>
      <c r="V910" s="655"/>
      <c r="W910" s="144"/>
      <c r="X910" s="549"/>
    </row>
    <row r="911">
      <c r="A911" s="538" t="s">
        <v>3511</v>
      </c>
      <c r="D911" s="692"/>
      <c r="E911" s="574"/>
      <c r="F911" s="574"/>
      <c r="G911" s="574"/>
      <c r="H911" s="574"/>
      <c r="I911" s="574"/>
      <c r="J911" s="576"/>
      <c r="K911" s="576"/>
      <c r="L911" s="683"/>
      <c r="N911" s="122"/>
      <c r="O911" s="546">
        <v>0.0</v>
      </c>
      <c r="P911" s="545">
        <v>0.0</v>
      </c>
      <c r="Q911" s="546">
        <v>0.0</v>
      </c>
      <c r="R911" s="655"/>
      <c r="S911" s="75"/>
      <c r="T911" s="655"/>
      <c r="U911" s="75"/>
      <c r="V911" s="655"/>
      <c r="W911" s="144"/>
      <c r="X911" s="549"/>
    </row>
    <row r="912">
      <c r="A912" s="538" t="s">
        <v>3511</v>
      </c>
      <c r="D912" s="692"/>
      <c r="E912" s="574"/>
      <c r="F912" s="574"/>
      <c r="G912" s="574"/>
      <c r="H912" s="574"/>
      <c r="I912" s="574"/>
      <c r="J912" s="576"/>
      <c r="K912" s="576"/>
      <c r="L912" s="683"/>
      <c r="N912" s="122"/>
      <c r="O912" s="546">
        <v>0.0</v>
      </c>
      <c r="P912" s="545">
        <v>0.0</v>
      </c>
      <c r="Q912" s="546">
        <v>0.0</v>
      </c>
      <c r="R912" s="655"/>
      <c r="S912" s="75"/>
      <c r="T912" s="655"/>
      <c r="U912" s="75"/>
      <c r="V912" s="655"/>
      <c r="W912" s="144"/>
      <c r="X912" s="549"/>
    </row>
    <row r="913">
      <c r="A913" s="538" t="s">
        <v>3511</v>
      </c>
      <c r="D913" s="692"/>
      <c r="E913" s="574"/>
      <c r="F913" s="574"/>
      <c r="G913" s="574"/>
      <c r="H913" s="574"/>
      <c r="I913" s="574"/>
      <c r="J913" s="576"/>
      <c r="K913" s="576"/>
      <c r="L913" s="683"/>
      <c r="N913" s="122"/>
      <c r="O913" s="546">
        <v>0.0</v>
      </c>
      <c r="P913" s="545">
        <v>0.0</v>
      </c>
      <c r="Q913" s="546">
        <v>0.0</v>
      </c>
      <c r="R913" s="655"/>
      <c r="S913" s="75"/>
      <c r="T913" s="655"/>
      <c r="U913" s="75"/>
      <c r="V913" s="655"/>
      <c r="W913" s="144"/>
      <c r="X913" s="549"/>
    </row>
    <row r="914">
      <c r="A914" s="538" t="s">
        <v>3511</v>
      </c>
      <c r="D914" s="692"/>
      <c r="E914" s="574"/>
      <c r="F914" s="574"/>
      <c r="G914" s="574"/>
      <c r="H914" s="574"/>
      <c r="I914" s="574"/>
      <c r="J914" s="576"/>
      <c r="K914" s="576"/>
      <c r="L914" s="683"/>
      <c r="N914" s="122"/>
      <c r="O914" s="546">
        <v>0.0</v>
      </c>
      <c r="P914" s="545">
        <v>0.0</v>
      </c>
      <c r="Q914" s="546">
        <v>0.0</v>
      </c>
      <c r="R914" s="655"/>
      <c r="S914" s="75"/>
      <c r="T914" s="655"/>
      <c r="U914" s="75"/>
      <c r="V914" s="655"/>
      <c r="W914" s="144"/>
      <c r="X914" s="549"/>
    </row>
    <row r="915">
      <c r="A915" s="538" t="s">
        <v>3511</v>
      </c>
      <c r="D915" s="692"/>
      <c r="E915" s="574"/>
      <c r="F915" s="574"/>
      <c r="G915" s="574"/>
      <c r="H915" s="574"/>
      <c r="I915" s="574"/>
      <c r="J915" s="576"/>
      <c r="K915" s="576"/>
      <c r="L915" s="683"/>
      <c r="N915" s="122"/>
      <c r="O915" s="546">
        <v>0.0</v>
      </c>
      <c r="P915" s="545">
        <v>0.0</v>
      </c>
      <c r="Q915" s="546">
        <v>0.0</v>
      </c>
      <c r="R915" s="655"/>
      <c r="S915" s="75"/>
      <c r="T915" s="655"/>
      <c r="U915" s="75"/>
      <c r="V915" s="655"/>
      <c r="W915" s="144"/>
      <c r="X915" s="549"/>
    </row>
    <row r="916">
      <c r="A916" s="538" t="s">
        <v>3511</v>
      </c>
      <c r="D916" s="692"/>
      <c r="E916" s="574"/>
      <c r="F916" s="574"/>
      <c r="G916" s="574"/>
      <c r="H916" s="574"/>
      <c r="I916" s="574"/>
      <c r="J916" s="576"/>
      <c r="K916" s="576"/>
      <c r="L916" s="683"/>
      <c r="N916" s="122"/>
      <c r="O916" s="546">
        <v>0.0</v>
      </c>
      <c r="P916" s="545">
        <v>0.0</v>
      </c>
      <c r="Q916" s="546">
        <v>0.0</v>
      </c>
      <c r="R916" s="655"/>
      <c r="S916" s="75"/>
      <c r="T916" s="655"/>
      <c r="U916" s="75"/>
      <c r="V916" s="655"/>
      <c r="W916" s="144"/>
      <c r="X916" s="549"/>
    </row>
    <row r="917">
      <c r="A917" s="538" t="s">
        <v>3511</v>
      </c>
      <c r="D917" s="692"/>
      <c r="E917" s="574"/>
      <c r="F917" s="574"/>
      <c r="G917" s="574"/>
      <c r="H917" s="574"/>
      <c r="I917" s="574"/>
      <c r="J917" s="576"/>
      <c r="K917" s="576"/>
      <c r="L917" s="683"/>
      <c r="N917" s="122"/>
      <c r="O917" s="546">
        <v>0.0</v>
      </c>
      <c r="P917" s="545">
        <v>0.0</v>
      </c>
      <c r="Q917" s="546">
        <v>0.0</v>
      </c>
      <c r="R917" s="655"/>
      <c r="S917" s="75"/>
      <c r="T917" s="655"/>
      <c r="U917" s="75"/>
      <c r="V917" s="655"/>
      <c r="W917" s="144"/>
      <c r="X917" s="549"/>
    </row>
    <row r="918">
      <c r="A918" s="538" t="s">
        <v>3511</v>
      </c>
      <c r="D918" s="692"/>
      <c r="E918" s="574"/>
      <c r="F918" s="574"/>
      <c r="G918" s="574"/>
      <c r="H918" s="574"/>
      <c r="I918" s="574"/>
      <c r="J918" s="576"/>
      <c r="K918" s="576"/>
      <c r="L918" s="683"/>
      <c r="N918" s="122"/>
      <c r="O918" s="546">
        <v>0.0</v>
      </c>
      <c r="P918" s="545">
        <v>0.0</v>
      </c>
      <c r="Q918" s="546">
        <v>0.0</v>
      </c>
      <c r="R918" s="655"/>
      <c r="S918" s="75"/>
      <c r="T918" s="655"/>
      <c r="U918" s="75"/>
      <c r="V918" s="655"/>
      <c r="W918" s="144"/>
      <c r="X918" s="549"/>
    </row>
    <row r="919">
      <c r="A919" s="538" t="s">
        <v>3511</v>
      </c>
      <c r="D919" s="692"/>
      <c r="E919" s="574"/>
      <c r="F919" s="574"/>
      <c r="G919" s="574"/>
      <c r="H919" s="574"/>
      <c r="I919" s="574"/>
      <c r="J919" s="576"/>
      <c r="K919" s="576"/>
      <c r="L919" s="683"/>
      <c r="N919" s="122"/>
      <c r="O919" s="546">
        <v>0.0</v>
      </c>
      <c r="P919" s="545">
        <v>0.0</v>
      </c>
      <c r="Q919" s="546">
        <v>0.0</v>
      </c>
      <c r="R919" s="655"/>
      <c r="S919" s="75"/>
      <c r="T919" s="655"/>
      <c r="U919" s="75"/>
      <c r="V919" s="655"/>
      <c r="W919" s="144"/>
      <c r="X919" s="549"/>
    </row>
    <row r="920">
      <c r="A920" s="538" t="s">
        <v>3511</v>
      </c>
      <c r="D920" s="692"/>
      <c r="E920" s="574"/>
      <c r="F920" s="574"/>
      <c r="G920" s="574"/>
      <c r="H920" s="574"/>
      <c r="I920" s="574"/>
      <c r="J920" s="576"/>
      <c r="K920" s="576"/>
      <c r="L920" s="683"/>
      <c r="N920" s="122"/>
      <c r="O920" s="546">
        <v>0.0</v>
      </c>
      <c r="P920" s="545">
        <v>0.0</v>
      </c>
      <c r="Q920" s="546">
        <v>0.0</v>
      </c>
      <c r="R920" s="655"/>
      <c r="S920" s="75"/>
      <c r="T920" s="655"/>
      <c r="U920" s="75"/>
      <c r="V920" s="655"/>
      <c r="W920" s="144"/>
      <c r="X920" s="549"/>
    </row>
    <row r="921">
      <c r="A921" s="538" t="s">
        <v>3511</v>
      </c>
      <c r="D921" s="692"/>
      <c r="E921" s="574"/>
      <c r="F921" s="574"/>
      <c r="G921" s="574"/>
      <c r="H921" s="574"/>
      <c r="I921" s="574"/>
      <c r="J921" s="576"/>
      <c r="K921" s="576"/>
      <c r="L921" s="683"/>
      <c r="N921" s="122"/>
      <c r="O921" s="546">
        <v>0.0</v>
      </c>
      <c r="P921" s="545">
        <v>0.0</v>
      </c>
      <c r="Q921" s="546">
        <v>0.0</v>
      </c>
      <c r="R921" s="655"/>
      <c r="S921" s="75"/>
      <c r="T921" s="655"/>
      <c r="U921" s="75"/>
      <c r="V921" s="655"/>
      <c r="W921" s="144"/>
      <c r="X921" s="549"/>
    </row>
    <row r="922">
      <c r="A922" s="538" t="s">
        <v>3511</v>
      </c>
      <c r="D922" s="692"/>
      <c r="E922" s="574"/>
      <c r="F922" s="574"/>
      <c r="G922" s="574"/>
      <c r="H922" s="574"/>
      <c r="I922" s="574"/>
      <c r="J922" s="576"/>
      <c r="K922" s="576"/>
      <c r="L922" s="683"/>
      <c r="N922" s="122"/>
      <c r="O922" s="546">
        <v>0.0</v>
      </c>
      <c r="P922" s="545">
        <v>0.0</v>
      </c>
      <c r="Q922" s="546">
        <v>0.0</v>
      </c>
      <c r="R922" s="655"/>
      <c r="S922" s="75"/>
      <c r="T922" s="655"/>
      <c r="U922" s="75"/>
      <c r="V922" s="655"/>
      <c r="W922" s="144"/>
      <c r="X922" s="549"/>
    </row>
    <row r="923">
      <c r="A923" s="538" t="s">
        <v>3511</v>
      </c>
      <c r="D923" s="692"/>
      <c r="E923" s="574"/>
      <c r="F923" s="574"/>
      <c r="G923" s="574"/>
      <c r="H923" s="574"/>
      <c r="I923" s="574"/>
      <c r="J923" s="576"/>
      <c r="K923" s="576"/>
      <c r="L923" s="683"/>
      <c r="N923" s="122"/>
      <c r="O923" s="546">
        <v>0.0</v>
      </c>
      <c r="P923" s="545">
        <v>0.0</v>
      </c>
      <c r="Q923" s="546">
        <v>0.0</v>
      </c>
      <c r="R923" s="655"/>
      <c r="S923" s="75"/>
      <c r="T923" s="655"/>
      <c r="U923" s="75"/>
      <c r="V923" s="655"/>
      <c r="W923" s="144"/>
      <c r="X923" s="549"/>
    </row>
    <row r="924">
      <c r="A924" s="538" t="s">
        <v>3511</v>
      </c>
      <c r="D924" s="692"/>
      <c r="E924" s="574"/>
      <c r="F924" s="574"/>
      <c r="G924" s="574"/>
      <c r="H924" s="574"/>
      <c r="I924" s="574"/>
      <c r="J924" s="576"/>
      <c r="K924" s="576"/>
      <c r="L924" s="683"/>
      <c r="N924" s="122"/>
      <c r="O924" s="546">
        <v>0.0</v>
      </c>
      <c r="P924" s="545">
        <v>0.0</v>
      </c>
      <c r="Q924" s="546">
        <v>0.0</v>
      </c>
      <c r="R924" s="655"/>
      <c r="S924" s="75"/>
      <c r="T924" s="655"/>
      <c r="U924" s="75"/>
      <c r="V924" s="655"/>
      <c r="W924" s="144"/>
      <c r="X924" s="549"/>
    </row>
    <row r="925">
      <c r="A925" s="538" t="s">
        <v>3511</v>
      </c>
      <c r="D925" s="692"/>
      <c r="E925" s="574"/>
      <c r="F925" s="574"/>
      <c r="G925" s="574"/>
      <c r="H925" s="574"/>
      <c r="I925" s="574"/>
      <c r="J925" s="576"/>
      <c r="K925" s="576"/>
      <c r="L925" s="683"/>
      <c r="N925" s="122"/>
      <c r="O925" s="546">
        <v>0.0</v>
      </c>
      <c r="P925" s="545">
        <v>0.0</v>
      </c>
      <c r="Q925" s="546">
        <v>0.0</v>
      </c>
      <c r="R925" s="655"/>
      <c r="S925" s="75"/>
      <c r="T925" s="655"/>
      <c r="U925" s="75"/>
      <c r="V925" s="655"/>
      <c r="W925" s="144"/>
      <c r="X925" s="549"/>
    </row>
    <row r="926">
      <c r="A926" s="538" t="s">
        <v>3511</v>
      </c>
      <c r="D926" s="692"/>
      <c r="E926" s="574"/>
      <c r="F926" s="574"/>
      <c r="G926" s="574"/>
      <c r="H926" s="574"/>
      <c r="I926" s="574"/>
      <c r="J926" s="576"/>
      <c r="K926" s="576"/>
      <c r="L926" s="683"/>
      <c r="N926" s="122"/>
      <c r="O926" s="546">
        <v>0.0</v>
      </c>
      <c r="P926" s="545">
        <v>0.0</v>
      </c>
      <c r="Q926" s="546">
        <v>0.0</v>
      </c>
      <c r="R926" s="655"/>
      <c r="S926" s="75"/>
      <c r="T926" s="655"/>
      <c r="U926" s="75"/>
      <c r="V926" s="655"/>
      <c r="W926" s="144"/>
      <c r="X926" s="549"/>
    </row>
    <row r="927">
      <c r="A927" s="538" t="s">
        <v>3511</v>
      </c>
      <c r="D927" s="692"/>
      <c r="E927" s="574"/>
      <c r="F927" s="574"/>
      <c r="G927" s="574"/>
      <c r="H927" s="574"/>
      <c r="I927" s="574"/>
      <c r="J927" s="576"/>
      <c r="K927" s="576"/>
      <c r="L927" s="683"/>
      <c r="N927" s="122"/>
      <c r="O927" s="546">
        <v>0.0</v>
      </c>
      <c r="P927" s="545">
        <v>0.0</v>
      </c>
      <c r="Q927" s="546">
        <v>0.0</v>
      </c>
      <c r="R927" s="655"/>
      <c r="S927" s="75"/>
      <c r="T927" s="655"/>
      <c r="U927" s="75"/>
      <c r="V927" s="655"/>
      <c r="W927" s="144"/>
      <c r="X927" s="549"/>
    </row>
    <row r="928">
      <c r="A928" s="538" t="s">
        <v>3511</v>
      </c>
      <c r="D928" s="692"/>
      <c r="E928" s="574"/>
      <c r="F928" s="574"/>
      <c r="G928" s="574"/>
      <c r="H928" s="574"/>
      <c r="I928" s="574"/>
      <c r="J928" s="576"/>
      <c r="K928" s="576"/>
      <c r="L928" s="683"/>
      <c r="N928" s="122"/>
      <c r="O928" s="546">
        <v>0.0</v>
      </c>
      <c r="P928" s="545">
        <v>0.0</v>
      </c>
      <c r="Q928" s="546">
        <v>0.0</v>
      </c>
      <c r="R928" s="655"/>
      <c r="S928" s="75"/>
      <c r="T928" s="655"/>
      <c r="U928" s="75"/>
      <c r="V928" s="655"/>
      <c r="W928" s="144"/>
      <c r="X928" s="549"/>
    </row>
    <row r="929">
      <c r="A929" s="538" t="s">
        <v>3511</v>
      </c>
      <c r="D929" s="692"/>
      <c r="E929" s="574"/>
      <c r="F929" s="574"/>
      <c r="G929" s="574"/>
      <c r="H929" s="574"/>
      <c r="I929" s="574"/>
      <c r="J929" s="576"/>
      <c r="K929" s="576"/>
      <c r="L929" s="683"/>
      <c r="N929" s="122"/>
      <c r="O929" s="546">
        <v>0.0</v>
      </c>
      <c r="P929" s="545">
        <v>0.0</v>
      </c>
      <c r="Q929" s="546">
        <v>0.0</v>
      </c>
      <c r="R929" s="655"/>
      <c r="S929" s="75"/>
      <c r="T929" s="655"/>
      <c r="U929" s="75"/>
      <c r="V929" s="655"/>
      <c r="W929" s="144"/>
      <c r="X929" s="549"/>
    </row>
    <row r="930">
      <c r="A930" s="538" t="s">
        <v>3511</v>
      </c>
      <c r="D930" s="692"/>
      <c r="E930" s="574"/>
      <c r="F930" s="574"/>
      <c r="G930" s="574"/>
      <c r="H930" s="574"/>
      <c r="I930" s="574"/>
      <c r="J930" s="576"/>
      <c r="K930" s="576"/>
      <c r="L930" s="683"/>
      <c r="N930" s="122"/>
      <c r="O930" s="546">
        <v>0.0</v>
      </c>
      <c r="P930" s="545">
        <v>0.0</v>
      </c>
      <c r="Q930" s="546">
        <v>0.0</v>
      </c>
      <c r="R930" s="655"/>
      <c r="S930" s="75"/>
      <c r="T930" s="655"/>
      <c r="U930" s="75"/>
      <c r="V930" s="655"/>
      <c r="W930" s="144"/>
      <c r="X930" s="549"/>
    </row>
    <row r="931">
      <c r="A931" s="538" t="s">
        <v>3511</v>
      </c>
      <c r="D931" s="692"/>
      <c r="E931" s="574"/>
      <c r="F931" s="574"/>
      <c r="G931" s="574"/>
      <c r="H931" s="574"/>
      <c r="I931" s="574"/>
      <c r="J931" s="576"/>
      <c r="K931" s="576"/>
      <c r="L931" s="683"/>
      <c r="N931" s="122"/>
      <c r="O931" s="546">
        <v>0.0</v>
      </c>
      <c r="P931" s="545">
        <v>0.0</v>
      </c>
      <c r="Q931" s="546">
        <v>0.0</v>
      </c>
      <c r="R931" s="655"/>
      <c r="S931" s="75"/>
      <c r="T931" s="655"/>
      <c r="U931" s="75"/>
      <c r="V931" s="655"/>
      <c r="W931" s="144"/>
      <c r="X931" s="549"/>
    </row>
    <row r="932">
      <c r="A932" s="538" t="s">
        <v>3511</v>
      </c>
      <c r="D932" s="692"/>
      <c r="E932" s="574"/>
      <c r="F932" s="574"/>
      <c r="G932" s="574"/>
      <c r="H932" s="574"/>
      <c r="I932" s="574"/>
      <c r="J932" s="576"/>
      <c r="K932" s="576"/>
      <c r="L932" s="683"/>
      <c r="N932" s="122"/>
      <c r="O932" s="546">
        <v>0.0</v>
      </c>
      <c r="P932" s="545">
        <v>0.0</v>
      </c>
      <c r="Q932" s="546">
        <v>0.0</v>
      </c>
      <c r="R932" s="655"/>
      <c r="S932" s="75"/>
      <c r="T932" s="655"/>
      <c r="U932" s="75"/>
      <c r="V932" s="655"/>
      <c r="W932" s="144"/>
      <c r="X932" s="549"/>
    </row>
    <row r="933">
      <c r="A933" s="538" t="s">
        <v>3511</v>
      </c>
      <c r="D933" s="692"/>
      <c r="E933" s="574"/>
      <c r="F933" s="574"/>
      <c r="G933" s="574"/>
      <c r="H933" s="574"/>
      <c r="I933" s="574"/>
      <c r="J933" s="576"/>
      <c r="K933" s="576"/>
      <c r="L933" s="683"/>
      <c r="N933" s="122"/>
      <c r="O933" s="546">
        <v>0.0</v>
      </c>
      <c r="P933" s="545">
        <v>0.0</v>
      </c>
      <c r="Q933" s="546">
        <v>0.0</v>
      </c>
      <c r="R933" s="655"/>
      <c r="S933" s="75"/>
      <c r="T933" s="655"/>
      <c r="U933" s="75"/>
      <c r="V933" s="655"/>
      <c r="W933" s="144"/>
      <c r="X933" s="549"/>
    </row>
    <row r="934">
      <c r="A934" s="538" t="s">
        <v>3511</v>
      </c>
      <c r="D934" s="692"/>
      <c r="E934" s="574"/>
      <c r="F934" s="574"/>
      <c r="G934" s="574"/>
      <c r="H934" s="574"/>
      <c r="I934" s="574"/>
      <c r="J934" s="576"/>
      <c r="K934" s="576"/>
      <c r="L934" s="683"/>
      <c r="N934" s="122"/>
      <c r="O934" s="546">
        <v>0.0</v>
      </c>
      <c r="P934" s="545">
        <v>0.0</v>
      </c>
      <c r="Q934" s="546">
        <v>0.0</v>
      </c>
      <c r="R934" s="655"/>
      <c r="S934" s="75"/>
      <c r="T934" s="655"/>
      <c r="U934" s="75"/>
      <c r="V934" s="655"/>
      <c r="W934" s="144"/>
      <c r="X934" s="549"/>
    </row>
    <row r="935">
      <c r="A935" s="538" t="s">
        <v>3511</v>
      </c>
      <c r="D935" s="692"/>
      <c r="E935" s="574"/>
      <c r="F935" s="574"/>
      <c r="G935" s="574"/>
      <c r="H935" s="574"/>
      <c r="I935" s="574"/>
      <c r="J935" s="576"/>
      <c r="K935" s="576"/>
      <c r="L935" s="683"/>
      <c r="N935" s="122"/>
      <c r="O935" s="546">
        <v>0.0</v>
      </c>
      <c r="P935" s="545">
        <v>0.0</v>
      </c>
      <c r="Q935" s="546">
        <v>0.0</v>
      </c>
      <c r="R935" s="655"/>
      <c r="S935" s="75"/>
      <c r="T935" s="655"/>
      <c r="U935" s="75"/>
      <c r="V935" s="655"/>
      <c r="W935" s="144"/>
      <c r="X935" s="549"/>
    </row>
    <row r="936">
      <c r="A936" s="538" t="s">
        <v>3511</v>
      </c>
      <c r="D936" s="692"/>
      <c r="E936" s="574"/>
      <c r="F936" s="574"/>
      <c r="G936" s="574"/>
      <c r="H936" s="574"/>
      <c r="I936" s="574"/>
      <c r="J936" s="576"/>
      <c r="K936" s="576"/>
      <c r="L936" s="683"/>
      <c r="N936" s="122"/>
      <c r="O936" s="546">
        <v>0.0</v>
      </c>
      <c r="P936" s="545">
        <v>0.0</v>
      </c>
      <c r="Q936" s="546">
        <v>0.0</v>
      </c>
      <c r="R936" s="655"/>
      <c r="S936" s="75"/>
      <c r="T936" s="655"/>
      <c r="U936" s="75"/>
      <c r="V936" s="655"/>
      <c r="W936" s="144"/>
      <c r="X936" s="549"/>
    </row>
    <row r="937">
      <c r="A937" s="538" t="s">
        <v>3511</v>
      </c>
      <c r="D937" s="692"/>
      <c r="E937" s="574"/>
      <c r="F937" s="574"/>
      <c r="G937" s="574"/>
      <c r="H937" s="574"/>
      <c r="I937" s="574"/>
      <c r="J937" s="576"/>
      <c r="K937" s="576"/>
      <c r="L937" s="683"/>
      <c r="N937" s="122"/>
      <c r="O937" s="546">
        <v>0.0</v>
      </c>
      <c r="P937" s="545">
        <v>0.0</v>
      </c>
      <c r="Q937" s="546">
        <v>0.0</v>
      </c>
      <c r="R937" s="655"/>
      <c r="S937" s="75"/>
      <c r="T937" s="655"/>
      <c r="U937" s="75"/>
      <c r="V937" s="655"/>
      <c r="W937" s="144"/>
      <c r="X937" s="549"/>
    </row>
    <row r="938">
      <c r="A938" s="538" t="s">
        <v>3511</v>
      </c>
      <c r="D938" s="692"/>
      <c r="E938" s="574"/>
      <c r="F938" s="574"/>
      <c r="G938" s="574"/>
      <c r="H938" s="574"/>
      <c r="I938" s="574"/>
      <c r="J938" s="576"/>
      <c r="K938" s="576"/>
      <c r="L938" s="683"/>
      <c r="N938" s="122"/>
      <c r="O938" s="546">
        <v>0.0</v>
      </c>
      <c r="P938" s="545">
        <v>0.0</v>
      </c>
      <c r="Q938" s="546">
        <v>0.0</v>
      </c>
      <c r="R938" s="655"/>
      <c r="S938" s="75"/>
      <c r="T938" s="655"/>
      <c r="U938" s="75"/>
      <c r="V938" s="655"/>
      <c r="W938" s="144"/>
      <c r="X938" s="549"/>
    </row>
    <row r="939">
      <c r="A939" s="538" t="s">
        <v>3511</v>
      </c>
      <c r="D939" s="692"/>
      <c r="E939" s="574"/>
      <c r="F939" s="574"/>
      <c r="G939" s="574"/>
      <c r="H939" s="574"/>
      <c r="I939" s="574"/>
      <c r="J939" s="576"/>
      <c r="K939" s="576"/>
      <c r="L939" s="683"/>
      <c r="N939" s="122"/>
      <c r="O939" s="546">
        <v>0.0</v>
      </c>
      <c r="P939" s="545">
        <v>0.0</v>
      </c>
      <c r="Q939" s="546">
        <v>0.0</v>
      </c>
      <c r="R939" s="655"/>
      <c r="S939" s="75"/>
      <c r="T939" s="655"/>
      <c r="U939" s="75"/>
      <c r="V939" s="655"/>
      <c r="W939" s="144"/>
      <c r="X939" s="549"/>
    </row>
    <row r="940">
      <c r="A940" s="538" t="s">
        <v>3511</v>
      </c>
      <c r="D940" s="692"/>
      <c r="E940" s="574"/>
      <c r="F940" s="574"/>
      <c r="G940" s="574"/>
      <c r="H940" s="574"/>
      <c r="I940" s="574"/>
      <c r="J940" s="576"/>
      <c r="K940" s="576"/>
      <c r="L940" s="683"/>
      <c r="N940" s="122"/>
      <c r="O940" s="546">
        <v>0.0</v>
      </c>
      <c r="P940" s="545">
        <v>0.0</v>
      </c>
      <c r="Q940" s="546">
        <v>0.0</v>
      </c>
      <c r="R940" s="655"/>
      <c r="S940" s="75"/>
      <c r="T940" s="655"/>
      <c r="U940" s="75"/>
      <c r="V940" s="655"/>
      <c r="W940" s="144"/>
      <c r="X940" s="549"/>
    </row>
    <row r="941">
      <c r="A941" s="538" t="s">
        <v>3511</v>
      </c>
      <c r="D941" s="692"/>
      <c r="E941" s="574"/>
      <c r="F941" s="574"/>
      <c r="G941" s="574"/>
      <c r="H941" s="574"/>
      <c r="I941" s="574"/>
      <c r="J941" s="576"/>
      <c r="K941" s="576"/>
      <c r="L941" s="683"/>
      <c r="N941" s="122"/>
      <c r="O941" s="546">
        <v>0.0</v>
      </c>
      <c r="P941" s="545">
        <v>0.0</v>
      </c>
      <c r="Q941" s="546">
        <v>0.0</v>
      </c>
      <c r="R941" s="655"/>
      <c r="S941" s="75"/>
      <c r="T941" s="655"/>
      <c r="U941" s="75"/>
      <c r="V941" s="655"/>
      <c r="W941" s="144"/>
      <c r="X941" s="549"/>
    </row>
    <row r="942">
      <c r="A942" s="538" t="s">
        <v>3511</v>
      </c>
      <c r="D942" s="692"/>
      <c r="E942" s="574"/>
      <c r="F942" s="574"/>
      <c r="G942" s="574"/>
      <c r="H942" s="574"/>
      <c r="I942" s="574"/>
      <c r="J942" s="576"/>
      <c r="K942" s="576"/>
      <c r="L942" s="683"/>
      <c r="N942" s="122"/>
      <c r="O942" s="546">
        <v>0.0</v>
      </c>
      <c r="P942" s="545">
        <v>0.0</v>
      </c>
      <c r="Q942" s="546">
        <v>0.0</v>
      </c>
      <c r="R942" s="655"/>
      <c r="S942" s="75"/>
      <c r="T942" s="655"/>
      <c r="U942" s="75"/>
      <c r="V942" s="655"/>
      <c r="W942" s="144"/>
      <c r="X942" s="549"/>
    </row>
    <row r="943">
      <c r="A943" s="538" t="s">
        <v>3511</v>
      </c>
      <c r="D943" s="692"/>
      <c r="E943" s="574"/>
      <c r="F943" s="574"/>
      <c r="G943" s="574"/>
      <c r="H943" s="574"/>
      <c r="I943" s="574"/>
      <c r="J943" s="576"/>
      <c r="K943" s="576"/>
      <c r="L943" s="683"/>
      <c r="N943" s="122"/>
      <c r="O943" s="546">
        <v>0.0</v>
      </c>
      <c r="P943" s="545">
        <v>0.0</v>
      </c>
      <c r="Q943" s="546">
        <v>0.0</v>
      </c>
      <c r="R943" s="655"/>
      <c r="S943" s="75"/>
      <c r="T943" s="655"/>
      <c r="U943" s="75"/>
      <c r="V943" s="655"/>
      <c r="W943" s="144"/>
      <c r="X943" s="549"/>
    </row>
    <row r="944">
      <c r="A944" s="538" t="s">
        <v>3511</v>
      </c>
      <c r="D944" s="692"/>
      <c r="E944" s="574"/>
      <c r="F944" s="574"/>
      <c r="G944" s="574"/>
      <c r="H944" s="574"/>
      <c r="I944" s="574"/>
      <c r="J944" s="576"/>
      <c r="K944" s="576"/>
      <c r="L944" s="683"/>
      <c r="N944" s="122"/>
      <c r="O944" s="546">
        <v>0.0</v>
      </c>
      <c r="P944" s="545">
        <v>0.0</v>
      </c>
      <c r="Q944" s="546">
        <v>0.0</v>
      </c>
      <c r="R944" s="655"/>
      <c r="S944" s="75"/>
      <c r="T944" s="655"/>
      <c r="U944" s="75"/>
      <c r="V944" s="655"/>
      <c r="W944" s="144"/>
      <c r="X944" s="549"/>
    </row>
    <row r="945">
      <c r="A945" s="538" t="s">
        <v>3511</v>
      </c>
      <c r="D945" s="692"/>
      <c r="E945" s="574"/>
      <c r="F945" s="574"/>
      <c r="G945" s="574"/>
      <c r="H945" s="574"/>
      <c r="I945" s="574"/>
      <c r="J945" s="576"/>
      <c r="K945" s="576"/>
      <c r="L945" s="683"/>
      <c r="N945" s="122"/>
      <c r="O945" s="546">
        <v>0.0</v>
      </c>
      <c r="P945" s="545">
        <v>0.0</v>
      </c>
      <c r="Q945" s="546">
        <v>0.0</v>
      </c>
      <c r="R945" s="655"/>
      <c r="S945" s="75"/>
      <c r="T945" s="655"/>
      <c r="U945" s="75"/>
      <c r="V945" s="655"/>
      <c r="W945" s="144"/>
      <c r="X945" s="549"/>
    </row>
    <row r="946">
      <c r="A946" s="538" t="s">
        <v>3511</v>
      </c>
      <c r="D946" s="692"/>
      <c r="E946" s="574"/>
      <c r="F946" s="574"/>
      <c r="G946" s="574"/>
      <c r="H946" s="574"/>
      <c r="I946" s="574"/>
      <c r="J946" s="576"/>
      <c r="K946" s="576"/>
      <c r="L946" s="683"/>
      <c r="N946" s="122"/>
      <c r="O946" s="546">
        <v>0.0</v>
      </c>
      <c r="P946" s="545">
        <v>0.0</v>
      </c>
      <c r="Q946" s="546">
        <v>0.0</v>
      </c>
      <c r="R946" s="655"/>
      <c r="S946" s="75"/>
      <c r="T946" s="655"/>
      <c r="U946" s="75"/>
      <c r="V946" s="655"/>
      <c r="W946" s="144"/>
      <c r="X946" s="549"/>
    </row>
    <row r="947">
      <c r="A947" s="538" t="s">
        <v>3511</v>
      </c>
      <c r="D947" s="692"/>
      <c r="E947" s="574"/>
      <c r="F947" s="574"/>
      <c r="G947" s="574"/>
      <c r="H947" s="574"/>
      <c r="I947" s="574"/>
      <c r="J947" s="576"/>
      <c r="K947" s="576"/>
      <c r="L947" s="683"/>
      <c r="N947" s="122"/>
      <c r="O947" s="546">
        <v>0.0</v>
      </c>
      <c r="P947" s="545">
        <v>0.0</v>
      </c>
      <c r="Q947" s="546">
        <v>0.0</v>
      </c>
      <c r="R947" s="655"/>
      <c r="S947" s="75"/>
      <c r="T947" s="655"/>
      <c r="U947" s="75"/>
      <c r="V947" s="655"/>
      <c r="W947" s="144"/>
      <c r="X947" s="549"/>
    </row>
    <row r="948">
      <c r="A948" s="538" t="s">
        <v>3511</v>
      </c>
      <c r="D948" s="692"/>
      <c r="E948" s="574"/>
      <c r="F948" s="574"/>
      <c r="G948" s="574"/>
      <c r="H948" s="574"/>
      <c r="I948" s="574"/>
      <c r="J948" s="576"/>
      <c r="K948" s="576"/>
      <c r="L948" s="683"/>
      <c r="N948" s="122"/>
      <c r="O948" s="546">
        <v>0.0</v>
      </c>
      <c r="P948" s="545">
        <v>0.0</v>
      </c>
      <c r="Q948" s="546">
        <v>0.0</v>
      </c>
      <c r="R948" s="655"/>
      <c r="S948" s="75"/>
      <c r="T948" s="655"/>
      <c r="U948" s="75"/>
      <c r="V948" s="655"/>
      <c r="W948" s="144"/>
      <c r="X948" s="549"/>
    </row>
    <row r="949">
      <c r="A949" s="538" t="s">
        <v>3511</v>
      </c>
      <c r="D949" s="692"/>
      <c r="E949" s="574"/>
      <c r="F949" s="574"/>
      <c r="G949" s="574"/>
      <c r="H949" s="574"/>
      <c r="I949" s="574"/>
      <c r="J949" s="576"/>
      <c r="K949" s="576"/>
      <c r="L949" s="683"/>
      <c r="N949" s="122"/>
      <c r="O949" s="546">
        <v>0.0</v>
      </c>
      <c r="P949" s="545">
        <v>0.0</v>
      </c>
      <c r="Q949" s="546">
        <v>0.0</v>
      </c>
      <c r="R949" s="655"/>
      <c r="S949" s="75"/>
      <c r="T949" s="655"/>
      <c r="U949" s="75"/>
      <c r="V949" s="655"/>
      <c r="W949" s="144"/>
      <c r="X949" s="549"/>
    </row>
    <row r="950">
      <c r="A950" s="538" t="s">
        <v>3511</v>
      </c>
      <c r="D950" s="692"/>
      <c r="E950" s="574"/>
      <c r="F950" s="574"/>
      <c r="G950" s="574"/>
      <c r="H950" s="574"/>
      <c r="I950" s="574"/>
      <c r="J950" s="576"/>
      <c r="K950" s="576"/>
      <c r="L950" s="683"/>
      <c r="N950" s="122"/>
      <c r="O950" s="546">
        <v>0.0</v>
      </c>
      <c r="P950" s="545">
        <v>0.0</v>
      </c>
      <c r="Q950" s="546">
        <v>0.0</v>
      </c>
      <c r="R950" s="655"/>
      <c r="S950" s="75"/>
      <c r="T950" s="655"/>
      <c r="U950" s="75"/>
      <c r="V950" s="655"/>
      <c r="W950" s="144"/>
      <c r="X950" s="549"/>
    </row>
    <row r="951">
      <c r="A951" s="538" t="s">
        <v>3511</v>
      </c>
      <c r="D951" s="692"/>
      <c r="E951" s="574"/>
      <c r="F951" s="574"/>
      <c r="G951" s="574"/>
      <c r="H951" s="574"/>
      <c r="I951" s="574"/>
      <c r="J951" s="576"/>
      <c r="K951" s="576"/>
      <c r="L951" s="683"/>
      <c r="N951" s="122"/>
      <c r="O951" s="546">
        <v>0.0</v>
      </c>
      <c r="P951" s="545">
        <v>0.0</v>
      </c>
      <c r="Q951" s="546">
        <v>0.0</v>
      </c>
      <c r="R951" s="655"/>
      <c r="S951" s="75"/>
      <c r="T951" s="655"/>
      <c r="U951" s="75"/>
      <c r="V951" s="655"/>
      <c r="W951" s="144"/>
      <c r="X951" s="549"/>
    </row>
    <row r="952">
      <c r="A952" s="538" t="s">
        <v>3511</v>
      </c>
      <c r="D952" s="692"/>
      <c r="E952" s="574"/>
      <c r="F952" s="574"/>
      <c r="G952" s="574"/>
      <c r="H952" s="574"/>
      <c r="I952" s="574"/>
      <c r="J952" s="576"/>
      <c r="K952" s="576"/>
      <c r="L952" s="683"/>
      <c r="N952" s="122"/>
      <c r="O952" s="546">
        <v>0.0</v>
      </c>
      <c r="P952" s="545">
        <v>0.0</v>
      </c>
      <c r="Q952" s="546">
        <v>0.0</v>
      </c>
      <c r="R952" s="655"/>
      <c r="S952" s="75"/>
      <c r="T952" s="655"/>
      <c r="U952" s="75"/>
      <c r="V952" s="655"/>
      <c r="W952" s="144"/>
      <c r="X952" s="549"/>
    </row>
    <row r="953">
      <c r="A953" s="538" t="s">
        <v>3511</v>
      </c>
      <c r="D953" s="692"/>
      <c r="E953" s="574"/>
      <c r="F953" s="574"/>
      <c r="G953" s="574"/>
      <c r="H953" s="574"/>
      <c r="I953" s="574"/>
      <c r="J953" s="576"/>
      <c r="K953" s="576"/>
      <c r="L953" s="683"/>
      <c r="N953" s="122"/>
      <c r="O953" s="546">
        <v>0.0</v>
      </c>
      <c r="P953" s="545">
        <v>0.0</v>
      </c>
      <c r="Q953" s="546">
        <v>0.0</v>
      </c>
      <c r="R953" s="655"/>
      <c r="S953" s="75"/>
      <c r="T953" s="655"/>
      <c r="U953" s="75"/>
      <c r="V953" s="655"/>
      <c r="W953" s="144"/>
      <c r="X953" s="549"/>
    </row>
    <row r="954">
      <c r="A954" s="538" t="s">
        <v>3511</v>
      </c>
      <c r="D954" s="692"/>
      <c r="E954" s="574"/>
      <c r="F954" s="574"/>
      <c r="G954" s="574"/>
      <c r="H954" s="574"/>
      <c r="I954" s="574"/>
      <c r="J954" s="576"/>
      <c r="K954" s="576"/>
      <c r="L954" s="683"/>
      <c r="N954" s="122"/>
      <c r="O954" s="546">
        <v>0.0</v>
      </c>
      <c r="P954" s="545">
        <v>0.0</v>
      </c>
      <c r="Q954" s="546">
        <v>0.0</v>
      </c>
      <c r="R954" s="655"/>
      <c r="S954" s="75"/>
      <c r="T954" s="655"/>
      <c r="U954" s="75"/>
      <c r="V954" s="655"/>
      <c r="W954" s="144"/>
      <c r="X954" s="549"/>
    </row>
    <row r="955">
      <c r="A955" s="538" t="s">
        <v>3511</v>
      </c>
      <c r="D955" s="692"/>
      <c r="E955" s="574"/>
      <c r="F955" s="574"/>
      <c r="G955" s="574"/>
      <c r="H955" s="574"/>
      <c r="I955" s="574"/>
      <c r="J955" s="576"/>
      <c r="K955" s="576"/>
      <c r="L955" s="683"/>
      <c r="N955" s="122"/>
      <c r="O955" s="546">
        <v>0.0</v>
      </c>
      <c r="P955" s="545">
        <v>0.0</v>
      </c>
      <c r="Q955" s="546">
        <v>0.0</v>
      </c>
      <c r="R955" s="655"/>
      <c r="S955" s="75"/>
      <c r="T955" s="655"/>
      <c r="U955" s="75"/>
      <c r="V955" s="655"/>
      <c r="W955" s="144"/>
      <c r="X955" s="549"/>
    </row>
    <row r="956">
      <c r="A956" s="538" t="s">
        <v>3511</v>
      </c>
      <c r="D956" s="692"/>
      <c r="E956" s="574"/>
      <c r="F956" s="574"/>
      <c r="G956" s="574"/>
      <c r="H956" s="574"/>
      <c r="I956" s="574"/>
      <c r="J956" s="576"/>
      <c r="K956" s="576"/>
      <c r="L956" s="683"/>
      <c r="N956" s="122"/>
      <c r="O956" s="546">
        <v>0.0</v>
      </c>
      <c r="P956" s="545">
        <v>0.0</v>
      </c>
      <c r="Q956" s="546">
        <v>0.0</v>
      </c>
      <c r="R956" s="655"/>
      <c r="S956" s="75"/>
      <c r="T956" s="655"/>
      <c r="U956" s="75"/>
      <c r="V956" s="655"/>
      <c r="W956" s="144"/>
      <c r="X956" s="549"/>
    </row>
    <row r="957">
      <c r="A957" s="538" t="s">
        <v>3511</v>
      </c>
      <c r="D957" s="692"/>
      <c r="E957" s="574"/>
      <c r="F957" s="574"/>
      <c r="G957" s="574"/>
      <c r="H957" s="574"/>
      <c r="I957" s="574"/>
      <c r="J957" s="576"/>
      <c r="K957" s="576"/>
      <c r="L957" s="683"/>
      <c r="N957" s="122"/>
      <c r="O957" s="546">
        <v>0.0</v>
      </c>
      <c r="P957" s="545">
        <v>0.0</v>
      </c>
      <c r="Q957" s="546">
        <v>0.0</v>
      </c>
      <c r="R957" s="655"/>
      <c r="S957" s="75"/>
      <c r="T957" s="655"/>
      <c r="U957" s="75"/>
      <c r="V957" s="655"/>
      <c r="W957" s="144"/>
      <c r="X957" s="549"/>
    </row>
    <row r="958">
      <c r="A958" s="538" t="s">
        <v>3511</v>
      </c>
      <c r="D958" s="692"/>
      <c r="E958" s="574"/>
      <c r="F958" s="574"/>
      <c r="G958" s="574"/>
      <c r="H958" s="574"/>
      <c r="I958" s="574"/>
      <c r="J958" s="576"/>
      <c r="K958" s="576"/>
      <c r="L958" s="683"/>
      <c r="N958" s="122"/>
      <c r="O958" s="546">
        <v>0.0</v>
      </c>
      <c r="P958" s="545">
        <v>0.0</v>
      </c>
      <c r="Q958" s="546">
        <v>0.0</v>
      </c>
      <c r="R958" s="655"/>
      <c r="S958" s="75"/>
      <c r="T958" s="655"/>
      <c r="U958" s="75"/>
      <c r="V958" s="655"/>
      <c r="W958" s="144"/>
      <c r="X958" s="549"/>
    </row>
    <row r="959">
      <c r="A959" s="538" t="s">
        <v>3511</v>
      </c>
      <c r="D959" s="692"/>
      <c r="E959" s="574"/>
      <c r="F959" s="574"/>
      <c r="G959" s="574"/>
      <c r="H959" s="574"/>
      <c r="I959" s="574"/>
      <c r="J959" s="576"/>
      <c r="K959" s="576"/>
      <c r="L959" s="683"/>
      <c r="N959" s="122"/>
      <c r="O959" s="546">
        <v>0.0</v>
      </c>
      <c r="P959" s="545">
        <v>0.0</v>
      </c>
      <c r="Q959" s="546">
        <v>0.0</v>
      </c>
      <c r="R959" s="655"/>
      <c r="S959" s="75"/>
      <c r="T959" s="655"/>
      <c r="U959" s="75"/>
      <c r="V959" s="655"/>
      <c r="W959" s="144"/>
      <c r="X959" s="549"/>
    </row>
    <row r="960">
      <c r="A960" s="538" t="s">
        <v>3511</v>
      </c>
      <c r="D960" s="692"/>
      <c r="E960" s="574"/>
      <c r="F960" s="574"/>
      <c r="G960" s="574"/>
      <c r="H960" s="574"/>
      <c r="I960" s="574"/>
      <c r="J960" s="576"/>
      <c r="K960" s="576"/>
      <c r="L960" s="683"/>
      <c r="N960" s="122"/>
      <c r="O960" s="546">
        <v>0.0</v>
      </c>
      <c r="P960" s="545">
        <v>0.0</v>
      </c>
      <c r="Q960" s="546">
        <v>0.0</v>
      </c>
      <c r="R960" s="655"/>
      <c r="S960" s="75"/>
      <c r="T960" s="655"/>
      <c r="U960" s="75"/>
      <c r="V960" s="655"/>
      <c r="W960" s="144"/>
      <c r="X960" s="549"/>
    </row>
    <row r="961">
      <c r="A961" s="538" t="s">
        <v>3511</v>
      </c>
      <c r="D961" s="692"/>
      <c r="E961" s="574"/>
      <c r="F961" s="574"/>
      <c r="G961" s="574"/>
      <c r="H961" s="574"/>
      <c r="I961" s="574"/>
      <c r="J961" s="576"/>
      <c r="K961" s="576"/>
      <c r="L961" s="683"/>
      <c r="N961" s="122"/>
      <c r="O961" s="546">
        <v>0.0</v>
      </c>
      <c r="P961" s="545">
        <v>0.0</v>
      </c>
      <c r="Q961" s="546">
        <v>0.0</v>
      </c>
      <c r="R961" s="655"/>
      <c r="S961" s="75"/>
      <c r="T961" s="655"/>
      <c r="U961" s="75"/>
      <c r="V961" s="655"/>
      <c r="W961" s="144"/>
      <c r="X961" s="549"/>
    </row>
    <row r="962">
      <c r="A962" s="538" t="s">
        <v>3511</v>
      </c>
      <c r="D962" s="692"/>
      <c r="E962" s="574"/>
      <c r="F962" s="574"/>
      <c r="G962" s="574"/>
      <c r="H962" s="574"/>
      <c r="I962" s="574"/>
      <c r="J962" s="576"/>
      <c r="K962" s="576"/>
      <c r="L962" s="683"/>
      <c r="N962" s="122"/>
      <c r="O962" s="546">
        <v>0.0</v>
      </c>
      <c r="P962" s="545">
        <v>0.0</v>
      </c>
      <c r="Q962" s="546">
        <v>0.0</v>
      </c>
      <c r="R962" s="655"/>
      <c r="S962" s="75"/>
      <c r="T962" s="655"/>
      <c r="U962" s="75"/>
      <c r="V962" s="655"/>
      <c r="W962" s="144"/>
      <c r="X962" s="549"/>
    </row>
    <row r="963">
      <c r="A963" s="538" t="s">
        <v>3511</v>
      </c>
      <c r="D963" s="692"/>
      <c r="E963" s="574"/>
      <c r="F963" s="574"/>
      <c r="G963" s="574"/>
      <c r="H963" s="574"/>
      <c r="I963" s="574"/>
      <c r="J963" s="576"/>
      <c r="K963" s="576"/>
      <c r="L963" s="683"/>
      <c r="N963" s="122"/>
      <c r="O963" s="546">
        <v>0.0</v>
      </c>
      <c r="P963" s="545">
        <v>0.0</v>
      </c>
      <c r="Q963" s="546">
        <v>0.0</v>
      </c>
      <c r="R963" s="655"/>
      <c r="S963" s="75"/>
      <c r="T963" s="655"/>
      <c r="U963" s="75"/>
      <c r="V963" s="655"/>
      <c r="W963" s="144"/>
      <c r="X963" s="549"/>
    </row>
    <row r="964">
      <c r="A964" s="538" t="s">
        <v>3511</v>
      </c>
      <c r="D964" s="692"/>
      <c r="E964" s="574"/>
      <c r="F964" s="574"/>
      <c r="G964" s="574"/>
      <c r="H964" s="574"/>
      <c r="I964" s="574"/>
      <c r="J964" s="576"/>
      <c r="K964" s="576"/>
      <c r="L964" s="683"/>
      <c r="N964" s="122"/>
      <c r="O964" s="546">
        <v>0.0</v>
      </c>
      <c r="P964" s="545">
        <v>0.0</v>
      </c>
      <c r="Q964" s="546">
        <v>0.0</v>
      </c>
      <c r="R964" s="655"/>
      <c r="S964" s="75"/>
      <c r="T964" s="655"/>
      <c r="U964" s="75"/>
      <c r="V964" s="655"/>
      <c r="W964" s="144"/>
      <c r="X964" s="549"/>
    </row>
    <row r="965">
      <c r="A965" s="538" t="s">
        <v>3511</v>
      </c>
      <c r="D965" s="692"/>
      <c r="E965" s="574"/>
      <c r="F965" s="574"/>
      <c r="G965" s="574"/>
      <c r="H965" s="574"/>
      <c r="I965" s="574"/>
      <c r="J965" s="576"/>
      <c r="K965" s="576"/>
      <c r="L965" s="683"/>
      <c r="N965" s="122"/>
      <c r="O965" s="546">
        <v>0.0</v>
      </c>
      <c r="P965" s="545">
        <v>0.0</v>
      </c>
      <c r="Q965" s="546">
        <v>0.0</v>
      </c>
      <c r="R965" s="655"/>
      <c r="S965" s="75"/>
      <c r="T965" s="655"/>
      <c r="U965" s="75"/>
      <c r="V965" s="655"/>
      <c r="W965" s="144"/>
      <c r="X965" s="549"/>
    </row>
    <row r="966">
      <c r="A966" s="538" t="s">
        <v>3511</v>
      </c>
      <c r="D966" s="692"/>
      <c r="E966" s="574"/>
      <c r="F966" s="574"/>
      <c r="G966" s="574"/>
      <c r="H966" s="574"/>
      <c r="I966" s="574"/>
      <c r="J966" s="576"/>
      <c r="K966" s="576"/>
      <c r="L966" s="683"/>
      <c r="N966" s="122"/>
      <c r="O966" s="546">
        <v>0.0</v>
      </c>
      <c r="P966" s="545">
        <v>0.0</v>
      </c>
      <c r="Q966" s="546">
        <v>0.0</v>
      </c>
      <c r="R966" s="655"/>
      <c r="S966" s="75"/>
      <c r="T966" s="655"/>
      <c r="U966" s="75"/>
      <c r="V966" s="655"/>
      <c r="W966" s="144"/>
      <c r="X966" s="549"/>
    </row>
    <row r="967">
      <c r="A967" s="538" t="s">
        <v>3511</v>
      </c>
      <c r="D967" s="692"/>
      <c r="E967" s="574"/>
      <c r="F967" s="574"/>
      <c r="G967" s="574"/>
      <c r="H967" s="574"/>
      <c r="I967" s="574"/>
      <c r="J967" s="576"/>
      <c r="K967" s="576"/>
      <c r="L967" s="683"/>
      <c r="N967" s="122"/>
      <c r="O967" s="546">
        <v>0.0</v>
      </c>
      <c r="P967" s="545">
        <v>0.0</v>
      </c>
      <c r="Q967" s="546">
        <v>0.0</v>
      </c>
      <c r="R967" s="655"/>
      <c r="S967" s="75"/>
      <c r="T967" s="655"/>
      <c r="U967" s="75"/>
      <c r="V967" s="655"/>
      <c r="W967" s="144"/>
      <c r="X967" s="549"/>
    </row>
    <row r="968">
      <c r="A968" s="538" t="s">
        <v>3511</v>
      </c>
      <c r="D968" s="692"/>
      <c r="E968" s="574"/>
      <c r="F968" s="574"/>
      <c r="G968" s="574"/>
      <c r="H968" s="574"/>
      <c r="I968" s="574"/>
      <c r="J968" s="576"/>
      <c r="K968" s="576"/>
      <c r="L968" s="683"/>
      <c r="N968" s="122"/>
      <c r="O968" s="546">
        <v>0.0</v>
      </c>
      <c r="P968" s="545">
        <v>0.0</v>
      </c>
      <c r="Q968" s="546">
        <v>0.0</v>
      </c>
      <c r="R968" s="655"/>
      <c r="S968" s="75"/>
      <c r="T968" s="655"/>
      <c r="U968" s="75"/>
      <c r="V968" s="655"/>
      <c r="W968" s="144"/>
      <c r="X968" s="549"/>
    </row>
    <row r="969">
      <c r="A969" s="538" t="s">
        <v>3511</v>
      </c>
      <c r="D969" s="692"/>
      <c r="E969" s="574"/>
      <c r="F969" s="574"/>
      <c r="G969" s="574"/>
      <c r="H969" s="574"/>
      <c r="I969" s="574"/>
      <c r="J969" s="576"/>
      <c r="K969" s="576"/>
      <c r="L969" s="683"/>
      <c r="N969" s="122"/>
      <c r="O969" s="546">
        <v>0.0</v>
      </c>
      <c r="P969" s="545">
        <v>0.0</v>
      </c>
      <c r="Q969" s="546">
        <v>0.0</v>
      </c>
      <c r="R969" s="655"/>
      <c r="S969" s="75"/>
      <c r="T969" s="655"/>
      <c r="U969" s="75"/>
      <c r="V969" s="655"/>
      <c r="W969" s="144"/>
      <c r="X969" s="549"/>
    </row>
    <row r="970">
      <c r="A970" s="538" t="s">
        <v>3511</v>
      </c>
      <c r="D970" s="692"/>
      <c r="E970" s="574"/>
      <c r="F970" s="574"/>
      <c r="G970" s="574"/>
      <c r="H970" s="574"/>
      <c r="I970" s="574"/>
      <c r="J970" s="576"/>
      <c r="K970" s="576"/>
      <c r="L970" s="683"/>
      <c r="N970" s="122"/>
      <c r="O970" s="546">
        <v>0.0</v>
      </c>
      <c r="P970" s="545">
        <v>0.0</v>
      </c>
      <c r="Q970" s="546">
        <v>0.0</v>
      </c>
      <c r="R970" s="655"/>
      <c r="S970" s="75"/>
      <c r="T970" s="655"/>
      <c r="U970" s="75"/>
      <c r="V970" s="655"/>
      <c r="W970" s="144"/>
      <c r="X970" s="549"/>
    </row>
    <row r="971">
      <c r="A971" s="538" t="s">
        <v>3511</v>
      </c>
      <c r="D971" s="692"/>
      <c r="E971" s="574"/>
      <c r="F971" s="574"/>
      <c r="G971" s="574"/>
      <c r="H971" s="574"/>
      <c r="I971" s="574"/>
      <c r="J971" s="576"/>
      <c r="K971" s="576"/>
      <c r="L971" s="683"/>
      <c r="N971" s="122"/>
      <c r="O971" s="546">
        <v>0.0</v>
      </c>
      <c r="P971" s="545">
        <v>0.0</v>
      </c>
      <c r="Q971" s="546">
        <v>0.0</v>
      </c>
      <c r="R971" s="655"/>
      <c r="S971" s="75"/>
      <c r="T971" s="655"/>
      <c r="U971" s="75"/>
      <c r="V971" s="655"/>
      <c r="W971" s="144"/>
      <c r="X971" s="549"/>
    </row>
    <row r="972">
      <c r="A972" s="538" t="s">
        <v>3511</v>
      </c>
      <c r="D972" s="692"/>
      <c r="E972" s="574"/>
      <c r="F972" s="574"/>
      <c r="G972" s="574"/>
      <c r="H972" s="574"/>
      <c r="I972" s="574"/>
      <c r="J972" s="576"/>
      <c r="K972" s="576"/>
      <c r="L972" s="683"/>
      <c r="N972" s="122"/>
      <c r="O972" s="546">
        <v>0.0</v>
      </c>
      <c r="P972" s="545">
        <v>0.0</v>
      </c>
      <c r="Q972" s="546">
        <v>0.0</v>
      </c>
      <c r="R972" s="655"/>
      <c r="S972" s="75"/>
      <c r="T972" s="655"/>
      <c r="U972" s="75"/>
      <c r="V972" s="655"/>
      <c r="W972" s="144"/>
      <c r="X972" s="549"/>
    </row>
    <row r="973">
      <c r="A973" s="538" t="s">
        <v>3511</v>
      </c>
      <c r="D973" s="692"/>
      <c r="E973" s="574"/>
      <c r="F973" s="574"/>
      <c r="G973" s="574"/>
      <c r="H973" s="574"/>
      <c r="I973" s="574"/>
      <c r="J973" s="576"/>
      <c r="K973" s="576"/>
      <c r="L973" s="683"/>
      <c r="N973" s="122"/>
      <c r="O973" s="546">
        <v>0.0</v>
      </c>
      <c r="P973" s="545">
        <v>0.0</v>
      </c>
      <c r="Q973" s="546">
        <v>0.0</v>
      </c>
      <c r="R973" s="655"/>
      <c r="S973" s="75"/>
      <c r="T973" s="655"/>
      <c r="U973" s="75"/>
      <c r="V973" s="655"/>
      <c r="W973" s="144"/>
      <c r="X973" s="549"/>
    </row>
    <row r="974">
      <c r="A974" s="538" t="s">
        <v>3511</v>
      </c>
      <c r="D974" s="692"/>
      <c r="E974" s="574"/>
      <c r="F974" s="574"/>
      <c r="G974" s="574"/>
      <c r="H974" s="574"/>
      <c r="I974" s="574"/>
      <c r="J974" s="576"/>
      <c r="K974" s="576"/>
      <c r="L974" s="683"/>
      <c r="N974" s="122"/>
      <c r="O974" s="546">
        <v>0.0</v>
      </c>
      <c r="P974" s="545">
        <v>0.0</v>
      </c>
      <c r="Q974" s="546">
        <v>0.0</v>
      </c>
      <c r="R974" s="655"/>
      <c r="S974" s="75"/>
      <c r="T974" s="655"/>
      <c r="U974" s="75"/>
      <c r="V974" s="655"/>
      <c r="W974" s="144"/>
      <c r="X974" s="549"/>
    </row>
    <row r="975">
      <c r="A975" s="538" t="s">
        <v>3511</v>
      </c>
      <c r="D975" s="692"/>
      <c r="E975" s="574"/>
      <c r="F975" s="574"/>
      <c r="G975" s="574"/>
      <c r="H975" s="574"/>
      <c r="I975" s="574"/>
      <c r="J975" s="576"/>
      <c r="K975" s="576"/>
      <c r="L975" s="683"/>
      <c r="N975" s="122"/>
      <c r="O975" s="546">
        <v>0.0</v>
      </c>
      <c r="P975" s="545">
        <v>0.0</v>
      </c>
      <c r="Q975" s="546">
        <v>0.0</v>
      </c>
      <c r="R975" s="655"/>
      <c r="S975" s="75"/>
      <c r="T975" s="655"/>
      <c r="U975" s="75"/>
      <c r="V975" s="655"/>
      <c r="W975" s="144"/>
      <c r="X975" s="549"/>
    </row>
    <row r="976">
      <c r="A976" s="538" t="s">
        <v>3511</v>
      </c>
      <c r="D976" s="692"/>
      <c r="E976" s="574"/>
      <c r="F976" s="574"/>
      <c r="G976" s="574"/>
      <c r="H976" s="574"/>
      <c r="I976" s="574"/>
      <c r="J976" s="576"/>
      <c r="K976" s="576"/>
      <c r="L976" s="683"/>
      <c r="N976" s="122"/>
      <c r="O976" s="546">
        <v>0.0</v>
      </c>
      <c r="P976" s="545">
        <v>0.0</v>
      </c>
      <c r="Q976" s="546">
        <v>0.0</v>
      </c>
      <c r="R976" s="655"/>
      <c r="S976" s="75"/>
      <c r="T976" s="655"/>
      <c r="U976" s="75"/>
      <c r="V976" s="655"/>
      <c r="W976" s="144"/>
      <c r="X976" s="549"/>
    </row>
    <row r="977">
      <c r="A977" s="538" t="s">
        <v>3511</v>
      </c>
      <c r="D977" s="692"/>
      <c r="E977" s="574"/>
      <c r="F977" s="574"/>
      <c r="G977" s="574"/>
      <c r="H977" s="574"/>
      <c r="I977" s="574"/>
      <c r="J977" s="576"/>
      <c r="K977" s="576"/>
      <c r="L977" s="683"/>
      <c r="N977" s="122"/>
      <c r="O977" s="546">
        <v>0.0</v>
      </c>
      <c r="P977" s="545">
        <v>0.0</v>
      </c>
      <c r="Q977" s="546">
        <v>0.0</v>
      </c>
      <c r="R977" s="655"/>
      <c r="S977" s="75"/>
      <c r="T977" s="655"/>
      <c r="U977" s="75"/>
      <c r="V977" s="655"/>
      <c r="W977" s="144"/>
      <c r="X977" s="549"/>
    </row>
    <row r="978">
      <c r="A978" s="538" t="s">
        <v>3511</v>
      </c>
      <c r="D978" s="692"/>
      <c r="E978" s="574"/>
      <c r="F978" s="574"/>
      <c r="G978" s="574"/>
      <c r="H978" s="574"/>
      <c r="I978" s="574"/>
      <c r="J978" s="576"/>
      <c r="K978" s="576"/>
      <c r="L978" s="683"/>
      <c r="N978" s="122"/>
      <c r="O978" s="546">
        <v>0.0</v>
      </c>
      <c r="P978" s="545">
        <v>0.0</v>
      </c>
      <c r="Q978" s="546">
        <v>0.0</v>
      </c>
      <c r="R978" s="655"/>
      <c r="S978" s="75"/>
      <c r="T978" s="655"/>
      <c r="U978" s="75"/>
      <c r="V978" s="655"/>
      <c r="W978" s="144"/>
      <c r="X978" s="549"/>
    </row>
    <row r="979">
      <c r="A979" s="538" t="s">
        <v>3511</v>
      </c>
      <c r="D979" s="692"/>
      <c r="E979" s="574"/>
      <c r="F979" s="574"/>
      <c r="G979" s="574"/>
      <c r="H979" s="574"/>
      <c r="I979" s="574"/>
      <c r="J979" s="576"/>
      <c r="K979" s="576"/>
      <c r="L979" s="683"/>
      <c r="N979" s="122"/>
      <c r="O979" s="546">
        <v>0.0</v>
      </c>
      <c r="P979" s="545">
        <v>0.0</v>
      </c>
      <c r="Q979" s="546">
        <v>0.0</v>
      </c>
      <c r="R979" s="655"/>
      <c r="S979" s="75"/>
      <c r="T979" s="655"/>
      <c r="U979" s="75"/>
      <c r="V979" s="655"/>
      <c r="W979" s="144"/>
      <c r="X979" s="549"/>
    </row>
    <row r="980">
      <c r="A980" s="538" t="s">
        <v>3511</v>
      </c>
      <c r="D980" s="692"/>
      <c r="E980" s="574"/>
      <c r="F980" s="574"/>
      <c r="G980" s="574"/>
      <c r="H980" s="574"/>
      <c r="I980" s="574"/>
      <c r="J980" s="576"/>
      <c r="K980" s="576"/>
      <c r="L980" s="683"/>
      <c r="N980" s="122"/>
      <c r="O980" s="546">
        <v>0.0</v>
      </c>
      <c r="P980" s="545">
        <v>0.0</v>
      </c>
      <c r="Q980" s="546">
        <v>0.0</v>
      </c>
      <c r="R980" s="655"/>
      <c r="S980" s="75"/>
      <c r="T980" s="655"/>
      <c r="U980" s="75"/>
      <c r="V980" s="655"/>
      <c r="W980" s="144"/>
      <c r="X980" s="549"/>
    </row>
    <row r="981">
      <c r="A981" s="538" t="s">
        <v>3511</v>
      </c>
      <c r="D981" s="692"/>
      <c r="E981" s="574"/>
      <c r="F981" s="574"/>
      <c r="G981" s="574"/>
      <c r="H981" s="574"/>
      <c r="I981" s="574"/>
      <c r="J981" s="576"/>
      <c r="K981" s="576"/>
      <c r="L981" s="683"/>
      <c r="N981" s="122"/>
      <c r="O981" s="546">
        <v>0.0</v>
      </c>
      <c r="P981" s="545">
        <v>0.0</v>
      </c>
      <c r="Q981" s="546">
        <v>0.0</v>
      </c>
      <c r="R981" s="655"/>
      <c r="S981" s="75"/>
      <c r="T981" s="655"/>
      <c r="U981" s="75"/>
      <c r="V981" s="655"/>
      <c r="W981" s="144"/>
      <c r="X981" s="549"/>
    </row>
    <row r="982">
      <c r="A982" s="538" t="s">
        <v>3511</v>
      </c>
      <c r="D982" s="692"/>
      <c r="E982" s="574"/>
      <c r="F982" s="574"/>
      <c r="G982" s="574"/>
      <c r="H982" s="574"/>
      <c r="I982" s="574"/>
      <c r="J982" s="576"/>
      <c r="K982" s="576"/>
      <c r="L982" s="683"/>
      <c r="N982" s="122"/>
      <c r="O982" s="546">
        <v>0.0</v>
      </c>
      <c r="P982" s="545">
        <v>0.0</v>
      </c>
      <c r="Q982" s="546">
        <v>0.0</v>
      </c>
      <c r="R982" s="655"/>
      <c r="S982" s="75"/>
      <c r="T982" s="655"/>
      <c r="U982" s="75"/>
      <c r="V982" s="655"/>
      <c r="W982" s="144"/>
      <c r="X982" s="549"/>
    </row>
    <row r="983">
      <c r="A983" s="538" t="s">
        <v>3511</v>
      </c>
      <c r="D983" s="692"/>
      <c r="E983" s="574"/>
      <c r="F983" s="574"/>
      <c r="G983" s="574"/>
      <c r="H983" s="574"/>
      <c r="I983" s="574"/>
      <c r="J983" s="576"/>
      <c r="K983" s="576"/>
      <c r="L983" s="683"/>
      <c r="N983" s="122"/>
      <c r="O983" s="546">
        <v>0.0</v>
      </c>
      <c r="P983" s="545">
        <v>0.0</v>
      </c>
      <c r="Q983" s="546">
        <v>0.0</v>
      </c>
      <c r="R983" s="655"/>
      <c r="S983" s="75"/>
      <c r="T983" s="655"/>
      <c r="U983" s="75"/>
      <c r="V983" s="655"/>
      <c r="W983" s="144"/>
      <c r="X983" s="549"/>
    </row>
    <row r="984">
      <c r="A984" s="538" t="s">
        <v>3511</v>
      </c>
      <c r="D984" s="692"/>
      <c r="E984" s="574"/>
      <c r="F984" s="574"/>
      <c r="G984" s="574"/>
      <c r="H984" s="574"/>
      <c r="I984" s="574"/>
      <c r="J984" s="576"/>
      <c r="K984" s="576"/>
      <c r="L984" s="683"/>
      <c r="N984" s="122"/>
      <c r="O984" s="546">
        <v>0.0</v>
      </c>
      <c r="P984" s="545">
        <v>0.0</v>
      </c>
      <c r="Q984" s="546">
        <v>0.0</v>
      </c>
      <c r="R984" s="655"/>
      <c r="S984" s="75"/>
      <c r="T984" s="655"/>
      <c r="U984" s="75"/>
      <c r="V984" s="655"/>
      <c r="W984" s="144"/>
      <c r="X984" s="549"/>
    </row>
    <row r="985">
      <c r="A985" s="538" t="s">
        <v>3511</v>
      </c>
      <c r="D985" s="692"/>
      <c r="E985" s="574"/>
      <c r="F985" s="574"/>
      <c r="G985" s="574"/>
      <c r="H985" s="574"/>
      <c r="I985" s="574"/>
      <c r="J985" s="576"/>
      <c r="K985" s="576"/>
      <c r="L985" s="683"/>
      <c r="N985" s="122"/>
      <c r="O985" s="546">
        <v>0.0</v>
      </c>
      <c r="P985" s="545">
        <v>0.0</v>
      </c>
      <c r="Q985" s="546">
        <v>0.0</v>
      </c>
      <c r="R985" s="655"/>
      <c r="S985" s="75"/>
      <c r="T985" s="655"/>
      <c r="U985" s="75"/>
      <c r="V985" s="655"/>
      <c r="W985" s="144"/>
      <c r="X985" s="549"/>
    </row>
    <row r="986">
      <c r="A986" s="538" t="s">
        <v>3511</v>
      </c>
      <c r="D986" s="692"/>
      <c r="E986" s="574"/>
      <c r="F986" s="574"/>
      <c r="G986" s="574"/>
      <c r="H986" s="574"/>
      <c r="I986" s="574"/>
      <c r="J986" s="576"/>
      <c r="K986" s="576"/>
      <c r="L986" s="683"/>
      <c r="N986" s="122"/>
      <c r="O986" s="546">
        <v>0.0</v>
      </c>
      <c r="P986" s="545">
        <v>0.0</v>
      </c>
      <c r="Q986" s="546">
        <v>0.0</v>
      </c>
      <c r="R986" s="655"/>
      <c r="S986" s="75"/>
      <c r="T986" s="655"/>
      <c r="U986" s="75"/>
      <c r="V986" s="655"/>
      <c r="W986" s="144"/>
      <c r="X986" s="549"/>
    </row>
    <row r="987">
      <c r="A987" s="538" t="s">
        <v>3511</v>
      </c>
      <c r="D987" s="692"/>
      <c r="E987" s="574"/>
      <c r="F987" s="574"/>
      <c r="G987" s="574"/>
      <c r="H987" s="574"/>
      <c r="I987" s="574"/>
      <c r="J987" s="576"/>
      <c r="K987" s="576"/>
      <c r="L987" s="683"/>
      <c r="N987" s="122"/>
      <c r="O987" s="546">
        <v>0.0</v>
      </c>
      <c r="P987" s="545">
        <v>0.0</v>
      </c>
      <c r="Q987" s="546">
        <v>0.0</v>
      </c>
      <c r="R987" s="655"/>
      <c r="S987" s="75"/>
      <c r="T987" s="655"/>
      <c r="U987" s="75"/>
      <c r="V987" s="655"/>
      <c r="W987" s="144"/>
      <c r="X987" s="549"/>
    </row>
  </sheetData>
  <autoFilter ref="$A$1:$Z$987"/>
  <mergeCells count="4">
    <mergeCell ref="D3:D4"/>
    <mergeCell ref="E3:E4"/>
    <mergeCell ref="F3:F4"/>
    <mergeCell ref="H3:H4"/>
  </mergeCells>
  <conditionalFormatting sqref="B293">
    <cfRule type="expression" dxfId="2" priority="1">
      <formula>$B293="컨펌 필요"</formula>
    </cfRule>
  </conditionalFormatting>
  <conditionalFormatting sqref="B293">
    <cfRule type="expression" dxfId="3" priority="2">
      <formula>$B293="발송 예정"</formula>
    </cfRule>
  </conditionalFormatting>
  <conditionalFormatting sqref="B293">
    <cfRule type="expression" dxfId="4" priority="3">
      <formula>$B293="진행 중"</formula>
    </cfRule>
  </conditionalFormatting>
  <conditionalFormatting sqref="B293">
    <cfRule type="expression" dxfId="5" priority="4">
      <formula>$B293="계약 완료"</formula>
    </cfRule>
  </conditionalFormatting>
  <conditionalFormatting sqref="B293">
    <cfRule type="expression" dxfId="6" priority="5">
      <formula>$B293="제외"</formula>
    </cfRule>
  </conditionalFormatting>
  <conditionalFormatting sqref="B293">
    <cfRule type="expression" dxfId="7" priority="6">
      <formula>$B293="보류"</formula>
    </cfRule>
  </conditionalFormatting>
  <conditionalFormatting sqref="B293">
    <cfRule type="expression" dxfId="6" priority="7">
      <formula>$B293="거절"</formula>
    </cfRule>
  </conditionalFormatting>
  <conditionalFormatting sqref="F292:F293">
    <cfRule type="expression" dxfId="1" priority="8">
      <formula>countif(F:F, F:F) &gt; 1</formula>
    </cfRule>
  </conditionalFormatting>
  <conditionalFormatting sqref="D2:Z987">
    <cfRule type="expression" dxfId="8" priority="9">
      <formula>$W2="거절"</formula>
    </cfRule>
  </conditionalFormatting>
  <conditionalFormatting sqref="D2:Z987">
    <cfRule type="expression" dxfId="9" priority="10">
      <formula>$W2="응답"</formula>
    </cfRule>
  </conditionalFormatting>
  <conditionalFormatting sqref="D2:Z987">
    <cfRule type="expression" dxfId="10" priority="11">
      <formula>$W2="읽씹"</formula>
    </cfRule>
  </conditionalFormatting>
  <conditionalFormatting sqref="D2:Z987">
    <cfRule type="expression" dxfId="11" priority="12">
      <formula>$W2="무응답"</formula>
    </cfRule>
  </conditionalFormatting>
  <conditionalFormatting sqref="D2:Z987">
    <cfRule type="expression" dxfId="8" priority="13">
      <formula>$U2="거절"</formula>
    </cfRule>
  </conditionalFormatting>
  <conditionalFormatting sqref="D2:Z987">
    <cfRule type="expression" dxfId="10" priority="14">
      <formula>$U2="읽씹"</formula>
    </cfRule>
  </conditionalFormatting>
  <conditionalFormatting sqref="D2:Z987">
    <cfRule type="expression" dxfId="9" priority="15">
      <formula>$U2="응답"</formula>
    </cfRule>
  </conditionalFormatting>
  <conditionalFormatting sqref="D2:Z987">
    <cfRule type="expression" dxfId="11" priority="16">
      <formula>$U2="무응답"</formula>
    </cfRule>
  </conditionalFormatting>
  <conditionalFormatting sqref="D2:Z987">
    <cfRule type="expression" dxfId="8" priority="17">
      <formula>$S2="거절"</formula>
    </cfRule>
  </conditionalFormatting>
  <conditionalFormatting sqref="D2:Z987">
    <cfRule type="expression" dxfId="12" priority="18">
      <formula>$S2="읽씹"</formula>
    </cfRule>
  </conditionalFormatting>
  <conditionalFormatting sqref="D2:Z987">
    <cfRule type="expression" dxfId="9" priority="19">
      <formula>$S2="응답"</formula>
    </cfRule>
  </conditionalFormatting>
  <conditionalFormatting sqref="D2:Z987">
    <cfRule type="expression" dxfId="11" priority="20">
      <formula>$S2="무응답"</formula>
    </cfRule>
  </conditionalFormatting>
  <conditionalFormatting sqref="D2:D248 E2:L987 Z249 D250:D987">
    <cfRule type="containsBlanks" dxfId="0" priority="21">
      <formula>LEN(TRIM(D2))=0</formula>
    </cfRule>
  </conditionalFormatting>
  <conditionalFormatting sqref="D2:D248 E2:L987 Z249 D250:D987">
    <cfRule type="notContainsBlanks" dxfId="0" priority="22">
      <formula>LEN(TRIM(D2))&gt;0</formula>
    </cfRule>
  </conditionalFormatting>
  <dataValidations>
    <dataValidation type="list" allowBlank="1" showErrorMessage="1" sqref="X2:X987">
      <formula1>"진행 중,미팅 완료,계약 완료,보류,거절"</formula1>
    </dataValidation>
    <dataValidation type="list" allowBlank="1" sqref="H102">
      <formula1>"O,X"</formula1>
    </dataValidation>
    <dataValidation type="list" allowBlank="1" showErrorMessage="1" sqref="S2:S987 U2:U987 W2:W987">
      <formula1>"무응답,읽씹,응답,거절"</formula1>
    </dataValidation>
    <dataValidation type="list" allowBlank="1" sqref="C2:C6 C10:C33">
      <formula1>"타이탄/앤잡/코주부 강사,타 플랫폼 현역,거절 의사,비활성 6개월+,수익화 불가,중복,연락처 없음,시기상조"</formula1>
    </dataValidation>
    <dataValidation type="list" allowBlank="1" sqref="H2:H3 H5:H101 H103:H145 H147:H206 H235:H246 H268:H279">
      <formula1>"O,X"</formula1>
    </dataValidation>
    <dataValidation type="list" allowBlank="1" showErrorMessage="1" sqref="B289">
      <formula1>"미검토,컨펌 필요,발송 예정,진행 중,계약 완료,제외,보류,거절"</formula1>
    </dataValidation>
    <dataValidation type="list" allowBlank="1" showErrorMessage="1" sqref="B2:B288 B290:B293">
      <formula1>"미검토,컨펌 필요,발송 예정,진행 중,계약 완료,제외,보류,거절"</formula1>
    </dataValidation>
  </dataValidations>
  <hyperlinks>
    <hyperlink r:id="rId2" ref="G2"/>
    <hyperlink r:id="rId3" ref="J2"/>
    <hyperlink r:id="rId4" ref="G3"/>
    <hyperlink r:id="rId5" ref="J3"/>
    <hyperlink r:id="rId6" ref="K3"/>
    <hyperlink r:id="rId7" ref="G4"/>
    <hyperlink r:id="rId8" ref="G5"/>
    <hyperlink r:id="rId9" ref="M5"/>
    <hyperlink r:id="rId10" ref="G6"/>
    <hyperlink r:id="rId11" ref="J6"/>
    <hyperlink r:id="rId12" ref="M6"/>
    <hyperlink r:id="rId13" ref="G7"/>
    <hyperlink r:id="rId14" ref="J7"/>
    <hyperlink r:id="rId15" ref="K7"/>
    <hyperlink r:id="rId16" ref="L7"/>
    <hyperlink r:id="rId17" ref="G8"/>
    <hyperlink r:id="rId18" ref="I8"/>
    <hyperlink r:id="rId19" ref="K8"/>
    <hyperlink r:id="rId20" ref="G9"/>
    <hyperlink r:id="rId21" ref="I9"/>
    <hyperlink r:id="rId22" ref="J9"/>
    <hyperlink r:id="rId23" ref="K9"/>
    <hyperlink r:id="rId24" ref="G10"/>
    <hyperlink r:id="rId25" ref="J10"/>
    <hyperlink r:id="rId26" ref="K10"/>
    <hyperlink r:id="rId27" ref="J11"/>
    <hyperlink r:id="rId28" ref="K11"/>
    <hyperlink r:id="rId29" ref="G12"/>
    <hyperlink r:id="rId30" ref="J12"/>
    <hyperlink r:id="rId31" ref="K12"/>
    <hyperlink r:id="rId32" ref="G13"/>
    <hyperlink r:id="rId33" ref="J13"/>
    <hyperlink r:id="rId34" ref="K13"/>
    <hyperlink r:id="rId35" ref="G14"/>
    <hyperlink r:id="rId36" ref="I14"/>
    <hyperlink r:id="rId37" ref="J14"/>
    <hyperlink r:id="rId38" ref="K14"/>
    <hyperlink r:id="rId39" ref="G15"/>
    <hyperlink r:id="rId40" ref="I15"/>
    <hyperlink r:id="rId41" ref="J15"/>
    <hyperlink r:id="rId42" ref="K15"/>
    <hyperlink r:id="rId43" ref="G16"/>
    <hyperlink r:id="rId44" ref="J16"/>
    <hyperlink r:id="rId45" ref="J17"/>
    <hyperlink r:id="rId46" ref="K17"/>
    <hyperlink r:id="rId47" ref="J18"/>
    <hyperlink r:id="rId48" ref="K18"/>
    <hyperlink r:id="rId49" ref="I19"/>
    <hyperlink r:id="rId50" ref="J19"/>
    <hyperlink r:id="rId51" ref="G20"/>
    <hyperlink r:id="rId52" ref="I20"/>
    <hyperlink r:id="rId53" ref="J20"/>
    <hyperlink r:id="rId54" ref="K20"/>
    <hyperlink r:id="rId55" ref="G21"/>
    <hyperlink r:id="rId56" ref="J21"/>
    <hyperlink r:id="rId57" ref="J22"/>
    <hyperlink r:id="rId58" ref="G23"/>
    <hyperlink r:id="rId59" ref="J23"/>
    <hyperlink r:id="rId60" ref="G24"/>
    <hyperlink r:id="rId61" ref="J24"/>
    <hyperlink r:id="rId62" ref="G25"/>
    <hyperlink r:id="rId63" ref="J25"/>
    <hyperlink r:id="rId64" ref="G26"/>
    <hyperlink r:id="rId65" ref="K26"/>
    <hyperlink r:id="rId66" ref="G27"/>
    <hyperlink r:id="rId67" ref="J27"/>
    <hyperlink r:id="rId68" ref="K27"/>
    <hyperlink r:id="rId69" ref="G28"/>
    <hyperlink r:id="rId70" ref="I28"/>
    <hyperlink r:id="rId71" ref="J28"/>
    <hyperlink r:id="rId72" ref="K28"/>
    <hyperlink r:id="rId73" ref="J29"/>
    <hyperlink r:id="rId74" ref="J30"/>
    <hyperlink r:id="rId75" ref="K30"/>
    <hyperlink r:id="rId76" ref="G31"/>
    <hyperlink r:id="rId77" ref="J31"/>
    <hyperlink r:id="rId78" ref="G32"/>
    <hyperlink r:id="rId79" ref="I32"/>
    <hyperlink r:id="rId80" ref="J32"/>
    <hyperlink r:id="rId81" ref="K32"/>
    <hyperlink r:id="rId82" ref="G33"/>
    <hyperlink r:id="rId83" ref="I33"/>
    <hyperlink r:id="rId84" ref="J33"/>
    <hyperlink r:id="rId85" ref="G34"/>
    <hyperlink r:id="rId86" ref="J34"/>
    <hyperlink r:id="rId87" ref="M34"/>
    <hyperlink r:id="rId88" ref="G35"/>
    <hyperlink r:id="rId89" ref="J35"/>
    <hyperlink r:id="rId90" ref="M35"/>
    <hyperlink r:id="rId91" ref="G36"/>
    <hyperlink r:id="rId92" ref="I36"/>
    <hyperlink r:id="rId93" ref="J36"/>
    <hyperlink r:id="rId94" ref="K36"/>
    <hyperlink r:id="rId95" ref="L36"/>
    <hyperlink r:id="rId96" ref="M36"/>
    <hyperlink r:id="rId97" ref="G37"/>
    <hyperlink r:id="rId98" ref="J37"/>
    <hyperlink r:id="rId99" ref="K37"/>
    <hyperlink r:id="rId100" ref="G38"/>
    <hyperlink r:id="rId101" ref="K38"/>
    <hyperlink r:id="rId102" ref="G39"/>
    <hyperlink r:id="rId103" ref="J39"/>
    <hyperlink r:id="rId104" ref="K39"/>
    <hyperlink r:id="rId105" ref="L39"/>
    <hyperlink r:id="rId106" ref="G40"/>
    <hyperlink r:id="rId107" ref="I40"/>
    <hyperlink r:id="rId108" ref="K40"/>
    <hyperlink r:id="rId109" ref="G41"/>
    <hyperlink r:id="rId110" ref="I41"/>
    <hyperlink r:id="rId111" ref="J41"/>
    <hyperlink r:id="rId112" ref="K41"/>
    <hyperlink r:id="rId113" ref="G42"/>
    <hyperlink r:id="rId114" ref="I42"/>
    <hyperlink r:id="rId115" ref="K42"/>
    <hyperlink r:id="rId116" ref="G43"/>
    <hyperlink r:id="rId117" ref="I43"/>
    <hyperlink r:id="rId118" ref="J43"/>
    <hyperlink r:id="rId119" ref="K43"/>
    <hyperlink r:id="rId120" ref="G44"/>
    <hyperlink r:id="rId121" ref="J44"/>
    <hyperlink r:id="rId122" ref="K44"/>
    <hyperlink r:id="rId123" ref="G45"/>
    <hyperlink r:id="rId124" ref="I45"/>
    <hyperlink r:id="rId125" ref="J45"/>
    <hyperlink r:id="rId126" ref="G46"/>
    <hyperlink r:id="rId127" ref="I46"/>
    <hyperlink r:id="rId128" ref="J46"/>
    <hyperlink r:id="rId129" ref="K46"/>
    <hyperlink r:id="rId130" ref="G47"/>
    <hyperlink r:id="rId131" ref="I47"/>
    <hyperlink r:id="rId132" ref="J47"/>
    <hyperlink r:id="rId133" ref="K47"/>
    <hyperlink r:id="rId134" ref="G48"/>
    <hyperlink r:id="rId135" ref="I48"/>
    <hyperlink r:id="rId136" ref="J48"/>
    <hyperlink r:id="rId137" ref="K48"/>
    <hyperlink r:id="rId138" ref="G49"/>
    <hyperlink r:id="rId139" ref="I49"/>
    <hyperlink r:id="rId140" ref="K49"/>
    <hyperlink r:id="rId141" ref="G50"/>
    <hyperlink r:id="rId142" ref="J50"/>
    <hyperlink r:id="rId143" ref="G51"/>
    <hyperlink r:id="rId144" ref="J51"/>
    <hyperlink r:id="rId145" ref="M51"/>
    <hyperlink r:id="rId146" ref="G52"/>
    <hyperlink r:id="rId147" ref="J52"/>
    <hyperlink r:id="rId148" ref="K52"/>
    <hyperlink r:id="rId149" ref="M52"/>
    <hyperlink r:id="rId150" ref="G53"/>
    <hyperlink r:id="rId151" ref="M53"/>
    <hyperlink r:id="rId152" ref="G54"/>
    <hyperlink r:id="rId153" ref="I54"/>
    <hyperlink r:id="rId154" ref="J54"/>
    <hyperlink r:id="rId155" ref="G55"/>
    <hyperlink r:id="rId156" ref="I55"/>
    <hyperlink r:id="rId157" ref="M55"/>
    <hyperlink r:id="rId158" ref="G56"/>
    <hyperlink r:id="rId159" ref="I56"/>
    <hyperlink r:id="rId160" ref="J56"/>
    <hyperlink r:id="rId161" ref="K56"/>
    <hyperlink r:id="rId162" ref="M56"/>
    <hyperlink r:id="rId163" ref="G57"/>
    <hyperlink r:id="rId164" ref="G58"/>
    <hyperlink r:id="rId165" ref="I58"/>
    <hyperlink r:id="rId166" ref="J58"/>
    <hyperlink r:id="rId167" ref="M58"/>
    <hyperlink r:id="rId168" ref="G59"/>
    <hyperlink r:id="rId169" ref="K59"/>
    <hyperlink r:id="rId170" ref="G60"/>
    <hyperlink r:id="rId171" ref="I60"/>
    <hyperlink r:id="rId172" ref="K60"/>
    <hyperlink r:id="rId173" ref="G61"/>
    <hyperlink r:id="rId174" ref="J61"/>
    <hyperlink r:id="rId175" ref="G62"/>
    <hyperlink r:id="rId176" ref="I62"/>
    <hyperlink r:id="rId177" ref="K62"/>
    <hyperlink r:id="rId178" ref="G63"/>
    <hyperlink r:id="rId179" ref="I63"/>
    <hyperlink r:id="rId180" ref="J63"/>
    <hyperlink r:id="rId181" ref="G64"/>
    <hyperlink r:id="rId182" ref="I64"/>
    <hyperlink r:id="rId183" ref="J64"/>
    <hyperlink r:id="rId184" ref="K64"/>
    <hyperlink r:id="rId185" ref="M64"/>
    <hyperlink r:id="rId186" ref="G65"/>
    <hyperlink r:id="rId187" ref="I65"/>
    <hyperlink r:id="rId188" ref="K65"/>
    <hyperlink r:id="rId189" ref="G66"/>
    <hyperlink r:id="rId190" ref="I66"/>
    <hyperlink r:id="rId191" ref="J66"/>
    <hyperlink r:id="rId192" ref="G67"/>
    <hyperlink r:id="rId193" ref="I67"/>
    <hyperlink r:id="rId194" ref="M67"/>
    <hyperlink r:id="rId195" ref="G68"/>
    <hyperlink r:id="rId196" ref="I68"/>
    <hyperlink r:id="rId197" ref="J68"/>
    <hyperlink r:id="rId198" ref="M68"/>
    <hyperlink r:id="rId199" ref="G69"/>
    <hyperlink r:id="rId200" ref="I69"/>
    <hyperlink r:id="rId201" ref="J69"/>
    <hyperlink r:id="rId202" ref="G70"/>
    <hyperlink r:id="rId203" ref="I70"/>
    <hyperlink r:id="rId204" ref="G71"/>
    <hyperlink r:id="rId205" ref="I71"/>
    <hyperlink r:id="rId206" ref="G72"/>
    <hyperlink r:id="rId207" ref="J72"/>
    <hyperlink r:id="rId208" ref="G73"/>
    <hyperlink r:id="rId209" ref="I73"/>
    <hyperlink r:id="rId210" ref="J73"/>
    <hyperlink r:id="rId211" ref="G74"/>
    <hyperlink r:id="rId212" ref="I74"/>
    <hyperlink r:id="rId213" ref="J74"/>
    <hyperlink r:id="rId214" ref="G75"/>
    <hyperlink r:id="rId215" ref="J75"/>
    <hyperlink r:id="rId216" ref="G76"/>
    <hyperlink r:id="rId217" ref="I76"/>
    <hyperlink r:id="rId218" ref="J76"/>
    <hyperlink r:id="rId219" ref="G77"/>
    <hyperlink r:id="rId220" ref="I77"/>
    <hyperlink r:id="rId221" ref="J77"/>
    <hyperlink r:id="rId222" ref="M77"/>
    <hyperlink r:id="rId223" ref="G78"/>
    <hyperlink r:id="rId224" ref="J78"/>
    <hyperlink r:id="rId225" ref="K78"/>
    <hyperlink r:id="rId226" ref="G79"/>
    <hyperlink r:id="rId227" ref="I79"/>
    <hyperlink r:id="rId228" ref="G80"/>
    <hyperlink r:id="rId229" ref="J80"/>
    <hyperlink r:id="rId230" ref="K80"/>
    <hyperlink r:id="rId231" ref="G81"/>
    <hyperlink r:id="rId232" ref="I81"/>
    <hyperlink r:id="rId233" ref="J81"/>
    <hyperlink r:id="rId234" ref="G82"/>
    <hyperlink r:id="rId235" ref="I82"/>
    <hyperlink r:id="rId236" ref="J82"/>
    <hyperlink r:id="rId237" ref="G83"/>
    <hyperlink r:id="rId238" ref="I83"/>
    <hyperlink r:id="rId239" ref="J83"/>
    <hyperlink r:id="rId240" ref="G84"/>
    <hyperlink r:id="rId241" ref="I84"/>
    <hyperlink r:id="rId242" ref="J84"/>
    <hyperlink r:id="rId243" ref="K84"/>
    <hyperlink r:id="rId244" ref="M84"/>
    <hyperlink r:id="rId245" ref="G85"/>
    <hyperlink r:id="rId246" ref="K85"/>
    <hyperlink r:id="rId247" ref="G86"/>
    <hyperlink r:id="rId248" ref="G87"/>
    <hyperlink r:id="rId249" ref="J87"/>
    <hyperlink r:id="rId250" ref="K87"/>
    <hyperlink r:id="rId251" ref="G88"/>
    <hyperlink r:id="rId252" ref="J88"/>
    <hyperlink r:id="rId253" ref="G89"/>
    <hyperlink r:id="rId254" ref="K89"/>
    <hyperlink r:id="rId255" ref="G90"/>
    <hyperlink r:id="rId256" ref="J90"/>
    <hyperlink r:id="rId257" ref="G91"/>
    <hyperlink r:id="rId258" ref="I91"/>
    <hyperlink r:id="rId259" ref="J91"/>
    <hyperlink r:id="rId260" ref="K91"/>
    <hyperlink r:id="rId261" ref="G92"/>
    <hyperlink r:id="rId262" ref="I92"/>
    <hyperlink r:id="rId263" ref="J92"/>
    <hyperlink r:id="rId264" ref="G93"/>
    <hyperlink r:id="rId265" ref="I93"/>
    <hyperlink r:id="rId266" ref="J93"/>
    <hyperlink r:id="rId267" ref="M93"/>
    <hyperlink r:id="rId268" ref="G94"/>
    <hyperlink r:id="rId269" ref="J94"/>
    <hyperlink r:id="rId270" ref="K94"/>
    <hyperlink r:id="rId271" ref="G95"/>
    <hyperlink r:id="rId272" ref="J95"/>
    <hyperlink r:id="rId273" ref="G96"/>
    <hyperlink r:id="rId274" ref="I96"/>
    <hyperlink r:id="rId275" ref="J96"/>
    <hyperlink r:id="rId276" ref="K96"/>
    <hyperlink r:id="rId277" ref="G97"/>
    <hyperlink r:id="rId278" ref="I97"/>
    <hyperlink r:id="rId279" ref="J97"/>
    <hyperlink r:id="rId280" ref="G98"/>
    <hyperlink r:id="rId281" ref="I98"/>
    <hyperlink r:id="rId282" ref="J98"/>
    <hyperlink r:id="rId283" ref="G99"/>
    <hyperlink r:id="rId284" ref="I99"/>
    <hyperlink r:id="rId285" ref="J99"/>
    <hyperlink r:id="rId286" ref="G100"/>
    <hyperlink r:id="rId287" ref="J100"/>
    <hyperlink r:id="rId288" ref="G101"/>
    <hyperlink r:id="rId289" ref="J101"/>
    <hyperlink r:id="rId290" ref="G102"/>
    <hyperlink r:id="rId291" ref="I102"/>
    <hyperlink r:id="rId292" ref="J102"/>
    <hyperlink r:id="rId293" ref="G103"/>
    <hyperlink r:id="rId294" ref="I103"/>
    <hyperlink r:id="rId295" ref="J103"/>
    <hyperlink r:id="rId296" ref="K103"/>
    <hyperlink r:id="rId297" ref="G104"/>
    <hyperlink r:id="rId298" ref="I104"/>
    <hyperlink r:id="rId299" ref="J104"/>
    <hyperlink r:id="rId300" ref="G105"/>
    <hyperlink r:id="rId301" ref="I105"/>
    <hyperlink r:id="rId302" ref="J105"/>
    <hyperlink r:id="rId303" ref="M105"/>
    <hyperlink r:id="rId304" ref="G106"/>
    <hyperlink r:id="rId305" ref="I106"/>
    <hyperlink r:id="rId306" ref="K106"/>
    <hyperlink r:id="rId307" ref="G107"/>
    <hyperlink r:id="rId308" ref="I107"/>
    <hyperlink r:id="rId309" ref="J107"/>
    <hyperlink r:id="rId310" ref="K107"/>
    <hyperlink r:id="rId311" ref="G108"/>
    <hyperlink r:id="rId312" ref="I108"/>
    <hyperlink r:id="rId313" ref="J108"/>
    <hyperlink r:id="rId314" ref="G109"/>
    <hyperlink r:id="rId315" ref="I109"/>
    <hyperlink r:id="rId316" ref="J109"/>
    <hyperlink r:id="rId317" ref="G110"/>
    <hyperlink r:id="rId318" ref="I110"/>
    <hyperlink r:id="rId319" ref="K110"/>
    <hyperlink r:id="rId320" ref="G111"/>
    <hyperlink r:id="rId321" ref="I111"/>
    <hyperlink r:id="rId322" ref="K111"/>
    <hyperlink r:id="rId323" location="194" ref="G112"/>
    <hyperlink r:id="rId324" ref="I112"/>
    <hyperlink r:id="rId325" ref="G113"/>
    <hyperlink r:id="rId326" ref="I113"/>
    <hyperlink r:id="rId327" ref="G114"/>
    <hyperlink r:id="rId328" ref="I114"/>
    <hyperlink r:id="rId329" ref="G115"/>
    <hyperlink r:id="rId330" ref="I115"/>
    <hyperlink r:id="rId331" ref="G116"/>
    <hyperlink r:id="rId332" ref="I116"/>
    <hyperlink r:id="rId333" ref="G117"/>
    <hyperlink r:id="rId334" ref="I117"/>
    <hyperlink r:id="rId335" ref="G118"/>
    <hyperlink r:id="rId336" ref="I118"/>
    <hyperlink r:id="rId337" ref="G119"/>
    <hyperlink r:id="rId338" ref="I119"/>
    <hyperlink r:id="rId339" ref="G120"/>
    <hyperlink r:id="rId340" ref="I120"/>
    <hyperlink r:id="rId341" ref="J120"/>
    <hyperlink r:id="rId342" ref="K120"/>
    <hyperlink r:id="rId343" ref="G121"/>
    <hyperlink r:id="rId344" ref="J121"/>
    <hyperlink r:id="rId345" ref="G122"/>
    <hyperlink r:id="rId346" ref="I122"/>
    <hyperlink r:id="rId347" ref="J122"/>
    <hyperlink r:id="rId348" ref="G123"/>
    <hyperlink r:id="rId349" ref="J123"/>
    <hyperlink r:id="rId350" ref="K123"/>
    <hyperlink r:id="rId351" ref="M123"/>
    <hyperlink r:id="rId352" ref="G124"/>
    <hyperlink r:id="rId353" ref="I124"/>
    <hyperlink r:id="rId354" ref="J124"/>
    <hyperlink r:id="rId355" ref="G125"/>
    <hyperlink r:id="rId356" ref="J125"/>
    <hyperlink r:id="rId357" ref="K125"/>
    <hyperlink r:id="rId358" ref="G126"/>
    <hyperlink r:id="rId359" ref="I126"/>
    <hyperlink r:id="rId360" ref="J126"/>
    <hyperlink r:id="rId361" ref="G127"/>
    <hyperlink r:id="rId362" ref="I127"/>
    <hyperlink r:id="rId363" ref="G128"/>
    <hyperlink r:id="rId364" ref="I128"/>
    <hyperlink r:id="rId365" ref="J128"/>
    <hyperlink r:id="rId366" ref="K128"/>
    <hyperlink r:id="rId367" ref="G129"/>
    <hyperlink r:id="rId368" ref="I129"/>
    <hyperlink r:id="rId369" ref="J129"/>
    <hyperlink r:id="rId370" ref="G130"/>
    <hyperlink r:id="rId371" ref="I130"/>
    <hyperlink r:id="rId372" ref="J130"/>
    <hyperlink r:id="rId373" ref="G131"/>
    <hyperlink r:id="rId374" ref="J131"/>
    <hyperlink r:id="rId375" ref="G132"/>
    <hyperlink r:id="rId376" ref="J132"/>
    <hyperlink r:id="rId377" ref="G133"/>
    <hyperlink r:id="rId378" ref="I133"/>
    <hyperlink r:id="rId379" ref="J133"/>
    <hyperlink r:id="rId380" ref="K133"/>
    <hyperlink r:id="rId381" ref="M133"/>
    <hyperlink r:id="rId382" ref="G134"/>
    <hyperlink r:id="rId383" ref="K134"/>
    <hyperlink r:id="rId384" ref="G135"/>
    <hyperlink r:id="rId385" ref="J135"/>
    <hyperlink r:id="rId386" ref="K135"/>
    <hyperlink r:id="rId387" ref="M135"/>
    <hyperlink r:id="rId388" ref="G136"/>
    <hyperlink r:id="rId389" ref="I136"/>
    <hyperlink r:id="rId390" ref="J136"/>
    <hyperlink r:id="rId391" ref="K136"/>
    <hyperlink r:id="rId392" ref="G137"/>
    <hyperlink r:id="rId393" ref="I137"/>
    <hyperlink r:id="rId394" ref="J137"/>
    <hyperlink r:id="rId395" ref="G138"/>
    <hyperlink r:id="rId396" ref="J138"/>
    <hyperlink r:id="rId397" ref="G139"/>
    <hyperlink r:id="rId398" ref="J139"/>
    <hyperlink r:id="rId399" ref="K139"/>
    <hyperlink r:id="rId400" ref="G140"/>
    <hyperlink r:id="rId401" ref="J140"/>
    <hyperlink r:id="rId402" ref="K140"/>
    <hyperlink r:id="rId403" ref="G141"/>
    <hyperlink r:id="rId404" ref="K141"/>
    <hyperlink r:id="rId405" ref="G142"/>
    <hyperlink r:id="rId406" ref="J142"/>
    <hyperlink r:id="rId407" ref="K142"/>
    <hyperlink r:id="rId408" ref="G143"/>
    <hyperlink r:id="rId409" ref="I143"/>
    <hyperlink r:id="rId410" ref="K143"/>
    <hyperlink r:id="rId411" ref="G144"/>
    <hyperlink r:id="rId412" ref="I144"/>
    <hyperlink r:id="rId413" ref="G145"/>
    <hyperlink r:id="rId414" ref="K145"/>
    <hyperlink r:id="rId415" ref="G147"/>
    <hyperlink r:id="rId416" ref="I147"/>
    <hyperlink r:id="rId417" ref="K147"/>
    <hyperlink r:id="rId418" ref="G148"/>
    <hyperlink r:id="rId419" ref="J148"/>
    <hyperlink r:id="rId420" ref="K148"/>
    <hyperlink r:id="rId421" ref="G149"/>
    <hyperlink r:id="rId422" ref="I149"/>
    <hyperlink r:id="rId423" ref="K149"/>
    <hyperlink r:id="rId424" ref="G150"/>
    <hyperlink r:id="rId425" ref="I150"/>
    <hyperlink r:id="rId426" ref="K150"/>
    <hyperlink r:id="rId427" ref="G151"/>
    <hyperlink r:id="rId428" ref="I151"/>
    <hyperlink r:id="rId429" ref="G152"/>
    <hyperlink r:id="rId430" ref="J152"/>
    <hyperlink r:id="rId431" ref="G153"/>
    <hyperlink r:id="rId432" ref="I153"/>
    <hyperlink r:id="rId433" ref="J153"/>
    <hyperlink r:id="rId434" ref="K153"/>
    <hyperlink r:id="rId435" ref="M153"/>
    <hyperlink r:id="rId436" ref="G154"/>
    <hyperlink r:id="rId437" ref="I154"/>
    <hyperlink r:id="rId438" ref="J154"/>
    <hyperlink r:id="rId439" ref="K154"/>
    <hyperlink r:id="rId440" ref="F155"/>
    <hyperlink r:id="rId441" ref="G155"/>
    <hyperlink r:id="rId442" ref="I155"/>
    <hyperlink r:id="rId443" ref="J155"/>
    <hyperlink r:id="rId444" ref="K155"/>
    <hyperlink r:id="rId445" ref="G156"/>
    <hyperlink r:id="rId446" ref="I156"/>
    <hyperlink r:id="rId447" ref="J156"/>
    <hyperlink r:id="rId448" ref="G157"/>
    <hyperlink r:id="rId449" ref="J157"/>
    <hyperlink r:id="rId450" ref="G158"/>
    <hyperlink r:id="rId451" ref="J158"/>
    <hyperlink r:id="rId452" ref="K158"/>
    <hyperlink r:id="rId453" ref="G159"/>
    <hyperlink r:id="rId454" ref="J159"/>
    <hyperlink r:id="rId455" ref="G160"/>
    <hyperlink r:id="rId456" ref="J160"/>
    <hyperlink r:id="rId457" ref="G161"/>
    <hyperlink r:id="rId458" ref="I161"/>
    <hyperlink r:id="rId459" ref="G162"/>
    <hyperlink r:id="rId460" ref="J162"/>
    <hyperlink r:id="rId461" ref="G163"/>
    <hyperlink r:id="rId462" ref="J163"/>
    <hyperlink r:id="rId463" ref="K163"/>
    <hyperlink r:id="rId464" ref="G164"/>
    <hyperlink r:id="rId465" ref="I164"/>
    <hyperlink r:id="rId466" ref="J164"/>
    <hyperlink r:id="rId467" ref="K164"/>
    <hyperlink r:id="rId468" ref="G165"/>
    <hyperlink r:id="rId469" ref="J165"/>
    <hyperlink r:id="rId470" ref="L165"/>
    <hyperlink r:id="rId471" ref="G166"/>
    <hyperlink r:id="rId472" ref="J166"/>
    <hyperlink r:id="rId473" ref="L166"/>
    <hyperlink r:id="rId474" ref="G167"/>
    <hyperlink r:id="rId475" ref="J167"/>
    <hyperlink r:id="rId476" ref="G168"/>
    <hyperlink r:id="rId477" ref="J168"/>
    <hyperlink r:id="rId478" ref="G169"/>
    <hyperlink r:id="rId479" ref="I169"/>
    <hyperlink r:id="rId480" ref="J169"/>
    <hyperlink r:id="rId481" ref="G170"/>
    <hyperlink r:id="rId482" ref="K170"/>
    <hyperlink r:id="rId483" ref="M170"/>
    <hyperlink r:id="rId484" ref="G171"/>
    <hyperlink r:id="rId485" ref="J171"/>
    <hyperlink r:id="rId486" ref="G172"/>
    <hyperlink r:id="rId487" ref="J172"/>
    <hyperlink r:id="rId488" ref="G173"/>
    <hyperlink r:id="rId489" ref="K173"/>
    <hyperlink r:id="rId490" ref="J174"/>
    <hyperlink r:id="rId491" ref="K174"/>
    <hyperlink r:id="rId492" ref="G175"/>
    <hyperlink r:id="rId493" ref="J175"/>
    <hyperlink r:id="rId494" ref="G176"/>
    <hyperlink r:id="rId495" ref="I176"/>
    <hyperlink r:id="rId496" ref="J176"/>
    <hyperlink r:id="rId497" ref="G177"/>
    <hyperlink r:id="rId498" ref="G178"/>
    <hyperlink r:id="rId499" ref="J178"/>
    <hyperlink r:id="rId500" ref="K178"/>
    <hyperlink r:id="rId501" ref="G179"/>
    <hyperlink r:id="rId502" ref="K179"/>
    <hyperlink r:id="rId503" ref="G180"/>
    <hyperlink r:id="rId504" ref="I180"/>
    <hyperlink r:id="rId505" ref="K180"/>
    <hyperlink r:id="rId506" ref="I181"/>
    <hyperlink r:id="rId507" ref="J181"/>
    <hyperlink r:id="rId508" ref="G182"/>
    <hyperlink r:id="rId509" ref="I182"/>
    <hyperlink r:id="rId510" ref="J182"/>
    <hyperlink r:id="rId511" ref="K182"/>
    <hyperlink r:id="rId512" ref="G183"/>
    <hyperlink r:id="rId513" ref="I183"/>
    <hyperlink r:id="rId514" ref="M183"/>
    <hyperlink r:id="rId515" ref="G184"/>
    <hyperlink r:id="rId516" ref="I184"/>
    <hyperlink r:id="rId517" ref="J184"/>
    <hyperlink r:id="rId518" ref="G185"/>
    <hyperlink r:id="rId519" ref="I185"/>
    <hyperlink r:id="rId520" ref="J185"/>
    <hyperlink r:id="rId521" ref="G186"/>
    <hyperlink r:id="rId522" ref="J186"/>
    <hyperlink r:id="rId523" ref="G187"/>
    <hyperlink r:id="rId524" ref="I187"/>
    <hyperlink r:id="rId525" ref="J187"/>
    <hyperlink r:id="rId526" ref="G188"/>
    <hyperlink r:id="rId527" ref="I188"/>
    <hyperlink r:id="rId528" ref="J188"/>
    <hyperlink r:id="rId529" ref="K188"/>
    <hyperlink r:id="rId530" ref="G189"/>
    <hyperlink r:id="rId531" ref="J189"/>
    <hyperlink r:id="rId532" ref="G190"/>
    <hyperlink r:id="rId533" ref="I190"/>
    <hyperlink r:id="rId534" ref="J190"/>
    <hyperlink r:id="rId535" ref="K190"/>
    <hyperlink r:id="rId536" ref="G191"/>
    <hyperlink r:id="rId537" ref="J191"/>
    <hyperlink r:id="rId538" ref="G192"/>
    <hyperlink r:id="rId539" ref="J192"/>
    <hyperlink r:id="rId540" ref="G193"/>
    <hyperlink r:id="rId541" ref="J193"/>
    <hyperlink r:id="rId542" ref="G194"/>
    <hyperlink r:id="rId543" ref="J194"/>
    <hyperlink r:id="rId544" ref="K194"/>
    <hyperlink r:id="rId545" ref="G195"/>
    <hyperlink r:id="rId546" ref="I195"/>
    <hyperlink r:id="rId547" ref="J195"/>
    <hyperlink r:id="rId548" ref="G196"/>
    <hyperlink r:id="rId549" ref="I196"/>
    <hyperlink r:id="rId550" ref="J196"/>
    <hyperlink r:id="rId551" ref="G197"/>
    <hyperlink r:id="rId552" ref="I197"/>
    <hyperlink r:id="rId553" ref="J197"/>
    <hyperlink r:id="rId554" ref="K197"/>
    <hyperlink r:id="rId555" ref="G198"/>
    <hyperlink r:id="rId556" ref="I198"/>
    <hyperlink r:id="rId557" ref="J198"/>
    <hyperlink r:id="rId558" ref="G199"/>
    <hyperlink r:id="rId559" ref="I199"/>
    <hyperlink r:id="rId560" ref="J199"/>
    <hyperlink r:id="rId561" ref="K199"/>
    <hyperlink r:id="rId562" ref="G200"/>
    <hyperlink r:id="rId563" ref="J200"/>
    <hyperlink r:id="rId564" ref="G201"/>
    <hyperlink r:id="rId565" ref="I201"/>
    <hyperlink r:id="rId566" ref="J201"/>
    <hyperlink r:id="rId567" ref="G202"/>
    <hyperlink r:id="rId568" ref="J202"/>
    <hyperlink r:id="rId569" ref="G203"/>
    <hyperlink r:id="rId570" ref="J203"/>
    <hyperlink r:id="rId571" location="curriculum" ref="G204"/>
    <hyperlink r:id="rId572" ref="I204"/>
    <hyperlink r:id="rId573" ref="J204"/>
    <hyperlink r:id="rId574" ref="G205"/>
    <hyperlink r:id="rId575" ref="J205"/>
    <hyperlink r:id="rId576" ref="G206"/>
    <hyperlink r:id="rId577" ref="I206"/>
    <hyperlink r:id="rId578" ref="J206"/>
    <hyperlink r:id="rId579" ref="G207"/>
    <hyperlink r:id="rId580" ref="I207"/>
    <hyperlink r:id="rId581" ref="G208"/>
    <hyperlink r:id="rId582" ref="I208"/>
    <hyperlink r:id="rId583" ref="J208"/>
    <hyperlink r:id="rId584" ref="G209"/>
    <hyperlink r:id="rId585" ref="I209"/>
    <hyperlink r:id="rId586" ref="J209"/>
    <hyperlink r:id="rId587" ref="G210"/>
    <hyperlink r:id="rId588" ref="J210"/>
    <hyperlink r:id="rId589" ref="G211"/>
    <hyperlink r:id="rId590" ref="J211"/>
    <hyperlink r:id="rId591" ref="K211"/>
    <hyperlink r:id="rId592" ref="G212"/>
    <hyperlink r:id="rId593" ref="I212"/>
    <hyperlink r:id="rId594" ref="K212"/>
    <hyperlink r:id="rId595" ref="G213"/>
    <hyperlink r:id="rId596" ref="J213"/>
    <hyperlink r:id="rId597" ref="G214"/>
    <hyperlink r:id="rId598" ref="I214"/>
    <hyperlink r:id="rId599" ref="J214"/>
    <hyperlink r:id="rId600" ref="L214"/>
    <hyperlink r:id="rId601" ref="G215"/>
    <hyperlink r:id="rId602" ref="J215"/>
    <hyperlink r:id="rId603" ref="G216"/>
    <hyperlink r:id="rId604" ref="J216"/>
    <hyperlink r:id="rId605" ref="G217"/>
    <hyperlink r:id="rId606" ref="I217"/>
    <hyperlink r:id="rId607" ref="J217"/>
    <hyperlink r:id="rId608" ref="G218"/>
    <hyperlink r:id="rId609" ref="J218"/>
    <hyperlink r:id="rId610" ref="G219"/>
    <hyperlink r:id="rId611" ref="J219"/>
    <hyperlink r:id="rId612" ref="G220"/>
    <hyperlink r:id="rId613" ref="I220"/>
    <hyperlink r:id="rId614" ref="J220"/>
    <hyperlink r:id="rId615" ref="K220"/>
    <hyperlink r:id="rId616" ref="G221"/>
    <hyperlink r:id="rId617" ref="J221"/>
    <hyperlink r:id="rId618" ref="K221"/>
    <hyperlink r:id="rId619" ref="G222"/>
    <hyperlink r:id="rId620" ref="J222"/>
    <hyperlink r:id="rId621" ref="K222"/>
    <hyperlink r:id="rId622" ref="G223"/>
    <hyperlink r:id="rId623" ref="I223"/>
    <hyperlink r:id="rId624" ref="J223"/>
    <hyperlink r:id="rId625" ref="G224"/>
    <hyperlink r:id="rId626" ref="J224"/>
    <hyperlink r:id="rId627" ref="K224"/>
    <hyperlink r:id="rId628" ref="G225"/>
    <hyperlink r:id="rId629" ref="J225"/>
    <hyperlink r:id="rId630" ref="G226"/>
    <hyperlink r:id="rId631" ref="J226"/>
    <hyperlink r:id="rId632" ref="G227"/>
    <hyperlink r:id="rId633" ref="J227"/>
    <hyperlink r:id="rId634" ref="G228"/>
    <hyperlink r:id="rId635" ref="I228"/>
    <hyperlink r:id="rId636" ref="J228"/>
    <hyperlink r:id="rId637" ref="K228"/>
    <hyperlink r:id="rId638" ref="G229"/>
    <hyperlink r:id="rId639" ref="J229"/>
    <hyperlink r:id="rId640" ref="G230"/>
    <hyperlink r:id="rId641" ref="I230"/>
    <hyperlink r:id="rId642" ref="J230"/>
    <hyperlink r:id="rId643" ref="G231"/>
    <hyperlink r:id="rId644" ref="J231"/>
    <hyperlink r:id="rId645" ref="K231"/>
    <hyperlink r:id="rId646" ref="M231"/>
    <hyperlink r:id="rId647" ref="G232"/>
    <hyperlink r:id="rId648" ref="J232"/>
    <hyperlink r:id="rId649" ref="G233"/>
    <hyperlink r:id="rId650" ref="I233"/>
    <hyperlink r:id="rId651" ref="J233"/>
    <hyperlink r:id="rId652" ref="M233"/>
    <hyperlink r:id="rId653" ref="G234"/>
    <hyperlink r:id="rId654" ref="G235"/>
    <hyperlink r:id="rId655" ref="I235"/>
    <hyperlink r:id="rId656" ref="M235"/>
    <hyperlink r:id="rId657" ref="G236"/>
    <hyperlink r:id="rId658" ref="I236"/>
    <hyperlink r:id="rId659" ref="K236"/>
    <hyperlink r:id="rId660" ref="G237"/>
    <hyperlink r:id="rId661" ref="I237"/>
    <hyperlink r:id="rId662" ref="J237"/>
    <hyperlink r:id="rId663" ref="G238"/>
    <hyperlink r:id="rId664" ref="I238"/>
    <hyperlink r:id="rId665" ref="J238"/>
    <hyperlink r:id="rId666" ref="K238"/>
    <hyperlink r:id="rId667" ref="G239"/>
    <hyperlink r:id="rId668" ref="J239"/>
    <hyperlink r:id="rId669" ref="G240"/>
    <hyperlink r:id="rId670" ref="J240"/>
    <hyperlink r:id="rId671" ref="G241"/>
    <hyperlink r:id="rId672" ref="I241"/>
    <hyperlink r:id="rId673" ref="K241"/>
    <hyperlink r:id="rId674" ref="G242"/>
    <hyperlink r:id="rId675" ref="K242"/>
    <hyperlink r:id="rId676" ref="G243"/>
    <hyperlink r:id="rId677" ref="I243"/>
    <hyperlink r:id="rId678" ref="J243"/>
    <hyperlink r:id="rId679" ref="G244"/>
    <hyperlink r:id="rId680" ref="J244"/>
    <hyperlink r:id="rId681" ref="K244"/>
    <hyperlink r:id="rId682" ref="G245"/>
    <hyperlink r:id="rId683" ref="I245"/>
    <hyperlink r:id="rId684" ref="J245"/>
    <hyperlink r:id="rId685" ref="L245"/>
    <hyperlink r:id="rId686" ref="G246"/>
    <hyperlink r:id="rId687" ref="J246"/>
    <hyperlink r:id="rId688" ref="G247"/>
    <hyperlink r:id="rId689" ref="K247"/>
    <hyperlink r:id="rId690" ref="M247"/>
    <hyperlink r:id="rId691" ref="G248"/>
    <hyperlink r:id="rId692" ref="I248"/>
    <hyperlink r:id="rId693" ref="J248"/>
    <hyperlink r:id="rId694" ref="G249"/>
    <hyperlink r:id="rId695" ref="I249"/>
    <hyperlink r:id="rId696" ref="J249"/>
    <hyperlink r:id="rId697" ref="M249"/>
    <hyperlink r:id="rId698" ref="G250"/>
    <hyperlink r:id="rId699" ref="J250"/>
    <hyperlink r:id="rId700" ref="G251"/>
    <hyperlink r:id="rId701" ref="I251"/>
    <hyperlink r:id="rId702" ref="J251"/>
    <hyperlink r:id="rId703" ref="G252"/>
    <hyperlink r:id="rId704" ref="G253"/>
    <hyperlink r:id="rId705" ref="I253"/>
    <hyperlink r:id="rId706" ref="K253"/>
    <hyperlink r:id="rId707" ref="I254"/>
    <hyperlink r:id="rId708" ref="G255"/>
    <hyperlink r:id="rId709" ref="J255"/>
    <hyperlink r:id="rId710" ref="K255"/>
    <hyperlink r:id="rId711" ref="G256"/>
    <hyperlink r:id="rId712" ref="I256"/>
    <hyperlink r:id="rId713" ref="J256"/>
    <hyperlink r:id="rId714" ref="G257"/>
    <hyperlink r:id="rId715" ref="J257"/>
    <hyperlink r:id="rId716" location="214" ref="G258"/>
    <hyperlink r:id="rId717" ref="M258"/>
    <hyperlink r:id="rId718" ref="G259"/>
    <hyperlink r:id="rId719" ref="I259"/>
    <hyperlink r:id="rId720" ref="J259"/>
    <hyperlink r:id="rId721" ref="G260"/>
    <hyperlink r:id="rId722" ref="I261"/>
    <hyperlink r:id="rId723" ref="K261"/>
    <hyperlink r:id="rId724" ref="G262"/>
    <hyperlink r:id="rId725" ref="I262"/>
    <hyperlink r:id="rId726" ref="J262"/>
    <hyperlink r:id="rId727" ref="K262"/>
    <hyperlink r:id="rId728" ref="G263"/>
    <hyperlink r:id="rId729" ref="I263"/>
    <hyperlink r:id="rId730" ref="J263"/>
    <hyperlink r:id="rId731" ref="G264"/>
    <hyperlink r:id="rId732" ref="I264"/>
    <hyperlink r:id="rId733" ref="J264"/>
    <hyperlink r:id="rId734" ref="K264"/>
    <hyperlink r:id="rId735" ref="G265"/>
    <hyperlink r:id="rId736" ref="I265"/>
    <hyperlink r:id="rId737" ref="J265"/>
    <hyperlink r:id="rId738" ref="G266"/>
    <hyperlink r:id="rId739" ref="J266"/>
    <hyperlink r:id="rId740" ref="K266"/>
    <hyperlink r:id="rId741" ref="G267"/>
    <hyperlink r:id="rId742" ref="K267"/>
    <hyperlink r:id="rId743" ref="G268"/>
    <hyperlink r:id="rId744" ref="I268"/>
    <hyperlink r:id="rId745" ref="K268"/>
    <hyperlink r:id="rId746" ref="G269"/>
    <hyperlink r:id="rId747" ref="I269"/>
    <hyperlink r:id="rId748" ref="J269"/>
    <hyperlink r:id="rId749" ref="G270"/>
    <hyperlink r:id="rId750" ref="J270"/>
    <hyperlink r:id="rId751" ref="G271"/>
    <hyperlink r:id="rId752" ref="I271"/>
    <hyperlink r:id="rId753" ref="J271"/>
    <hyperlink r:id="rId754" ref="L271"/>
    <hyperlink r:id="rId755" ref="G272"/>
    <hyperlink r:id="rId756" ref="J272"/>
    <hyperlink r:id="rId757" ref="G273"/>
    <hyperlink r:id="rId758" ref="J273"/>
    <hyperlink r:id="rId759" ref="G274"/>
    <hyperlink r:id="rId760" ref="J274"/>
    <hyperlink r:id="rId761" ref="K274"/>
    <hyperlink r:id="rId762" ref="M274"/>
    <hyperlink r:id="rId763" ref="G275"/>
    <hyperlink r:id="rId764" ref="I275"/>
    <hyperlink r:id="rId765" ref="J275"/>
    <hyperlink r:id="rId766" ref="K275"/>
    <hyperlink r:id="rId767" ref="G276"/>
    <hyperlink r:id="rId768" ref="I276"/>
    <hyperlink r:id="rId769" ref="J276"/>
    <hyperlink r:id="rId770" ref="K276"/>
    <hyperlink r:id="rId771" ref="G277"/>
    <hyperlink r:id="rId772" ref="I277"/>
    <hyperlink r:id="rId773" ref="J277"/>
    <hyperlink r:id="rId774" ref="K277"/>
    <hyperlink r:id="rId775" ref="L277"/>
    <hyperlink r:id="rId776" ref="G278"/>
    <hyperlink r:id="rId777" ref="I278"/>
    <hyperlink r:id="rId778" ref="J278"/>
    <hyperlink r:id="rId779" ref="K278"/>
    <hyperlink r:id="rId780" ref="G279"/>
    <hyperlink r:id="rId781" ref="I279"/>
    <hyperlink r:id="rId782" ref="J279"/>
    <hyperlink r:id="rId783" ref="K279"/>
    <hyperlink r:id="rId784" ref="G292"/>
    <hyperlink r:id="rId785" ref="G293"/>
  </hyperlinks>
  <drawing r:id="rId786"/>
  <legacyDrawing r:id="rId78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4" max="4" width="23.5"/>
    <col customWidth="1" min="5" max="5" width="15.0"/>
    <col customWidth="1" min="6" max="6" width="20.25"/>
    <col customWidth="1" min="7" max="7" width="11.38"/>
    <col customWidth="1" min="8" max="8" width="43.0"/>
    <col customWidth="1" min="9" max="9" width="43.88"/>
  </cols>
  <sheetData>
    <row r="1" ht="39.75" customHeight="1">
      <c r="A1" s="461" t="s">
        <v>2821</v>
      </c>
      <c r="B1" s="461" t="s">
        <v>39</v>
      </c>
      <c r="C1" s="52" t="s">
        <v>2822</v>
      </c>
      <c r="D1" s="52" t="s">
        <v>38</v>
      </c>
      <c r="E1" s="52" t="s">
        <v>3577</v>
      </c>
      <c r="F1" s="52" t="s">
        <v>3578</v>
      </c>
      <c r="G1" s="52" t="s">
        <v>11</v>
      </c>
      <c r="H1" s="52" t="s">
        <v>3579</v>
      </c>
      <c r="I1" s="52" t="s">
        <v>3580</v>
      </c>
      <c r="J1" s="683"/>
      <c r="K1" s="683"/>
      <c r="L1" s="683"/>
      <c r="M1" s="683"/>
      <c r="N1" s="683"/>
    </row>
    <row r="2">
      <c r="A2" s="693">
        <v>1.0</v>
      </c>
      <c r="B2" s="693" t="s">
        <v>109</v>
      </c>
      <c r="C2" s="693" t="s">
        <v>3581</v>
      </c>
      <c r="D2" s="693" t="s">
        <v>3582</v>
      </c>
      <c r="E2" s="693" t="s">
        <v>3583</v>
      </c>
      <c r="F2" s="416" t="s">
        <v>44</v>
      </c>
      <c r="G2" s="694" t="s">
        <v>20</v>
      </c>
      <c r="H2" s="693" t="s">
        <v>3584</v>
      </c>
      <c r="I2" s="693"/>
      <c r="J2" s="683"/>
      <c r="K2" s="683"/>
      <c r="L2" s="683"/>
      <c r="M2" s="683"/>
      <c r="N2" s="683"/>
    </row>
    <row r="3">
      <c r="A3" s="693">
        <v>2.0</v>
      </c>
      <c r="B3" s="693" t="s">
        <v>109</v>
      </c>
      <c r="C3" s="693" t="s">
        <v>1387</v>
      </c>
      <c r="D3" s="693" t="s">
        <v>3585</v>
      </c>
      <c r="E3" s="693" t="s">
        <v>3586</v>
      </c>
      <c r="F3" s="416" t="s">
        <v>45</v>
      </c>
      <c r="G3" s="694" t="s">
        <v>20</v>
      </c>
      <c r="H3" s="695" t="s">
        <v>3587</v>
      </c>
      <c r="I3" s="693"/>
      <c r="J3" s="683"/>
      <c r="K3" s="683"/>
      <c r="L3" s="683"/>
      <c r="M3" s="683"/>
      <c r="N3" s="683"/>
    </row>
    <row r="4">
      <c r="A4" s="693">
        <v>3.0</v>
      </c>
      <c r="B4" s="693" t="s">
        <v>109</v>
      </c>
      <c r="C4" s="693" t="s">
        <v>2603</v>
      </c>
      <c r="D4" s="693" t="s">
        <v>3588</v>
      </c>
      <c r="E4" s="693" t="s">
        <v>3589</v>
      </c>
      <c r="F4" s="416" t="s">
        <v>3590</v>
      </c>
      <c r="G4" s="694" t="s">
        <v>20</v>
      </c>
      <c r="H4" s="695" t="s">
        <v>3591</v>
      </c>
      <c r="I4" s="693" t="s">
        <v>3592</v>
      </c>
      <c r="J4" s="683"/>
      <c r="K4" s="683"/>
      <c r="L4" s="683"/>
      <c r="M4" s="683"/>
      <c r="N4" s="683"/>
    </row>
    <row r="5">
      <c r="A5" s="693">
        <v>4.0</v>
      </c>
      <c r="B5" s="693" t="s">
        <v>109</v>
      </c>
      <c r="C5" s="693" t="s">
        <v>2767</v>
      </c>
      <c r="D5" s="693" t="s">
        <v>2766</v>
      </c>
      <c r="E5" s="693" t="s">
        <v>3593</v>
      </c>
      <c r="F5" s="416" t="s">
        <v>2444</v>
      </c>
      <c r="G5" s="694" t="s">
        <v>20</v>
      </c>
      <c r="H5" s="693" t="s">
        <v>2771</v>
      </c>
      <c r="I5" s="693"/>
      <c r="J5" s="683"/>
      <c r="K5" s="683"/>
      <c r="L5" s="683"/>
      <c r="M5" s="683"/>
      <c r="N5" s="683"/>
    </row>
    <row r="6">
      <c r="A6" s="693">
        <v>5.0</v>
      </c>
      <c r="B6" s="693" t="s">
        <v>109</v>
      </c>
      <c r="C6" s="693" t="s">
        <v>3594</v>
      </c>
      <c r="D6" s="693" t="s">
        <v>395</v>
      </c>
      <c r="E6" s="693" t="s">
        <v>3595</v>
      </c>
      <c r="F6" s="416" t="s">
        <v>44</v>
      </c>
      <c r="G6" s="694" t="s">
        <v>20</v>
      </c>
      <c r="H6" s="693" t="s">
        <v>3596</v>
      </c>
      <c r="I6" s="693"/>
      <c r="J6" s="683"/>
      <c r="K6" s="683"/>
      <c r="L6" s="683"/>
      <c r="M6" s="683"/>
      <c r="N6" s="683"/>
    </row>
    <row r="7">
      <c r="A7" s="696">
        <v>23.0</v>
      </c>
      <c r="B7" s="693" t="s">
        <v>109</v>
      </c>
      <c r="C7" s="696" t="s">
        <v>3597</v>
      </c>
      <c r="D7" s="696" t="s">
        <v>3598</v>
      </c>
      <c r="E7" s="696" t="s">
        <v>3599</v>
      </c>
      <c r="F7" s="696" t="s">
        <v>3600</v>
      </c>
      <c r="G7" s="694" t="s">
        <v>20</v>
      </c>
      <c r="H7" s="696" t="s">
        <v>3601</v>
      </c>
      <c r="I7" s="696" t="s">
        <v>3602</v>
      </c>
      <c r="J7" s="683"/>
      <c r="K7" s="683"/>
      <c r="L7" s="683"/>
      <c r="M7" s="683"/>
      <c r="N7" s="683"/>
    </row>
    <row r="8">
      <c r="A8" s="693">
        <v>6.0</v>
      </c>
      <c r="B8" s="693" t="s">
        <v>109</v>
      </c>
      <c r="C8" s="693" t="s">
        <v>3603</v>
      </c>
      <c r="D8" s="693" t="s">
        <v>3604</v>
      </c>
      <c r="E8" s="683"/>
      <c r="F8" s="416" t="s">
        <v>45</v>
      </c>
      <c r="G8" s="694" t="s">
        <v>20</v>
      </c>
      <c r="H8" s="693" t="s">
        <v>3605</v>
      </c>
      <c r="I8" s="693" t="s">
        <v>3606</v>
      </c>
      <c r="J8" s="683"/>
      <c r="K8" s="683"/>
      <c r="L8" s="683"/>
      <c r="M8" s="683"/>
      <c r="N8" s="683"/>
    </row>
    <row r="9">
      <c r="A9" s="693">
        <v>7.0</v>
      </c>
      <c r="B9" s="693" t="s">
        <v>109</v>
      </c>
      <c r="C9" s="693" t="s">
        <v>3607</v>
      </c>
      <c r="D9" s="693" t="s">
        <v>3608</v>
      </c>
      <c r="E9" s="683"/>
      <c r="F9" s="416" t="s">
        <v>45</v>
      </c>
      <c r="G9" s="694" t="s">
        <v>20</v>
      </c>
      <c r="H9" s="683"/>
      <c r="I9" s="693" t="s">
        <v>3609</v>
      </c>
      <c r="J9" s="683"/>
      <c r="K9" s="683"/>
      <c r="L9" s="683"/>
      <c r="M9" s="683"/>
      <c r="N9" s="683"/>
    </row>
    <row r="10">
      <c r="A10" s="693">
        <v>8.0</v>
      </c>
      <c r="B10" s="693" t="s">
        <v>109</v>
      </c>
      <c r="C10" s="693" t="s">
        <v>639</v>
      </c>
      <c r="D10" s="693" t="s">
        <v>3610</v>
      </c>
      <c r="E10" s="683"/>
      <c r="F10" s="416" t="s">
        <v>45</v>
      </c>
      <c r="G10" s="694" t="s">
        <v>20</v>
      </c>
      <c r="H10" s="693" t="s">
        <v>3611</v>
      </c>
      <c r="I10" s="693" t="s">
        <v>3609</v>
      </c>
      <c r="J10" s="683"/>
      <c r="K10" s="683"/>
      <c r="L10" s="683"/>
      <c r="M10" s="683"/>
      <c r="N10" s="683"/>
    </row>
    <row r="11">
      <c r="A11" s="693">
        <v>9.0</v>
      </c>
      <c r="B11" s="693" t="s">
        <v>109</v>
      </c>
      <c r="C11" s="697" t="s">
        <v>2770</v>
      </c>
      <c r="D11" s="697" t="s">
        <v>2769</v>
      </c>
      <c r="E11" s="698"/>
      <c r="F11" s="699" t="s">
        <v>115</v>
      </c>
      <c r="G11" s="694" t="s">
        <v>24</v>
      </c>
      <c r="H11" s="698"/>
      <c r="I11" s="697" t="s">
        <v>3612</v>
      </c>
      <c r="J11" s="683"/>
      <c r="K11" s="683"/>
      <c r="L11" s="683"/>
      <c r="M11" s="683"/>
      <c r="N11" s="683"/>
    </row>
    <row r="12">
      <c r="A12" s="693">
        <v>10.0</v>
      </c>
      <c r="B12" s="693" t="s">
        <v>109</v>
      </c>
      <c r="C12" s="700" t="s">
        <v>3539</v>
      </c>
      <c r="D12" s="701" t="s">
        <v>3538</v>
      </c>
      <c r="E12" s="702"/>
      <c r="F12" s="703" t="s">
        <v>3540</v>
      </c>
      <c r="G12" s="694" t="s">
        <v>20</v>
      </c>
      <c r="H12" s="702"/>
      <c r="I12" s="704" t="s">
        <v>3613</v>
      </c>
      <c r="J12" s="683"/>
      <c r="K12" s="683"/>
      <c r="L12" s="683"/>
      <c r="M12" s="683"/>
      <c r="N12" s="683"/>
    </row>
    <row r="13">
      <c r="A13" s="693">
        <v>11.0</v>
      </c>
      <c r="B13" s="693" t="s">
        <v>109</v>
      </c>
      <c r="C13" s="705" t="s">
        <v>3542</v>
      </c>
      <c r="D13" s="706" t="s">
        <v>3541</v>
      </c>
      <c r="E13" s="698"/>
      <c r="F13" s="707" t="s">
        <v>3543</v>
      </c>
      <c r="G13" s="694" t="s">
        <v>23</v>
      </c>
      <c r="H13" s="698"/>
      <c r="I13" s="697" t="s">
        <v>3613</v>
      </c>
      <c r="J13" s="683"/>
      <c r="K13" s="683"/>
      <c r="L13" s="683"/>
      <c r="M13" s="683"/>
      <c r="N13" s="683"/>
    </row>
    <row r="14">
      <c r="A14" s="693">
        <v>12.0</v>
      </c>
      <c r="B14" s="693" t="s">
        <v>109</v>
      </c>
      <c r="C14" s="700" t="s">
        <v>3546</v>
      </c>
      <c r="D14" s="708" t="s">
        <v>3545</v>
      </c>
      <c r="E14" s="702"/>
      <c r="F14" s="703" t="s">
        <v>3547</v>
      </c>
      <c r="G14" s="694" t="s">
        <v>20</v>
      </c>
      <c r="H14" s="702"/>
      <c r="I14" s="704" t="s">
        <v>3613</v>
      </c>
      <c r="J14" s="683"/>
      <c r="K14" s="683"/>
      <c r="L14" s="683"/>
      <c r="M14" s="683"/>
      <c r="N14" s="683"/>
    </row>
    <row r="15">
      <c r="A15" s="693">
        <v>13.0</v>
      </c>
      <c r="B15" s="693" t="s">
        <v>109</v>
      </c>
      <c r="C15" s="705" t="s">
        <v>3549</v>
      </c>
      <c r="D15" s="706" t="s">
        <v>3548</v>
      </c>
      <c r="E15" s="698"/>
      <c r="F15" s="707" t="s">
        <v>3550</v>
      </c>
      <c r="G15" s="694" t="s">
        <v>23</v>
      </c>
      <c r="H15" s="698"/>
      <c r="I15" s="697" t="s">
        <v>3614</v>
      </c>
      <c r="J15" s="683"/>
      <c r="K15" s="683"/>
      <c r="L15" s="683"/>
      <c r="M15" s="683"/>
      <c r="N15" s="683"/>
    </row>
    <row r="16">
      <c r="A16" s="693">
        <v>14.0</v>
      </c>
      <c r="B16" s="693" t="s">
        <v>109</v>
      </c>
      <c r="C16" s="700" t="s">
        <v>3552</v>
      </c>
      <c r="D16" s="701" t="s">
        <v>3551</v>
      </c>
      <c r="E16" s="702"/>
      <c r="F16" s="703" t="s">
        <v>3553</v>
      </c>
      <c r="G16" s="694" t="s">
        <v>20</v>
      </c>
      <c r="H16" s="702"/>
      <c r="I16" s="704" t="s">
        <v>3613</v>
      </c>
      <c r="J16" s="683"/>
      <c r="K16" s="683"/>
      <c r="L16" s="683"/>
      <c r="M16" s="683"/>
      <c r="N16" s="683"/>
    </row>
    <row r="17">
      <c r="A17" s="693">
        <v>15.0</v>
      </c>
      <c r="B17" s="693" t="s">
        <v>109</v>
      </c>
      <c r="C17" s="700" t="s">
        <v>3555</v>
      </c>
      <c r="D17" s="701" t="s">
        <v>3554</v>
      </c>
      <c r="E17" s="702"/>
      <c r="F17" s="703" t="s">
        <v>3556</v>
      </c>
      <c r="G17" s="694" t="s">
        <v>20</v>
      </c>
      <c r="H17" s="702"/>
      <c r="I17" s="704" t="s">
        <v>3613</v>
      </c>
      <c r="J17" s="683"/>
      <c r="K17" s="683"/>
      <c r="L17" s="683"/>
      <c r="M17" s="683"/>
      <c r="N17" s="683"/>
    </row>
    <row r="18">
      <c r="A18" s="693">
        <v>16.0</v>
      </c>
      <c r="B18" s="693" t="s">
        <v>109</v>
      </c>
      <c r="C18" s="700" t="s">
        <v>3558</v>
      </c>
      <c r="D18" s="701" t="s">
        <v>3557</v>
      </c>
      <c r="E18" s="702"/>
      <c r="F18" s="703" t="s">
        <v>3559</v>
      </c>
      <c r="G18" s="694" t="s">
        <v>20</v>
      </c>
      <c r="H18" s="702"/>
      <c r="I18" s="704" t="s">
        <v>3613</v>
      </c>
      <c r="J18" s="683"/>
      <c r="K18" s="683"/>
      <c r="L18" s="683"/>
      <c r="M18" s="683"/>
      <c r="N18" s="683"/>
    </row>
    <row r="19">
      <c r="A19" s="693">
        <v>17.0</v>
      </c>
      <c r="B19" s="693" t="s">
        <v>109</v>
      </c>
      <c r="C19" s="705" t="s">
        <v>3560</v>
      </c>
      <c r="D19" s="706" t="s">
        <v>3557</v>
      </c>
      <c r="E19" s="698"/>
      <c r="F19" s="707" t="s">
        <v>3561</v>
      </c>
      <c r="G19" s="694" t="s">
        <v>23</v>
      </c>
      <c r="H19" s="698"/>
      <c r="I19" s="697" t="s">
        <v>3614</v>
      </c>
      <c r="J19" s="683"/>
      <c r="K19" s="683"/>
      <c r="L19" s="683"/>
      <c r="M19" s="683"/>
      <c r="N19" s="683"/>
    </row>
    <row r="20">
      <c r="A20" s="693">
        <v>18.0</v>
      </c>
      <c r="B20" s="693" t="s">
        <v>109</v>
      </c>
      <c r="C20" s="700" t="s">
        <v>3562</v>
      </c>
      <c r="D20" s="701" t="s">
        <v>3551</v>
      </c>
      <c r="E20" s="702"/>
      <c r="F20" s="703" t="s">
        <v>3563</v>
      </c>
      <c r="G20" s="694" t="s">
        <v>20</v>
      </c>
      <c r="H20" s="702"/>
      <c r="I20" s="704" t="s">
        <v>3613</v>
      </c>
      <c r="J20" s="683"/>
      <c r="K20" s="683"/>
      <c r="L20" s="683"/>
      <c r="M20" s="683"/>
      <c r="N20" s="683"/>
    </row>
    <row r="21">
      <c r="A21" s="693">
        <v>19.0</v>
      </c>
      <c r="B21" s="693" t="s">
        <v>109</v>
      </c>
      <c r="C21" s="705" t="s">
        <v>3565</v>
      </c>
      <c r="D21" s="706" t="s">
        <v>3551</v>
      </c>
      <c r="E21" s="698"/>
      <c r="F21" s="707" t="s">
        <v>3566</v>
      </c>
      <c r="G21" s="694" t="s">
        <v>23</v>
      </c>
      <c r="H21" s="698"/>
      <c r="I21" s="697" t="s">
        <v>3613</v>
      </c>
      <c r="J21" s="683"/>
      <c r="K21" s="683"/>
      <c r="L21" s="683"/>
      <c r="M21" s="683"/>
      <c r="N21" s="683"/>
    </row>
    <row r="22">
      <c r="A22" s="693">
        <v>20.0</v>
      </c>
      <c r="B22" s="693" t="s">
        <v>109</v>
      </c>
      <c r="C22" s="700" t="s">
        <v>3569</v>
      </c>
      <c r="D22" s="701" t="s">
        <v>3568</v>
      </c>
      <c r="E22" s="702"/>
      <c r="F22" s="703" t="s">
        <v>3570</v>
      </c>
      <c r="G22" s="694" t="s">
        <v>20</v>
      </c>
      <c r="H22" s="702"/>
      <c r="I22" s="704" t="s">
        <v>3613</v>
      </c>
      <c r="J22" s="683"/>
      <c r="K22" s="683"/>
      <c r="L22" s="683"/>
      <c r="M22" s="683"/>
      <c r="N22" s="683"/>
    </row>
    <row r="23">
      <c r="A23" s="693">
        <v>21.0</v>
      </c>
      <c r="B23" s="693" t="s">
        <v>109</v>
      </c>
      <c r="C23" s="705" t="s">
        <v>3572</v>
      </c>
      <c r="D23" s="706" t="s">
        <v>3571</v>
      </c>
      <c r="E23" s="698"/>
      <c r="F23" s="707" t="s">
        <v>3573</v>
      </c>
      <c r="G23" s="694" t="s">
        <v>23</v>
      </c>
      <c r="H23" s="698"/>
      <c r="I23" s="697" t="s">
        <v>3615</v>
      </c>
      <c r="J23" s="683"/>
      <c r="K23" s="683"/>
      <c r="L23" s="683"/>
      <c r="M23" s="683"/>
      <c r="N23" s="683"/>
    </row>
    <row r="24">
      <c r="A24" s="709">
        <v>22.0</v>
      </c>
      <c r="B24" s="693" t="s">
        <v>109</v>
      </c>
      <c r="C24" s="709" t="s">
        <v>3616</v>
      </c>
      <c r="D24" s="709" t="s">
        <v>3617</v>
      </c>
      <c r="E24" s="709" t="s">
        <v>3618</v>
      </c>
      <c r="F24" s="710" t="s">
        <v>3619</v>
      </c>
      <c r="G24" s="694" t="s">
        <v>20</v>
      </c>
      <c r="H24" s="711"/>
      <c r="I24" s="709" t="s">
        <v>3620</v>
      </c>
      <c r="J24" s="683"/>
      <c r="K24" s="683"/>
      <c r="L24" s="683"/>
      <c r="M24" s="683"/>
      <c r="N24" s="683"/>
    </row>
    <row r="25">
      <c r="A25" s="693">
        <v>24.0</v>
      </c>
      <c r="B25" s="683"/>
      <c r="C25" s="683"/>
      <c r="D25" s="683"/>
      <c r="E25" s="683"/>
      <c r="F25" s="683"/>
      <c r="G25" s="683"/>
      <c r="H25" s="683"/>
      <c r="I25" s="683"/>
      <c r="J25" s="683"/>
      <c r="K25" s="683"/>
      <c r="L25" s="683"/>
      <c r="M25" s="683"/>
      <c r="N25" s="683"/>
    </row>
    <row r="26">
      <c r="A26" s="693">
        <v>25.0</v>
      </c>
      <c r="B26" s="683"/>
      <c r="C26" s="683"/>
      <c r="D26" s="683"/>
      <c r="E26" s="683"/>
      <c r="F26" s="683"/>
      <c r="G26" s="683"/>
      <c r="H26" s="683"/>
      <c r="I26" s="683"/>
      <c r="J26" s="683"/>
      <c r="K26" s="683"/>
      <c r="L26" s="683"/>
      <c r="M26" s="683"/>
      <c r="N26" s="683"/>
    </row>
    <row r="27">
      <c r="A27" s="693">
        <v>26.0</v>
      </c>
      <c r="B27" s="683"/>
      <c r="C27" s="683"/>
      <c r="D27" s="683"/>
      <c r="E27" s="683"/>
      <c r="F27" s="683"/>
      <c r="G27" s="683"/>
      <c r="H27" s="683"/>
      <c r="I27" s="683"/>
      <c r="J27" s="683"/>
      <c r="K27" s="683"/>
      <c r="L27" s="683"/>
      <c r="M27" s="683"/>
      <c r="N27" s="683"/>
    </row>
    <row r="28">
      <c r="A28" s="693">
        <v>27.0</v>
      </c>
      <c r="B28" s="683"/>
      <c r="C28" s="683"/>
      <c r="D28" s="683"/>
      <c r="E28" s="683"/>
      <c r="F28" s="683"/>
      <c r="G28" s="683"/>
      <c r="H28" s="683"/>
      <c r="I28" s="683"/>
      <c r="J28" s="683"/>
      <c r="K28" s="683"/>
      <c r="L28" s="683"/>
      <c r="M28" s="683"/>
      <c r="N28" s="683"/>
    </row>
    <row r="29">
      <c r="A29" s="693">
        <v>28.0</v>
      </c>
      <c r="B29" s="683"/>
      <c r="C29" s="683"/>
      <c r="D29" s="683"/>
      <c r="E29" s="683"/>
      <c r="F29" s="683"/>
      <c r="G29" s="683"/>
      <c r="H29" s="683"/>
      <c r="I29" s="683"/>
      <c r="J29" s="683"/>
      <c r="K29" s="683"/>
      <c r="L29" s="683"/>
      <c r="M29" s="683"/>
      <c r="N29" s="683"/>
    </row>
    <row r="30">
      <c r="A30" s="693">
        <v>29.0</v>
      </c>
      <c r="B30" s="683"/>
      <c r="C30" s="683"/>
      <c r="D30" s="683"/>
      <c r="E30" s="683"/>
      <c r="F30" s="683"/>
      <c r="G30" s="683"/>
      <c r="H30" s="683"/>
      <c r="I30" s="683"/>
      <c r="J30" s="683"/>
      <c r="K30" s="683"/>
      <c r="L30" s="683"/>
      <c r="M30" s="683"/>
      <c r="N30" s="683"/>
    </row>
    <row r="31">
      <c r="A31" s="693">
        <v>30.0</v>
      </c>
      <c r="B31" s="683"/>
      <c r="C31" s="683"/>
      <c r="D31" s="683"/>
      <c r="E31" s="683"/>
      <c r="F31" s="683"/>
      <c r="G31" s="683"/>
      <c r="H31" s="683"/>
      <c r="I31" s="683"/>
      <c r="J31" s="683"/>
      <c r="K31" s="683"/>
      <c r="L31" s="683"/>
      <c r="M31" s="683"/>
      <c r="N31" s="683"/>
    </row>
    <row r="32">
      <c r="A32" s="693">
        <v>31.0</v>
      </c>
      <c r="B32" s="683"/>
      <c r="C32" s="683"/>
      <c r="D32" s="683"/>
      <c r="E32" s="683"/>
      <c r="F32" s="683"/>
      <c r="G32" s="683"/>
      <c r="H32" s="683"/>
      <c r="I32" s="683"/>
      <c r="J32" s="683"/>
      <c r="K32" s="683"/>
      <c r="L32" s="683"/>
      <c r="M32" s="683"/>
      <c r="N32" s="683"/>
    </row>
    <row r="33">
      <c r="A33" s="693">
        <v>32.0</v>
      </c>
      <c r="B33" s="683"/>
      <c r="C33" s="683"/>
      <c r="D33" s="683"/>
      <c r="E33" s="683"/>
      <c r="F33" s="683"/>
      <c r="G33" s="683"/>
      <c r="H33" s="683"/>
      <c r="I33" s="683"/>
      <c r="J33" s="683"/>
      <c r="K33" s="683"/>
      <c r="L33" s="683"/>
      <c r="M33" s="683"/>
      <c r="N33" s="683"/>
    </row>
    <row r="34">
      <c r="A34" s="693">
        <v>33.0</v>
      </c>
      <c r="B34" s="683"/>
      <c r="C34" s="683"/>
      <c r="D34" s="683"/>
      <c r="E34" s="683"/>
      <c r="F34" s="683"/>
      <c r="G34" s="683"/>
      <c r="H34" s="683"/>
      <c r="I34" s="683"/>
      <c r="J34" s="683"/>
      <c r="K34" s="683"/>
      <c r="L34" s="683"/>
      <c r="M34" s="683"/>
      <c r="N34" s="683"/>
    </row>
    <row r="35">
      <c r="A35" s="693">
        <v>34.0</v>
      </c>
      <c r="B35" s="683"/>
      <c r="C35" s="683"/>
      <c r="D35" s="683"/>
      <c r="E35" s="683"/>
      <c r="F35" s="683"/>
      <c r="G35" s="683"/>
      <c r="H35" s="683"/>
      <c r="I35" s="683"/>
      <c r="J35" s="683"/>
      <c r="K35" s="683"/>
      <c r="L35" s="683"/>
      <c r="M35" s="683"/>
      <c r="N35" s="683"/>
    </row>
    <row r="36">
      <c r="A36" s="693">
        <v>35.0</v>
      </c>
      <c r="B36" s="683"/>
      <c r="C36" s="683"/>
      <c r="D36" s="683"/>
      <c r="E36" s="683"/>
      <c r="F36" s="683"/>
      <c r="G36" s="683"/>
      <c r="H36" s="683"/>
      <c r="I36" s="683"/>
      <c r="J36" s="683"/>
      <c r="K36" s="683"/>
      <c r="L36" s="683"/>
      <c r="M36" s="683"/>
      <c r="N36" s="683"/>
    </row>
    <row r="37">
      <c r="A37" s="693">
        <v>36.0</v>
      </c>
      <c r="B37" s="683"/>
      <c r="C37" s="683"/>
      <c r="D37" s="683"/>
      <c r="E37" s="683"/>
      <c r="F37" s="683"/>
      <c r="G37" s="683"/>
      <c r="H37" s="683"/>
      <c r="I37" s="683"/>
      <c r="J37" s="683"/>
      <c r="K37" s="683"/>
      <c r="L37" s="683"/>
      <c r="M37" s="683"/>
      <c r="N37" s="683"/>
    </row>
    <row r="38">
      <c r="A38" s="693">
        <v>37.0</v>
      </c>
      <c r="B38" s="683"/>
      <c r="C38" s="683"/>
      <c r="D38" s="683"/>
      <c r="E38" s="683"/>
      <c r="F38" s="683"/>
      <c r="G38" s="683"/>
      <c r="H38" s="683"/>
      <c r="I38" s="683"/>
      <c r="J38" s="683"/>
      <c r="K38" s="683"/>
      <c r="L38" s="683"/>
      <c r="M38" s="683"/>
      <c r="N38" s="683"/>
    </row>
    <row r="39">
      <c r="A39" s="693">
        <v>38.0</v>
      </c>
      <c r="B39" s="683"/>
      <c r="C39" s="683"/>
      <c r="D39" s="683"/>
      <c r="E39" s="683"/>
      <c r="F39" s="683"/>
      <c r="G39" s="683"/>
      <c r="H39" s="683"/>
      <c r="I39" s="683"/>
      <c r="J39" s="683"/>
      <c r="K39" s="683"/>
      <c r="L39" s="683"/>
      <c r="M39" s="683"/>
      <c r="N39" s="683"/>
    </row>
    <row r="40">
      <c r="A40" s="693">
        <v>39.0</v>
      </c>
      <c r="B40" s="683"/>
      <c r="C40" s="683"/>
      <c r="D40" s="683"/>
      <c r="E40" s="683"/>
      <c r="F40" s="683"/>
      <c r="G40" s="683"/>
      <c r="H40" s="683"/>
      <c r="I40" s="683"/>
      <c r="J40" s="683"/>
      <c r="K40" s="683"/>
      <c r="L40" s="683"/>
      <c r="M40" s="683"/>
      <c r="N40" s="683"/>
    </row>
    <row r="41">
      <c r="A41" s="693">
        <v>40.0</v>
      </c>
      <c r="B41" s="683"/>
      <c r="C41" s="683"/>
      <c r="D41" s="683"/>
      <c r="E41" s="683"/>
      <c r="F41" s="683"/>
      <c r="G41" s="683"/>
      <c r="H41" s="683"/>
      <c r="I41" s="683"/>
      <c r="J41" s="683"/>
      <c r="K41" s="683"/>
      <c r="L41" s="683"/>
      <c r="M41" s="683"/>
      <c r="N41" s="683"/>
    </row>
    <row r="42">
      <c r="A42" s="693">
        <v>41.0</v>
      </c>
      <c r="B42" s="683"/>
      <c r="C42" s="683"/>
      <c r="D42" s="683"/>
      <c r="E42" s="683"/>
      <c r="F42" s="683"/>
      <c r="G42" s="683"/>
      <c r="H42" s="683"/>
      <c r="I42" s="683"/>
      <c r="J42" s="683"/>
      <c r="K42" s="683"/>
      <c r="L42" s="683"/>
      <c r="M42" s="683"/>
      <c r="N42" s="683"/>
    </row>
    <row r="43">
      <c r="A43" s="693">
        <v>42.0</v>
      </c>
      <c r="B43" s="683"/>
      <c r="C43" s="683"/>
      <c r="D43" s="683"/>
      <c r="E43" s="683"/>
      <c r="F43" s="683"/>
      <c r="G43" s="683"/>
      <c r="H43" s="683"/>
      <c r="I43" s="683"/>
      <c r="J43" s="683"/>
      <c r="K43" s="683"/>
      <c r="L43" s="683"/>
      <c r="M43" s="683"/>
      <c r="N43" s="683"/>
    </row>
    <row r="44">
      <c r="A44" s="693">
        <v>43.0</v>
      </c>
      <c r="B44" s="683"/>
      <c r="C44" s="683"/>
      <c r="D44" s="683"/>
      <c r="E44" s="683"/>
      <c r="F44" s="683"/>
      <c r="G44" s="683"/>
      <c r="H44" s="683"/>
      <c r="I44" s="683"/>
      <c r="J44" s="683"/>
      <c r="K44" s="683"/>
      <c r="L44" s="683"/>
      <c r="M44" s="683"/>
      <c r="N44" s="683"/>
    </row>
    <row r="45">
      <c r="A45" s="693">
        <v>44.0</v>
      </c>
      <c r="B45" s="683"/>
      <c r="C45" s="683"/>
      <c r="D45" s="683"/>
      <c r="E45" s="683"/>
      <c r="F45" s="683"/>
      <c r="G45" s="683"/>
      <c r="H45" s="683"/>
      <c r="I45" s="683"/>
      <c r="J45" s="683"/>
      <c r="K45" s="683"/>
      <c r="L45" s="683"/>
      <c r="M45" s="683"/>
      <c r="N45" s="683"/>
    </row>
    <row r="46">
      <c r="A46" s="693">
        <v>45.0</v>
      </c>
      <c r="B46" s="683"/>
      <c r="C46" s="683"/>
      <c r="D46" s="683"/>
      <c r="E46" s="683"/>
      <c r="F46" s="683"/>
      <c r="G46" s="683"/>
      <c r="H46" s="683"/>
      <c r="I46" s="683"/>
      <c r="J46" s="683"/>
      <c r="K46" s="683"/>
      <c r="L46" s="683"/>
      <c r="M46" s="683"/>
      <c r="N46" s="683"/>
    </row>
    <row r="47">
      <c r="A47" s="693">
        <v>46.0</v>
      </c>
      <c r="B47" s="683"/>
      <c r="C47" s="683"/>
      <c r="D47" s="683"/>
      <c r="E47" s="683"/>
      <c r="F47" s="683"/>
      <c r="G47" s="683"/>
      <c r="H47" s="683"/>
      <c r="I47" s="683"/>
      <c r="J47" s="683"/>
      <c r="K47" s="683"/>
      <c r="L47" s="683"/>
      <c r="M47" s="683"/>
      <c r="N47" s="683"/>
    </row>
    <row r="48">
      <c r="A48" s="693">
        <v>47.0</v>
      </c>
      <c r="B48" s="683"/>
      <c r="C48" s="683"/>
      <c r="D48" s="683"/>
      <c r="E48" s="683"/>
      <c r="F48" s="683"/>
      <c r="G48" s="683"/>
      <c r="H48" s="683"/>
      <c r="I48" s="683"/>
      <c r="J48" s="683"/>
      <c r="K48" s="683"/>
      <c r="L48" s="683"/>
      <c r="M48" s="683"/>
      <c r="N48" s="683"/>
    </row>
    <row r="49">
      <c r="A49" s="693">
        <v>48.0</v>
      </c>
      <c r="B49" s="683"/>
      <c r="C49" s="683"/>
      <c r="D49" s="683"/>
      <c r="E49" s="683"/>
      <c r="F49" s="683"/>
      <c r="G49" s="683"/>
      <c r="H49" s="683"/>
      <c r="I49" s="683"/>
      <c r="J49" s="683"/>
      <c r="K49" s="683"/>
      <c r="L49" s="683"/>
      <c r="M49" s="683"/>
      <c r="N49" s="683"/>
    </row>
    <row r="50">
      <c r="A50" s="683"/>
      <c r="B50" s="683"/>
      <c r="C50" s="683"/>
      <c r="D50" s="683"/>
      <c r="E50" s="683"/>
      <c r="F50" s="683"/>
      <c r="G50" s="683"/>
      <c r="H50" s="683"/>
      <c r="I50" s="683"/>
      <c r="J50" s="683"/>
      <c r="K50" s="683"/>
      <c r="L50" s="683"/>
      <c r="M50" s="683"/>
      <c r="N50" s="683"/>
    </row>
    <row r="51">
      <c r="A51" s="683"/>
      <c r="B51" s="683"/>
      <c r="C51" s="683"/>
      <c r="D51" s="683"/>
      <c r="E51" s="683"/>
      <c r="F51" s="683"/>
      <c r="G51" s="683"/>
      <c r="H51" s="683"/>
      <c r="I51" s="683"/>
      <c r="J51" s="683"/>
      <c r="K51" s="683"/>
      <c r="L51" s="683"/>
      <c r="M51" s="683"/>
      <c r="N51" s="683"/>
    </row>
    <row r="52">
      <c r="A52" s="683"/>
      <c r="B52" s="683"/>
      <c r="C52" s="683"/>
      <c r="D52" s="683"/>
      <c r="E52" s="683"/>
      <c r="F52" s="683"/>
      <c r="G52" s="683"/>
      <c r="H52" s="683"/>
      <c r="I52" s="683"/>
      <c r="J52" s="683"/>
      <c r="K52" s="683"/>
      <c r="L52" s="683"/>
      <c r="M52" s="683"/>
      <c r="N52" s="683"/>
    </row>
    <row r="53">
      <c r="A53" s="683"/>
      <c r="B53" s="683"/>
      <c r="C53" s="683"/>
      <c r="D53" s="683"/>
      <c r="E53" s="683"/>
      <c r="F53" s="683"/>
      <c r="G53" s="683"/>
      <c r="H53" s="683"/>
      <c r="I53" s="683"/>
      <c r="J53" s="683"/>
      <c r="K53" s="683"/>
      <c r="L53" s="683"/>
      <c r="M53" s="683"/>
      <c r="N53" s="683"/>
    </row>
    <row r="54">
      <c r="A54" s="683"/>
      <c r="B54" s="683"/>
      <c r="C54" s="683"/>
      <c r="D54" s="683"/>
      <c r="E54" s="683"/>
      <c r="F54" s="683"/>
      <c r="G54" s="683"/>
      <c r="H54" s="683"/>
      <c r="I54" s="683"/>
      <c r="J54" s="683"/>
      <c r="K54" s="683"/>
      <c r="L54" s="683"/>
      <c r="M54" s="683"/>
      <c r="N54" s="683"/>
    </row>
    <row r="55">
      <c r="A55" s="683"/>
      <c r="B55" s="683"/>
      <c r="C55" s="683"/>
      <c r="D55" s="683"/>
      <c r="E55" s="683"/>
      <c r="F55" s="683"/>
      <c r="G55" s="683"/>
      <c r="H55" s="683"/>
      <c r="I55" s="683"/>
      <c r="J55" s="683"/>
      <c r="K55" s="683"/>
      <c r="L55" s="683"/>
      <c r="M55" s="683"/>
      <c r="N55" s="683"/>
    </row>
    <row r="56">
      <c r="A56" s="683"/>
      <c r="B56" s="683"/>
      <c r="C56" s="683"/>
      <c r="D56" s="683"/>
      <c r="E56" s="683"/>
      <c r="F56" s="683"/>
      <c r="G56" s="683"/>
      <c r="H56" s="683"/>
      <c r="I56" s="683"/>
      <c r="J56" s="683"/>
      <c r="K56" s="683"/>
      <c r="L56" s="683"/>
      <c r="M56" s="683"/>
      <c r="N56" s="683"/>
    </row>
    <row r="57">
      <c r="A57" s="683"/>
      <c r="B57" s="683"/>
      <c r="C57" s="683"/>
      <c r="D57" s="683"/>
      <c r="E57" s="683"/>
      <c r="F57" s="683"/>
      <c r="G57" s="683"/>
      <c r="H57" s="683"/>
      <c r="I57" s="683"/>
      <c r="J57" s="683"/>
      <c r="K57" s="683"/>
      <c r="L57" s="683"/>
      <c r="M57" s="683"/>
      <c r="N57" s="683"/>
    </row>
    <row r="58">
      <c r="A58" s="683"/>
      <c r="B58" s="683"/>
      <c r="C58" s="683"/>
      <c r="D58" s="683"/>
      <c r="E58" s="683"/>
      <c r="F58" s="683"/>
      <c r="G58" s="683"/>
      <c r="H58" s="683"/>
      <c r="I58" s="683"/>
      <c r="J58" s="683"/>
      <c r="K58" s="683"/>
      <c r="L58" s="683"/>
      <c r="M58" s="683"/>
      <c r="N58" s="683"/>
    </row>
    <row r="59">
      <c r="A59" s="683"/>
      <c r="B59" s="683"/>
      <c r="C59" s="683"/>
      <c r="D59" s="683"/>
      <c r="E59" s="683"/>
      <c r="F59" s="683"/>
      <c r="G59" s="683"/>
      <c r="H59" s="683"/>
      <c r="I59" s="683"/>
      <c r="J59" s="683"/>
      <c r="K59" s="683"/>
      <c r="L59" s="683"/>
      <c r="M59" s="683"/>
      <c r="N59" s="683"/>
    </row>
    <row r="60">
      <c r="A60" s="683"/>
      <c r="B60" s="683"/>
      <c r="C60" s="683"/>
      <c r="D60" s="683"/>
      <c r="E60" s="683"/>
      <c r="F60" s="683"/>
      <c r="G60" s="683"/>
      <c r="H60" s="683"/>
      <c r="I60" s="683"/>
      <c r="J60" s="683"/>
      <c r="K60" s="683"/>
      <c r="L60" s="683"/>
      <c r="M60" s="683"/>
      <c r="N60" s="683"/>
    </row>
    <row r="61">
      <c r="A61" s="683"/>
      <c r="B61" s="683"/>
      <c r="C61" s="683"/>
      <c r="D61" s="683"/>
      <c r="E61" s="683"/>
      <c r="F61" s="683"/>
      <c r="G61" s="683"/>
      <c r="H61" s="683"/>
      <c r="I61" s="683"/>
      <c r="J61" s="683"/>
      <c r="K61" s="683"/>
      <c r="L61" s="683"/>
      <c r="M61" s="683"/>
      <c r="N61" s="683"/>
    </row>
    <row r="62">
      <c r="A62" s="683"/>
      <c r="B62" s="683"/>
      <c r="C62" s="683"/>
      <c r="D62" s="683"/>
      <c r="E62" s="683"/>
      <c r="F62" s="683"/>
      <c r="G62" s="683"/>
      <c r="H62" s="683"/>
      <c r="I62" s="683"/>
      <c r="J62" s="683"/>
      <c r="K62" s="683"/>
      <c r="L62" s="683"/>
      <c r="M62" s="683"/>
      <c r="N62" s="683"/>
    </row>
    <row r="63">
      <c r="A63" s="683"/>
      <c r="B63" s="683"/>
      <c r="C63" s="683"/>
      <c r="D63" s="683"/>
      <c r="E63" s="683"/>
      <c r="F63" s="683"/>
      <c r="G63" s="683"/>
      <c r="H63" s="683"/>
      <c r="I63" s="683"/>
      <c r="J63" s="683"/>
      <c r="K63" s="683"/>
      <c r="L63" s="683"/>
      <c r="M63" s="683"/>
      <c r="N63" s="683"/>
    </row>
    <row r="64">
      <c r="A64" s="683"/>
      <c r="B64" s="683"/>
      <c r="C64" s="683"/>
      <c r="D64" s="683"/>
      <c r="E64" s="683"/>
      <c r="F64" s="683"/>
      <c r="G64" s="683"/>
      <c r="H64" s="683"/>
      <c r="I64" s="683"/>
      <c r="J64" s="683"/>
      <c r="K64" s="683"/>
      <c r="L64" s="683"/>
      <c r="M64" s="683"/>
      <c r="N64" s="683"/>
    </row>
    <row r="65">
      <c r="A65" s="683"/>
      <c r="B65" s="683"/>
      <c r="C65" s="683"/>
      <c r="D65" s="683"/>
      <c r="E65" s="683"/>
      <c r="F65" s="683"/>
      <c r="G65" s="683"/>
      <c r="H65" s="683"/>
      <c r="I65" s="683"/>
      <c r="J65" s="683"/>
      <c r="K65" s="683"/>
      <c r="L65" s="683"/>
      <c r="M65" s="683"/>
      <c r="N65" s="683"/>
    </row>
    <row r="66">
      <c r="A66" s="683"/>
      <c r="B66" s="683"/>
      <c r="C66" s="683"/>
      <c r="D66" s="683"/>
      <c r="E66" s="683"/>
      <c r="F66" s="683"/>
      <c r="G66" s="683"/>
      <c r="H66" s="683"/>
      <c r="I66" s="683"/>
      <c r="J66" s="683"/>
      <c r="K66" s="683"/>
      <c r="L66" s="683"/>
      <c r="M66" s="683"/>
      <c r="N66" s="683"/>
    </row>
    <row r="67">
      <c r="A67" s="683"/>
      <c r="B67" s="683"/>
      <c r="C67" s="683"/>
      <c r="D67" s="683"/>
      <c r="E67" s="683"/>
      <c r="F67" s="683"/>
      <c r="G67" s="683"/>
      <c r="H67" s="683"/>
      <c r="I67" s="683"/>
      <c r="J67" s="683"/>
      <c r="K67" s="683"/>
      <c r="L67" s="683"/>
      <c r="M67" s="683"/>
      <c r="N67" s="683"/>
    </row>
    <row r="68">
      <c r="A68" s="683"/>
      <c r="B68" s="683"/>
      <c r="C68" s="683"/>
      <c r="D68" s="683"/>
      <c r="E68" s="683"/>
      <c r="F68" s="683"/>
      <c r="G68" s="683"/>
      <c r="H68" s="683"/>
      <c r="I68" s="683"/>
      <c r="J68" s="683"/>
      <c r="K68" s="683"/>
      <c r="L68" s="683"/>
      <c r="M68" s="683"/>
      <c r="N68" s="683"/>
    </row>
    <row r="69">
      <c r="A69" s="683"/>
      <c r="B69" s="683"/>
      <c r="C69" s="683"/>
      <c r="D69" s="683"/>
      <c r="E69" s="683"/>
      <c r="F69" s="683"/>
      <c r="G69" s="683"/>
      <c r="H69" s="683"/>
      <c r="I69" s="683"/>
      <c r="J69" s="683"/>
      <c r="K69" s="683"/>
      <c r="L69" s="683"/>
      <c r="M69" s="683"/>
      <c r="N69" s="683"/>
    </row>
    <row r="70">
      <c r="A70" s="683"/>
      <c r="B70" s="683"/>
      <c r="C70" s="683"/>
      <c r="D70" s="683"/>
      <c r="E70" s="683"/>
      <c r="F70" s="683"/>
      <c r="G70" s="683"/>
      <c r="H70" s="683"/>
      <c r="I70" s="683"/>
      <c r="J70" s="683"/>
      <c r="K70" s="683"/>
      <c r="L70" s="683"/>
      <c r="M70" s="683"/>
      <c r="N70" s="683"/>
    </row>
    <row r="71">
      <c r="A71" s="683"/>
      <c r="B71" s="683"/>
      <c r="C71" s="683"/>
      <c r="D71" s="683"/>
      <c r="E71" s="683"/>
      <c r="F71" s="683"/>
      <c r="G71" s="683"/>
      <c r="H71" s="683"/>
      <c r="I71" s="683"/>
      <c r="J71" s="683"/>
      <c r="K71" s="683"/>
      <c r="L71" s="683"/>
      <c r="M71" s="683"/>
      <c r="N71" s="683"/>
    </row>
    <row r="72">
      <c r="A72" s="683"/>
      <c r="B72" s="683"/>
      <c r="C72" s="683"/>
      <c r="D72" s="683"/>
      <c r="E72" s="683"/>
      <c r="F72" s="683"/>
      <c r="G72" s="683"/>
      <c r="H72" s="683"/>
      <c r="I72" s="683"/>
      <c r="J72" s="683"/>
      <c r="K72" s="683"/>
      <c r="L72" s="683"/>
      <c r="M72" s="683"/>
      <c r="N72" s="683"/>
    </row>
    <row r="73">
      <c r="A73" s="683"/>
      <c r="B73" s="683"/>
      <c r="C73" s="683"/>
      <c r="D73" s="683"/>
      <c r="E73" s="683"/>
      <c r="F73" s="683"/>
      <c r="G73" s="683"/>
      <c r="H73" s="683"/>
      <c r="I73" s="683"/>
      <c r="J73" s="683"/>
      <c r="K73" s="683"/>
      <c r="L73" s="683"/>
      <c r="M73" s="683"/>
      <c r="N73" s="683"/>
    </row>
    <row r="74">
      <c r="A74" s="683"/>
      <c r="B74" s="683"/>
      <c r="C74" s="683"/>
      <c r="D74" s="683"/>
      <c r="E74" s="683"/>
      <c r="F74" s="683"/>
      <c r="G74" s="683"/>
      <c r="H74" s="683"/>
      <c r="I74" s="683"/>
      <c r="J74" s="683"/>
      <c r="K74" s="683"/>
      <c r="L74" s="683"/>
      <c r="M74" s="683"/>
      <c r="N74" s="683"/>
    </row>
    <row r="75">
      <c r="A75" s="683"/>
      <c r="B75" s="683"/>
      <c r="C75" s="683"/>
      <c r="D75" s="683"/>
      <c r="E75" s="683"/>
      <c r="F75" s="683"/>
      <c r="G75" s="683"/>
      <c r="H75" s="683"/>
      <c r="I75" s="683"/>
      <c r="J75" s="683"/>
      <c r="K75" s="683"/>
      <c r="L75" s="683"/>
      <c r="M75" s="683"/>
      <c r="N75" s="683"/>
    </row>
    <row r="76">
      <c r="A76" s="683"/>
      <c r="B76" s="683"/>
      <c r="C76" s="683"/>
      <c r="D76" s="683"/>
      <c r="E76" s="683"/>
      <c r="F76" s="683"/>
      <c r="G76" s="683"/>
      <c r="H76" s="683"/>
      <c r="I76" s="683"/>
      <c r="J76" s="683"/>
      <c r="K76" s="683"/>
      <c r="L76" s="683"/>
      <c r="M76" s="683"/>
      <c r="N76" s="683"/>
    </row>
    <row r="77">
      <c r="A77" s="683"/>
      <c r="B77" s="683"/>
      <c r="C77" s="683"/>
      <c r="D77" s="683"/>
      <c r="E77" s="683"/>
      <c r="F77" s="683"/>
      <c r="G77" s="683"/>
      <c r="H77" s="683"/>
      <c r="I77" s="683"/>
      <c r="J77" s="683"/>
      <c r="K77" s="683"/>
      <c r="L77" s="683"/>
      <c r="M77" s="683"/>
      <c r="N77" s="683"/>
    </row>
    <row r="78">
      <c r="A78" s="683"/>
      <c r="B78" s="683"/>
      <c r="C78" s="683"/>
      <c r="D78" s="683"/>
      <c r="E78" s="683"/>
      <c r="F78" s="683"/>
      <c r="G78" s="683"/>
      <c r="H78" s="683"/>
      <c r="I78" s="683"/>
      <c r="J78" s="683"/>
      <c r="K78" s="683"/>
      <c r="L78" s="683"/>
      <c r="M78" s="683"/>
      <c r="N78" s="683"/>
    </row>
    <row r="79">
      <c r="A79" s="683"/>
      <c r="B79" s="683"/>
      <c r="C79" s="683"/>
      <c r="D79" s="683"/>
      <c r="E79" s="683"/>
      <c r="F79" s="683"/>
      <c r="G79" s="683"/>
      <c r="H79" s="683"/>
      <c r="I79" s="683"/>
      <c r="J79" s="683"/>
      <c r="K79" s="683"/>
      <c r="L79" s="683"/>
      <c r="M79" s="683"/>
      <c r="N79" s="683"/>
    </row>
    <row r="80">
      <c r="A80" s="683"/>
      <c r="B80" s="683"/>
      <c r="C80" s="683"/>
      <c r="D80" s="683"/>
      <c r="E80" s="683"/>
      <c r="F80" s="683"/>
      <c r="G80" s="683"/>
      <c r="H80" s="683"/>
      <c r="I80" s="683"/>
      <c r="J80" s="683"/>
      <c r="K80" s="683"/>
      <c r="L80" s="683"/>
      <c r="M80" s="683"/>
      <c r="N80" s="683"/>
    </row>
    <row r="81">
      <c r="A81" s="683"/>
      <c r="B81" s="683"/>
      <c r="C81" s="683"/>
      <c r="D81" s="683"/>
      <c r="E81" s="683"/>
      <c r="F81" s="683"/>
      <c r="G81" s="683"/>
      <c r="H81" s="683"/>
      <c r="I81" s="683"/>
      <c r="J81" s="683"/>
      <c r="K81" s="683"/>
      <c r="L81" s="683"/>
      <c r="M81" s="683"/>
      <c r="N81" s="683"/>
    </row>
    <row r="82">
      <c r="A82" s="683"/>
      <c r="B82" s="683"/>
      <c r="C82" s="683"/>
      <c r="D82" s="683"/>
      <c r="E82" s="683"/>
      <c r="F82" s="683"/>
      <c r="G82" s="683"/>
      <c r="H82" s="683"/>
      <c r="I82" s="683"/>
      <c r="J82" s="683"/>
      <c r="K82" s="683"/>
      <c r="L82" s="683"/>
      <c r="M82" s="683"/>
      <c r="N82" s="683"/>
    </row>
    <row r="83">
      <c r="A83" s="683"/>
      <c r="B83" s="683"/>
      <c r="C83" s="683"/>
      <c r="D83" s="683"/>
      <c r="E83" s="683"/>
      <c r="F83" s="683"/>
      <c r="G83" s="683"/>
      <c r="H83" s="683"/>
      <c r="I83" s="683"/>
      <c r="J83" s="683"/>
      <c r="K83" s="683"/>
      <c r="L83" s="683"/>
      <c r="M83" s="683"/>
      <c r="N83" s="683"/>
    </row>
    <row r="84">
      <c r="A84" s="683"/>
      <c r="B84" s="683"/>
      <c r="C84" s="683"/>
      <c r="D84" s="683"/>
      <c r="E84" s="683"/>
      <c r="F84" s="683"/>
      <c r="G84" s="683"/>
      <c r="H84" s="683"/>
      <c r="I84" s="683"/>
      <c r="J84" s="683"/>
      <c r="K84" s="683"/>
      <c r="L84" s="683"/>
      <c r="M84" s="683"/>
      <c r="N84" s="683"/>
    </row>
    <row r="85">
      <c r="A85" s="683"/>
      <c r="B85" s="683"/>
      <c r="C85" s="683"/>
      <c r="D85" s="683"/>
      <c r="E85" s="683"/>
      <c r="F85" s="683"/>
      <c r="G85" s="683"/>
      <c r="H85" s="683"/>
      <c r="I85" s="683"/>
      <c r="J85" s="683"/>
      <c r="K85" s="683"/>
      <c r="L85" s="683"/>
      <c r="M85" s="683"/>
      <c r="N85" s="683"/>
    </row>
    <row r="86">
      <c r="A86" s="683"/>
      <c r="B86" s="683"/>
      <c r="C86" s="683"/>
      <c r="D86" s="683"/>
      <c r="E86" s="683"/>
      <c r="F86" s="683"/>
      <c r="G86" s="683"/>
      <c r="H86" s="683"/>
      <c r="I86" s="683"/>
      <c r="J86" s="683"/>
      <c r="K86" s="683"/>
      <c r="L86" s="683"/>
      <c r="M86" s="683"/>
      <c r="N86" s="683"/>
    </row>
    <row r="87">
      <c r="A87" s="683"/>
      <c r="B87" s="683"/>
      <c r="C87" s="683"/>
      <c r="D87" s="683"/>
      <c r="E87" s="683"/>
      <c r="F87" s="683"/>
      <c r="G87" s="683"/>
      <c r="H87" s="683"/>
      <c r="I87" s="683"/>
      <c r="J87" s="683"/>
      <c r="K87" s="683"/>
      <c r="L87" s="683"/>
      <c r="M87" s="683"/>
      <c r="N87" s="683"/>
    </row>
    <row r="88">
      <c r="A88" s="683"/>
      <c r="B88" s="683"/>
      <c r="C88" s="683"/>
      <c r="D88" s="683"/>
      <c r="E88" s="683"/>
      <c r="F88" s="683"/>
      <c r="G88" s="683"/>
      <c r="H88" s="683"/>
      <c r="I88" s="683"/>
      <c r="J88" s="683"/>
      <c r="K88" s="683"/>
      <c r="L88" s="683"/>
      <c r="M88" s="683"/>
      <c r="N88" s="683"/>
    </row>
    <row r="89">
      <c r="A89" s="683"/>
      <c r="B89" s="683"/>
      <c r="C89" s="683"/>
      <c r="D89" s="683"/>
      <c r="E89" s="683"/>
      <c r="F89" s="683"/>
      <c r="G89" s="683"/>
      <c r="H89" s="683"/>
      <c r="I89" s="683"/>
      <c r="J89" s="683"/>
      <c r="K89" s="683"/>
      <c r="L89" s="683"/>
      <c r="M89" s="683"/>
      <c r="N89" s="683"/>
    </row>
    <row r="90">
      <c r="A90" s="683"/>
      <c r="B90" s="683"/>
      <c r="C90" s="683"/>
      <c r="D90" s="683"/>
      <c r="E90" s="683"/>
      <c r="F90" s="683"/>
      <c r="G90" s="683"/>
      <c r="H90" s="683"/>
      <c r="I90" s="683"/>
      <c r="J90" s="683"/>
      <c r="K90" s="683"/>
      <c r="L90" s="683"/>
      <c r="M90" s="683"/>
      <c r="N90" s="683"/>
    </row>
    <row r="91">
      <c r="A91" s="683"/>
      <c r="B91" s="683"/>
      <c r="C91" s="683"/>
      <c r="D91" s="683"/>
      <c r="E91" s="683"/>
      <c r="F91" s="683"/>
      <c r="G91" s="683"/>
      <c r="H91" s="683"/>
      <c r="I91" s="683"/>
      <c r="J91" s="683"/>
      <c r="K91" s="683"/>
      <c r="L91" s="683"/>
      <c r="M91" s="683"/>
      <c r="N91" s="683"/>
    </row>
    <row r="92">
      <c r="A92" s="683"/>
      <c r="B92" s="683"/>
      <c r="C92" s="683"/>
      <c r="D92" s="683"/>
      <c r="E92" s="683"/>
      <c r="F92" s="683"/>
      <c r="G92" s="683"/>
      <c r="H92" s="683"/>
      <c r="I92" s="683"/>
      <c r="J92" s="683"/>
      <c r="K92" s="683"/>
      <c r="L92" s="683"/>
      <c r="M92" s="683"/>
      <c r="N92" s="683"/>
    </row>
    <row r="93">
      <c r="A93" s="683"/>
      <c r="B93" s="683"/>
      <c r="C93" s="683"/>
      <c r="D93" s="683"/>
      <c r="E93" s="683"/>
      <c r="F93" s="683"/>
      <c r="G93" s="683"/>
      <c r="H93" s="683"/>
      <c r="I93" s="683"/>
      <c r="J93" s="683"/>
      <c r="K93" s="683"/>
      <c r="L93" s="683"/>
      <c r="M93" s="683"/>
      <c r="N93" s="683"/>
    </row>
    <row r="94">
      <c r="A94" s="683"/>
      <c r="B94" s="683"/>
      <c r="C94" s="683"/>
      <c r="D94" s="683"/>
      <c r="E94" s="683"/>
      <c r="F94" s="683"/>
      <c r="G94" s="683"/>
      <c r="H94" s="683"/>
      <c r="I94" s="683"/>
      <c r="J94" s="683"/>
      <c r="K94" s="683"/>
      <c r="L94" s="683"/>
      <c r="M94" s="683"/>
      <c r="N94" s="683"/>
    </row>
    <row r="95">
      <c r="A95" s="683"/>
      <c r="B95" s="683"/>
      <c r="C95" s="683"/>
      <c r="D95" s="683"/>
      <c r="E95" s="683"/>
      <c r="F95" s="683"/>
      <c r="G95" s="683"/>
      <c r="H95" s="683"/>
      <c r="I95" s="683"/>
      <c r="J95" s="683"/>
      <c r="K95" s="683"/>
      <c r="L95" s="683"/>
      <c r="M95" s="683"/>
      <c r="N95" s="683"/>
    </row>
    <row r="96">
      <c r="A96" s="683"/>
      <c r="B96" s="683"/>
      <c r="C96" s="683"/>
      <c r="D96" s="683"/>
      <c r="E96" s="683"/>
      <c r="F96" s="683"/>
      <c r="G96" s="683"/>
      <c r="H96" s="683"/>
      <c r="I96" s="683"/>
      <c r="J96" s="683"/>
      <c r="K96" s="683"/>
      <c r="L96" s="683"/>
      <c r="M96" s="683"/>
      <c r="N96" s="683"/>
    </row>
    <row r="97">
      <c r="A97" s="683"/>
      <c r="B97" s="683"/>
      <c r="C97" s="683"/>
      <c r="D97" s="683"/>
      <c r="E97" s="683"/>
      <c r="F97" s="683"/>
      <c r="G97" s="683"/>
      <c r="H97" s="683"/>
      <c r="I97" s="683"/>
      <c r="J97" s="683"/>
      <c r="K97" s="683"/>
      <c r="L97" s="683"/>
      <c r="M97" s="683"/>
      <c r="N97" s="683"/>
    </row>
    <row r="98">
      <c r="A98" s="683"/>
      <c r="B98" s="683"/>
      <c r="C98" s="683"/>
      <c r="D98" s="683"/>
      <c r="E98" s="683"/>
      <c r="F98" s="683"/>
      <c r="G98" s="683"/>
      <c r="H98" s="683"/>
      <c r="I98" s="683"/>
      <c r="J98" s="683"/>
      <c r="K98" s="683"/>
      <c r="L98" s="683"/>
      <c r="M98" s="683"/>
      <c r="N98" s="683"/>
    </row>
    <row r="99">
      <c r="A99" s="683"/>
      <c r="B99" s="683"/>
      <c r="C99" s="683"/>
      <c r="D99" s="683"/>
      <c r="E99" s="683"/>
      <c r="F99" s="683"/>
      <c r="G99" s="683"/>
      <c r="H99" s="683"/>
      <c r="I99" s="683"/>
      <c r="J99" s="683"/>
      <c r="K99" s="683"/>
      <c r="L99" s="683"/>
      <c r="M99" s="683"/>
      <c r="N99" s="683"/>
    </row>
    <row r="100">
      <c r="A100" s="683"/>
      <c r="B100" s="683"/>
      <c r="C100" s="683"/>
      <c r="D100" s="683"/>
      <c r="E100" s="683"/>
      <c r="F100" s="683"/>
      <c r="G100" s="683"/>
      <c r="H100" s="683"/>
      <c r="I100" s="683"/>
      <c r="J100" s="683"/>
      <c r="K100" s="683"/>
      <c r="L100" s="683"/>
      <c r="M100" s="683"/>
      <c r="N100" s="683"/>
    </row>
    <row r="101">
      <c r="A101" s="683"/>
      <c r="B101" s="683"/>
      <c r="C101" s="683"/>
      <c r="D101" s="683"/>
      <c r="E101" s="683"/>
      <c r="F101" s="683"/>
      <c r="G101" s="683"/>
      <c r="H101" s="683"/>
      <c r="I101" s="683"/>
      <c r="J101" s="683"/>
      <c r="K101" s="683"/>
      <c r="L101" s="683"/>
      <c r="M101" s="683"/>
      <c r="N101" s="683"/>
    </row>
    <row r="102">
      <c r="A102" s="683"/>
      <c r="B102" s="683"/>
      <c r="C102" s="683"/>
      <c r="D102" s="683"/>
      <c r="E102" s="683"/>
      <c r="F102" s="683"/>
      <c r="G102" s="683"/>
      <c r="H102" s="683"/>
      <c r="I102" s="683"/>
      <c r="J102" s="683"/>
      <c r="K102" s="683"/>
      <c r="L102" s="683"/>
      <c r="M102" s="683"/>
      <c r="N102" s="683"/>
    </row>
    <row r="103">
      <c r="A103" s="683"/>
      <c r="B103" s="683"/>
      <c r="C103" s="683"/>
      <c r="D103" s="683"/>
      <c r="E103" s="683"/>
      <c r="F103" s="683"/>
      <c r="G103" s="683"/>
      <c r="H103" s="683"/>
      <c r="I103" s="683"/>
      <c r="J103" s="683"/>
      <c r="K103" s="683"/>
      <c r="L103" s="683"/>
      <c r="M103" s="683"/>
      <c r="N103" s="683"/>
    </row>
    <row r="104">
      <c r="A104" s="683"/>
      <c r="B104" s="683"/>
      <c r="C104" s="683"/>
      <c r="D104" s="683"/>
      <c r="E104" s="683"/>
      <c r="F104" s="683"/>
      <c r="G104" s="683"/>
      <c r="H104" s="683"/>
      <c r="I104" s="683"/>
      <c r="J104" s="683"/>
      <c r="K104" s="683"/>
      <c r="L104" s="683"/>
      <c r="M104" s="683"/>
      <c r="N104" s="683"/>
    </row>
    <row r="105">
      <c r="A105" s="683"/>
      <c r="B105" s="683"/>
      <c r="C105" s="683"/>
      <c r="D105" s="683"/>
      <c r="E105" s="683"/>
      <c r="F105" s="683"/>
      <c r="G105" s="683"/>
      <c r="H105" s="683"/>
      <c r="I105" s="683"/>
      <c r="J105" s="683"/>
      <c r="K105" s="683"/>
      <c r="L105" s="683"/>
      <c r="M105" s="683"/>
      <c r="N105" s="683"/>
    </row>
    <row r="106">
      <c r="A106" s="683"/>
      <c r="B106" s="683"/>
      <c r="C106" s="683"/>
      <c r="D106" s="683"/>
      <c r="E106" s="683"/>
      <c r="F106" s="683"/>
      <c r="G106" s="683"/>
      <c r="H106" s="683"/>
      <c r="I106" s="683"/>
      <c r="J106" s="683"/>
      <c r="K106" s="683"/>
      <c r="L106" s="683"/>
      <c r="M106" s="683"/>
      <c r="N106" s="683"/>
    </row>
    <row r="107">
      <c r="A107" s="683"/>
      <c r="B107" s="683"/>
      <c r="C107" s="683"/>
      <c r="D107" s="683"/>
      <c r="E107" s="683"/>
      <c r="F107" s="683"/>
      <c r="G107" s="683"/>
      <c r="H107" s="683"/>
      <c r="I107" s="683"/>
      <c r="J107" s="683"/>
      <c r="K107" s="683"/>
      <c r="L107" s="683"/>
      <c r="M107" s="683"/>
      <c r="N107" s="683"/>
    </row>
    <row r="108">
      <c r="A108" s="683"/>
      <c r="B108" s="683"/>
      <c r="C108" s="683"/>
      <c r="D108" s="683"/>
      <c r="E108" s="683"/>
      <c r="F108" s="683"/>
      <c r="G108" s="683"/>
      <c r="H108" s="683"/>
      <c r="I108" s="683"/>
      <c r="J108" s="683"/>
      <c r="K108" s="683"/>
      <c r="L108" s="683"/>
      <c r="M108" s="683"/>
      <c r="N108" s="683"/>
    </row>
    <row r="109">
      <c r="A109" s="683"/>
      <c r="B109" s="683"/>
      <c r="C109" s="683"/>
      <c r="D109" s="683"/>
      <c r="E109" s="683"/>
      <c r="F109" s="683"/>
      <c r="G109" s="683"/>
      <c r="H109" s="683"/>
      <c r="I109" s="683"/>
      <c r="J109" s="683"/>
      <c r="K109" s="683"/>
      <c r="L109" s="683"/>
      <c r="M109" s="683"/>
      <c r="N109" s="683"/>
    </row>
    <row r="110">
      <c r="A110" s="683"/>
      <c r="B110" s="683"/>
      <c r="C110" s="683"/>
      <c r="D110" s="683"/>
      <c r="E110" s="683"/>
      <c r="F110" s="683"/>
      <c r="G110" s="683"/>
      <c r="H110" s="683"/>
      <c r="I110" s="683"/>
      <c r="J110" s="683"/>
      <c r="K110" s="683"/>
      <c r="L110" s="683"/>
      <c r="M110" s="683"/>
      <c r="N110" s="683"/>
    </row>
    <row r="111">
      <c r="A111" s="683"/>
      <c r="B111" s="683"/>
      <c r="C111" s="683"/>
      <c r="D111" s="683"/>
      <c r="E111" s="683"/>
      <c r="F111" s="683"/>
      <c r="G111" s="683"/>
      <c r="H111" s="683"/>
      <c r="I111" s="683"/>
      <c r="J111" s="683"/>
      <c r="K111" s="683"/>
      <c r="L111" s="683"/>
      <c r="M111" s="683"/>
      <c r="N111" s="683"/>
    </row>
    <row r="112">
      <c r="A112" s="683"/>
      <c r="B112" s="683"/>
      <c r="C112" s="683"/>
      <c r="D112" s="683"/>
      <c r="E112" s="683"/>
      <c r="F112" s="683"/>
      <c r="G112" s="683"/>
      <c r="H112" s="683"/>
      <c r="I112" s="683"/>
      <c r="J112" s="683"/>
      <c r="K112" s="683"/>
      <c r="L112" s="683"/>
      <c r="M112" s="683"/>
      <c r="N112" s="683"/>
    </row>
    <row r="113">
      <c r="A113" s="683"/>
      <c r="B113" s="683"/>
      <c r="C113" s="683"/>
      <c r="D113" s="683"/>
      <c r="E113" s="683"/>
      <c r="F113" s="683"/>
      <c r="G113" s="683"/>
      <c r="H113" s="683"/>
      <c r="I113" s="683"/>
      <c r="J113" s="683"/>
      <c r="K113" s="683"/>
      <c r="L113" s="683"/>
      <c r="M113" s="683"/>
      <c r="N113" s="683"/>
    </row>
    <row r="114">
      <c r="A114" s="683"/>
      <c r="B114" s="683"/>
      <c r="C114" s="683"/>
      <c r="D114" s="683"/>
      <c r="E114" s="683"/>
      <c r="F114" s="683"/>
      <c r="G114" s="683"/>
      <c r="H114" s="683"/>
      <c r="I114" s="683"/>
      <c r="J114" s="683"/>
      <c r="K114" s="683"/>
      <c r="L114" s="683"/>
      <c r="M114" s="683"/>
      <c r="N114" s="683"/>
    </row>
    <row r="115">
      <c r="A115" s="683"/>
      <c r="B115" s="683"/>
      <c r="C115" s="683"/>
      <c r="D115" s="683"/>
      <c r="E115" s="683"/>
      <c r="F115" s="683"/>
      <c r="G115" s="683"/>
      <c r="H115" s="683"/>
      <c r="I115" s="683"/>
      <c r="J115" s="683"/>
      <c r="K115" s="683"/>
      <c r="L115" s="683"/>
      <c r="M115" s="683"/>
      <c r="N115" s="683"/>
    </row>
    <row r="116">
      <c r="A116" s="683"/>
      <c r="B116" s="683"/>
      <c r="C116" s="683"/>
      <c r="D116" s="683"/>
      <c r="E116" s="683"/>
      <c r="F116" s="683"/>
      <c r="G116" s="683"/>
      <c r="H116" s="683"/>
      <c r="I116" s="683"/>
      <c r="J116" s="683"/>
      <c r="K116" s="683"/>
      <c r="L116" s="683"/>
      <c r="M116" s="683"/>
      <c r="N116" s="683"/>
    </row>
    <row r="117">
      <c r="A117" s="683"/>
      <c r="B117" s="683"/>
      <c r="C117" s="683"/>
      <c r="D117" s="683"/>
      <c r="E117" s="683"/>
      <c r="F117" s="683"/>
      <c r="G117" s="683"/>
      <c r="H117" s="683"/>
      <c r="I117" s="683"/>
      <c r="J117" s="683"/>
      <c r="K117" s="683"/>
      <c r="L117" s="683"/>
      <c r="M117" s="683"/>
      <c r="N117" s="683"/>
    </row>
    <row r="118">
      <c r="A118" s="683"/>
      <c r="B118" s="683"/>
      <c r="C118" s="683"/>
      <c r="D118" s="683"/>
      <c r="E118" s="683"/>
      <c r="F118" s="683"/>
      <c r="G118" s="683"/>
      <c r="H118" s="683"/>
      <c r="I118" s="683"/>
      <c r="J118" s="683"/>
      <c r="K118" s="683"/>
      <c r="L118" s="683"/>
      <c r="M118" s="683"/>
      <c r="N118" s="683"/>
    </row>
    <row r="119">
      <c r="A119" s="683"/>
      <c r="B119" s="683"/>
      <c r="C119" s="683"/>
      <c r="D119" s="683"/>
      <c r="E119" s="683"/>
      <c r="F119" s="683"/>
      <c r="G119" s="683"/>
      <c r="H119" s="683"/>
      <c r="I119" s="683"/>
      <c r="J119" s="683"/>
      <c r="K119" s="683"/>
      <c r="L119" s="683"/>
      <c r="M119" s="683"/>
      <c r="N119" s="683"/>
    </row>
    <row r="120">
      <c r="A120" s="683"/>
      <c r="B120" s="683"/>
      <c r="C120" s="683"/>
      <c r="D120" s="683"/>
      <c r="E120" s="683"/>
      <c r="F120" s="683"/>
      <c r="G120" s="683"/>
      <c r="H120" s="683"/>
      <c r="I120" s="683"/>
      <c r="J120" s="683"/>
      <c r="K120" s="683"/>
      <c r="L120" s="683"/>
      <c r="M120" s="683"/>
      <c r="N120" s="683"/>
    </row>
    <row r="121">
      <c r="A121" s="683"/>
      <c r="B121" s="683"/>
      <c r="C121" s="683"/>
      <c r="D121" s="683"/>
      <c r="E121" s="683"/>
      <c r="F121" s="683"/>
      <c r="G121" s="683"/>
      <c r="H121" s="683"/>
      <c r="I121" s="683"/>
      <c r="J121" s="683"/>
      <c r="K121" s="683"/>
      <c r="L121" s="683"/>
      <c r="M121" s="683"/>
      <c r="N121" s="683"/>
    </row>
    <row r="122">
      <c r="A122" s="683"/>
      <c r="B122" s="683"/>
      <c r="C122" s="683"/>
      <c r="D122" s="683"/>
      <c r="E122" s="683"/>
      <c r="F122" s="683"/>
      <c r="G122" s="683"/>
      <c r="H122" s="683"/>
      <c r="I122" s="683"/>
      <c r="J122" s="683"/>
      <c r="K122" s="683"/>
      <c r="L122" s="683"/>
      <c r="M122" s="683"/>
      <c r="N122" s="683"/>
    </row>
    <row r="123">
      <c r="A123" s="683"/>
      <c r="B123" s="683"/>
      <c r="C123" s="683"/>
      <c r="D123" s="683"/>
      <c r="E123" s="683"/>
      <c r="F123" s="683"/>
      <c r="G123" s="683"/>
      <c r="H123" s="683"/>
      <c r="I123" s="683"/>
      <c r="J123" s="683"/>
      <c r="K123" s="683"/>
      <c r="L123" s="683"/>
      <c r="M123" s="683"/>
      <c r="N123" s="683"/>
    </row>
    <row r="124">
      <c r="A124" s="683"/>
      <c r="B124" s="683"/>
      <c r="C124" s="683"/>
      <c r="D124" s="683"/>
      <c r="E124" s="683"/>
      <c r="F124" s="683"/>
      <c r="G124" s="683"/>
      <c r="H124" s="683"/>
      <c r="I124" s="683"/>
      <c r="J124" s="683"/>
      <c r="K124" s="683"/>
      <c r="L124" s="683"/>
      <c r="M124" s="683"/>
      <c r="N124" s="683"/>
    </row>
    <row r="125">
      <c r="A125" s="683"/>
      <c r="B125" s="683"/>
      <c r="C125" s="683"/>
      <c r="D125" s="683"/>
      <c r="E125" s="683"/>
      <c r="F125" s="683"/>
      <c r="G125" s="683"/>
      <c r="H125" s="683"/>
      <c r="I125" s="683"/>
      <c r="J125" s="683"/>
      <c r="K125" s="683"/>
      <c r="L125" s="683"/>
      <c r="M125" s="683"/>
      <c r="N125" s="683"/>
    </row>
    <row r="126">
      <c r="A126" s="683"/>
      <c r="B126" s="683"/>
      <c r="C126" s="683"/>
      <c r="D126" s="683"/>
      <c r="E126" s="683"/>
      <c r="F126" s="683"/>
      <c r="G126" s="683"/>
      <c r="H126" s="683"/>
      <c r="I126" s="683"/>
      <c r="J126" s="683"/>
      <c r="K126" s="683"/>
      <c r="L126" s="683"/>
      <c r="M126" s="683"/>
      <c r="N126" s="683"/>
    </row>
    <row r="127">
      <c r="A127" s="683"/>
      <c r="B127" s="683"/>
      <c r="C127" s="683"/>
      <c r="D127" s="683"/>
      <c r="E127" s="683"/>
      <c r="F127" s="683"/>
      <c r="G127" s="683"/>
      <c r="H127" s="683"/>
      <c r="I127" s="683"/>
      <c r="J127" s="683"/>
      <c r="K127" s="683"/>
      <c r="L127" s="683"/>
      <c r="M127" s="683"/>
      <c r="N127" s="683"/>
    </row>
    <row r="128">
      <c r="A128" s="683"/>
      <c r="B128" s="683"/>
      <c r="C128" s="683"/>
      <c r="D128" s="683"/>
      <c r="E128" s="683"/>
      <c r="F128" s="683"/>
      <c r="G128" s="683"/>
      <c r="H128" s="683"/>
      <c r="I128" s="683"/>
      <c r="J128" s="683"/>
      <c r="K128" s="683"/>
      <c r="L128" s="683"/>
      <c r="M128" s="683"/>
      <c r="N128" s="683"/>
    </row>
    <row r="129">
      <c r="A129" s="683"/>
      <c r="B129" s="683"/>
      <c r="C129" s="683"/>
      <c r="D129" s="683"/>
      <c r="E129" s="683"/>
      <c r="F129" s="683"/>
      <c r="G129" s="683"/>
      <c r="H129" s="683"/>
      <c r="I129" s="683"/>
      <c r="J129" s="683"/>
      <c r="K129" s="683"/>
      <c r="L129" s="683"/>
      <c r="M129" s="683"/>
      <c r="N129" s="683"/>
    </row>
    <row r="130">
      <c r="A130" s="683"/>
      <c r="B130" s="683"/>
      <c r="C130" s="683"/>
      <c r="D130" s="683"/>
      <c r="E130" s="683"/>
      <c r="F130" s="683"/>
      <c r="G130" s="683"/>
      <c r="H130" s="683"/>
      <c r="I130" s="683"/>
      <c r="J130" s="683"/>
      <c r="K130" s="683"/>
      <c r="L130" s="683"/>
      <c r="M130" s="683"/>
      <c r="N130" s="683"/>
    </row>
    <row r="131">
      <c r="A131" s="683"/>
      <c r="B131" s="683"/>
      <c r="C131" s="683"/>
      <c r="D131" s="683"/>
      <c r="E131" s="683"/>
      <c r="F131" s="683"/>
      <c r="G131" s="683"/>
      <c r="H131" s="683"/>
      <c r="I131" s="683"/>
      <c r="J131" s="683"/>
      <c r="K131" s="683"/>
      <c r="L131" s="683"/>
      <c r="M131" s="683"/>
      <c r="N131" s="683"/>
    </row>
    <row r="132">
      <c r="A132" s="683"/>
      <c r="B132" s="683"/>
      <c r="C132" s="683"/>
      <c r="D132" s="683"/>
      <c r="E132" s="683"/>
      <c r="F132" s="683"/>
      <c r="G132" s="683"/>
      <c r="H132" s="683"/>
      <c r="I132" s="683"/>
      <c r="J132" s="683"/>
      <c r="K132" s="683"/>
      <c r="L132" s="683"/>
      <c r="M132" s="683"/>
      <c r="N132" s="683"/>
    </row>
    <row r="133">
      <c r="A133" s="683"/>
      <c r="B133" s="683"/>
      <c r="C133" s="683"/>
      <c r="D133" s="683"/>
      <c r="E133" s="683"/>
      <c r="F133" s="683"/>
      <c r="G133" s="683"/>
      <c r="H133" s="683"/>
      <c r="I133" s="683"/>
      <c r="J133" s="683"/>
      <c r="K133" s="683"/>
      <c r="L133" s="683"/>
      <c r="M133" s="683"/>
      <c r="N133" s="683"/>
    </row>
    <row r="134">
      <c r="A134" s="683"/>
      <c r="B134" s="683"/>
      <c r="C134" s="683"/>
      <c r="D134" s="683"/>
      <c r="E134" s="683"/>
      <c r="F134" s="683"/>
      <c r="G134" s="683"/>
      <c r="H134" s="683"/>
      <c r="I134" s="683"/>
      <c r="J134" s="683"/>
      <c r="K134" s="683"/>
      <c r="L134" s="683"/>
      <c r="M134" s="683"/>
      <c r="N134" s="683"/>
    </row>
    <row r="135">
      <c r="A135" s="683"/>
      <c r="B135" s="683"/>
      <c r="C135" s="683"/>
      <c r="D135" s="683"/>
      <c r="E135" s="683"/>
      <c r="F135" s="683"/>
      <c r="G135" s="683"/>
      <c r="H135" s="683"/>
      <c r="I135" s="683"/>
      <c r="J135" s="683"/>
      <c r="K135" s="683"/>
      <c r="L135" s="683"/>
      <c r="M135" s="683"/>
      <c r="N135" s="683"/>
    </row>
    <row r="136">
      <c r="A136" s="683"/>
      <c r="B136" s="683"/>
      <c r="C136" s="683"/>
      <c r="D136" s="683"/>
      <c r="E136" s="683"/>
      <c r="F136" s="683"/>
      <c r="G136" s="683"/>
      <c r="H136" s="683"/>
      <c r="I136" s="683"/>
      <c r="J136" s="683"/>
      <c r="K136" s="683"/>
      <c r="L136" s="683"/>
      <c r="M136" s="683"/>
      <c r="N136" s="683"/>
    </row>
    <row r="137">
      <c r="A137" s="683"/>
      <c r="B137" s="683"/>
      <c r="C137" s="683"/>
      <c r="D137" s="683"/>
      <c r="E137" s="683"/>
      <c r="F137" s="683"/>
      <c r="G137" s="683"/>
      <c r="H137" s="683"/>
      <c r="I137" s="683"/>
      <c r="J137" s="683"/>
      <c r="K137" s="683"/>
      <c r="L137" s="683"/>
      <c r="M137" s="683"/>
      <c r="N137" s="683"/>
    </row>
    <row r="138">
      <c r="A138" s="683"/>
      <c r="B138" s="683"/>
      <c r="C138" s="683"/>
      <c r="D138" s="683"/>
      <c r="E138" s="683"/>
      <c r="F138" s="683"/>
      <c r="G138" s="683"/>
      <c r="H138" s="683"/>
      <c r="I138" s="683"/>
      <c r="J138" s="683"/>
      <c r="K138" s="683"/>
      <c r="L138" s="683"/>
      <c r="M138" s="683"/>
      <c r="N138" s="683"/>
    </row>
    <row r="139">
      <c r="A139" s="683"/>
      <c r="B139" s="683"/>
      <c r="C139" s="683"/>
      <c r="D139" s="683"/>
      <c r="E139" s="683"/>
      <c r="F139" s="683"/>
      <c r="G139" s="683"/>
      <c r="H139" s="683"/>
      <c r="I139" s="683"/>
      <c r="J139" s="683"/>
      <c r="K139" s="683"/>
      <c r="L139" s="683"/>
      <c r="M139" s="683"/>
      <c r="N139" s="683"/>
    </row>
    <row r="140">
      <c r="A140" s="683"/>
      <c r="B140" s="683"/>
      <c r="C140" s="683"/>
      <c r="D140" s="683"/>
      <c r="E140" s="683"/>
      <c r="F140" s="683"/>
      <c r="G140" s="683"/>
      <c r="H140" s="683"/>
      <c r="I140" s="683"/>
      <c r="J140" s="683"/>
      <c r="K140" s="683"/>
      <c r="L140" s="683"/>
      <c r="M140" s="683"/>
      <c r="N140" s="683"/>
    </row>
    <row r="141">
      <c r="A141" s="683"/>
      <c r="B141" s="683"/>
      <c r="C141" s="683"/>
      <c r="D141" s="683"/>
      <c r="E141" s="683"/>
      <c r="F141" s="683"/>
      <c r="G141" s="683"/>
      <c r="H141" s="683"/>
      <c r="I141" s="683"/>
      <c r="J141" s="683"/>
      <c r="K141" s="683"/>
      <c r="L141" s="683"/>
      <c r="M141" s="683"/>
      <c r="N141" s="683"/>
    </row>
    <row r="142">
      <c r="A142" s="683"/>
      <c r="B142" s="683"/>
      <c r="C142" s="683"/>
      <c r="D142" s="683"/>
      <c r="E142" s="683"/>
      <c r="F142" s="683"/>
      <c r="G142" s="683"/>
      <c r="H142" s="683"/>
      <c r="I142" s="683"/>
      <c r="J142" s="683"/>
      <c r="K142" s="683"/>
      <c r="L142" s="683"/>
      <c r="M142" s="683"/>
      <c r="N142" s="683"/>
    </row>
    <row r="143">
      <c r="A143" s="683"/>
      <c r="B143" s="683"/>
      <c r="C143" s="683"/>
      <c r="D143" s="683"/>
      <c r="E143" s="683"/>
      <c r="F143" s="683"/>
      <c r="G143" s="683"/>
      <c r="H143" s="683"/>
      <c r="I143" s="683"/>
      <c r="J143" s="683"/>
      <c r="K143" s="683"/>
      <c r="L143" s="683"/>
      <c r="M143" s="683"/>
      <c r="N143" s="683"/>
    </row>
    <row r="144">
      <c r="A144" s="683"/>
      <c r="B144" s="683"/>
      <c r="C144" s="683"/>
      <c r="D144" s="683"/>
      <c r="E144" s="683"/>
      <c r="F144" s="683"/>
      <c r="G144" s="683"/>
      <c r="H144" s="683"/>
      <c r="I144" s="683"/>
      <c r="J144" s="683"/>
      <c r="K144" s="683"/>
      <c r="L144" s="683"/>
      <c r="M144" s="683"/>
      <c r="N144" s="683"/>
    </row>
    <row r="145">
      <c r="A145" s="683"/>
      <c r="B145" s="683"/>
      <c r="C145" s="683"/>
      <c r="D145" s="683"/>
      <c r="E145" s="683"/>
      <c r="F145" s="683"/>
      <c r="G145" s="683"/>
      <c r="H145" s="683"/>
      <c r="I145" s="683"/>
      <c r="J145" s="683"/>
      <c r="K145" s="683"/>
      <c r="L145" s="683"/>
      <c r="M145" s="683"/>
      <c r="N145" s="683"/>
    </row>
    <row r="146">
      <c r="A146" s="683"/>
      <c r="B146" s="683"/>
      <c r="C146" s="683"/>
      <c r="D146" s="683"/>
      <c r="E146" s="683"/>
      <c r="F146" s="683"/>
      <c r="G146" s="683"/>
      <c r="H146" s="683"/>
      <c r="I146" s="683"/>
      <c r="J146" s="683"/>
      <c r="K146" s="683"/>
      <c r="L146" s="683"/>
      <c r="M146" s="683"/>
      <c r="N146" s="683"/>
    </row>
    <row r="147">
      <c r="A147" s="683"/>
      <c r="B147" s="683"/>
      <c r="C147" s="683"/>
      <c r="D147" s="683"/>
      <c r="E147" s="683"/>
      <c r="F147" s="683"/>
      <c r="G147" s="683"/>
      <c r="H147" s="683"/>
      <c r="I147" s="683"/>
      <c r="J147" s="683"/>
      <c r="K147" s="683"/>
      <c r="L147" s="683"/>
      <c r="M147" s="683"/>
      <c r="N147" s="683"/>
    </row>
    <row r="148">
      <c r="A148" s="683"/>
      <c r="B148" s="683"/>
      <c r="C148" s="683"/>
      <c r="D148" s="683"/>
      <c r="E148" s="683"/>
      <c r="F148" s="683"/>
      <c r="G148" s="683"/>
      <c r="H148" s="683"/>
      <c r="I148" s="683"/>
      <c r="J148" s="683"/>
      <c r="K148" s="683"/>
      <c r="L148" s="683"/>
      <c r="M148" s="683"/>
      <c r="N148" s="683"/>
    </row>
    <row r="149">
      <c r="A149" s="683"/>
      <c r="B149" s="683"/>
      <c r="C149" s="683"/>
      <c r="D149" s="683"/>
      <c r="E149" s="683"/>
      <c r="F149" s="683"/>
      <c r="G149" s="683"/>
      <c r="H149" s="683"/>
      <c r="I149" s="683"/>
      <c r="J149" s="683"/>
      <c r="K149" s="683"/>
      <c r="L149" s="683"/>
      <c r="M149" s="683"/>
      <c r="N149" s="683"/>
    </row>
    <row r="150">
      <c r="A150" s="683"/>
      <c r="B150" s="683"/>
      <c r="C150" s="683"/>
      <c r="D150" s="683"/>
      <c r="E150" s="683"/>
      <c r="F150" s="683"/>
      <c r="G150" s="683"/>
      <c r="H150" s="683"/>
      <c r="I150" s="683"/>
      <c r="J150" s="683"/>
      <c r="K150" s="683"/>
      <c r="L150" s="683"/>
      <c r="M150" s="683"/>
      <c r="N150" s="683"/>
    </row>
    <row r="151">
      <c r="A151" s="683"/>
      <c r="B151" s="683"/>
      <c r="C151" s="683"/>
      <c r="D151" s="683"/>
      <c r="E151" s="683"/>
      <c r="F151" s="683"/>
      <c r="G151" s="683"/>
      <c r="H151" s="683"/>
      <c r="I151" s="683"/>
      <c r="J151" s="683"/>
      <c r="K151" s="683"/>
      <c r="L151" s="683"/>
      <c r="M151" s="683"/>
      <c r="N151" s="683"/>
    </row>
    <row r="152">
      <c r="A152" s="683"/>
      <c r="B152" s="683"/>
      <c r="C152" s="683"/>
      <c r="D152" s="683"/>
      <c r="E152" s="683"/>
      <c r="F152" s="683"/>
      <c r="G152" s="683"/>
      <c r="H152" s="683"/>
      <c r="I152" s="683"/>
      <c r="J152" s="683"/>
      <c r="K152" s="683"/>
      <c r="L152" s="683"/>
      <c r="M152" s="683"/>
      <c r="N152" s="683"/>
    </row>
    <row r="153">
      <c r="A153" s="683"/>
      <c r="B153" s="683"/>
      <c r="C153" s="683"/>
      <c r="D153" s="683"/>
      <c r="E153" s="683"/>
      <c r="F153" s="683"/>
      <c r="G153" s="683"/>
      <c r="H153" s="683"/>
      <c r="I153" s="683"/>
      <c r="J153" s="683"/>
      <c r="K153" s="683"/>
      <c r="L153" s="683"/>
      <c r="M153" s="683"/>
      <c r="N153" s="683"/>
    </row>
    <row r="154">
      <c r="A154" s="683"/>
      <c r="B154" s="683"/>
      <c r="C154" s="683"/>
      <c r="D154" s="683"/>
      <c r="E154" s="683"/>
      <c r="F154" s="683"/>
      <c r="G154" s="683"/>
      <c r="H154" s="683"/>
      <c r="I154" s="683"/>
      <c r="J154" s="683"/>
      <c r="K154" s="683"/>
      <c r="L154" s="683"/>
      <c r="M154" s="683"/>
      <c r="N154" s="683"/>
    </row>
    <row r="155">
      <c r="A155" s="683"/>
      <c r="B155" s="683"/>
      <c r="C155" s="683"/>
      <c r="D155" s="683"/>
      <c r="E155" s="683"/>
      <c r="F155" s="683"/>
      <c r="G155" s="683"/>
      <c r="H155" s="683"/>
      <c r="I155" s="683"/>
      <c r="J155" s="683"/>
      <c r="K155" s="683"/>
      <c r="L155" s="683"/>
      <c r="M155" s="683"/>
      <c r="N155" s="683"/>
    </row>
    <row r="156">
      <c r="A156" s="683"/>
      <c r="B156" s="683"/>
      <c r="C156" s="683"/>
      <c r="D156" s="683"/>
      <c r="E156" s="683"/>
      <c r="F156" s="683"/>
      <c r="G156" s="683"/>
      <c r="H156" s="683"/>
      <c r="I156" s="683"/>
      <c r="J156" s="683"/>
      <c r="K156" s="683"/>
      <c r="L156" s="683"/>
      <c r="M156" s="683"/>
      <c r="N156" s="683"/>
    </row>
    <row r="157">
      <c r="A157" s="683"/>
      <c r="B157" s="683"/>
      <c r="C157" s="683"/>
      <c r="D157" s="683"/>
      <c r="E157" s="683"/>
      <c r="F157" s="683"/>
      <c r="G157" s="683"/>
      <c r="H157" s="683"/>
      <c r="I157" s="683"/>
      <c r="J157" s="683"/>
      <c r="K157" s="683"/>
      <c r="L157" s="683"/>
      <c r="M157" s="683"/>
      <c r="N157" s="683"/>
    </row>
    <row r="158">
      <c r="A158" s="683"/>
      <c r="B158" s="683"/>
      <c r="C158" s="683"/>
      <c r="D158" s="683"/>
      <c r="E158" s="683"/>
      <c r="F158" s="683"/>
      <c r="G158" s="683"/>
      <c r="H158" s="683"/>
      <c r="I158" s="683"/>
      <c r="J158" s="683"/>
      <c r="K158" s="683"/>
      <c r="L158" s="683"/>
      <c r="M158" s="683"/>
      <c r="N158" s="683"/>
    </row>
    <row r="159">
      <c r="A159" s="683"/>
      <c r="B159" s="683"/>
      <c r="C159" s="683"/>
      <c r="D159" s="683"/>
      <c r="E159" s="683"/>
      <c r="F159" s="683"/>
      <c r="G159" s="683"/>
      <c r="H159" s="683"/>
      <c r="I159" s="683"/>
      <c r="J159" s="683"/>
      <c r="K159" s="683"/>
      <c r="L159" s="683"/>
      <c r="M159" s="683"/>
      <c r="N159" s="683"/>
    </row>
    <row r="160">
      <c r="A160" s="683"/>
      <c r="B160" s="683"/>
      <c r="C160" s="683"/>
      <c r="D160" s="683"/>
      <c r="E160" s="683"/>
      <c r="F160" s="683"/>
      <c r="G160" s="683"/>
      <c r="H160" s="683"/>
      <c r="I160" s="683"/>
      <c r="J160" s="683"/>
      <c r="K160" s="683"/>
      <c r="L160" s="683"/>
      <c r="M160" s="683"/>
      <c r="N160" s="683"/>
    </row>
    <row r="161">
      <c r="A161" s="683"/>
      <c r="B161" s="683"/>
      <c r="C161" s="683"/>
      <c r="D161" s="683"/>
      <c r="E161" s="683"/>
      <c r="F161" s="683"/>
      <c r="G161" s="683"/>
      <c r="H161" s="683"/>
      <c r="I161" s="683"/>
      <c r="J161" s="683"/>
      <c r="K161" s="683"/>
      <c r="L161" s="683"/>
      <c r="M161" s="683"/>
      <c r="N161" s="683"/>
    </row>
    <row r="162">
      <c r="A162" s="683"/>
      <c r="B162" s="683"/>
      <c r="C162" s="683"/>
      <c r="D162" s="683"/>
      <c r="E162" s="683"/>
      <c r="F162" s="683"/>
      <c r="G162" s="683"/>
      <c r="H162" s="683"/>
      <c r="I162" s="683"/>
      <c r="J162" s="683"/>
      <c r="K162" s="683"/>
      <c r="L162" s="683"/>
      <c r="M162" s="683"/>
      <c r="N162" s="683"/>
    </row>
    <row r="163">
      <c r="A163" s="683"/>
      <c r="B163" s="683"/>
      <c r="C163" s="683"/>
      <c r="D163" s="683"/>
      <c r="E163" s="683"/>
      <c r="F163" s="683"/>
      <c r="G163" s="683"/>
      <c r="H163" s="683"/>
      <c r="I163" s="683"/>
      <c r="J163" s="683"/>
      <c r="K163" s="683"/>
      <c r="L163" s="683"/>
      <c r="M163" s="683"/>
      <c r="N163" s="683"/>
    </row>
    <row r="164">
      <c r="A164" s="683"/>
      <c r="B164" s="683"/>
      <c r="C164" s="683"/>
      <c r="D164" s="683"/>
      <c r="E164" s="683"/>
      <c r="F164" s="683"/>
      <c r="G164" s="683"/>
      <c r="H164" s="683"/>
      <c r="I164" s="683"/>
      <c r="J164" s="683"/>
      <c r="K164" s="683"/>
      <c r="L164" s="683"/>
      <c r="M164" s="683"/>
      <c r="N164" s="683"/>
    </row>
    <row r="165">
      <c r="A165" s="683"/>
      <c r="B165" s="683"/>
      <c r="C165" s="683"/>
      <c r="D165" s="683"/>
      <c r="E165" s="683"/>
      <c r="F165" s="683"/>
      <c r="G165" s="683"/>
      <c r="H165" s="683"/>
      <c r="I165" s="683"/>
      <c r="J165" s="683"/>
      <c r="K165" s="683"/>
      <c r="L165" s="683"/>
      <c r="M165" s="683"/>
      <c r="N165" s="683"/>
    </row>
    <row r="166">
      <c r="A166" s="683"/>
      <c r="B166" s="683"/>
      <c r="C166" s="683"/>
      <c r="D166" s="683"/>
      <c r="E166" s="683"/>
      <c r="F166" s="683"/>
      <c r="G166" s="683"/>
      <c r="H166" s="683"/>
      <c r="I166" s="683"/>
      <c r="J166" s="683"/>
      <c r="K166" s="683"/>
      <c r="L166" s="683"/>
      <c r="M166" s="683"/>
      <c r="N166" s="683"/>
    </row>
    <row r="167">
      <c r="A167" s="683"/>
      <c r="B167" s="683"/>
      <c r="C167" s="683"/>
      <c r="D167" s="683"/>
      <c r="E167" s="683"/>
      <c r="F167" s="683"/>
      <c r="G167" s="683"/>
      <c r="H167" s="683"/>
      <c r="I167" s="683"/>
      <c r="J167" s="683"/>
      <c r="K167" s="683"/>
      <c r="L167" s="683"/>
      <c r="M167" s="683"/>
      <c r="N167" s="683"/>
    </row>
    <row r="168">
      <c r="A168" s="683"/>
      <c r="B168" s="683"/>
      <c r="C168" s="683"/>
      <c r="D168" s="683"/>
      <c r="E168" s="683"/>
      <c r="F168" s="683"/>
      <c r="G168" s="683"/>
      <c r="H168" s="683"/>
      <c r="I168" s="683"/>
      <c r="J168" s="683"/>
      <c r="K168" s="683"/>
      <c r="L168" s="683"/>
      <c r="M168" s="683"/>
      <c r="N168" s="683"/>
    </row>
    <row r="169">
      <c r="A169" s="683"/>
      <c r="B169" s="683"/>
      <c r="C169" s="683"/>
      <c r="D169" s="683"/>
      <c r="E169" s="683"/>
      <c r="F169" s="683"/>
      <c r="G169" s="683"/>
      <c r="H169" s="683"/>
      <c r="I169" s="683"/>
      <c r="J169" s="683"/>
      <c r="K169" s="683"/>
      <c r="L169" s="683"/>
      <c r="M169" s="683"/>
      <c r="N169" s="683"/>
    </row>
    <row r="170">
      <c r="A170" s="683"/>
      <c r="B170" s="683"/>
      <c r="C170" s="683"/>
      <c r="D170" s="683"/>
      <c r="E170" s="683"/>
      <c r="F170" s="683"/>
      <c r="G170" s="683"/>
      <c r="H170" s="683"/>
      <c r="I170" s="683"/>
      <c r="J170" s="683"/>
      <c r="K170" s="683"/>
      <c r="L170" s="683"/>
      <c r="M170" s="683"/>
      <c r="N170" s="683"/>
    </row>
    <row r="171">
      <c r="A171" s="683"/>
      <c r="B171" s="683"/>
      <c r="C171" s="683"/>
      <c r="D171" s="683"/>
      <c r="E171" s="683"/>
      <c r="F171" s="683"/>
      <c r="G171" s="683"/>
      <c r="H171" s="683"/>
      <c r="I171" s="683"/>
      <c r="J171" s="683"/>
      <c r="K171" s="683"/>
      <c r="L171" s="683"/>
      <c r="M171" s="683"/>
      <c r="N171" s="683"/>
    </row>
    <row r="172">
      <c r="A172" s="683"/>
      <c r="B172" s="683"/>
      <c r="C172" s="683"/>
      <c r="D172" s="683"/>
      <c r="E172" s="683"/>
      <c r="F172" s="683"/>
      <c r="G172" s="683"/>
      <c r="H172" s="683"/>
      <c r="I172" s="683"/>
      <c r="J172" s="683"/>
      <c r="K172" s="683"/>
      <c r="L172" s="683"/>
      <c r="M172" s="683"/>
      <c r="N172" s="683"/>
    </row>
    <row r="173">
      <c r="A173" s="683"/>
      <c r="B173" s="683"/>
      <c r="C173" s="683"/>
      <c r="D173" s="683"/>
      <c r="E173" s="683"/>
      <c r="F173" s="683"/>
      <c r="G173" s="683"/>
      <c r="H173" s="683"/>
      <c r="I173" s="683"/>
      <c r="J173" s="683"/>
      <c r="K173" s="683"/>
      <c r="L173" s="683"/>
      <c r="M173" s="683"/>
      <c r="N173" s="683"/>
    </row>
    <row r="174">
      <c r="A174" s="683"/>
      <c r="B174" s="683"/>
      <c r="C174" s="683"/>
      <c r="D174" s="683"/>
      <c r="E174" s="683"/>
      <c r="F174" s="683"/>
      <c r="G174" s="683"/>
      <c r="H174" s="683"/>
      <c r="I174" s="683"/>
      <c r="J174" s="683"/>
      <c r="K174" s="683"/>
      <c r="L174" s="683"/>
      <c r="M174" s="683"/>
      <c r="N174" s="683"/>
    </row>
    <row r="175">
      <c r="A175" s="683"/>
      <c r="B175" s="683"/>
      <c r="C175" s="683"/>
      <c r="D175" s="683"/>
      <c r="E175" s="683"/>
      <c r="F175" s="683"/>
      <c r="G175" s="683"/>
      <c r="H175" s="683"/>
      <c r="I175" s="683"/>
      <c r="J175" s="683"/>
      <c r="K175" s="683"/>
      <c r="L175" s="683"/>
      <c r="M175" s="683"/>
      <c r="N175" s="683"/>
    </row>
    <row r="176">
      <c r="A176" s="683"/>
      <c r="B176" s="683"/>
      <c r="C176" s="683"/>
      <c r="D176" s="683"/>
      <c r="E176" s="683"/>
      <c r="F176" s="683"/>
      <c r="G176" s="683"/>
      <c r="H176" s="683"/>
      <c r="I176" s="683"/>
      <c r="J176" s="683"/>
      <c r="K176" s="683"/>
      <c r="L176" s="683"/>
      <c r="M176" s="683"/>
      <c r="N176" s="683"/>
    </row>
    <row r="177">
      <c r="A177" s="683"/>
      <c r="B177" s="683"/>
      <c r="C177" s="683"/>
      <c r="D177" s="683"/>
      <c r="E177" s="683"/>
      <c r="F177" s="683"/>
      <c r="G177" s="683"/>
      <c r="H177" s="683"/>
      <c r="I177" s="683"/>
      <c r="J177" s="683"/>
      <c r="K177" s="683"/>
      <c r="L177" s="683"/>
      <c r="M177" s="683"/>
      <c r="N177" s="683"/>
    </row>
    <row r="178">
      <c r="A178" s="683"/>
      <c r="B178" s="683"/>
      <c r="C178" s="683"/>
      <c r="D178" s="683"/>
      <c r="E178" s="683"/>
      <c r="F178" s="683"/>
      <c r="G178" s="683"/>
      <c r="H178" s="683"/>
      <c r="I178" s="683"/>
      <c r="J178" s="683"/>
      <c r="K178" s="683"/>
      <c r="L178" s="683"/>
      <c r="M178" s="683"/>
      <c r="N178" s="683"/>
    </row>
    <row r="179">
      <c r="A179" s="683"/>
      <c r="B179" s="683"/>
      <c r="C179" s="683"/>
      <c r="D179" s="683"/>
      <c r="E179" s="683"/>
      <c r="F179" s="683"/>
      <c r="G179" s="683"/>
      <c r="H179" s="683"/>
      <c r="I179" s="683"/>
      <c r="J179" s="683"/>
      <c r="K179" s="683"/>
      <c r="L179" s="683"/>
      <c r="M179" s="683"/>
      <c r="N179" s="683"/>
    </row>
    <row r="180">
      <c r="A180" s="683"/>
      <c r="B180" s="683"/>
      <c r="C180" s="683"/>
      <c r="D180" s="683"/>
      <c r="E180" s="683"/>
      <c r="F180" s="683"/>
      <c r="G180" s="683"/>
      <c r="H180" s="683"/>
      <c r="I180" s="683"/>
      <c r="J180" s="683"/>
      <c r="K180" s="683"/>
      <c r="L180" s="683"/>
      <c r="M180" s="683"/>
      <c r="N180" s="683"/>
    </row>
    <row r="181">
      <c r="A181" s="683"/>
      <c r="B181" s="683"/>
      <c r="C181" s="683"/>
      <c r="D181" s="683"/>
      <c r="E181" s="683"/>
      <c r="F181" s="683"/>
      <c r="G181" s="683"/>
      <c r="H181" s="683"/>
      <c r="I181" s="683"/>
      <c r="J181" s="683"/>
      <c r="K181" s="683"/>
      <c r="L181" s="683"/>
      <c r="M181" s="683"/>
      <c r="N181" s="683"/>
    </row>
    <row r="182">
      <c r="A182" s="683"/>
      <c r="B182" s="683"/>
      <c r="C182" s="683"/>
      <c r="D182" s="683"/>
      <c r="E182" s="683"/>
      <c r="F182" s="683"/>
      <c r="G182" s="683"/>
      <c r="H182" s="683"/>
      <c r="I182" s="683"/>
      <c r="J182" s="683"/>
      <c r="K182" s="683"/>
      <c r="L182" s="683"/>
      <c r="M182" s="683"/>
      <c r="N182" s="683"/>
    </row>
    <row r="183">
      <c r="A183" s="683"/>
      <c r="B183" s="683"/>
      <c r="C183" s="683"/>
      <c r="D183" s="683"/>
      <c r="E183" s="683"/>
      <c r="F183" s="683"/>
      <c r="G183" s="683"/>
      <c r="H183" s="683"/>
      <c r="I183" s="683"/>
      <c r="J183" s="683"/>
      <c r="K183" s="683"/>
      <c r="L183" s="683"/>
      <c r="M183" s="683"/>
      <c r="N183" s="683"/>
    </row>
    <row r="184">
      <c r="A184" s="683"/>
      <c r="B184" s="683"/>
      <c r="C184" s="683"/>
      <c r="D184" s="683"/>
      <c r="E184" s="683"/>
      <c r="F184" s="683"/>
      <c r="G184" s="683"/>
      <c r="H184" s="683"/>
      <c r="I184" s="683"/>
      <c r="J184" s="683"/>
      <c r="K184" s="683"/>
      <c r="L184" s="683"/>
      <c r="M184" s="683"/>
      <c r="N184" s="683"/>
    </row>
    <row r="185">
      <c r="A185" s="683"/>
      <c r="B185" s="683"/>
      <c r="C185" s="683"/>
      <c r="D185" s="683"/>
      <c r="E185" s="683"/>
      <c r="F185" s="683"/>
      <c r="G185" s="683"/>
      <c r="H185" s="683"/>
      <c r="I185" s="683"/>
      <c r="J185" s="683"/>
      <c r="K185" s="683"/>
      <c r="L185" s="683"/>
      <c r="M185" s="683"/>
      <c r="N185" s="683"/>
    </row>
    <row r="186">
      <c r="A186" s="683"/>
      <c r="B186" s="683"/>
      <c r="C186" s="683"/>
      <c r="D186" s="683"/>
      <c r="E186" s="683"/>
      <c r="F186" s="683"/>
      <c r="G186" s="683"/>
      <c r="H186" s="683"/>
      <c r="I186" s="683"/>
      <c r="J186" s="683"/>
      <c r="K186" s="683"/>
      <c r="L186" s="683"/>
      <c r="M186" s="683"/>
      <c r="N186" s="683"/>
    </row>
    <row r="187">
      <c r="A187" s="683"/>
      <c r="B187" s="683"/>
      <c r="C187" s="683"/>
      <c r="D187" s="683"/>
      <c r="E187" s="683"/>
      <c r="F187" s="683"/>
      <c r="G187" s="683"/>
      <c r="H187" s="683"/>
      <c r="I187" s="683"/>
      <c r="J187" s="683"/>
      <c r="K187" s="683"/>
      <c r="L187" s="683"/>
      <c r="M187" s="683"/>
      <c r="N187" s="683"/>
    </row>
    <row r="188">
      <c r="A188" s="683"/>
      <c r="B188" s="683"/>
      <c r="C188" s="683"/>
      <c r="D188" s="683"/>
      <c r="E188" s="683"/>
      <c r="F188" s="683"/>
      <c r="G188" s="683"/>
      <c r="H188" s="683"/>
      <c r="I188" s="683"/>
      <c r="J188" s="683"/>
      <c r="K188" s="683"/>
      <c r="L188" s="683"/>
      <c r="M188" s="683"/>
      <c r="N188" s="683"/>
    </row>
    <row r="189">
      <c r="A189" s="683"/>
      <c r="B189" s="683"/>
      <c r="C189" s="683"/>
      <c r="D189" s="683"/>
      <c r="E189" s="683"/>
      <c r="F189" s="683"/>
      <c r="G189" s="683"/>
      <c r="H189" s="683"/>
      <c r="I189" s="683"/>
      <c r="J189" s="683"/>
      <c r="K189" s="683"/>
      <c r="L189" s="683"/>
      <c r="M189" s="683"/>
      <c r="N189" s="683"/>
    </row>
    <row r="190">
      <c r="A190" s="683"/>
      <c r="B190" s="683"/>
      <c r="C190" s="683"/>
      <c r="D190" s="683"/>
      <c r="E190" s="683"/>
      <c r="F190" s="683"/>
      <c r="G190" s="683"/>
      <c r="H190" s="683"/>
      <c r="I190" s="683"/>
      <c r="J190" s="683"/>
      <c r="K190" s="683"/>
      <c r="L190" s="683"/>
      <c r="M190" s="683"/>
      <c r="N190" s="683"/>
    </row>
    <row r="191">
      <c r="A191" s="683"/>
      <c r="B191" s="683"/>
      <c r="C191" s="683"/>
      <c r="D191" s="683"/>
      <c r="E191" s="683"/>
      <c r="F191" s="683"/>
      <c r="G191" s="683"/>
      <c r="H191" s="683"/>
      <c r="I191" s="683"/>
      <c r="J191" s="683"/>
      <c r="K191" s="683"/>
      <c r="L191" s="683"/>
      <c r="M191" s="683"/>
      <c r="N191" s="683"/>
    </row>
    <row r="192">
      <c r="A192" s="683"/>
      <c r="B192" s="683"/>
      <c r="C192" s="683"/>
      <c r="D192" s="683"/>
      <c r="E192" s="683"/>
      <c r="F192" s="683"/>
      <c r="G192" s="683"/>
      <c r="H192" s="683"/>
      <c r="I192" s="683"/>
      <c r="J192" s="683"/>
      <c r="K192" s="683"/>
      <c r="L192" s="683"/>
      <c r="M192" s="683"/>
      <c r="N192" s="683"/>
    </row>
    <row r="193">
      <c r="A193" s="683"/>
      <c r="B193" s="683"/>
      <c r="C193" s="683"/>
      <c r="D193" s="683"/>
      <c r="E193" s="683"/>
      <c r="F193" s="683"/>
      <c r="G193" s="683"/>
      <c r="H193" s="683"/>
      <c r="I193" s="683"/>
      <c r="J193" s="683"/>
      <c r="K193" s="683"/>
      <c r="L193" s="683"/>
      <c r="M193" s="683"/>
      <c r="N193" s="683"/>
    </row>
    <row r="194">
      <c r="A194" s="683"/>
      <c r="B194" s="683"/>
      <c r="C194" s="683"/>
      <c r="D194" s="683"/>
      <c r="E194" s="683"/>
      <c r="F194" s="683"/>
      <c r="G194" s="683"/>
      <c r="H194" s="683"/>
      <c r="I194" s="683"/>
      <c r="J194" s="683"/>
      <c r="K194" s="683"/>
      <c r="L194" s="683"/>
      <c r="M194" s="683"/>
      <c r="N194" s="683"/>
    </row>
    <row r="195">
      <c r="A195" s="683"/>
      <c r="B195" s="683"/>
      <c r="C195" s="683"/>
      <c r="D195" s="683"/>
      <c r="E195" s="683"/>
      <c r="F195" s="683"/>
      <c r="G195" s="683"/>
      <c r="H195" s="683"/>
      <c r="I195" s="683"/>
      <c r="J195" s="683"/>
      <c r="K195" s="683"/>
      <c r="L195" s="683"/>
      <c r="M195" s="683"/>
      <c r="N195" s="683"/>
    </row>
    <row r="196">
      <c r="A196" s="683"/>
      <c r="B196" s="683"/>
      <c r="C196" s="683"/>
      <c r="D196" s="683"/>
      <c r="E196" s="683"/>
      <c r="F196" s="683"/>
      <c r="G196" s="683"/>
      <c r="H196" s="683"/>
      <c r="I196" s="683"/>
      <c r="J196" s="683"/>
      <c r="K196" s="683"/>
      <c r="L196" s="683"/>
      <c r="M196" s="683"/>
      <c r="N196" s="683"/>
    </row>
    <row r="197">
      <c r="A197" s="683"/>
      <c r="B197" s="683"/>
      <c r="C197" s="683"/>
      <c r="D197" s="683"/>
      <c r="E197" s="683"/>
      <c r="F197" s="683"/>
      <c r="G197" s="683"/>
      <c r="H197" s="683"/>
      <c r="I197" s="683"/>
      <c r="J197" s="683"/>
      <c r="K197" s="683"/>
      <c r="L197" s="683"/>
      <c r="M197" s="683"/>
      <c r="N197" s="683"/>
    </row>
    <row r="198">
      <c r="A198" s="683"/>
      <c r="B198" s="683"/>
      <c r="C198" s="683"/>
      <c r="D198" s="683"/>
      <c r="E198" s="683"/>
      <c r="F198" s="683"/>
      <c r="G198" s="683"/>
      <c r="H198" s="683"/>
      <c r="I198" s="683"/>
      <c r="J198" s="683"/>
      <c r="K198" s="683"/>
      <c r="L198" s="683"/>
      <c r="M198" s="683"/>
      <c r="N198" s="683"/>
    </row>
    <row r="199">
      <c r="A199" s="683"/>
      <c r="B199" s="683"/>
      <c r="C199" s="683"/>
      <c r="D199" s="683"/>
      <c r="E199" s="683"/>
      <c r="F199" s="683"/>
      <c r="G199" s="683"/>
      <c r="H199" s="683"/>
      <c r="I199" s="683"/>
      <c r="J199" s="683"/>
      <c r="K199" s="683"/>
      <c r="L199" s="683"/>
      <c r="M199" s="683"/>
      <c r="N199" s="683"/>
    </row>
    <row r="200">
      <c r="A200" s="683"/>
      <c r="B200" s="683"/>
      <c r="C200" s="683"/>
      <c r="D200" s="683"/>
      <c r="E200" s="683"/>
      <c r="F200" s="683"/>
      <c r="G200" s="683"/>
      <c r="H200" s="683"/>
      <c r="I200" s="683"/>
      <c r="J200" s="683"/>
      <c r="K200" s="683"/>
      <c r="L200" s="683"/>
      <c r="M200" s="683"/>
      <c r="N200" s="683"/>
    </row>
    <row r="201">
      <c r="A201" s="683"/>
      <c r="B201" s="683"/>
      <c r="C201" s="683"/>
      <c r="D201" s="683"/>
      <c r="E201" s="683"/>
      <c r="F201" s="683"/>
      <c r="G201" s="683"/>
      <c r="H201" s="683"/>
      <c r="I201" s="683"/>
      <c r="J201" s="683"/>
      <c r="K201" s="683"/>
      <c r="L201" s="683"/>
      <c r="M201" s="683"/>
      <c r="N201" s="683"/>
    </row>
    <row r="202">
      <c r="A202" s="683"/>
      <c r="B202" s="683"/>
      <c r="C202" s="683"/>
      <c r="D202" s="683"/>
      <c r="E202" s="683"/>
      <c r="F202" s="683"/>
      <c r="G202" s="683"/>
      <c r="H202" s="683"/>
      <c r="I202" s="683"/>
      <c r="J202" s="683"/>
      <c r="K202" s="683"/>
      <c r="L202" s="683"/>
      <c r="M202" s="683"/>
      <c r="N202" s="683"/>
    </row>
    <row r="203">
      <c r="A203" s="683"/>
      <c r="B203" s="683"/>
      <c r="C203" s="683"/>
      <c r="D203" s="683"/>
      <c r="E203" s="683"/>
      <c r="F203" s="683"/>
      <c r="G203" s="683"/>
      <c r="H203" s="683"/>
      <c r="I203" s="683"/>
      <c r="J203" s="683"/>
      <c r="K203" s="683"/>
      <c r="L203" s="683"/>
      <c r="M203" s="683"/>
      <c r="N203" s="683"/>
    </row>
    <row r="204">
      <c r="A204" s="683"/>
      <c r="B204" s="683"/>
      <c r="C204" s="683"/>
      <c r="D204" s="683"/>
      <c r="E204" s="683"/>
      <c r="F204" s="683"/>
      <c r="G204" s="683"/>
      <c r="H204" s="683"/>
      <c r="I204" s="683"/>
      <c r="J204" s="683"/>
      <c r="K204" s="683"/>
      <c r="L204" s="683"/>
      <c r="M204" s="683"/>
      <c r="N204" s="683"/>
    </row>
    <row r="205">
      <c r="A205" s="683"/>
      <c r="B205" s="683"/>
      <c r="C205" s="683"/>
      <c r="D205" s="683"/>
      <c r="E205" s="683"/>
      <c r="F205" s="683"/>
      <c r="G205" s="683"/>
      <c r="H205" s="683"/>
      <c r="I205" s="683"/>
      <c r="J205" s="683"/>
      <c r="K205" s="683"/>
      <c r="L205" s="683"/>
      <c r="M205" s="683"/>
      <c r="N205" s="683"/>
    </row>
    <row r="206">
      <c r="A206" s="683"/>
      <c r="B206" s="683"/>
      <c r="C206" s="683"/>
      <c r="D206" s="683"/>
      <c r="E206" s="683"/>
      <c r="F206" s="683"/>
      <c r="G206" s="683"/>
      <c r="H206" s="683"/>
      <c r="I206" s="683"/>
      <c r="J206" s="683"/>
      <c r="K206" s="683"/>
      <c r="L206" s="683"/>
      <c r="M206" s="683"/>
      <c r="N206" s="683"/>
    </row>
    <row r="207">
      <c r="A207" s="683"/>
      <c r="B207" s="683"/>
      <c r="C207" s="683"/>
      <c r="D207" s="683"/>
      <c r="E207" s="683"/>
      <c r="F207" s="683"/>
      <c r="G207" s="683"/>
      <c r="H207" s="683"/>
      <c r="I207" s="683"/>
      <c r="J207" s="683"/>
      <c r="K207" s="683"/>
      <c r="L207" s="683"/>
      <c r="M207" s="683"/>
      <c r="N207" s="683"/>
    </row>
    <row r="208">
      <c r="A208" s="683"/>
      <c r="B208" s="683"/>
      <c r="C208" s="683"/>
      <c r="D208" s="683"/>
      <c r="E208" s="683"/>
      <c r="F208" s="683"/>
      <c r="G208" s="683"/>
      <c r="H208" s="683"/>
      <c r="I208" s="683"/>
      <c r="J208" s="683"/>
      <c r="K208" s="683"/>
      <c r="L208" s="683"/>
      <c r="M208" s="683"/>
      <c r="N208" s="683"/>
    </row>
    <row r="209">
      <c r="A209" s="683"/>
      <c r="B209" s="683"/>
      <c r="C209" s="683"/>
      <c r="D209" s="683"/>
      <c r="E209" s="683"/>
      <c r="F209" s="683"/>
      <c r="G209" s="683"/>
      <c r="H209" s="683"/>
      <c r="I209" s="683"/>
      <c r="J209" s="683"/>
      <c r="K209" s="683"/>
      <c r="L209" s="683"/>
      <c r="M209" s="683"/>
      <c r="N209" s="683"/>
    </row>
    <row r="210">
      <c r="A210" s="683"/>
      <c r="B210" s="683"/>
      <c r="C210" s="683"/>
      <c r="D210" s="683"/>
      <c r="E210" s="683"/>
      <c r="F210" s="683"/>
      <c r="G210" s="683"/>
      <c r="H210" s="683"/>
      <c r="I210" s="683"/>
      <c r="J210" s="683"/>
      <c r="K210" s="683"/>
      <c r="L210" s="683"/>
      <c r="M210" s="683"/>
      <c r="N210" s="683"/>
    </row>
    <row r="211">
      <c r="A211" s="683"/>
      <c r="B211" s="683"/>
      <c r="C211" s="683"/>
      <c r="D211" s="683"/>
      <c r="E211" s="683"/>
      <c r="F211" s="683"/>
      <c r="G211" s="683"/>
      <c r="H211" s="683"/>
      <c r="I211" s="683"/>
      <c r="J211" s="683"/>
      <c r="K211" s="683"/>
      <c r="L211" s="683"/>
      <c r="M211" s="683"/>
      <c r="N211" s="683"/>
    </row>
    <row r="212">
      <c r="A212" s="683"/>
      <c r="B212" s="683"/>
      <c r="C212" s="683"/>
      <c r="D212" s="683"/>
      <c r="E212" s="683"/>
      <c r="F212" s="683"/>
      <c r="G212" s="683"/>
      <c r="H212" s="683"/>
      <c r="I212" s="683"/>
      <c r="J212" s="683"/>
      <c r="K212" s="683"/>
      <c r="L212" s="683"/>
      <c r="M212" s="683"/>
      <c r="N212" s="683"/>
    </row>
    <row r="213">
      <c r="A213" s="683"/>
      <c r="B213" s="683"/>
      <c r="C213" s="683"/>
      <c r="D213" s="683"/>
      <c r="E213" s="683"/>
      <c r="F213" s="683"/>
      <c r="G213" s="683"/>
      <c r="H213" s="683"/>
      <c r="I213" s="683"/>
      <c r="J213" s="683"/>
      <c r="K213" s="683"/>
      <c r="L213" s="683"/>
      <c r="M213" s="683"/>
      <c r="N213" s="683"/>
    </row>
    <row r="214">
      <c r="A214" s="683"/>
      <c r="B214" s="683"/>
      <c r="C214" s="683"/>
      <c r="D214" s="683"/>
      <c r="E214" s="683"/>
      <c r="F214" s="683"/>
      <c r="G214" s="683"/>
      <c r="H214" s="683"/>
      <c r="I214" s="683"/>
      <c r="J214" s="683"/>
      <c r="K214" s="683"/>
      <c r="L214" s="683"/>
      <c r="M214" s="683"/>
      <c r="N214" s="683"/>
    </row>
    <row r="215">
      <c r="A215" s="683"/>
      <c r="B215" s="683"/>
      <c r="C215" s="683"/>
      <c r="D215" s="683"/>
      <c r="E215" s="683"/>
      <c r="F215" s="683"/>
      <c r="G215" s="683"/>
      <c r="H215" s="683"/>
      <c r="I215" s="683"/>
      <c r="J215" s="683"/>
      <c r="K215" s="683"/>
      <c r="L215" s="683"/>
      <c r="M215" s="683"/>
      <c r="N215" s="683"/>
    </row>
    <row r="216">
      <c r="A216" s="683"/>
      <c r="B216" s="683"/>
      <c r="C216" s="683"/>
      <c r="D216" s="683"/>
      <c r="E216" s="683"/>
      <c r="F216" s="683"/>
      <c r="G216" s="683"/>
      <c r="H216" s="683"/>
      <c r="I216" s="683"/>
      <c r="J216" s="683"/>
      <c r="K216" s="683"/>
      <c r="L216" s="683"/>
      <c r="M216" s="683"/>
      <c r="N216" s="683"/>
    </row>
    <row r="217">
      <c r="A217" s="683"/>
      <c r="B217" s="683"/>
      <c r="C217" s="683"/>
      <c r="D217" s="683"/>
      <c r="E217" s="683"/>
      <c r="F217" s="683"/>
      <c r="G217" s="683"/>
      <c r="H217" s="683"/>
      <c r="I217" s="683"/>
      <c r="J217" s="683"/>
      <c r="K217" s="683"/>
      <c r="L217" s="683"/>
      <c r="M217" s="683"/>
      <c r="N217" s="683"/>
    </row>
    <row r="218">
      <c r="A218" s="683"/>
      <c r="B218" s="683"/>
      <c r="C218" s="683"/>
      <c r="D218" s="683"/>
      <c r="E218" s="683"/>
      <c r="F218" s="683"/>
      <c r="G218" s="683"/>
      <c r="H218" s="683"/>
      <c r="I218" s="683"/>
      <c r="J218" s="683"/>
      <c r="K218" s="683"/>
      <c r="L218" s="683"/>
      <c r="M218" s="683"/>
      <c r="N218" s="683"/>
    </row>
    <row r="219">
      <c r="A219" s="683"/>
      <c r="B219" s="683"/>
      <c r="C219" s="683"/>
      <c r="D219" s="683"/>
      <c r="E219" s="683"/>
      <c r="F219" s="683"/>
      <c r="G219" s="683"/>
      <c r="H219" s="683"/>
      <c r="I219" s="683"/>
      <c r="J219" s="683"/>
      <c r="K219" s="683"/>
      <c r="L219" s="683"/>
      <c r="M219" s="683"/>
      <c r="N219" s="683"/>
    </row>
    <row r="220">
      <c r="A220" s="683"/>
      <c r="B220" s="683"/>
      <c r="C220" s="683"/>
      <c r="D220" s="683"/>
      <c r="E220" s="683"/>
      <c r="F220" s="683"/>
      <c r="G220" s="683"/>
      <c r="H220" s="683"/>
      <c r="I220" s="683"/>
      <c r="J220" s="683"/>
      <c r="K220" s="683"/>
      <c r="L220" s="683"/>
      <c r="M220" s="683"/>
      <c r="N220" s="683"/>
    </row>
    <row r="221">
      <c r="A221" s="683"/>
      <c r="B221" s="683"/>
      <c r="C221" s="683"/>
      <c r="D221" s="683"/>
      <c r="E221" s="683"/>
      <c r="F221" s="683"/>
      <c r="G221" s="683"/>
      <c r="H221" s="683"/>
      <c r="I221" s="683"/>
      <c r="J221" s="683"/>
      <c r="K221" s="683"/>
      <c r="L221" s="683"/>
      <c r="M221" s="683"/>
      <c r="N221" s="683"/>
    </row>
    <row r="222">
      <c r="A222" s="683"/>
      <c r="B222" s="683"/>
      <c r="C222" s="683"/>
      <c r="D222" s="683"/>
      <c r="E222" s="683"/>
      <c r="F222" s="683"/>
      <c r="G222" s="683"/>
      <c r="H222" s="683"/>
      <c r="I222" s="683"/>
      <c r="J222" s="683"/>
      <c r="K222" s="683"/>
      <c r="L222" s="683"/>
      <c r="M222" s="683"/>
      <c r="N222" s="683"/>
    </row>
    <row r="223">
      <c r="A223" s="683"/>
      <c r="B223" s="683"/>
      <c r="C223" s="683"/>
      <c r="D223" s="683"/>
      <c r="E223" s="683"/>
      <c r="F223" s="683"/>
      <c r="G223" s="683"/>
      <c r="H223" s="683"/>
      <c r="I223" s="683"/>
      <c r="J223" s="683"/>
      <c r="K223" s="683"/>
      <c r="L223" s="683"/>
      <c r="M223" s="683"/>
      <c r="N223" s="683"/>
    </row>
    <row r="224">
      <c r="A224" s="683"/>
      <c r="B224" s="683"/>
      <c r="C224" s="683"/>
      <c r="D224" s="683"/>
      <c r="E224" s="683"/>
      <c r="F224" s="683"/>
      <c r="G224" s="683"/>
      <c r="H224" s="683"/>
      <c r="I224" s="683"/>
      <c r="J224" s="683"/>
      <c r="K224" s="683"/>
      <c r="L224" s="683"/>
      <c r="M224" s="683"/>
      <c r="N224" s="683"/>
    </row>
    <row r="225">
      <c r="A225" s="683"/>
      <c r="B225" s="683"/>
      <c r="C225" s="683"/>
      <c r="D225" s="683"/>
      <c r="E225" s="683"/>
      <c r="F225" s="683"/>
      <c r="G225" s="683"/>
      <c r="H225" s="683"/>
      <c r="I225" s="683"/>
      <c r="J225" s="683"/>
      <c r="K225" s="683"/>
      <c r="L225" s="683"/>
      <c r="M225" s="683"/>
      <c r="N225" s="683"/>
    </row>
    <row r="226">
      <c r="A226" s="683"/>
      <c r="B226" s="683"/>
      <c r="C226" s="683"/>
      <c r="D226" s="683"/>
      <c r="E226" s="683"/>
      <c r="F226" s="683"/>
      <c r="G226" s="683"/>
      <c r="H226" s="683"/>
      <c r="I226" s="683"/>
      <c r="J226" s="683"/>
      <c r="K226" s="683"/>
      <c r="L226" s="683"/>
      <c r="M226" s="683"/>
      <c r="N226" s="683"/>
    </row>
    <row r="227">
      <c r="A227" s="683"/>
      <c r="B227" s="683"/>
      <c r="C227" s="683"/>
      <c r="D227" s="683"/>
      <c r="E227" s="683"/>
      <c r="F227" s="683"/>
      <c r="G227" s="683"/>
      <c r="H227" s="683"/>
      <c r="I227" s="683"/>
      <c r="J227" s="683"/>
      <c r="K227" s="683"/>
      <c r="L227" s="683"/>
      <c r="M227" s="683"/>
      <c r="N227" s="683"/>
    </row>
    <row r="228">
      <c r="A228" s="683"/>
      <c r="B228" s="683"/>
      <c r="C228" s="683"/>
      <c r="D228" s="683"/>
      <c r="E228" s="683"/>
      <c r="F228" s="683"/>
      <c r="G228" s="683"/>
      <c r="H228" s="683"/>
      <c r="I228" s="683"/>
      <c r="J228" s="683"/>
      <c r="K228" s="683"/>
      <c r="L228" s="683"/>
      <c r="M228" s="683"/>
      <c r="N228" s="683"/>
    </row>
    <row r="229">
      <c r="A229" s="683"/>
      <c r="B229" s="683"/>
      <c r="C229" s="683"/>
      <c r="D229" s="683"/>
      <c r="E229" s="683"/>
      <c r="F229" s="683"/>
      <c r="G229" s="683"/>
      <c r="H229" s="683"/>
      <c r="I229" s="683"/>
      <c r="J229" s="683"/>
      <c r="K229" s="683"/>
      <c r="L229" s="683"/>
      <c r="M229" s="683"/>
      <c r="N229" s="683"/>
    </row>
    <row r="230">
      <c r="A230" s="683"/>
      <c r="B230" s="683"/>
      <c r="C230" s="683"/>
      <c r="D230" s="683"/>
      <c r="E230" s="683"/>
      <c r="F230" s="683"/>
      <c r="G230" s="683"/>
      <c r="H230" s="683"/>
      <c r="I230" s="683"/>
      <c r="J230" s="683"/>
      <c r="K230" s="683"/>
      <c r="L230" s="683"/>
      <c r="M230" s="683"/>
      <c r="N230" s="683"/>
    </row>
    <row r="231">
      <c r="A231" s="683"/>
      <c r="B231" s="683"/>
      <c r="C231" s="683"/>
      <c r="D231" s="683"/>
      <c r="E231" s="683"/>
      <c r="F231" s="683"/>
      <c r="G231" s="683"/>
      <c r="H231" s="683"/>
      <c r="I231" s="683"/>
      <c r="J231" s="683"/>
      <c r="K231" s="683"/>
      <c r="L231" s="683"/>
      <c r="M231" s="683"/>
      <c r="N231" s="683"/>
    </row>
    <row r="232">
      <c r="A232" s="683"/>
      <c r="B232" s="683"/>
      <c r="C232" s="683"/>
      <c r="D232" s="683"/>
      <c r="E232" s="683"/>
      <c r="F232" s="683"/>
      <c r="G232" s="683"/>
      <c r="H232" s="683"/>
      <c r="I232" s="683"/>
      <c r="J232" s="683"/>
      <c r="K232" s="683"/>
      <c r="L232" s="683"/>
      <c r="M232" s="683"/>
      <c r="N232" s="683"/>
    </row>
    <row r="233">
      <c r="A233" s="683"/>
      <c r="B233" s="683"/>
      <c r="C233" s="683"/>
      <c r="D233" s="683"/>
      <c r="E233" s="683"/>
      <c r="F233" s="683"/>
      <c r="G233" s="683"/>
      <c r="H233" s="683"/>
      <c r="I233" s="683"/>
      <c r="J233" s="683"/>
      <c r="K233" s="683"/>
      <c r="L233" s="683"/>
      <c r="M233" s="683"/>
      <c r="N233" s="683"/>
    </row>
    <row r="234">
      <c r="A234" s="683"/>
      <c r="B234" s="683"/>
      <c r="C234" s="683"/>
      <c r="D234" s="683"/>
      <c r="E234" s="683"/>
      <c r="F234" s="683"/>
      <c r="G234" s="683"/>
      <c r="H234" s="683"/>
      <c r="I234" s="683"/>
      <c r="J234" s="683"/>
      <c r="K234" s="683"/>
      <c r="L234" s="683"/>
      <c r="M234" s="683"/>
      <c r="N234" s="683"/>
    </row>
    <row r="235">
      <c r="A235" s="683"/>
      <c r="B235" s="683"/>
      <c r="C235" s="683"/>
      <c r="D235" s="683"/>
      <c r="E235" s="683"/>
      <c r="F235" s="683"/>
      <c r="G235" s="683"/>
      <c r="H235" s="683"/>
      <c r="I235" s="683"/>
      <c r="J235" s="683"/>
      <c r="K235" s="683"/>
      <c r="L235" s="683"/>
      <c r="M235" s="683"/>
      <c r="N235" s="683"/>
    </row>
    <row r="236">
      <c r="A236" s="683"/>
      <c r="B236" s="683"/>
      <c r="C236" s="683"/>
      <c r="D236" s="683"/>
      <c r="E236" s="683"/>
      <c r="F236" s="683"/>
      <c r="G236" s="683"/>
      <c r="H236" s="683"/>
      <c r="I236" s="683"/>
      <c r="J236" s="683"/>
      <c r="K236" s="683"/>
      <c r="L236" s="683"/>
      <c r="M236" s="683"/>
      <c r="N236" s="683"/>
    </row>
    <row r="237">
      <c r="A237" s="683"/>
      <c r="B237" s="683"/>
      <c r="C237" s="683"/>
      <c r="D237" s="683"/>
      <c r="E237" s="683"/>
      <c r="F237" s="683"/>
      <c r="G237" s="683"/>
      <c r="H237" s="683"/>
      <c r="I237" s="683"/>
      <c r="J237" s="683"/>
      <c r="K237" s="683"/>
      <c r="L237" s="683"/>
      <c r="M237" s="683"/>
      <c r="N237" s="683"/>
    </row>
    <row r="238">
      <c r="A238" s="683"/>
      <c r="B238" s="683"/>
      <c r="C238" s="683"/>
      <c r="D238" s="683"/>
      <c r="E238" s="683"/>
      <c r="F238" s="683"/>
      <c r="G238" s="683"/>
      <c r="H238" s="683"/>
      <c r="I238" s="683"/>
      <c r="J238" s="683"/>
      <c r="K238" s="683"/>
      <c r="L238" s="683"/>
      <c r="M238" s="683"/>
      <c r="N238" s="683"/>
    </row>
    <row r="239">
      <c r="A239" s="683"/>
      <c r="B239" s="683"/>
      <c r="C239" s="683"/>
      <c r="D239" s="683"/>
      <c r="E239" s="683"/>
      <c r="F239" s="683"/>
      <c r="G239" s="683"/>
      <c r="H239" s="683"/>
      <c r="I239" s="683"/>
      <c r="J239" s="683"/>
      <c r="K239" s="683"/>
      <c r="L239" s="683"/>
      <c r="M239" s="683"/>
      <c r="N239" s="683"/>
    </row>
    <row r="240">
      <c r="A240" s="683"/>
      <c r="B240" s="683"/>
      <c r="C240" s="683"/>
      <c r="D240" s="683"/>
      <c r="E240" s="683"/>
      <c r="F240" s="683"/>
      <c r="G240" s="683"/>
      <c r="H240" s="683"/>
      <c r="I240" s="683"/>
      <c r="J240" s="683"/>
      <c r="K240" s="683"/>
      <c r="L240" s="683"/>
      <c r="M240" s="683"/>
      <c r="N240" s="683"/>
    </row>
    <row r="241">
      <c r="A241" s="683"/>
      <c r="B241" s="683"/>
      <c r="C241" s="683"/>
      <c r="D241" s="683"/>
      <c r="E241" s="683"/>
      <c r="F241" s="683"/>
      <c r="G241" s="683"/>
      <c r="H241" s="683"/>
      <c r="I241" s="683"/>
      <c r="J241" s="683"/>
      <c r="K241" s="683"/>
      <c r="L241" s="683"/>
      <c r="M241" s="683"/>
      <c r="N241" s="683"/>
    </row>
    <row r="242">
      <c r="A242" s="683"/>
      <c r="B242" s="683"/>
      <c r="C242" s="683"/>
      <c r="D242" s="683"/>
      <c r="E242" s="683"/>
      <c r="F242" s="683"/>
      <c r="G242" s="683"/>
      <c r="H242" s="683"/>
      <c r="I242" s="683"/>
      <c r="J242" s="683"/>
      <c r="K242" s="683"/>
      <c r="L242" s="683"/>
      <c r="M242" s="683"/>
      <c r="N242" s="683"/>
    </row>
    <row r="243">
      <c r="A243" s="683"/>
      <c r="B243" s="683"/>
      <c r="C243" s="683"/>
      <c r="D243" s="683"/>
      <c r="E243" s="683"/>
      <c r="F243" s="683"/>
      <c r="G243" s="683"/>
      <c r="H243" s="683"/>
      <c r="I243" s="683"/>
      <c r="J243" s="683"/>
      <c r="K243" s="683"/>
      <c r="L243" s="683"/>
      <c r="M243" s="683"/>
      <c r="N243" s="683"/>
    </row>
    <row r="244">
      <c r="A244" s="683"/>
      <c r="B244" s="683"/>
      <c r="C244" s="683"/>
      <c r="D244" s="683"/>
      <c r="E244" s="683"/>
      <c r="F244" s="683"/>
      <c r="G244" s="683"/>
      <c r="H244" s="683"/>
      <c r="I244" s="683"/>
      <c r="J244" s="683"/>
      <c r="K244" s="683"/>
      <c r="L244" s="683"/>
      <c r="M244" s="683"/>
      <c r="N244" s="683"/>
    </row>
    <row r="245">
      <c r="A245" s="683"/>
      <c r="B245" s="683"/>
      <c r="C245" s="683"/>
      <c r="D245" s="683"/>
      <c r="E245" s="683"/>
      <c r="F245" s="683"/>
      <c r="G245" s="683"/>
      <c r="H245" s="683"/>
      <c r="I245" s="683"/>
      <c r="J245" s="683"/>
      <c r="K245" s="683"/>
      <c r="L245" s="683"/>
      <c r="M245" s="683"/>
      <c r="N245" s="683"/>
    </row>
    <row r="246">
      <c r="A246" s="683"/>
      <c r="B246" s="683"/>
      <c r="C246" s="683"/>
      <c r="D246" s="683"/>
      <c r="E246" s="683"/>
      <c r="F246" s="683"/>
      <c r="G246" s="683"/>
      <c r="H246" s="683"/>
      <c r="I246" s="683"/>
      <c r="J246" s="683"/>
      <c r="K246" s="683"/>
      <c r="L246" s="683"/>
      <c r="M246" s="683"/>
      <c r="N246" s="683"/>
    </row>
    <row r="247">
      <c r="A247" s="683"/>
      <c r="B247" s="683"/>
      <c r="C247" s="683"/>
      <c r="D247" s="683"/>
      <c r="E247" s="683"/>
      <c r="F247" s="683"/>
      <c r="G247" s="683"/>
      <c r="H247" s="683"/>
      <c r="I247" s="683"/>
      <c r="J247" s="683"/>
      <c r="K247" s="683"/>
      <c r="L247" s="683"/>
      <c r="M247" s="683"/>
      <c r="N247" s="683"/>
    </row>
    <row r="248">
      <c r="A248" s="683"/>
      <c r="B248" s="683"/>
      <c r="C248" s="683"/>
      <c r="D248" s="683"/>
      <c r="E248" s="683"/>
      <c r="F248" s="683"/>
      <c r="G248" s="683"/>
      <c r="H248" s="683"/>
      <c r="I248" s="683"/>
      <c r="J248" s="683"/>
      <c r="K248" s="683"/>
      <c r="L248" s="683"/>
      <c r="M248" s="683"/>
      <c r="N248" s="683"/>
    </row>
    <row r="249">
      <c r="A249" s="683"/>
      <c r="B249" s="683"/>
      <c r="C249" s="683"/>
      <c r="D249" s="683"/>
      <c r="E249" s="683"/>
      <c r="F249" s="683"/>
      <c r="G249" s="683"/>
      <c r="H249" s="683"/>
      <c r="I249" s="683"/>
      <c r="J249" s="683"/>
      <c r="K249" s="683"/>
      <c r="L249" s="683"/>
      <c r="M249" s="683"/>
      <c r="N249" s="683"/>
    </row>
    <row r="250">
      <c r="A250" s="683"/>
      <c r="B250" s="683"/>
      <c r="C250" s="683"/>
      <c r="D250" s="683"/>
      <c r="E250" s="683"/>
      <c r="F250" s="683"/>
      <c r="G250" s="683"/>
      <c r="H250" s="683"/>
      <c r="I250" s="683"/>
      <c r="J250" s="683"/>
      <c r="K250" s="683"/>
      <c r="L250" s="683"/>
      <c r="M250" s="683"/>
      <c r="N250" s="683"/>
    </row>
    <row r="251">
      <c r="A251" s="683"/>
      <c r="B251" s="683"/>
      <c r="C251" s="683"/>
      <c r="D251" s="683"/>
      <c r="E251" s="683"/>
      <c r="F251" s="683"/>
      <c r="G251" s="683"/>
      <c r="H251" s="683"/>
      <c r="I251" s="683"/>
      <c r="J251" s="683"/>
      <c r="K251" s="683"/>
      <c r="L251" s="683"/>
      <c r="M251" s="683"/>
      <c r="N251" s="683"/>
    </row>
    <row r="252">
      <c r="A252" s="683"/>
      <c r="B252" s="683"/>
      <c r="C252" s="683"/>
      <c r="D252" s="683"/>
      <c r="E252" s="683"/>
      <c r="F252" s="683"/>
      <c r="G252" s="683"/>
      <c r="H252" s="683"/>
      <c r="I252" s="683"/>
      <c r="J252" s="683"/>
      <c r="K252" s="683"/>
      <c r="L252" s="683"/>
      <c r="M252" s="683"/>
      <c r="N252" s="683"/>
    </row>
    <row r="253">
      <c r="A253" s="683"/>
      <c r="B253" s="683"/>
      <c r="C253" s="683"/>
      <c r="D253" s="683"/>
      <c r="E253" s="683"/>
      <c r="F253" s="683"/>
      <c r="G253" s="683"/>
      <c r="H253" s="683"/>
      <c r="I253" s="683"/>
      <c r="J253" s="683"/>
      <c r="K253" s="683"/>
      <c r="L253" s="683"/>
      <c r="M253" s="683"/>
      <c r="N253" s="683"/>
    </row>
    <row r="254">
      <c r="A254" s="683"/>
      <c r="B254" s="683"/>
      <c r="C254" s="683"/>
      <c r="D254" s="683"/>
      <c r="E254" s="683"/>
      <c r="F254" s="683"/>
      <c r="G254" s="683"/>
      <c r="H254" s="683"/>
      <c r="I254" s="683"/>
      <c r="J254" s="683"/>
      <c r="K254" s="683"/>
      <c r="L254" s="683"/>
      <c r="M254" s="683"/>
      <c r="N254" s="683"/>
    </row>
    <row r="255">
      <c r="A255" s="683"/>
      <c r="B255" s="683"/>
      <c r="C255" s="683"/>
      <c r="D255" s="683"/>
      <c r="E255" s="683"/>
      <c r="F255" s="683"/>
      <c r="G255" s="683"/>
      <c r="H255" s="683"/>
      <c r="I255" s="683"/>
      <c r="J255" s="683"/>
      <c r="K255" s="683"/>
      <c r="L255" s="683"/>
      <c r="M255" s="683"/>
      <c r="N255" s="683"/>
    </row>
    <row r="256">
      <c r="A256" s="683"/>
      <c r="B256" s="683"/>
      <c r="C256" s="683"/>
      <c r="D256" s="683"/>
      <c r="E256" s="683"/>
      <c r="F256" s="683"/>
      <c r="G256" s="683"/>
      <c r="H256" s="683"/>
      <c r="I256" s="683"/>
      <c r="J256" s="683"/>
      <c r="K256" s="683"/>
      <c r="L256" s="683"/>
      <c r="M256" s="683"/>
      <c r="N256" s="683"/>
    </row>
    <row r="257">
      <c r="A257" s="683"/>
      <c r="B257" s="683"/>
      <c r="C257" s="683"/>
      <c r="D257" s="683"/>
      <c r="E257" s="683"/>
      <c r="F257" s="683"/>
      <c r="G257" s="683"/>
      <c r="H257" s="683"/>
      <c r="I257" s="683"/>
      <c r="J257" s="683"/>
      <c r="K257" s="683"/>
      <c r="L257" s="683"/>
      <c r="M257" s="683"/>
      <c r="N257" s="683"/>
    </row>
    <row r="258">
      <c r="A258" s="683"/>
      <c r="B258" s="683"/>
      <c r="C258" s="683"/>
      <c r="D258" s="683"/>
      <c r="E258" s="683"/>
      <c r="F258" s="683"/>
      <c r="G258" s="683"/>
      <c r="H258" s="683"/>
      <c r="I258" s="683"/>
      <c r="J258" s="683"/>
      <c r="K258" s="683"/>
      <c r="L258" s="683"/>
      <c r="M258" s="683"/>
      <c r="N258" s="683"/>
    </row>
    <row r="259">
      <c r="A259" s="683"/>
      <c r="B259" s="683"/>
      <c r="C259" s="683"/>
      <c r="D259" s="683"/>
      <c r="E259" s="683"/>
      <c r="F259" s="683"/>
      <c r="G259" s="683"/>
      <c r="H259" s="683"/>
      <c r="I259" s="683"/>
      <c r="J259" s="683"/>
      <c r="K259" s="683"/>
      <c r="L259" s="683"/>
      <c r="M259" s="683"/>
      <c r="N259" s="683"/>
    </row>
    <row r="260">
      <c r="A260" s="683"/>
      <c r="B260" s="683"/>
      <c r="C260" s="683"/>
      <c r="D260" s="683"/>
      <c r="E260" s="683"/>
      <c r="F260" s="683"/>
      <c r="G260" s="683"/>
      <c r="H260" s="683"/>
      <c r="I260" s="683"/>
      <c r="J260" s="683"/>
      <c r="K260" s="683"/>
      <c r="L260" s="683"/>
      <c r="M260" s="683"/>
      <c r="N260" s="683"/>
    </row>
    <row r="261">
      <c r="A261" s="683"/>
      <c r="B261" s="683"/>
      <c r="C261" s="683"/>
      <c r="D261" s="683"/>
      <c r="E261" s="683"/>
      <c r="F261" s="683"/>
      <c r="G261" s="683"/>
      <c r="H261" s="683"/>
      <c r="I261" s="683"/>
      <c r="J261" s="683"/>
      <c r="K261" s="683"/>
      <c r="L261" s="683"/>
      <c r="M261" s="683"/>
      <c r="N261" s="683"/>
    </row>
    <row r="262">
      <c r="A262" s="683"/>
      <c r="B262" s="683"/>
      <c r="C262" s="683"/>
      <c r="D262" s="683"/>
      <c r="E262" s="683"/>
      <c r="F262" s="683"/>
      <c r="G262" s="683"/>
      <c r="H262" s="683"/>
      <c r="I262" s="683"/>
      <c r="J262" s="683"/>
      <c r="K262" s="683"/>
      <c r="L262" s="683"/>
      <c r="M262" s="683"/>
      <c r="N262" s="683"/>
    </row>
    <row r="263">
      <c r="A263" s="683"/>
      <c r="B263" s="683"/>
      <c r="C263" s="683"/>
      <c r="D263" s="683"/>
      <c r="E263" s="683"/>
      <c r="F263" s="683"/>
      <c r="G263" s="683"/>
      <c r="H263" s="683"/>
      <c r="I263" s="683"/>
      <c r="J263" s="683"/>
      <c r="K263" s="683"/>
      <c r="L263" s="683"/>
      <c r="M263" s="683"/>
      <c r="N263" s="683"/>
    </row>
    <row r="264">
      <c r="A264" s="683"/>
      <c r="B264" s="683"/>
      <c r="C264" s="683"/>
      <c r="D264" s="683"/>
      <c r="E264" s="683"/>
      <c r="F264" s="683"/>
      <c r="G264" s="683"/>
      <c r="H264" s="683"/>
      <c r="I264" s="683"/>
      <c r="J264" s="683"/>
      <c r="K264" s="683"/>
      <c r="L264" s="683"/>
      <c r="M264" s="683"/>
      <c r="N264" s="683"/>
    </row>
    <row r="265">
      <c r="A265" s="683"/>
      <c r="B265" s="683"/>
      <c r="C265" s="683"/>
      <c r="D265" s="683"/>
      <c r="E265" s="683"/>
      <c r="F265" s="683"/>
      <c r="G265" s="683"/>
      <c r="H265" s="683"/>
      <c r="I265" s="683"/>
      <c r="J265" s="683"/>
      <c r="K265" s="683"/>
      <c r="L265" s="683"/>
      <c r="M265" s="683"/>
      <c r="N265" s="683"/>
    </row>
    <row r="266">
      <c r="A266" s="683"/>
      <c r="B266" s="683"/>
      <c r="C266" s="683"/>
      <c r="D266" s="683"/>
      <c r="E266" s="683"/>
      <c r="F266" s="683"/>
      <c r="G266" s="683"/>
      <c r="H266" s="683"/>
      <c r="I266" s="683"/>
      <c r="J266" s="683"/>
      <c r="K266" s="683"/>
      <c r="L266" s="683"/>
      <c r="M266" s="683"/>
      <c r="N266" s="683"/>
    </row>
    <row r="267">
      <c r="A267" s="683"/>
      <c r="B267" s="683"/>
      <c r="C267" s="683"/>
      <c r="D267" s="683"/>
      <c r="E267" s="683"/>
      <c r="F267" s="683"/>
      <c r="G267" s="683"/>
      <c r="H267" s="683"/>
      <c r="I267" s="683"/>
      <c r="J267" s="683"/>
      <c r="K267" s="683"/>
      <c r="L267" s="683"/>
      <c r="M267" s="683"/>
      <c r="N267" s="683"/>
    </row>
    <row r="268">
      <c r="A268" s="683"/>
      <c r="B268" s="683"/>
      <c r="C268" s="683"/>
      <c r="D268" s="683"/>
      <c r="E268" s="683"/>
      <c r="F268" s="683"/>
      <c r="G268" s="683"/>
      <c r="H268" s="683"/>
      <c r="I268" s="683"/>
      <c r="J268" s="683"/>
      <c r="K268" s="683"/>
      <c r="L268" s="683"/>
      <c r="M268" s="683"/>
      <c r="N268" s="683"/>
    </row>
    <row r="269">
      <c r="A269" s="683"/>
      <c r="B269" s="683"/>
      <c r="C269" s="683"/>
      <c r="D269" s="683"/>
      <c r="E269" s="683"/>
      <c r="F269" s="683"/>
      <c r="G269" s="683"/>
      <c r="H269" s="683"/>
      <c r="I269" s="683"/>
      <c r="J269" s="683"/>
      <c r="K269" s="683"/>
      <c r="L269" s="683"/>
      <c r="M269" s="683"/>
      <c r="N269" s="683"/>
    </row>
    <row r="270">
      <c r="A270" s="683"/>
      <c r="B270" s="683"/>
      <c r="C270" s="683"/>
      <c r="D270" s="683"/>
      <c r="E270" s="683"/>
      <c r="F270" s="683"/>
      <c r="G270" s="683"/>
      <c r="H270" s="683"/>
      <c r="I270" s="683"/>
      <c r="J270" s="683"/>
      <c r="K270" s="683"/>
      <c r="L270" s="683"/>
      <c r="M270" s="683"/>
      <c r="N270" s="683"/>
    </row>
    <row r="271">
      <c r="A271" s="683"/>
      <c r="B271" s="683"/>
      <c r="C271" s="683"/>
      <c r="D271" s="683"/>
      <c r="E271" s="683"/>
      <c r="F271" s="683"/>
      <c r="G271" s="683"/>
      <c r="H271" s="683"/>
      <c r="I271" s="683"/>
      <c r="J271" s="683"/>
      <c r="K271" s="683"/>
      <c r="L271" s="683"/>
      <c r="M271" s="683"/>
      <c r="N271" s="683"/>
    </row>
    <row r="272">
      <c r="A272" s="683"/>
      <c r="B272" s="683"/>
      <c r="C272" s="683"/>
      <c r="D272" s="683"/>
      <c r="E272" s="683"/>
      <c r="F272" s="683"/>
      <c r="G272" s="683"/>
      <c r="H272" s="683"/>
      <c r="I272" s="683"/>
      <c r="J272" s="683"/>
      <c r="K272" s="683"/>
      <c r="L272" s="683"/>
      <c r="M272" s="683"/>
      <c r="N272" s="683"/>
    </row>
    <row r="273">
      <c r="A273" s="683"/>
      <c r="B273" s="683"/>
      <c r="C273" s="683"/>
      <c r="D273" s="683"/>
      <c r="E273" s="683"/>
      <c r="F273" s="683"/>
      <c r="G273" s="683"/>
      <c r="H273" s="683"/>
      <c r="I273" s="683"/>
      <c r="J273" s="683"/>
      <c r="K273" s="683"/>
      <c r="L273" s="683"/>
      <c r="M273" s="683"/>
      <c r="N273" s="683"/>
    </row>
    <row r="274">
      <c r="A274" s="683"/>
      <c r="B274" s="683"/>
      <c r="C274" s="683"/>
      <c r="D274" s="683"/>
      <c r="E274" s="683"/>
      <c r="F274" s="683"/>
      <c r="G274" s="683"/>
      <c r="H274" s="683"/>
      <c r="I274" s="683"/>
      <c r="J274" s="683"/>
      <c r="K274" s="683"/>
      <c r="L274" s="683"/>
      <c r="M274" s="683"/>
      <c r="N274" s="683"/>
    </row>
    <row r="275">
      <c r="A275" s="683"/>
      <c r="B275" s="683"/>
      <c r="C275" s="683"/>
      <c r="D275" s="683"/>
      <c r="E275" s="683"/>
      <c r="F275" s="683"/>
      <c r="G275" s="683"/>
      <c r="H275" s="683"/>
      <c r="I275" s="683"/>
      <c r="J275" s="683"/>
      <c r="K275" s="683"/>
      <c r="L275" s="683"/>
      <c r="M275" s="683"/>
      <c r="N275" s="683"/>
    </row>
    <row r="276">
      <c r="A276" s="683"/>
      <c r="B276" s="683"/>
      <c r="C276" s="683"/>
      <c r="D276" s="683"/>
      <c r="E276" s="683"/>
      <c r="F276" s="683"/>
      <c r="G276" s="683"/>
      <c r="H276" s="683"/>
      <c r="I276" s="683"/>
      <c r="J276" s="683"/>
      <c r="K276" s="683"/>
      <c r="L276" s="683"/>
      <c r="M276" s="683"/>
      <c r="N276" s="683"/>
    </row>
    <row r="277">
      <c r="A277" s="683"/>
      <c r="B277" s="683"/>
      <c r="C277" s="683"/>
      <c r="D277" s="683"/>
      <c r="E277" s="683"/>
      <c r="F277" s="683"/>
      <c r="G277" s="683"/>
      <c r="H277" s="683"/>
      <c r="I277" s="683"/>
      <c r="J277" s="683"/>
      <c r="K277" s="683"/>
      <c r="L277" s="683"/>
      <c r="M277" s="683"/>
      <c r="N277" s="683"/>
    </row>
    <row r="278">
      <c r="A278" s="683"/>
      <c r="B278" s="683"/>
      <c r="C278" s="683"/>
      <c r="D278" s="683"/>
      <c r="E278" s="683"/>
      <c r="F278" s="683"/>
      <c r="G278" s="683"/>
      <c r="H278" s="683"/>
      <c r="I278" s="683"/>
      <c r="J278" s="683"/>
      <c r="K278" s="683"/>
      <c r="L278" s="683"/>
      <c r="M278" s="683"/>
      <c r="N278" s="683"/>
    </row>
    <row r="279">
      <c r="A279" s="683"/>
      <c r="B279" s="683"/>
      <c r="C279" s="683"/>
      <c r="D279" s="683"/>
      <c r="E279" s="683"/>
      <c r="F279" s="683"/>
      <c r="G279" s="683"/>
      <c r="H279" s="683"/>
      <c r="I279" s="683"/>
      <c r="J279" s="683"/>
      <c r="K279" s="683"/>
      <c r="L279" s="683"/>
      <c r="M279" s="683"/>
      <c r="N279" s="683"/>
    </row>
    <row r="280">
      <c r="A280" s="683"/>
      <c r="B280" s="683"/>
      <c r="C280" s="683"/>
      <c r="D280" s="683"/>
      <c r="E280" s="683"/>
      <c r="F280" s="683"/>
      <c r="G280" s="683"/>
      <c r="H280" s="683"/>
      <c r="I280" s="683"/>
      <c r="J280" s="683"/>
      <c r="K280" s="683"/>
      <c r="L280" s="683"/>
      <c r="M280" s="683"/>
      <c r="N280" s="683"/>
    </row>
    <row r="281">
      <c r="A281" s="683"/>
      <c r="B281" s="683"/>
      <c r="C281" s="683"/>
      <c r="D281" s="683"/>
      <c r="E281" s="683"/>
      <c r="F281" s="683"/>
      <c r="G281" s="683"/>
      <c r="H281" s="683"/>
      <c r="I281" s="683"/>
      <c r="J281" s="683"/>
      <c r="K281" s="683"/>
      <c r="L281" s="683"/>
      <c r="M281" s="683"/>
      <c r="N281" s="683"/>
    </row>
    <row r="282">
      <c r="A282" s="683"/>
      <c r="B282" s="683"/>
      <c r="C282" s="683"/>
      <c r="D282" s="683"/>
      <c r="E282" s="683"/>
      <c r="F282" s="683"/>
      <c r="G282" s="683"/>
      <c r="H282" s="683"/>
      <c r="I282" s="683"/>
      <c r="J282" s="683"/>
      <c r="K282" s="683"/>
      <c r="L282" s="683"/>
      <c r="M282" s="683"/>
      <c r="N282" s="683"/>
    </row>
    <row r="283">
      <c r="A283" s="683"/>
      <c r="B283" s="683"/>
      <c r="C283" s="683"/>
      <c r="D283" s="683"/>
      <c r="E283" s="683"/>
      <c r="F283" s="683"/>
      <c r="G283" s="683"/>
      <c r="H283" s="683"/>
      <c r="I283" s="683"/>
      <c r="J283" s="683"/>
      <c r="K283" s="683"/>
      <c r="L283" s="683"/>
      <c r="M283" s="683"/>
      <c r="N283" s="683"/>
    </row>
    <row r="284">
      <c r="A284" s="683"/>
      <c r="B284" s="683"/>
      <c r="C284" s="683"/>
      <c r="D284" s="683"/>
      <c r="E284" s="683"/>
      <c r="F284" s="683"/>
      <c r="G284" s="683"/>
      <c r="H284" s="683"/>
      <c r="I284" s="683"/>
      <c r="J284" s="683"/>
      <c r="K284" s="683"/>
      <c r="L284" s="683"/>
      <c r="M284" s="683"/>
      <c r="N284" s="683"/>
    </row>
    <row r="285">
      <c r="A285" s="683"/>
      <c r="B285" s="683"/>
      <c r="C285" s="683"/>
      <c r="D285" s="683"/>
      <c r="E285" s="683"/>
      <c r="F285" s="683"/>
      <c r="G285" s="683"/>
      <c r="H285" s="683"/>
      <c r="I285" s="683"/>
      <c r="J285" s="683"/>
      <c r="K285" s="683"/>
      <c r="L285" s="683"/>
      <c r="M285" s="683"/>
      <c r="N285" s="683"/>
    </row>
    <row r="286">
      <c r="A286" s="683"/>
      <c r="B286" s="683"/>
      <c r="C286" s="683"/>
      <c r="D286" s="683"/>
      <c r="E286" s="683"/>
      <c r="F286" s="683"/>
      <c r="G286" s="683"/>
      <c r="H286" s="683"/>
      <c r="I286" s="683"/>
      <c r="J286" s="683"/>
      <c r="K286" s="683"/>
      <c r="L286" s="683"/>
      <c r="M286" s="683"/>
      <c r="N286" s="683"/>
    </row>
    <row r="287">
      <c r="A287" s="683"/>
      <c r="B287" s="683"/>
      <c r="C287" s="683"/>
      <c r="D287" s="683"/>
      <c r="E287" s="683"/>
      <c r="F287" s="683"/>
      <c r="G287" s="683"/>
      <c r="H287" s="683"/>
      <c r="I287" s="683"/>
      <c r="J287" s="683"/>
      <c r="K287" s="683"/>
      <c r="L287" s="683"/>
      <c r="M287" s="683"/>
      <c r="N287" s="683"/>
    </row>
    <row r="288">
      <c r="A288" s="683"/>
      <c r="B288" s="683"/>
      <c r="C288" s="683"/>
      <c r="D288" s="683"/>
      <c r="E288" s="683"/>
      <c r="F288" s="683"/>
      <c r="G288" s="683"/>
      <c r="H288" s="683"/>
      <c r="I288" s="683"/>
      <c r="J288" s="683"/>
      <c r="K288" s="683"/>
      <c r="L288" s="683"/>
      <c r="M288" s="683"/>
      <c r="N288" s="683"/>
    </row>
    <row r="289">
      <c r="A289" s="683"/>
      <c r="B289" s="683"/>
      <c r="C289" s="683"/>
      <c r="D289" s="683"/>
      <c r="E289" s="683"/>
      <c r="F289" s="683"/>
      <c r="G289" s="683"/>
      <c r="H289" s="683"/>
      <c r="I289" s="683"/>
      <c r="J289" s="683"/>
      <c r="K289" s="683"/>
      <c r="L289" s="683"/>
      <c r="M289" s="683"/>
      <c r="N289" s="683"/>
    </row>
    <row r="290">
      <c r="A290" s="683"/>
      <c r="B290" s="683"/>
      <c r="C290" s="683"/>
      <c r="D290" s="683"/>
      <c r="E290" s="683"/>
      <c r="F290" s="683"/>
      <c r="G290" s="683"/>
      <c r="H290" s="683"/>
      <c r="I290" s="683"/>
      <c r="J290" s="683"/>
      <c r="K290" s="683"/>
      <c r="L290" s="683"/>
      <c r="M290" s="683"/>
      <c r="N290" s="683"/>
    </row>
    <row r="291">
      <c r="A291" s="683"/>
      <c r="B291" s="683"/>
      <c r="C291" s="683"/>
      <c r="D291" s="683"/>
      <c r="E291" s="683"/>
      <c r="F291" s="683"/>
      <c r="G291" s="683"/>
      <c r="H291" s="683"/>
      <c r="I291" s="683"/>
      <c r="J291" s="683"/>
      <c r="K291" s="683"/>
      <c r="L291" s="683"/>
      <c r="M291" s="683"/>
      <c r="N291" s="683"/>
    </row>
    <row r="292">
      <c r="A292" s="683"/>
      <c r="B292" s="683"/>
      <c r="C292" s="683"/>
      <c r="D292" s="683"/>
      <c r="E292" s="683"/>
      <c r="F292" s="683"/>
      <c r="G292" s="683"/>
      <c r="H292" s="683"/>
      <c r="I292" s="683"/>
      <c r="J292" s="683"/>
      <c r="K292" s="683"/>
      <c r="L292" s="683"/>
      <c r="M292" s="683"/>
      <c r="N292" s="683"/>
    </row>
    <row r="293">
      <c r="A293" s="683"/>
      <c r="B293" s="683"/>
      <c r="C293" s="683"/>
      <c r="D293" s="683"/>
      <c r="E293" s="683"/>
      <c r="F293" s="683"/>
      <c r="G293" s="683"/>
      <c r="H293" s="683"/>
      <c r="I293" s="683"/>
      <c r="J293" s="683"/>
      <c r="K293" s="683"/>
      <c r="L293" s="683"/>
      <c r="M293" s="683"/>
      <c r="N293" s="683"/>
    </row>
    <row r="294">
      <c r="A294" s="683"/>
      <c r="B294" s="683"/>
      <c r="C294" s="683"/>
      <c r="D294" s="683"/>
      <c r="E294" s="683"/>
      <c r="F294" s="683"/>
      <c r="G294" s="683"/>
      <c r="H294" s="683"/>
      <c r="I294" s="683"/>
      <c r="J294" s="683"/>
      <c r="K294" s="683"/>
      <c r="L294" s="683"/>
      <c r="M294" s="683"/>
      <c r="N294" s="683"/>
    </row>
    <row r="295">
      <c r="A295" s="683"/>
      <c r="B295" s="683"/>
      <c r="C295" s="683"/>
      <c r="D295" s="683"/>
      <c r="E295" s="683"/>
      <c r="F295" s="683"/>
      <c r="G295" s="683"/>
      <c r="H295" s="683"/>
      <c r="I295" s="683"/>
      <c r="J295" s="683"/>
      <c r="K295" s="683"/>
      <c r="L295" s="683"/>
      <c r="M295" s="683"/>
      <c r="N295" s="683"/>
    </row>
    <row r="296">
      <c r="A296" s="683"/>
      <c r="B296" s="683"/>
      <c r="C296" s="683"/>
      <c r="D296" s="683"/>
      <c r="E296" s="683"/>
      <c r="F296" s="683"/>
      <c r="G296" s="683"/>
      <c r="H296" s="683"/>
      <c r="I296" s="683"/>
      <c r="J296" s="683"/>
      <c r="K296" s="683"/>
      <c r="L296" s="683"/>
      <c r="M296" s="683"/>
      <c r="N296" s="683"/>
    </row>
    <row r="297">
      <c r="A297" s="683"/>
      <c r="B297" s="683"/>
      <c r="C297" s="683"/>
      <c r="D297" s="683"/>
      <c r="E297" s="683"/>
      <c r="F297" s="683"/>
      <c r="G297" s="683"/>
      <c r="H297" s="683"/>
      <c r="I297" s="683"/>
      <c r="J297" s="683"/>
      <c r="K297" s="683"/>
      <c r="L297" s="683"/>
      <c r="M297" s="683"/>
      <c r="N297" s="683"/>
    </row>
    <row r="298">
      <c r="A298" s="683"/>
      <c r="B298" s="683"/>
      <c r="C298" s="683"/>
      <c r="D298" s="683"/>
      <c r="E298" s="683"/>
      <c r="F298" s="683"/>
      <c r="G298" s="683"/>
      <c r="H298" s="683"/>
      <c r="I298" s="683"/>
      <c r="J298" s="683"/>
      <c r="K298" s="683"/>
      <c r="L298" s="683"/>
      <c r="M298" s="683"/>
      <c r="N298" s="683"/>
    </row>
    <row r="299">
      <c r="A299" s="683"/>
      <c r="B299" s="683"/>
      <c r="C299" s="683"/>
      <c r="D299" s="683"/>
      <c r="E299" s="683"/>
      <c r="F299" s="683"/>
      <c r="G299" s="683"/>
      <c r="H299" s="683"/>
      <c r="I299" s="683"/>
      <c r="J299" s="683"/>
      <c r="K299" s="683"/>
      <c r="L299" s="683"/>
      <c r="M299" s="683"/>
      <c r="N299" s="683"/>
    </row>
    <row r="300">
      <c r="A300" s="683"/>
      <c r="B300" s="683"/>
      <c r="C300" s="683"/>
      <c r="D300" s="683"/>
      <c r="E300" s="683"/>
      <c r="F300" s="683"/>
      <c r="G300" s="683"/>
      <c r="H300" s="683"/>
      <c r="I300" s="683"/>
      <c r="J300" s="683"/>
      <c r="K300" s="683"/>
      <c r="L300" s="683"/>
      <c r="M300" s="683"/>
      <c r="N300" s="683"/>
    </row>
    <row r="301">
      <c r="A301" s="683"/>
      <c r="B301" s="683"/>
      <c r="C301" s="683"/>
      <c r="D301" s="683"/>
      <c r="E301" s="683"/>
      <c r="F301" s="683"/>
      <c r="G301" s="683"/>
      <c r="H301" s="683"/>
      <c r="I301" s="683"/>
      <c r="J301" s="683"/>
      <c r="K301" s="683"/>
      <c r="L301" s="683"/>
      <c r="M301" s="683"/>
      <c r="N301" s="683"/>
    </row>
    <row r="302">
      <c r="A302" s="683"/>
      <c r="B302" s="683"/>
      <c r="C302" s="683"/>
      <c r="D302" s="683"/>
      <c r="E302" s="683"/>
      <c r="F302" s="683"/>
      <c r="G302" s="683"/>
      <c r="H302" s="683"/>
      <c r="I302" s="683"/>
      <c r="J302" s="683"/>
      <c r="K302" s="683"/>
      <c r="L302" s="683"/>
      <c r="M302" s="683"/>
      <c r="N302" s="683"/>
    </row>
    <row r="303">
      <c r="A303" s="683"/>
      <c r="B303" s="683"/>
      <c r="C303" s="683"/>
      <c r="D303" s="683"/>
      <c r="E303" s="683"/>
      <c r="F303" s="683"/>
      <c r="G303" s="683"/>
      <c r="H303" s="683"/>
      <c r="I303" s="683"/>
      <c r="J303" s="683"/>
      <c r="K303" s="683"/>
      <c r="L303" s="683"/>
      <c r="M303" s="683"/>
      <c r="N303" s="683"/>
    </row>
    <row r="304">
      <c r="A304" s="683"/>
      <c r="B304" s="683"/>
      <c r="C304" s="683"/>
      <c r="D304" s="683"/>
      <c r="E304" s="683"/>
      <c r="F304" s="683"/>
      <c r="G304" s="683"/>
      <c r="H304" s="683"/>
      <c r="I304" s="683"/>
      <c r="J304" s="683"/>
      <c r="K304" s="683"/>
      <c r="L304" s="683"/>
      <c r="M304" s="683"/>
      <c r="N304" s="683"/>
    </row>
    <row r="305">
      <c r="A305" s="683"/>
      <c r="B305" s="683"/>
      <c r="C305" s="683"/>
      <c r="D305" s="683"/>
      <c r="E305" s="683"/>
      <c r="F305" s="683"/>
      <c r="G305" s="683"/>
      <c r="H305" s="683"/>
      <c r="I305" s="683"/>
      <c r="J305" s="683"/>
      <c r="K305" s="683"/>
      <c r="L305" s="683"/>
      <c r="M305" s="683"/>
      <c r="N305" s="683"/>
    </row>
    <row r="306">
      <c r="A306" s="683"/>
      <c r="B306" s="683"/>
      <c r="C306" s="683"/>
      <c r="D306" s="683"/>
      <c r="E306" s="683"/>
      <c r="F306" s="683"/>
      <c r="G306" s="683"/>
      <c r="H306" s="683"/>
      <c r="I306" s="683"/>
      <c r="J306" s="683"/>
      <c r="K306" s="683"/>
      <c r="L306" s="683"/>
      <c r="M306" s="683"/>
      <c r="N306" s="683"/>
    </row>
    <row r="307">
      <c r="A307" s="683"/>
      <c r="B307" s="683"/>
      <c r="C307" s="683"/>
      <c r="D307" s="683"/>
      <c r="E307" s="683"/>
      <c r="F307" s="683"/>
      <c r="G307" s="683"/>
      <c r="H307" s="683"/>
      <c r="I307" s="683"/>
      <c r="J307" s="683"/>
      <c r="K307" s="683"/>
      <c r="L307" s="683"/>
      <c r="M307" s="683"/>
      <c r="N307" s="683"/>
    </row>
    <row r="308">
      <c r="A308" s="683"/>
      <c r="B308" s="683"/>
      <c r="C308" s="683"/>
      <c r="D308" s="683"/>
      <c r="E308" s="683"/>
      <c r="F308" s="683"/>
      <c r="G308" s="683"/>
      <c r="H308" s="683"/>
      <c r="I308" s="683"/>
      <c r="J308" s="683"/>
      <c r="K308" s="683"/>
      <c r="L308" s="683"/>
      <c r="M308" s="683"/>
      <c r="N308" s="683"/>
    </row>
    <row r="309">
      <c r="A309" s="683"/>
      <c r="B309" s="683"/>
      <c r="C309" s="683"/>
      <c r="D309" s="683"/>
      <c r="E309" s="683"/>
      <c r="F309" s="683"/>
      <c r="G309" s="683"/>
      <c r="H309" s="683"/>
      <c r="I309" s="683"/>
      <c r="J309" s="683"/>
      <c r="K309" s="683"/>
      <c r="L309" s="683"/>
      <c r="M309" s="683"/>
      <c r="N309" s="683"/>
    </row>
    <row r="310">
      <c r="A310" s="683"/>
      <c r="B310" s="683"/>
      <c r="C310" s="683"/>
      <c r="D310" s="683"/>
      <c r="E310" s="683"/>
      <c r="F310" s="683"/>
      <c r="G310" s="683"/>
      <c r="H310" s="683"/>
      <c r="I310" s="683"/>
      <c r="J310" s="683"/>
      <c r="K310" s="683"/>
      <c r="L310" s="683"/>
      <c r="M310" s="683"/>
      <c r="N310" s="683"/>
    </row>
    <row r="311">
      <c r="A311" s="683"/>
      <c r="B311" s="683"/>
      <c r="C311" s="683"/>
      <c r="D311" s="683"/>
      <c r="E311" s="683"/>
      <c r="F311" s="683"/>
      <c r="G311" s="683"/>
      <c r="H311" s="683"/>
      <c r="I311" s="683"/>
      <c r="J311" s="683"/>
      <c r="K311" s="683"/>
      <c r="L311" s="683"/>
      <c r="M311" s="683"/>
      <c r="N311" s="683"/>
    </row>
    <row r="312">
      <c r="A312" s="683"/>
      <c r="B312" s="683"/>
      <c r="C312" s="683"/>
      <c r="D312" s="683"/>
      <c r="E312" s="683"/>
      <c r="F312" s="683"/>
      <c r="G312" s="683"/>
      <c r="H312" s="683"/>
      <c r="I312" s="683"/>
      <c r="J312" s="683"/>
      <c r="K312" s="683"/>
      <c r="L312" s="683"/>
      <c r="M312" s="683"/>
      <c r="N312" s="683"/>
    </row>
    <row r="313">
      <c r="A313" s="683"/>
      <c r="B313" s="683"/>
      <c r="C313" s="683"/>
      <c r="D313" s="683"/>
      <c r="E313" s="683"/>
      <c r="F313" s="683"/>
      <c r="G313" s="683"/>
      <c r="H313" s="683"/>
      <c r="I313" s="683"/>
      <c r="J313" s="683"/>
      <c r="K313" s="683"/>
      <c r="L313" s="683"/>
      <c r="M313" s="683"/>
      <c r="N313" s="683"/>
    </row>
    <row r="314">
      <c r="A314" s="683"/>
      <c r="B314" s="683"/>
      <c r="C314" s="683"/>
      <c r="D314" s="683"/>
      <c r="E314" s="683"/>
      <c r="F314" s="683"/>
      <c r="G314" s="683"/>
      <c r="H314" s="683"/>
      <c r="I314" s="683"/>
      <c r="J314" s="683"/>
      <c r="K314" s="683"/>
      <c r="L314" s="683"/>
      <c r="M314" s="683"/>
      <c r="N314" s="683"/>
    </row>
    <row r="315">
      <c r="A315" s="683"/>
      <c r="B315" s="683"/>
      <c r="C315" s="683"/>
      <c r="D315" s="683"/>
      <c r="E315" s="683"/>
      <c r="F315" s="683"/>
      <c r="G315" s="683"/>
      <c r="H315" s="683"/>
      <c r="I315" s="683"/>
      <c r="J315" s="683"/>
      <c r="K315" s="683"/>
      <c r="L315" s="683"/>
      <c r="M315" s="683"/>
      <c r="N315" s="683"/>
    </row>
    <row r="316">
      <c r="A316" s="683"/>
      <c r="B316" s="683"/>
      <c r="C316" s="683"/>
      <c r="D316" s="683"/>
      <c r="E316" s="683"/>
      <c r="F316" s="683"/>
      <c r="G316" s="683"/>
      <c r="H316" s="683"/>
      <c r="I316" s="683"/>
      <c r="J316" s="683"/>
      <c r="K316" s="683"/>
      <c r="L316" s="683"/>
      <c r="M316" s="683"/>
      <c r="N316" s="683"/>
    </row>
    <row r="317">
      <c r="A317" s="683"/>
      <c r="B317" s="683"/>
      <c r="C317" s="683"/>
      <c r="D317" s="683"/>
      <c r="E317" s="683"/>
      <c r="F317" s="683"/>
      <c r="G317" s="683"/>
      <c r="H317" s="683"/>
      <c r="I317" s="683"/>
      <c r="J317" s="683"/>
      <c r="K317" s="683"/>
      <c r="L317" s="683"/>
      <c r="M317" s="683"/>
      <c r="N317" s="683"/>
    </row>
    <row r="318">
      <c r="A318" s="683"/>
      <c r="B318" s="683"/>
      <c r="C318" s="683"/>
      <c r="D318" s="683"/>
      <c r="E318" s="683"/>
      <c r="F318" s="683"/>
      <c r="G318" s="683"/>
      <c r="H318" s="683"/>
      <c r="I318" s="683"/>
      <c r="J318" s="683"/>
      <c r="K318" s="683"/>
      <c r="L318" s="683"/>
      <c r="M318" s="683"/>
      <c r="N318" s="683"/>
    </row>
    <row r="319">
      <c r="A319" s="683"/>
      <c r="B319" s="683"/>
      <c r="C319" s="683"/>
      <c r="D319" s="683"/>
      <c r="E319" s="683"/>
      <c r="F319" s="683"/>
      <c r="G319" s="683"/>
      <c r="H319" s="683"/>
      <c r="I319" s="683"/>
      <c r="J319" s="683"/>
      <c r="K319" s="683"/>
      <c r="L319" s="683"/>
      <c r="M319" s="683"/>
      <c r="N319" s="683"/>
    </row>
    <row r="320">
      <c r="A320" s="683"/>
      <c r="B320" s="683"/>
      <c r="C320" s="683"/>
      <c r="D320" s="683"/>
      <c r="E320" s="683"/>
      <c r="F320" s="683"/>
      <c r="G320" s="683"/>
      <c r="H320" s="683"/>
      <c r="I320" s="683"/>
      <c r="J320" s="683"/>
      <c r="K320" s="683"/>
      <c r="L320" s="683"/>
      <c r="M320" s="683"/>
      <c r="N320" s="683"/>
    </row>
    <row r="321">
      <c r="A321" s="683"/>
      <c r="B321" s="683"/>
      <c r="C321" s="683"/>
      <c r="D321" s="683"/>
      <c r="E321" s="683"/>
      <c r="F321" s="683"/>
      <c r="G321" s="683"/>
      <c r="H321" s="683"/>
      <c r="I321" s="683"/>
      <c r="J321" s="683"/>
      <c r="K321" s="683"/>
      <c r="L321" s="683"/>
      <c r="M321" s="683"/>
      <c r="N321" s="683"/>
    </row>
    <row r="322">
      <c r="A322" s="683"/>
      <c r="B322" s="683"/>
      <c r="C322" s="683"/>
      <c r="D322" s="683"/>
      <c r="E322" s="683"/>
      <c r="F322" s="683"/>
      <c r="G322" s="683"/>
      <c r="H322" s="683"/>
      <c r="I322" s="683"/>
      <c r="J322" s="683"/>
      <c r="K322" s="683"/>
      <c r="L322" s="683"/>
      <c r="M322" s="683"/>
      <c r="N322" s="683"/>
    </row>
    <row r="323">
      <c r="A323" s="683"/>
      <c r="B323" s="683"/>
      <c r="C323" s="683"/>
      <c r="D323" s="683"/>
      <c r="E323" s="683"/>
      <c r="F323" s="683"/>
      <c r="G323" s="683"/>
      <c r="H323" s="683"/>
      <c r="I323" s="683"/>
      <c r="J323" s="683"/>
      <c r="K323" s="683"/>
      <c r="L323" s="683"/>
      <c r="M323" s="683"/>
      <c r="N323" s="683"/>
    </row>
    <row r="324">
      <c r="A324" s="683"/>
      <c r="B324" s="683"/>
      <c r="C324" s="683"/>
      <c r="D324" s="683"/>
      <c r="E324" s="683"/>
      <c r="F324" s="683"/>
      <c r="G324" s="683"/>
      <c r="H324" s="683"/>
      <c r="I324" s="683"/>
      <c r="J324" s="683"/>
      <c r="K324" s="683"/>
      <c r="L324" s="683"/>
      <c r="M324" s="683"/>
      <c r="N324" s="683"/>
    </row>
    <row r="325">
      <c r="A325" s="683"/>
      <c r="B325" s="683"/>
      <c r="C325" s="683"/>
      <c r="D325" s="683"/>
      <c r="E325" s="683"/>
      <c r="F325" s="683"/>
      <c r="G325" s="683"/>
      <c r="H325" s="683"/>
      <c r="I325" s="683"/>
      <c r="J325" s="683"/>
      <c r="K325" s="683"/>
      <c r="L325" s="683"/>
      <c r="M325" s="683"/>
      <c r="N325" s="683"/>
    </row>
    <row r="326">
      <c r="A326" s="683"/>
      <c r="B326" s="683"/>
      <c r="C326" s="683"/>
      <c r="D326" s="683"/>
      <c r="E326" s="683"/>
      <c r="F326" s="683"/>
      <c r="G326" s="683"/>
      <c r="H326" s="683"/>
      <c r="I326" s="683"/>
      <c r="J326" s="683"/>
      <c r="K326" s="683"/>
      <c r="L326" s="683"/>
      <c r="M326" s="683"/>
      <c r="N326" s="683"/>
    </row>
    <row r="327">
      <c r="A327" s="683"/>
      <c r="B327" s="683"/>
      <c r="C327" s="683"/>
      <c r="D327" s="683"/>
      <c r="E327" s="683"/>
      <c r="F327" s="683"/>
      <c r="G327" s="683"/>
      <c r="H327" s="683"/>
      <c r="I327" s="683"/>
      <c r="J327" s="683"/>
      <c r="K327" s="683"/>
      <c r="L327" s="683"/>
      <c r="M327" s="683"/>
      <c r="N327" s="683"/>
    </row>
    <row r="328">
      <c r="A328" s="683"/>
      <c r="B328" s="683"/>
      <c r="C328" s="683"/>
      <c r="D328" s="683"/>
      <c r="E328" s="683"/>
      <c r="F328" s="683"/>
      <c r="G328" s="683"/>
      <c r="H328" s="683"/>
      <c r="I328" s="683"/>
      <c r="J328" s="683"/>
      <c r="K328" s="683"/>
      <c r="L328" s="683"/>
      <c r="M328" s="683"/>
      <c r="N328" s="683"/>
    </row>
    <row r="329">
      <c r="A329" s="683"/>
      <c r="B329" s="683"/>
      <c r="C329" s="683"/>
      <c r="D329" s="683"/>
      <c r="E329" s="683"/>
      <c r="F329" s="683"/>
      <c r="G329" s="683"/>
      <c r="H329" s="683"/>
      <c r="I329" s="683"/>
      <c r="J329" s="683"/>
      <c r="K329" s="683"/>
      <c r="L329" s="683"/>
      <c r="M329" s="683"/>
      <c r="N329" s="683"/>
    </row>
    <row r="330">
      <c r="A330" s="683"/>
      <c r="B330" s="683"/>
      <c r="C330" s="683"/>
      <c r="D330" s="683"/>
      <c r="E330" s="683"/>
      <c r="F330" s="683"/>
      <c r="G330" s="683"/>
      <c r="H330" s="683"/>
      <c r="I330" s="683"/>
      <c r="J330" s="683"/>
      <c r="K330" s="683"/>
      <c r="L330" s="683"/>
      <c r="M330" s="683"/>
      <c r="N330" s="683"/>
    </row>
    <row r="331">
      <c r="A331" s="683"/>
      <c r="B331" s="683"/>
      <c r="C331" s="683"/>
      <c r="D331" s="683"/>
      <c r="E331" s="683"/>
      <c r="F331" s="683"/>
      <c r="G331" s="683"/>
      <c r="H331" s="683"/>
      <c r="I331" s="683"/>
      <c r="J331" s="683"/>
      <c r="K331" s="683"/>
      <c r="L331" s="683"/>
      <c r="M331" s="683"/>
      <c r="N331" s="683"/>
    </row>
    <row r="332">
      <c r="A332" s="683"/>
      <c r="B332" s="683"/>
      <c r="C332" s="683"/>
      <c r="D332" s="683"/>
      <c r="E332" s="683"/>
      <c r="F332" s="683"/>
      <c r="G332" s="683"/>
      <c r="H332" s="683"/>
      <c r="I332" s="683"/>
      <c r="J332" s="683"/>
      <c r="K332" s="683"/>
      <c r="L332" s="683"/>
      <c r="M332" s="683"/>
      <c r="N332" s="683"/>
    </row>
    <row r="333">
      <c r="A333" s="683"/>
      <c r="B333" s="683"/>
      <c r="C333" s="683"/>
      <c r="D333" s="683"/>
      <c r="E333" s="683"/>
      <c r="F333" s="683"/>
      <c r="G333" s="683"/>
      <c r="H333" s="683"/>
      <c r="I333" s="683"/>
      <c r="J333" s="683"/>
      <c r="K333" s="683"/>
      <c r="L333" s="683"/>
      <c r="M333" s="683"/>
      <c r="N333" s="683"/>
    </row>
    <row r="334">
      <c r="A334" s="683"/>
      <c r="B334" s="683"/>
      <c r="C334" s="683"/>
      <c r="D334" s="683"/>
      <c r="E334" s="683"/>
      <c r="F334" s="683"/>
      <c r="G334" s="683"/>
      <c r="H334" s="683"/>
      <c r="I334" s="683"/>
      <c r="J334" s="683"/>
      <c r="K334" s="683"/>
      <c r="L334" s="683"/>
      <c r="M334" s="683"/>
      <c r="N334" s="683"/>
    </row>
    <row r="335">
      <c r="A335" s="683"/>
      <c r="B335" s="683"/>
      <c r="C335" s="683"/>
      <c r="D335" s="683"/>
      <c r="E335" s="683"/>
      <c r="F335" s="683"/>
      <c r="G335" s="683"/>
      <c r="H335" s="683"/>
      <c r="I335" s="683"/>
      <c r="J335" s="683"/>
      <c r="K335" s="683"/>
      <c r="L335" s="683"/>
      <c r="M335" s="683"/>
      <c r="N335" s="683"/>
    </row>
    <row r="336">
      <c r="A336" s="683"/>
      <c r="B336" s="683"/>
      <c r="C336" s="683"/>
      <c r="D336" s="683"/>
      <c r="E336" s="683"/>
      <c r="F336" s="683"/>
      <c r="G336" s="683"/>
      <c r="H336" s="683"/>
      <c r="I336" s="683"/>
      <c r="J336" s="683"/>
      <c r="K336" s="683"/>
      <c r="L336" s="683"/>
      <c r="M336" s="683"/>
      <c r="N336" s="683"/>
    </row>
    <row r="337">
      <c r="A337" s="683"/>
      <c r="B337" s="683"/>
      <c r="C337" s="683"/>
      <c r="D337" s="683"/>
      <c r="E337" s="683"/>
      <c r="F337" s="683"/>
      <c r="G337" s="683"/>
      <c r="H337" s="683"/>
      <c r="I337" s="683"/>
      <c r="J337" s="683"/>
      <c r="K337" s="683"/>
      <c r="L337" s="683"/>
      <c r="M337" s="683"/>
      <c r="N337" s="683"/>
    </row>
    <row r="338">
      <c r="A338" s="683"/>
      <c r="B338" s="683"/>
      <c r="C338" s="683"/>
      <c r="D338" s="683"/>
      <c r="E338" s="683"/>
      <c r="F338" s="683"/>
      <c r="G338" s="683"/>
      <c r="H338" s="683"/>
      <c r="I338" s="683"/>
      <c r="J338" s="683"/>
      <c r="K338" s="683"/>
      <c r="L338" s="683"/>
      <c r="M338" s="683"/>
      <c r="N338" s="683"/>
    </row>
    <row r="339">
      <c r="A339" s="683"/>
      <c r="B339" s="683"/>
      <c r="C339" s="683"/>
      <c r="D339" s="683"/>
      <c r="E339" s="683"/>
      <c r="F339" s="683"/>
      <c r="G339" s="683"/>
      <c r="H339" s="683"/>
      <c r="I339" s="683"/>
      <c r="J339" s="683"/>
      <c r="K339" s="683"/>
      <c r="L339" s="683"/>
      <c r="M339" s="683"/>
      <c r="N339" s="683"/>
    </row>
    <row r="340">
      <c r="A340" s="683"/>
      <c r="B340" s="683"/>
      <c r="C340" s="683"/>
      <c r="D340" s="683"/>
      <c r="E340" s="683"/>
      <c r="F340" s="683"/>
      <c r="G340" s="683"/>
      <c r="H340" s="683"/>
      <c r="I340" s="683"/>
      <c r="J340" s="683"/>
      <c r="K340" s="683"/>
      <c r="L340" s="683"/>
      <c r="M340" s="683"/>
      <c r="N340" s="683"/>
    </row>
    <row r="341">
      <c r="A341" s="683"/>
      <c r="B341" s="683"/>
      <c r="C341" s="683"/>
      <c r="D341" s="683"/>
      <c r="E341" s="683"/>
      <c r="F341" s="683"/>
      <c r="G341" s="683"/>
      <c r="H341" s="683"/>
      <c r="I341" s="683"/>
      <c r="J341" s="683"/>
      <c r="K341" s="683"/>
      <c r="L341" s="683"/>
      <c r="M341" s="683"/>
      <c r="N341" s="683"/>
    </row>
    <row r="342">
      <c r="A342" s="683"/>
      <c r="B342" s="683"/>
      <c r="C342" s="683"/>
      <c r="D342" s="683"/>
      <c r="E342" s="683"/>
      <c r="F342" s="683"/>
      <c r="G342" s="683"/>
      <c r="H342" s="683"/>
      <c r="I342" s="683"/>
      <c r="J342" s="683"/>
      <c r="K342" s="683"/>
      <c r="L342" s="683"/>
      <c r="M342" s="683"/>
      <c r="N342" s="683"/>
    </row>
    <row r="343">
      <c r="A343" s="683"/>
      <c r="B343" s="683"/>
      <c r="C343" s="683"/>
      <c r="D343" s="683"/>
      <c r="E343" s="683"/>
      <c r="F343" s="683"/>
      <c r="G343" s="683"/>
      <c r="H343" s="683"/>
      <c r="I343" s="683"/>
      <c r="J343" s="683"/>
      <c r="K343" s="683"/>
      <c r="L343" s="683"/>
      <c r="M343" s="683"/>
      <c r="N343" s="683"/>
    </row>
    <row r="344">
      <c r="A344" s="683"/>
      <c r="B344" s="683"/>
      <c r="C344" s="683"/>
      <c r="D344" s="683"/>
      <c r="E344" s="683"/>
      <c r="F344" s="683"/>
      <c r="G344" s="683"/>
      <c r="H344" s="683"/>
      <c r="I344" s="683"/>
      <c r="J344" s="683"/>
      <c r="K344" s="683"/>
      <c r="L344" s="683"/>
      <c r="M344" s="683"/>
      <c r="N344" s="683"/>
    </row>
    <row r="345">
      <c r="A345" s="683"/>
      <c r="B345" s="683"/>
      <c r="C345" s="683"/>
      <c r="D345" s="683"/>
      <c r="E345" s="683"/>
      <c r="F345" s="683"/>
      <c r="G345" s="683"/>
      <c r="H345" s="683"/>
      <c r="I345" s="683"/>
      <c r="J345" s="683"/>
      <c r="K345" s="683"/>
      <c r="L345" s="683"/>
      <c r="M345" s="683"/>
      <c r="N345" s="683"/>
    </row>
    <row r="346">
      <c r="A346" s="683"/>
      <c r="B346" s="683"/>
      <c r="C346" s="683"/>
      <c r="D346" s="683"/>
      <c r="E346" s="683"/>
      <c r="F346" s="683"/>
      <c r="G346" s="683"/>
      <c r="H346" s="683"/>
      <c r="I346" s="683"/>
      <c r="J346" s="683"/>
      <c r="K346" s="683"/>
      <c r="L346" s="683"/>
      <c r="M346" s="683"/>
      <c r="N346" s="683"/>
    </row>
    <row r="347">
      <c r="A347" s="683"/>
      <c r="B347" s="683"/>
      <c r="C347" s="683"/>
      <c r="D347" s="683"/>
      <c r="E347" s="683"/>
      <c r="F347" s="683"/>
      <c r="G347" s="683"/>
      <c r="H347" s="683"/>
      <c r="I347" s="683"/>
      <c r="J347" s="683"/>
      <c r="K347" s="683"/>
      <c r="L347" s="683"/>
      <c r="M347" s="683"/>
      <c r="N347" s="683"/>
    </row>
    <row r="348">
      <c r="A348" s="683"/>
      <c r="B348" s="683"/>
      <c r="C348" s="683"/>
      <c r="D348" s="683"/>
      <c r="E348" s="683"/>
      <c r="F348" s="683"/>
      <c r="G348" s="683"/>
      <c r="H348" s="683"/>
      <c r="I348" s="683"/>
      <c r="J348" s="683"/>
      <c r="K348" s="683"/>
      <c r="L348" s="683"/>
      <c r="M348" s="683"/>
      <c r="N348" s="683"/>
    </row>
    <row r="349">
      <c r="A349" s="683"/>
      <c r="B349" s="683"/>
      <c r="C349" s="683"/>
      <c r="D349" s="683"/>
      <c r="E349" s="683"/>
      <c r="F349" s="683"/>
      <c r="G349" s="683"/>
      <c r="H349" s="683"/>
      <c r="I349" s="683"/>
      <c r="J349" s="683"/>
      <c r="K349" s="683"/>
      <c r="L349" s="683"/>
      <c r="M349" s="683"/>
      <c r="N349" s="683"/>
    </row>
    <row r="350">
      <c r="A350" s="683"/>
      <c r="B350" s="683"/>
      <c r="C350" s="683"/>
      <c r="D350" s="683"/>
      <c r="E350" s="683"/>
      <c r="F350" s="683"/>
      <c r="G350" s="683"/>
      <c r="H350" s="683"/>
      <c r="I350" s="683"/>
      <c r="J350" s="683"/>
      <c r="K350" s="683"/>
      <c r="L350" s="683"/>
      <c r="M350" s="683"/>
      <c r="N350" s="683"/>
    </row>
    <row r="351">
      <c r="A351" s="683"/>
      <c r="B351" s="683"/>
      <c r="C351" s="683"/>
      <c r="D351" s="683"/>
      <c r="E351" s="683"/>
      <c r="F351" s="683"/>
      <c r="G351" s="683"/>
      <c r="H351" s="683"/>
      <c r="I351" s="683"/>
      <c r="J351" s="683"/>
      <c r="K351" s="683"/>
      <c r="L351" s="683"/>
      <c r="M351" s="683"/>
      <c r="N351" s="683"/>
    </row>
    <row r="352">
      <c r="A352" s="683"/>
      <c r="B352" s="683"/>
      <c r="C352" s="683"/>
      <c r="D352" s="683"/>
      <c r="E352" s="683"/>
      <c r="F352" s="683"/>
      <c r="G352" s="683"/>
      <c r="H352" s="683"/>
      <c r="I352" s="683"/>
      <c r="J352" s="683"/>
      <c r="K352" s="683"/>
      <c r="L352" s="683"/>
      <c r="M352" s="683"/>
      <c r="N352" s="683"/>
    </row>
    <row r="353">
      <c r="A353" s="683"/>
      <c r="B353" s="683"/>
      <c r="C353" s="683"/>
      <c r="D353" s="683"/>
      <c r="E353" s="683"/>
      <c r="F353" s="683"/>
      <c r="G353" s="683"/>
      <c r="H353" s="683"/>
      <c r="I353" s="683"/>
      <c r="J353" s="683"/>
      <c r="K353" s="683"/>
      <c r="L353" s="683"/>
      <c r="M353" s="683"/>
      <c r="N353" s="683"/>
    </row>
    <row r="354">
      <c r="A354" s="683"/>
      <c r="B354" s="683"/>
      <c r="C354" s="683"/>
      <c r="D354" s="683"/>
      <c r="E354" s="683"/>
      <c r="F354" s="683"/>
      <c r="G354" s="683"/>
      <c r="H354" s="683"/>
      <c r="I354" s="683"/>
      <c r="J354" s="683"/>
      <c r="K354" s="683"/>
      <c r="L354" s="683"/>
      <c r="M354" s="683"/>
      <c r="N354" s="683"/>
    </row>
    <row r="355">
      <c r="A355" s="683"/>
      <c r="B355" s="683"/>
      <c r="C355" s="683"/>
      <c r="D355" s="683"/>
      <c r="E355" s="683"/>
      <c r="F355" s="683"/>
      <c r="G355" s="683"/>
      <c r="H355" s="683"/>
      <c r="I355" s="683"/>
      <c r="J355" s="683"/>
      <c r="K355" s="683"/>
      <c r="L355" s="683"/>
      <c r="M355" s="683"/>
      <c r="N355" s="683"/>
    </row>
    <row r="356">
      <c r="A356" s="683"/>
      <c r="B356" s="683"/>
      <c r="C356" s="683"/>
      <c r="D356" s="683"/>
      <c r="E356" s="683"/>
      <c r="F356" s="683"/>
      <c r="G356" s="683"/>
      <c r="H356" s="683"/>
      <c r="I356" s="683"/>
      <c r="J356" s="683"/>
      <c r="K356" s="683"/>
      <c r="L356" s="683"/>
      <c r="M356" s="683"/>
      <c r="N356" s="683"/>
    </row>
    <row r="357">
      <c r="A357" s="683"/>
      <c r="B357" s="683"/>
      <c r="C357" s="683"/>
      <c r="D357" s="683"/>
      <c r="E357" s="683"/>
      <c r="F357" s="683"/>
      <c r="G357" s="683"/>
      <c r="H357" s="683"/>
      <c r="I357" s="683"/>
      <c r="J357" s="683"/>
      <c r="K357" s="683"/>
      <c r="L357" s="683"/>
      <c r="M357" s="683"/>
      <c r="N357" s="683"/>
    </row>
    <row r="358">
      <c r="A358" s="683"/>
      <c r="B358" s="683"/>
      <c r="C358" s="683"/>
      <c r="D358" s="683"/>
      <c r="E358" s="683"/>
      <c r="F358" s="683"/>
      <c r="G358" s="683"/>
      <c r="H358" s="683"/>
      <c r="I358" s="683"/>
      <c r="J358" s="683"/>
      <c r="K358" s="683"/>
      <c r="L358" s="683"/>
      <c r="M358" s="683"/>
      <c r="N358" s="683"/>
    </row>
    <row r="359">
      <c r="A359" s="683"/>
      <c r="B359" s="683"/>
      <c r="C359" s="683"/>
      <c r="D359" s="683"/>
      <c r="E359" s="683"/>
      <c r="F359" s="683"/>
      <c r="G359" s="683"/>
      <c r="H359" s="683"/>
      <c r="I359" s="683"/>
      <c r="J359" s="683"/>
      <c r="K359" s="683"/>
      <c r="L359" s="683"/>
      <c r="M359" s="683"/>
      <c r="N359" s="683"/>
    </row>
    <row r="360">
      <c r="A360" s="683"/>
      <c r="B360" s="683"/>
      <c r="C360" s="683"/>
      <c r="D360" s="683"/>
      <c r="E360" s="683"/>
      <c r="F360" s="683"/>
      <c r="G360" s="683"/>
      <c r="H360" s="683"/>
      <c r="I360" s="683"/>
      <c r="J360" s="683"/>
      <c r="K360" s="683"/>
      <c r="L360" s="683"/>
      <c r="M360" s="683"/>
      <c r="N360" s="683"/>
    </row>
    <row r="361">
      <c r="A361" s="683"/>
      <c r="B361" s="683"/>
      <c r="C361" s="683"/>
      <c r="D361" s="683"/>
      <c r="E361" s="683"/>
      <c r="F361" s="683"/>
      <c r="G361" s="683"/>
      <c r="H361" s="683"/>
      <c r="I361" s="683"/>
      <c r="J361" s="683"/>
      <c r="K361" s="683"/>
      <c r="L361" s="683"/>
      <c r="M361" s="683"/>
      <c r="N361" s="683"/>
    </row>
    <row r="362">
      <c r="A362" s="683"/>
      <c r="B362" s="683"/>
      <c r="C362" s="683"/>
      <c r="D362" s="683"/>
      <c r="E362" s="683"/>
      <c r="F362" s="683"/>
      <c r="G362" s="683"/>
      <c r="H362" s="683"/>
      <c r="I362" s="683"/>
      <c r="J362" s="683"/>
      <c r="K362" s="683"/>
      <c r="L362" s="683"/>
      <c r="M362" s="683"/>
      <c r="N362" s="683"/>
    </row>
    <row r="363">
      <c r="A363" s="683"/>
      <c r="B363" s="683"/>
      <c r="C363" s="683"/>
      <c r="D363" s="683"/>
      <c r="E363" s="683"/>
      <c r="F363" s="683"/>
      <c r="G363" s="683"/>
      <c r="H363" s="683"/>
      <c r="I363" s="683"/>
      <c r="J363" s="683"/>
      <c r="K363" s="683"/>
      <c r="L363" s="683"/>
      <c r="M363" s="683"/>
      <c r="N363" s="683"/>
    </row>
    <row r="364">
      <c r="A364" s="683"/>
      <c r="B364" s="683"/>
      <c r="C364" s="683"/>
      <c r="D364" s="683"/>
      <c r="E364" s="683"/>
      <c r="F364" s="683"/>
      <c r="G364" s="683"/>
      <c r="H364" s="683"/>
      <c r="I364" s="683"/>
      <c r="J364" s="683"/>
      <c r="K364" s="683"/>
      <c r="L364" s="683"/>
      <c r="M364" s="683"/>
      <c r="N364" s="683"/>
    </row>
    <row r="365">
      <c r="A365" s="683"/>
      <c r="B365" s="683"/>
      <c r="C365" s="683"/>
      <c r="D365" s="683"/>
      <c r="E365" s="683"/>
      <c r="F365" s="683"/>
      <c r="G365" s="683"/>
      <c r="H365" s="683"/>
      <c r="I365" s="683"/>
      <c r="J365" s="683"/>
      <c r="K365" s="683"/>
      <c r="L365" s="683"/>
      <c r="M365" s="683"/>
      <c r="N365" s="683"/>
    </row>
    <row r="366">
      <c r="A366" s="683"/>
      <c r="B366" s="683"/>
      <c r="C366" s="683"/>
      <c r="D366" s="683"/>
      <c r="E366" s="683"/>
      <c r="F366" s="683"/>
      <c r="G366" s="683"/>
      <c r="H366" s="683"/>
      <c r="I366" s="683"/>
      <c r="J366" s="683"/>
      <c r="K366" s="683"/>
      <c r="L366" s="683"/>
      <c r="M366" s="683"/>
      <c r="N366" s="683"/>
    </row>
    <row r="367">
      <c r="A367" s="683"/>
      <c r="B367" s="683"/>
      <c r="C367" s="683"/>
      <c r="D367" s="683"/>
      <c r="E367" s="683"/>
      <c r="F367" s="683"/>
      <c r="G367" s="683"/>
      <c r="H367" s="683"/>
      <c r="I367" s="683"/>
      <c r="J367" s="683"/>
      <c r="K367" s="683"/>
      <c r="L367" s="683"/>
      <c r="M367" s="683"/>
      <c r="N367" s="683"/>
    </row>
    <row r="368">
      <c r="A368" s="683"/>
      <c r="B368" s="683"/>
      <c r="C368" s="683"/>
      <c r="D368" s="683"/>
      <c r="E368" s="683"/>
      <c r="F368" s="683"/>
      <c r="G368" s="683"/>
      <c r="H368" s="683"/>
      <c r="I368" s="683"/>
      <c r="J368" s="683"/>
      <c r="K368" s="683"/>
      <c r="L368" s="683"/>
      <c r="M368" s="683"/>
      <c r="N368" s="683"/>
    </row>
    <row r="369">
      <c r="A369" s="683"/>
      <c r="B369" s="683"/>
      <c r="C369" s="683"/>
      <c r="D369" s="683"/>
      <c r="E369" s="683"/>
      <c r="F369" s="683"/>
      <c r="G369" s="683"/>
      <c r="H369" s="683"/>
      <c r="I369" s="683"/>
      <c r="J369" s="683"/>
      <c r="K369" s="683"/>
      <c r="L369" s="683"/>
      <c r="M369" s="683"/>
      <c r="N369" s="683"/>
    </row>
    <row r="370">
      <c r="A370" s="683"/>
      <c r="B370" s="683"/>
      <c r="C370" s="683"/>
      <c r="D370" s="683"/>
      <c r="E370" s="683"/>
      <c r="F370" s="683"/>
      <c r="G370" s="683"/>
      <c r="H370" s="683"/>
      <c r="I370" s="683"/>
      <c r="J370" s="683"/>
      <c r="K370" s="683"/>
      <c r="L370" s="683"/>
      <c r="M370" s="683"/>
      <c r="N370" s="683"/>
    </row>
    <row r="371">
      <c r="A371" s="683"/>
      <c r="B371" s="683"/>
      <c r="C371" s="683"/>
      <c r="D371" s="683"/>
      <c r="E371" s="683"/>
      <c r="F371" s="683"/>
      <c r="G371" s="683"/>
      <c r="H371" s="683"/>
      <c r="I371" s="683"/>
      <c r="J371" s="683"/>
      <c r="K371" s="683"/>
      <c r="L371" s="683"/>
      <c r="M371" s="683"/>
      <c r="N371" s="683"/>
    </row>
    <row r="372">
      <c r="A372" s="683"/>
      <c r="B372" s="683"/>
      <c r="C372" s="683"/>
      <c r="D372" s="683"/>
      <c r="E372" s="683"/>
      <c r="F372" s="683"/>
      <c r="G372" s="683"/>
      <c r="H372" s="683"/>
      <c r="I372" s="683"/>
      <c r="J372" s="683"/>
      <c r="K372" s="683"/>
      <c r="L372" s="683"/>
      <c r="M372" s="683"/>
      <c r="N372" s="683"/>
    </row>
    <row r="373">
      <c r="A373" s="683"/>
      <c r="B373" s="683"/>
      <c r="C373" s="683"/>
      <c r="D373" s="683"/>
      <c r="E373" s="683"/>
      <c r="F373" s="683"/>
      <c r="G373" s="683"/>
      <c r="H373" s="683"/>
      <c r="I373" s="683"/>
      <c r="J373" s="683"/>
      <c r="K373" s="683"/>
      <c r="L373" s="683"/>
      <c r="M373" s="683"/>
      <c r="N373" s="683"/>
    </row>
    <row r="374">
      <c r="A374" s="683"/>
      <c r="B374" s="683"/>
      <c r="C374" s="683"/>
      <c r="D374" s="683"/>
      <c r="E374" s="683"/>
      <c r="F374" s="683"/>
      <c r="G374" s="683"/>
      <c r="H374" s="683"/>
      <c r="I374" s="683"/>
      <c r="J374" s="683"/>
      <c r="K374" s="683"/>
      <c r="L374" s="683"/>
      <c r="M374" s="683"/>
      <c r="N374" s="683"/>
    </row>
    <row r="375">
      <c r="A375" s="683"/>
      <c r="B375" s="683"/>
      <c r="C375" s="683"/>
      <c r="D375" s="683"/>
      <c r="E375" s="683"/>
      <c r="F375" s="683"/>
      <c r="G375" s="683"/>
      <c r="H375" s="683"/>
      <c r="I375" s="683"/>
      <c r="J375" s="683"/>
      <c r="K375" s="683"/>
      <c r="L375" s="683"/>
      <c r="M375" s="683"/>
      <c r="N375" s="683"/>
    </row>
    <row r="376">
      <c r="A376" s="683"/>
      <c r="B376" s="683"/>
      <c r="C376" s="683"/>
      <c r="D376" s="683"/>
      <c r="E376" s="683"/>
      <c r="F376" s="683"/>
      <c r="G376" s="683"/>
      <c r="H376" s="683"/>
      <c r="I376" s="683"/>
      <c r="J376" s="683"/>
      <c r="K376" s="683"/>
      <c r="L376" s="683"/>
      <c r="M376" s="683"/>
      <c r="N376" s="683"/>
    </row>
    <row r="377">
      <c r="A377" s="683"/>
      <c r="B377" s="683"/>
      <c r="C377" s="683"/>
      <c r="D377" s="683"/>
      <c r="E377" s="683"/>
      <c r="F377" s="683"/>
      <c r="G377" s="683"/>
      <c r="H377" s="683"/>
      <c r="I377" s="683"/>
      <c r="J377" s="683"/>
      <c r="K377" s="683"/>
      <c r="L377" s="683"/>
      <c r="M377" s="683"/>
      <c r="N377" s="683"/>
    </row>
    <row r="378">
      <c r="A378" s="683"/>
      <c r="B378" s="683"/>
      <c r="C378" s="683"/>
      <c r="D378" s="683"/>
      <c r="E378" s="683"/>
      <c r="F378" s="683"/>
      <c r="G378" s="683"/>
      <c r="H378" s="683"/>
      <c r="I378" s="683"/>
      <c r="J378" s="683"/>
      <c r="K378" s="683"/>
      <c r="L378" s="683"/>
      <c r="M378" s="683"/>
      <c r="N378" s="683"/>
    </row>
    <row r="379">
      <c r="A379" s="683"/>
      <c r="B379" s="683"/>
      <c r="C379" s="683"/>
      <c r="D379" s="683"/>
      <c r="E379" s="683"/>
      <c r="F379" s="683"/>
      <c r="G379" s="683"/>
      <c r="H379" s="683"/>
      <c r="I379" s="683"/>
      <c r="J379" s="683"/>
      <c r="K379" s="683"/>
      <c r="L379" s="683"/>
      <c r="M379" s="683"/>
      <c r="N379" s="683"/>
    </row>
    <row r="380">
      <c r="A380" s="683"/>
      <c r="B380" s="683"/>
      <c r="C380" s="683"/>
      <c r="D380" s="683"/>
      <c r="E380" s="683"/>
      <c r="F380" s="683"/>
      <c r="G380" s="683"/>
      <c r="H380" s="683"/>
      <c r="I380" s="683"/>
      <c r="J380" s="683"/>
      <c r="K380" s="683"/>
      <c r="L380" s="683"/>
      <c r="M380" s="683"/>
      <c r="N380" s="683"/>
    </row>
    <row r="381">
      <c r="A381" s="683"/>
      <c r="B381" s="683"/>
      <c r="C381" s="683"/>
      <c r="D381" s="683"/>
      <c r="E381" s="683"/>
      <c r="F381" s="683"/>
      <c r="G381" s="683"/>
      <c r="H381" s="683"/>
      <c r="I381" s="683"/>
      <c r="J381" s="683"/>
      <c r="K381" s="683"/>
      <c r="L381" s="683"/>
      <c r="M381" s="683"/>
      <c r="N381" s="683"/>
    </row>
    <row r="382">
      <c r="A382" s="683"/>
      <c r="B382" s="683"/>
      <c r="C382" s="683"/>
      <c r="D382" s="683"/>
      <c r="E382" s="683"/>
      <c r="F382" s="683"/>
      <c r="G382" s="683"/>
      <c r="H382" s="683"/>
      <c r="I382" s="683"/>
      <c r="J382" s="683"/>
      <c r="K382" s="683"/>
      <c r="L382" s="683"/>
      <c r="M382" s="683"/>
      <c r="N382" s="683"/>
    </row>
    <row r="383">
      <c r="A383" s="683"/>
      <c r="B383" s="683"/>
      <c r="C383" s="683"/>
      <c r="D383" s="683"/>
      <c r="E383" s="683"/>
      <c r="F383" s="683"/>
      <c r="G383" s="683"/>
      <c r="H383" s="683"/>
      <c r="I383" s="683"/>
      <c r="J383" s="683"/>
      <c r="K383" s="683"/>
      <c r="L383" s="683"/>
      <c r="M383" s="683"/>
      <c r="N383" s="683"/>
    </row>
    <row r="384">
      <c r="A384" s="683"/>
      <c r="B384" s="683"/>
      <c r="C384" s="683"/>
      <c r="D384" s="683"/>
      <c r="E384" s="683"/>
      <c r="F384" s="683"/>
      <c r="G384" s="683"/>
      <c r="H384" s="683"/>
      <c r="I384" s="683"/>
      <c r="J384" s="683"/>
      <c r="K384" s="683"/>
      <c r="L384" s="683"/>
      <c r="M384" s="683"/>
      <c r="N384" s="683"/>
    </row>
    <row r="385">
      <c r="A385" s="683"/>
      <c r="B385" s="683"/>
      <c r="C385" s="683"/>
      <c r="D385" s="683"/>
      <c r="E385" s="683"/>
      <c r="F385" s="683"/>
      <c r="G385" s="683"/>
      <c r="H385" s="683"/>
      <c r="I385" s="683"/>
      <c r="J385" s="683"/>
      <c r="K385" s="683"/>
      <c r="L385" s="683"/>
      <c r="M385" s="683"/>
      <c r="N385" s="683"/>
    </row>
    <row r="386">
      <c r="A386" s="683"/>
      <c r="B386" s="683"/>
      <c r="C386" s="683"/>
      <c r="D386" s="683"/>
      <c r="E386" s="683"/>
      <c r="F386" s="683"/>
      <c r="G386" s="683"/>
      <c r="H386" s="683"/>
      <c r="I386" s="683"/>
      <c r="J386" s="683"/>
      <c r="K386" s="683"/>
      <c r="L386" s="683"/>
      <c r="M386" s="683"/>
      <c r="N386" s="683"/>
    </row>
    <row r="387">
      <c r="A387" s="683"/>
      <c r="B387" s="683"/>
      <c r="C387" s="683"/>
      <c r="D387" s="683"/>
      <c r="E387" s="683"/>
      <c r="F387" s="683"/>
      <c r="G387" s="683"/>
      <c r="H387" s="683"/>
      <c r="I387" s="683"/>
      <c r="J387" s="683"/>
      <c r="K387" s="683"/>
      <c r="L387" s="683"/>
      <c r="M387" s="683"/>
      <c r="N387" s="683"/>
    </row>
    <row r="388">
      <c r="A388" s="683"/>
      <c r="B388" s="683"/>
      <c r="C388" s="683"/>
      <c r="D388" s="683"/>
      <c r="E388" s="683"/>
      <c r="F388" s="683"/>
      <c r="G388" s="683"/>
      <c r="H388" s="683"/>
      <c r="I388" s="683"/>
      <c r="J388" s="683"/>
      <c r="K388" s="683"/>
      <c r="L388" s="683"/>
      <c r="M388" s="683"/>
      <c r="N388" s="683"/>
    </row>
    <row r="389">
      <c r="A389" s="683"/>
      <c r="B389" s="683"/>
      <c r="C389" s="683"/>
      <c r="D389" s="683"/>
      <c r="E389" s="683"/>
      <c r="F389" s="683"/>
      <c r="G389" s="683"/>
      <c r="H389" s="683"/>
      <c r="I389" s="683"/>
      <c r="J389" s="683"/>
      <c r="K389" s="683"/>
      <c r="L389" s="683"/>
      <c r="M389" s="683"/>
      <c r="N389" s="683"/>
    </row>
    <row r="390">
      <c r="A390" s="683"/>
      <c r="B390" s="683"/>
      <c r="C390" s="683"/>
      <c r="D390" s="683"/>
      <c r="E390" s="683"/>
      <c r="F390" s="683"/>
      <c r="G390" s="683"/>
      <c r="H390" s="683"/>
      <c r="I390" s="683"/>
      <c r="J390" s="683"/>
      <c r="K390" s="683"/>
      <c r="L390" s="683"/>
      <c r="M390" s="683"/>
      <c r="N390" s="683"/>
    </row>
    <row r="391">
      <c r="A391" s="683"/>
      <c r="B391" s="683"/>
      <c r="C391" s="683"/>
      <c r="D391" s="683"/>
      <c r="E391" s="683"/>
      <c r="F391" s="683"/>
      <c r="G391" s="683"/>
      <c r="H391" s="683"/>
      <c r="I391" s="683"/>
      <c r="J391" s="683"/>
      <c r="K391" s="683"/>
      <c r="L391" s="683"/>
      <c r="M391" s="683"/>
      <c r="N391" s="683"/>
    </row>
    <row r="392">
      <c r="A392" s="683"/>
      <c r="B392" s="683"/>
      <c r="C392" s="683"/>
      <c r="D392" s="683"/>
      <c r="E392" s="683"/>
      <c r="F392" s="683"/>
      <c r="G392" s="683"/>
      <c r="H392" s="683"/>
      <c r="I392" s="683"/>
      <c r="J392" s="683"/>
      <c r="K392" s="683"/>
      <c r="L392" s="683"/>
      <c r="M392" s="683"/>
      <c r="N392" s="683"/>
    </row>
    <row r="393">
      <c r="A393" s="683"/>
      <c r="B393" s="683"/>
      <c r="C393" s="683"/>
      <c r="D393" s="683"/>
      <c r="E393" s="683"/>
      <c r="F393" s="683"/>
      <c r="G393" s="683"/>
      <c r="H393" s="683"/>
      <c r="I393" s="683"/>
      <c r="J393" s="683"/>
      <c r="K393" s="683"/>
      <c r="L393" s="683"/>
      <c r="M393" s="683"/>
      <c r="N393" s="683"/>
    </row>
    <row r="394">
      <c r="A394" s="683"/>
      <c r="B394" s="683"/>
      <c r="C394" s="683"/>
      <c r="D394" s="683"/>
      <c r="E394" s="683"/>
      <c r="F394" s="683"/>
      <c r="G394" s="683"/>
      <c r="H394" s="683"/>
      <c r="I394" s="683"/>
      <c r="J394" s="683"/>
      <c r="K394" s="683"/>
      <c r="L394" s="683"/>
      <c r="M394" s="683"/>
      <c r="N394" s="683"/>
    </row>
    <row r="395">
      <c r="A395" s="683"/>
      <c r="B395" s="683"/>
      <c r="C395" s="683"/>
      <c r="D395" s="683"/>
      <c r="E395" s="683"/>
      <c r="F395" s="683"/>
      <c r="G395" s="683"/>
      <c r="H395" s="683"/>
      <c r="I395" s="683"/>
      <c r="J395" s="683"/>
      <c r="K395" s="683"/>
      <c r="L395" s="683"/>
      <c r="M395" s="683"/>
      <c r="N395" s="683"/>
    </row>
    <row r="396">
      <c r="A396" s="683"/>
      <c r="B396" s="683"/>
      <c r="C396" s="683"/>
      <c r="D396" s="683"/>
      <c r="E396" s="683"/>
      <c r="F396" s="683"/>
      <c r="G396" s="683"/>
      <c r="H396" s="683"/>
      <c r="I396" s="683"/>
      <c r="J396" s="683"/>
      <c r="K396" s="683"/>
      <c r="L396" s="683"/>
      <c r="M396" s="683"/>
      <c r="N396" s="683"/>
    </row>
    <row r="397">
      <c r="A397" s="683"/>
      <c r="B397" s="683"/>
      <c r="C397" s="683"/>
      <c r="D397" s="683"/>
      <c r="E397" s="683"/>
      <c r="F397" s="683"/>
      <c r="G397" s="683"/>
      <c r="H397" s="683"/>
      <c r="I397" s="683"/>
      <c r="J397" s="683"/>
      <c r="K397" s="683"/>
      <c r="L397" s="683"/>
      <c r="M397" s="683"/>
      <c r="N397" s="683"/>
    </row>
    <row r="398">
      <c r="A398" s="683"/>
      <c r="B398" s="683"/>
      <c r="C398" s="683"/>
      <c r="D398" s="683"/>
      <c r="E398" s="683"/>
      <c r="F398" s="683"/>
      <c r="G398" s="683"/>
      <c r="H398" s="683"/>
      <c r="I398" s="683"/>
      <c r="J398" s="683"/>
      <c r="K398" s="683"/>
      <c r="L398" s="683"/>
      <c r="M398" s="683"/>
      <c r="N398" s="683"/>
    </row>
    <row r="399">
      <c r="A399" s="683"/>
      <c r="B399" s="683"/>
      <c r="C399" s="683"/>
      <c r="D399" s="683"/>
      <c r="E399" s="683"/>
      <c r="F399" s="683"/>
      <c r="G399" s="683"/>
      <c r="H399" s="683"/>
      <c r="I399" s="683"/>
      <c r="J399" s="683"/>
      <c r="K399" s="683"/>
      <c r="L399" s="683"/>
      <c r="M399" s="683"/>
      <c r="N399" s="683"/>
    </row>
    <row r="400">
      <c r="A400" s="683"/>
      <c r="B400" s="683"/>
      <c r="C400" s="683"/>
      <c r="D400" s="683"/>
      <c r="E400" s="683"/>
      <c r="F400" s="683"/>
      <c r="G400" s="683"/>
      <c r="H400" s="683"/>
      <c r="I400" s="683"/>
      <c r="J400" s="683"/>
      <c r="K400" s="683"/>
      <c r="L400" s="683"/>
      <c r="M400" s="683"/>
      <c r="N400" s="683"/>
    </row>
    <row r="401">
      <c r="A401" s="683"/>
      <c r="B401" s="683"/>
      <c r="C401" s="683"/>
      <c r="D401" s="683"/>
      <c r="E401" s="683"/>
      <c r="F401" s="683"/>
      <c r="G401" s="683"/>
      <c r="H401" s="683"/>
      <c r="I401" s="683"/>
      <c r="J401" s="683"/>
      <c r="K401" s="683"/>
      <c r="L401" s="683"/>
      <c r="M401" s="683"/>
      <c r="N401" s="683"/>
    </row>
    <row r="402">
      <c r="A402" s="683"/>
      <c r="B402" s="683"/>
      <c r="C402" s="683"/>
      <c r="D402" s="683"/>
      <c r="E402" s="683"/>
      <c r="F402" s="683"/>
      <c r="G402" s="683"/>
      <c r="H402" s="683"/>
      <c r="I402" s="683"/>
      <c r="J402" s="683"/>
      <c r="K402" s="683"/>
      <c r="L402" s="683"/>
      <c r="M402" s="683"/>
      <c r="N402" s="683"/>
    </row>
    <row r="403">
      <c r="A403" s="683"/>
      <c r="B403" s="683"/>
      <c r="C403" s="683"/>
      <c r="D403" s="683"/>
      <c r="E403" s="683"/>
      <c r="F403" s="683"/>
      <c r="G403" s="683"/>
      <c r="H403" s="683"/>
      <c r="I403" s="683"/>
      <c r="J403" s="683"/>
      <c r="K403" s="683"/>
      <c r="L403" s="683"/>
      <c r="M403" s="683"/>
      <c r="N403" s="683"/>
    </row>
    <row r="404">
      <c r="A404" s="683"/>
      <c r="B404" s="683"/>
      <c r="C404" s="683"/>
      <c r="D404" s="683"/>
      <c r="E404" s="683"/>
      <c r="F404" s="683"/>
      <c r="G404" s="683"/>
      <c r="H404" s="683"/>
      <c r="I404" s="683"/>
      <c r="J404" s="683"/>
      <c r="K404" s="683"/>
      <c r="L404" s="683"/>
      <c r="M404" s="683"/>
      <c r="N404" s="683"/>
    </row>
    <row r="405">
      <c r="A405" s="683"/>
      <c r="B405" s="683"/>
      <c r="C405" s="683"/>
      <c r="D405" s="683"/>
      <c r="E405" s="683"/>
      <c r="F405" s="683"/>
      <c r="G405" s="683"/>
      <c r="H405" s="683"/>
      <c r="I405" s="683"/>
      <c r="J405" s="683"/>
      <c r="K405" s="683"/>
      <c r="L405" s="683"/>
      <c r="M405" s="683"/>
      <c r="N405" s="683"/>
    </row>
    <row r="406">
      <c r="A406" s="683"/>
      <c r="B406" s="683"/>
      <c r="C406" s="683"/>
      <c r="D406" s="683"/>
      <c r="E406" s="683"/>
      <c r="F406" s="683"/>
      <c r="G406" s="683"/>
      <c r="H406" s="683"/>
      <c r="I406" s="683"/>
      <c r="J406" s="683"/>
      <c r="K406" s="683"/>
      <c r="L406" s="683"/>
      <c r="M406" s="683"/>
      <c r="N406" s="683"/>
    </row>
    <row r="407">
      <c r="A407" s="683"/>
      <c r="B407" s="683"/>
      <c r="C407" s="683"/>
      <c r="D407" s="683"/>
      <c r="E407" s="683"/>
      <c r="F407" s="683"/>
      <c r="G407" s="683"/>
      <c r="H407" s="683"/>
      <c r="I407" s="683"/>
      <c r="J407" s="683"/>
      <c r="K407" s="683"/>
      <c r="L407" s="683"/>
      <c r="M407" s="683"/>
      <c r="N407" s="683"/>
    </row>
    <row r="408">
      <c r="A408" s="683"/>
      <c r="B408" s="683"/>
      <c r="C408" s="683"/>
      <c r="D408" s="683"/>
      <c r="E408" s="683"/>
      <c r="F408" s="683"/>
      <c r="G408" s="683"/>
      <c r="H408" s="683"/>
      <c r="I408" s="683"/>
      <c r="J408" s="683"/>
      <c r="K408" s="683"/>
      <c r="L408" s="683"/>
      <c r="M408" s="683"/>
      <c r="N408" s="683"/>
    </row>
    <row r="409">
      <c r="A409" s="683"/>
      <c r="B409" s="683"/>
      <c r="C409" s="683"/>
      <c r="D409" s="683"/>
      <c r="E409" s="683"/>
      <c r="F409" s="683"/>
      <c r="G409" s="683"/>
      <c r="H409" s="683"/>
      <c r="I409" s="683"/>
      <c r="J409" s="683"/>
      <c r="K409" s="683"/>
      <c r="L409" s="683"/>
      <c r="M409" s="683"/>
      <c r="N409" s="683"/>
    </row>
    <row r="410">
      <c r="A410" s="683"/>
      <c r="B410" s="683"/>
      <c r="C410" s="683"/>
      <c r="D410" s="683"/>
      <c r="E410" s="683"/>
      <c r="F410" s="683"/>
      <c r="G410" s="683"/>
      <c r="H410" s="683"/>
      <c r="I410" s="683"/>
      <c r="J410" s="683"/>
      <c r="K410" s="683"/>
      <c r="L410" s="683"/>
      <c r="M410" s="683"/>
      <c r="N410" s="683"/>
    </row>
    <row r="411">
      <c r="A411" s="683"/>
      <c r="B411" s="683"/>
      <c r="C411" s="683"/>
      <c r="D411" s="683"/>
      <c r="E411" s="683"/>
      <c r="F411" s="683"/>
      <c r="G411" s="683"/>
      <c r="H411" s="683"/>
      <c r="I411" s="683"/>
      <c r="J411" s="683"/>
      <c r="K411" s="683"/>
      <c r="L411" s="683"/>
      <c r="M411" s="683"/>
      <c r="N411" s="683"/>
    </row>
    <row r="412">
      <c r="A412" s="683"/>
      <c r="B412" s="683"/>
      <c r="C412" s="683"/>
      <c r="D412" s="683"/>
      <c r="E412" s="683"/>
      <c r="F412" s="683"/>
      <c r="G412" s="683"/>
      <c r="H412" s="683"/>
      <c r="I412" s="683"/>
      <c r="J412" s="683"/>
      <c r="K412" s="683"/>
      <c r="L412" s="683"/>
      <c r="M412" s="683"/>
      <c r="N412" s="683"/>
    </row>
    <row r="413">
      <c r="A413" s="683"/>
      <c r="B413" s="683"/>
      <c r="C413" s="683"/>
      <c r="D413" s="683"/>
      <c r="E413" s="683"/>
      <c r="F413" s="683"/>
      <c r="G413" s="683"/>
      <c r="H413" s="683"/>
      <c r="I413" s="683"/>
      <c r="J413" s="683"/>
      <c r="K413" s="683"/>
      <c r="L413" s="683"/>
      <c r="M413" s="683"/>
      <c r="N413" s="683"/>
    </row>
    <row r="414">
      <c r="A414" s="683"/>
      <c r="B414" s="683"/>
      <c r="C414" s="683"/>
      <c r="D414" s="683"/>
      <c r="E414" s="683"/>
      <c r="F414" s="683"/>
      <c r="G414" s="683"/>
      <c r="H414" s="683"/>
      <c r="I414" s="683"/>
      <c r="J414" s="683"/>
      <c r="K414" s="683"/>
      <c r="L414" s="683"/>
      <c r="M414" s="683"/>
      <c r="N414" s="683"/>
    </row>
    <row r="415">
      <c r="A415" s="683"/>
      <c r="B415" s="683"/>
      <c r="C415" s="683"/>
      <c r="D415" s="683"/>
      <c r="E415" s="683"/>
      <c r="F415" s="683"/>
      <c r="G415" s="683"/>
      <c r="H415" s="683"/>
      <c r="I415" s="683"/>
      <c r="J415" s="683"/>
      <c r="K415" s="683"/>
      <c r="L415" s="683"/>
      <c r="M415" s="683"/>
      <c r="N415" s="683"/>
    </row>
    <row r="416">
      <c r="A416" s="683"/>
      <c r="B416" s="683"/>
      <c r="C416" s="683"/>
      <c r="D416" s="683"/>
      <c r="E416" s="683"/>
      <c r="F416" s="683"/>
      <c r="G416" s="683"/>
      <c r="H416" s="683"/>
      <c r="I416" s="683"/>
      <c r="J416" s="683"/>
      <c r="K416" s="683"/>
      <c r="L416" s="683"/>
      <c r="M416" s="683"/>
      <c r="N416" s="683"/>
    </row>
    <row r="417">
      <c r="A417" s="683"/>
      <c r="B417" s="683"/>
      <c r="C417" s="683"/>
      <c r="D417" s="683"/>
      <c r="E417" s="683"/>
      <c r="F417" s="683"/>
      <c r="G417" s="683"/>
      <c r="H417" s="683"/>
      <c r="I417" s="683"/>
      <c r="J417" s="683"/>
      <c r="K417" s="683"/>
      <c r="L417" s="683"/>
      <c r="M417" s="683"/>
      <c r="N417" s="683"/>
    </row>
    <row r="418">
      <c r="A418" s="683"/>
      <c r="B418" s="683"/>
      <c r="C418" s="683"/>
      <c r="D418" s="683"/>
      <c r="E418" s="683"/>
      <c r="F418" s="683"/>
      <c r="G418" s="683"/>
      <c r="H418" s="683"/>
      <c r="I418" s="683"/>
      <c r="J418" s="683"/>
      <c r="K418" s="683"/>
      <c r="L418" s="683"/>
      <c r="M418" s="683"/>
      <c r="N418" s="683"/>
    </row>
    <row r="419">
      <c r="A419" s="683"/>
      <c r="B419" s="683"/>
      <c r="C419" s="683"/>
      <c r="D419" s="683"/>
      <c r="E419" s="683"/>
      <c r="F419" s="683"/>
      <c r="G419" s="683"/>
      <c r="H419" s="683"/>
      <c r="I419" s="683"/>
      <c r="J419" s="683"/>
      <c r="K419" s="683"/>
      <c r="L419" s="683"/>
      <c r="M419" s="683"/>
      <c r="N419" s="683"/>
    </row>
    <row r="420">
      <c r="A420" s="683"/>
      <c r="B420" s="683"/>
      <c r="C420" s="683"/>
      <c r="D420" s="683"/>
      <c r="E420" s="683"/>
      <c r="F420" s="683"/>
      <c r="G420" s="683"/>
      <c r="H420" s="683"/>
      <c r="I420" s="683"/>
      <c r="J420" s="683"/>
      <c r="K420" s="683"/>
      <c r="L420" s="683"/>
      <c r="M420" s="683"/>
      <c r="N420" s="683"/>
    </row>
    <row r="421">
      <c r="A421" s="683"/>
      <c r="B421" s="683"/>
      <c r="C421" s="683"/>
      <c r="D421" s="683"/>
      <c r="E421" s="683"/>
      <c r="F421" s="683"/>
      <c r="G421" s="683"/>
      <c r="H421" s="683"/>
      <c r="I421" s="683"/>
      <c r="J421" s="683"/>
      <c r="K421" s="683"/>
      <c r="L421" s="683"/>
      <c r="M421" s="683"/>
      <c r="N421" s="683"/>
    </row>
    <row r="422">
      <c r="A422" s="683"/>
      <c r="B422" s="683"/>
      <c r="C422" s="683"/>
      <c r="D422" s="683"/>
      <c r="E422" s="683"/>
      <c r="F422" s="683"/>
      <c r="G422" s="683"/>
      <c r="H422" s="683"/>
      <c r="I422" s="683"/>
      <c r="J422" s="683"/>
      <c r="K422" s="683"/>
      <c r="L422" s="683"/>
      <c r="M422" s="683"/>
      <c r="N422" s="683"/>
    </row>
    <row r="423">
      <c r="A423" s="683"/>
      <c r="B423" s="683"/>
      <c r="C423" s="683"/>
      <c r="D423" s="683"/>
      <c r="E423" s="683"/>
      <c r="F423" s="683"/>
      <c r="G423" s="683"/>
      <c r="H423" s="683"/>
      <c r="I423" s="683"/>
      <c r="J423" s="683"/>
      <c r="K423" s="683"/>
      <c r="L423" s="683"/>
      <c r="M423" s="683"/>
      <c r="N423" s="683"/>
    </row>
    <row r="424">
      <c r="A424" s="683"/>
      <c r="B424" s="683"/>
      <c r="C424" s="683"/>
      <c r="D424" s="683"/>
      <c r="E424" s="683"/>
      <c r="F424" s="683"/>
      <c r="G424" s="683"/>
      <c r="H424" s="683"/>
      <c r="I424" s="683"/>
      <c r="J424" s="683"/>
      <c r="K424" s="683"/>
      <c r="L424" s="683"/>
      <c r="M424" s="683"/>
      <c r="N424" s="683"/>
    </row>
    <row r="425">
      <c r="A425" s="683"/>
      <c r="B425" s="683"/>
      <c r="C425" s="683"/>
      <c r="D425" s="683"/>
      <c r="E425" s="683"/>
      <c r="F425" s="683"/>
      <c r="G425" s="683"/>
      <c r="H425" s="683"/>
      <c r="I425" s="683"/>
      <c r="J425" s="683"/>
      <c r="K425" s="683"/>
      <c r="L425" s="683"/>
      <c r="M425" s="683"/>
      <c r="N425" s="683"/>
    </row>
    <row r="426">
      <c r="A426" s="683"/>
      <c r="B426" s="683"/>
      <c r="C426" s="683"/>
      <c r="D426" s="683"/>
      <c r="E426" s="683"/>
      <c r="F426" s="683"/>
      <c r="G426" s="683"/>
      <c r="H426" s="683"/>
      <c r="I426" s="683"/>
      <c r="J426" s="683"/>
      <c r="K426" s="683"/>
      <c r="L426" s="683"/>
      <c r="M426" s="683"/>
      <c r="N426" s="683"/>
    </row>
    <row r="427">
      <c r="A427" s="683"/>
      <c r="B427" s="683"/>
      <c r="C427" s="683"/>
      <c r="D427" s="683"/>
      <c r="E427" s="683"/>
      <c r="F427" s="683"/>
      <c r="G427" s="683"/>
      <c r="H427" s="683"/>
      <c r="I427" s="683"/>
      <c r="J427" s="683"/>
      <c r="K427" s="683"/>
      <c r="L427" s="683"/>
      <c r="M427" s="683"/>
      <c r="N427" s="683"/>
    </row>
    <row r="428">
      <c r="A428" s="683"/>
      <c r="B428" s="683"/>
      <c r="C428" s="683"/>
      <c r="D428" s="683"/>
      <c r="E428" s="683"/>
      <c r="F428" s="683"/>
      <c r="G428" s="683"/>
      <c r="H428" s="683"/>
      <c r="I428" s="683"/>
      <c r="J428" s="683"/>
      <c r="K428" s="683"/>
      <c r="L428" s="683"/>
      <c r="M428" s="683"/>
      <c r="N428" s="683"/>
    </row>
    <row r="429">
      <c r="A429" s="683"/>
      <c r="B429" s="683"/>
      <c r="C429" s="683"/>
      <c r="D429" s="683"/>
      <c r="E429" s="683"/>
      <c r="F429" s="683"/>
      <c r="G429" s="683"/>
      <c r="H429" s="683"/>
      <c r="I429" s="683"/>
      <c r="J429" s="683"/>
      <c r="K429" s="683"/>
      <c r="L429" s="683"/>
      <c r="M429" s="683"/>
      <c r="N429" s="683"/>
    </row>
    <row r="430">
      <c r="A430" s="683"/>
      <c r="B430" s="683"/>
      <c r="C430" s="683"/>
      <c r="D430" s="683"/>
      <c r="E430" s="683"/>
      <c r="F430" s="683"/>
      <c r="G430" s="683"/>
      <c r="H430" s="683"/>
      <c r="I430" s="683"/>
      <c r="J430" s="683"/>
      <c r="K430" s="683"/>
      <c r="L430" s="683"/>
      <c r="M430" s="683"/>
      <c r="N430" s="683"/>
    </row>
    <row r="431">
      <c r="A431" s="683"/>
      <c r="B431" s="683"/>
      <c r="C431" s="683"/>
      <c r="D431" s="683"/>
      <c r="E431" s="683"/>
      <c r="F431" s="683"/>
      <c r="G431" s="683"/>
      <c r="H431" s="683"/>
      <c r="I431" s="683"/>
      <c r="J431" s="683"/>
      <c r="K431" s="683"/>
      <c r="L431" s="683"/>
      <c r="M431" s="683"/>
      <c r="N431" s="683"/>
    </row>
    <row r="432">
      <c r="A432" s="683"/>
      <c r="B432" s="683"/>
      <c r="C432" s="683"/>
      <c r="D432" s="683"/>
      <c r="E432" s="683"/>
      <c r="F432" s="683"/>
      <c r="G432" s="683"/>
      <c r="H432" s="683"/>
      <c r="I432" s="683"/>
      <c r="J432" s="683"/>
      <c r="K432" s="683"/>
      <c r="L432" s="683"/>
      <c r="M432" s="683"/>
      <c r="N432" s="683"/>
    </row>
    <row r="433">
      <c r="A433" s="683"/>
      <c r="B433" s="683"/>
      <c r="C433" s="683"/>
      <c r="D433" s="683"/>
      <c r="E433" s="683"/>
      <c r="F433" s="683"/>
      <c r="G433" s="683"/>
      <c r="H433" s="683"/>
      <c r="I433" s="683"/>
      <c r="J433" s="683"/>
      <c r="K433" s="683"/>
      <c r="L433" s="683"/>
      <c r="M433" s="683"/>
      <c r="N433" s="683"/>
    </row>
    <row r="434">
      <c r="A434" s="683"/>
      <c r="B434" s="683"/>
      <c r="C434" s="683"/>
      <c r="D434" s="683"/>
      <c r="E434" s="683"/>
      <c r="F434" s="683"/>
      <c r="G434" s="683"/>
      <c r="H434" s="683"/>
      <c r="I434" s="683"/>
      <c r="J434" s="683"/>
      <c r="K434" s="683"/>
      <c r="L434" s="683"/>
      <c r="M434" s="683"/>
      <c r="N434" s="683"/>
    </row>
    <row r="435">
      <c r="A435" s="683"/>
      <c r="B435" s="683"/>
      <c r="C435" s="683"/>
      <c r="D435" s="683"/>
      <c r="E435" s="683"/>
      <c r="F435" s="683"/>
      <c r="G435" s="683"/>
      <c r="H435" s="683"/>
      <c r="I435" s="683"/>
      <c r="J435" s="683"/>
      <c r="K435" s="683"/>
      <c r="L435" s="683"/>
      <c r="M435" s="683"/>
      <c r="N435" s="683"/>
    </row>
    <row r="436">
      <c r="A436" s="683"/>
      <c r="B436" s="683"/>
      <c r="C436" s="683"/>
      <c r="D436" s="683"/>
      <c r="E436" s="683"/>
      <c r="F436" s="683"/>
      <c r="G436" s="683"/>
      <c r="H436" s="683"/>
      <c r="I436" s="683"/>
      <c r="J436" s="683"/>
      <c r="K436" s="683"/>
      <c r="L436" s="683"/>
      <c r="M436" s="683"/>
      <c r="N436" s="683"/>
    </row>
    <row r="437">
      <c r="A437" s="683"/>
      <c r="B437" s="683"/>
      <c r="C437" s="683"/>
      <c r="D437" s="683"/>
      <c r="E437" s="683"/>
      <c r="F437" s="683"/>
      <c r="G437" s="683"/>
      <c r="H437" s="683"/>
      <c r="I437" s="683"/>
      <c r="J437" s="683"/>
      <c r="K437" s="683"/>
      <c r="L437" s="683"/>
      <c r="M437" s="683"/>
      <c r="N437" s="683"/>
    </row>
    <row r="438">
      <c r="A438" s="683"/>
      <c r="B438" s="683"/>
      <c r="C438" s="683"/>
      <c r="D438" s="683"/>
      <c r="E438" s="683"/>
      <c r="F438" s="683"/>
      <c r="G438" s="683"/>
      <c r="H438" s="683"/>
      <c r="I438" s="683"/>
      <c r="J438" s="683"/>
      <c r="K438" s="683"/>
      <c r="L438" s="683"/>
      <c r="M438" s="683"/>
      <c r="N438" s="683"/>
    </row>
    <row r="439">
      <c r="A439" s="683"/>
      <c r="B439" s="683"/>
      <c r="C439" s="683"/>
      <c r="D439" s="683"/>
      <c r="E439" s="683"/>
      <c r="F439" s="683"/>
      <c r="G439" s="683"/>
      <c r="H439" s="683"/>
      <c r="I439" s="683"/>
      <c r="J439" s="683"/>
      <c r="K439" s="683"/>
      <c r="L439" s="683"/>
      <c r="M439" s="683"/>
      <c r="N439" s="683"/>
    </row>
    <row r="440">
      <c r="A440" s="683"/>
      <c r="B440" s="683"/>
      <c r="C440" s="683"/>
      <c r="D440" s="683"/>
      <c r="E440" s="683"/>
      <c r="F440" s="683"/>
      <c r="G440" s="683"/>
      <c r="H440" s="683"/>
      <c r="I440" s="683"/>
      <c r="J440" s="683"/>
      <c r="K440" s="683"/>
      <c r="L440" s="683"/>
      <c r="M440" s="683"/>
      <c r="N440" s="683"/>
    </row>
    <row r="441">
      <c r="A441" s="683"/>
      <c r="B441" s="683"/>
      <c r="C441" s="683"/>
      <c r="D441" s="683"/>
      <c r="E441" s="683"/>
      <c r="F441" s="683"/>
      <c r="G441" s="683"/>
      <c r="H441" s="683"/>
      <c r="I441" s="683"/>
      <c r="J441" s="683"/>
      <c r="K441" s="683"/>
      <c r="L441" s="683"/>
      <c r="M441" s="683"/>
      <c r="N441" s="683"/>
    </row>
    <row r="442">
      <c r="A442" s="683"/>
      <c r="B442" s="683"/>
      <c r="C442" s="683"/>
      <c r="D442" s="683"/>
      <c r="E442" s="683"/>
      <c r="F442" s="683"/>
      <c r="G442" s="683"/>
      <c r="H442" s="683"/>
      <c r="I442" s="683"/>
      <c r="J442" s="683"/>
      <c r="K442" s="683"/>
      <c r="L442" s="683"/>
      <c r="M442" s="683"/>
      <c r="N442" s="683"/>
    </row>
    <row r="443">
      <c r="A443" s="683"/>
      <c r="B443" s="683"/>
      <c r="C443" s="683"/>
      <c r="D443" s="683"/>
      <c r="E443" s="683"/>
      <c r="F443" s="683"/>
      <c r="G443" s="683"/>
      <c r="H443" s="683"/>
      <c r="I443" s="683"/>
      <c r="J443" s="683"/>
      <c r="K443" s="683"/>
      <c r="L443" s="683"/>
      <c r="M443" s="683"/>
      <c r="N443" s="683"/>
    </row>
    <row r="444">
      <c r="A444" s="683"/>
      <c r="B444" s="683"/>
      <c r="C444" s="683"/>
      <c r="D444" s="683"/>
      <c r="E444" s="683"/>
      <c r="F444" s="683"/>
      <c r="G444" s="683"/>
      <c r="H444" s="683"/>
      <c r="I444" s="683"/>
      <c r="J444" s="683"/>
      <c r="K444" s="683"/>
      <c r="L444" s="683"/>
      <c r="M444" s="683"/>
      <c r="N444" s="683"/>
    </row>
    <row r="445">
      <c r="A445" s="683"/>
      <c r="B445" s="683"/>
      <c r="C445" s="683"/>
      <c r="D445" s="683"/>
      <c r="E445" s="683"/>
      <c r="F445" s="683"/>
      <c r="G445" s="683"/>
      <c r="H445" s="683"/>
      <c r="I445" s="683"/>
      <c r="J445" s="683"/>
      <c r="K445" s="683"/>
      <c r="L445" s="683"/>
      <c r="M445" s="683"/>
      <c r="N445" s="683"/>
    </row>
    <row r="446">
      <c r="A446" s="683"/>
      <c r="B446" s="683"/>
      <c r="C446" s="683"/>
      <c r="D446" s="683"/>
      <c r="E446" s="683"/>
      <c r="F446" s="683"/>
      <c r="G446" s="683"/>
      <c r="H446" s="683"/>
      <c r="I446" s="683"/>
      <c r="J446" s="683"/>
      <c r="K446" s="683"/>
      <c r="L446" s="683"/>
      <c r="M446" s="683"/>
      <c r="N446" s="683"/>
    </row>
    <row r="447">
      <c r="A447" s="683"/>
      <c r="B447" s="683"/>
      <c r="C447" s="683"/>
      <c r="D447" s="683"/>
      <c r="E447" s="683"/>
      <c r="F447" s="683"/>
      <c r="G447" s="683"/>
      <c r="H447" s="683"/>
      <c r="I447" s="683"/>
      <c r="J447" s="683"/>
      <c r="K447" s="683"/>
      <c r="L447" s="683"/>
      <c r="M447" s="683"/>
      <c r="N447" s="683"/>
    </row>
    <row r="448">
      <c r="A448" s="683"/>
      <c r="B448" s="683"/>
      <c r="C448" s="683"/>
      <c r="D448" s="683"/>
      <c r="E448" s="683"/>
      <c r="F448" s="683"/>
      <c r="G448" s="683"/>
      <c r="H448" s="683"/>
      <c r="I448" s="683"/>
      <c r="J448" s="683"/>
      <c r="K448" s="683"/>
      <c r="L448" s="683"/>
      <c r="M448" s="683"/>
      <c r="N448" s="683"/>
    </row>
    <row r="449">
      <c r="A449" s="683"/>
      <c r="B449" s="683"/>
      <c r="C449" s="683"/>
      <c r="D449" s="683"/>
      <c r="E449" s="683"/>
      <c r="F449" s="683"/>
      <c r="G449" s="683"/>
      <c r="H449" s="683"/>
      <c r="I449" s="683"/>
      <c r="J449" s="683"/>
      <c r="K449" s="683"/>
      <c r="L449" s="683"/>
      <c r="M449" s="683"/>
      <c r="N449" s="683"/>
    </row>
    <row r="450">
      <c r="A450" s="683"/>
      <c r="B450" s="683"/>
      <c r="C450" s="683"/>
      <c r="D450" s="683"/>
      <c r="E450" s="683"/>
      <c r="F450" s="683"/>
      <c r="G450" s="683"/>
      <c r="H450" s="683"/>
      <c r="I450" s="683"/>
      <c r="J450" s="683"/>
      <c r="K450" s="683"/>
      <c r="L450" s="683"/>
      <c r="M450" s="683"/>
      <c r="N450" s="683"/>
    </row>
    <row r="451">
      <c r="A451" s="683"/>
      <c r="B451" s="683"/>
      <c r="C451" s="683"/>
      <c r="D451" s="683"/>
      <c r="E451" s="683"/>
      <c r="F451" s="683"/>
      <c r="G451" s="683"/>
      <c r="H451" s="683"/>
      <c r="I451" s="683"/>
      <c r="J451" s="683"/>
      <c r="K451" s="683"/>
      <c r="L451" s="683"/>
      <c r="M451" s="683"/>
      <c r="N451" s="683"/>
    </row>
    <row r="452">
      <c r="A452" s="683"/>
      <c r="B452" s="683"/>
      <c r="C452" s="683"/>
      <c r="D452" s="683"/>
      <c r="E452" s="683"/>
      <c r="F452" s="683"/>
      <c r="G452" s="683"/>
      <c r="H452" s="683"/>
      <c r="I452" s="683"/>
      <c r="J452" s="683"/>
      <c r="K452" s="683"/>
      <c r="L452" s="683"/>
      <c r="M452" s="683"/>
      <c r="N452" s="683"/>
    </row>
    <row r="453">
      <c r="A453" s="683"/>
      <c r="B453" s="683"/>
      <c r="C453" s="683"/>
      <c r="D453" s="683"/>
      <c r="E453" s="683"/>
      <c r="F453" s="683"/>
      <c r="G453" s="683"/>
      <c r="H453" s="683"/>
      <c r="I453" s="683"/>
      <c r="J453" s="683"/>
      <c r="K453" s="683"/>
      <c r="L453" s="683"/>
      <c r="M453" s="683"/>
      <c r="N453" s="683"/>
    </row>
    <row r="454">
      <c r="A454" s="683"/>
      <c r="B454" s="683"/>
      <c r="C454" s="683"/>
      <c r="D454" s="683"/>
      <c r="E454" s="683"/>
      <c r="F454" s="683"/>
      <c r="G454" s="683"/>
      <c r="H454" s="683"/>
      <c r="I454" s="683"/>
      <c r="J454" s="683"/>
      <c r="K454" s="683"/>
      <c r="L454" s="683"/>
      <c r="M454" s="683"/>
      <c r="N454" s="683"/>
    </row>
    <row r="455">
      <c r="A455" s="683"/>
      <c r="B455" s="683"/>
      <c r="C455" s="683"/>
      <c r="D455" s="683"/>
      <c r="E455" s="683"/>
      <c r="F455" s="683"/>
      <c r="G455" s="683"/>
      <c r="H455" s="683"/>
      <c r="I455" s="683"/>
      <c r="J455" s="683"/>
      <c r="K455" s="683"/>
      <c r="L455" s="683"/>
      <c r="M455" s="683"/>
      <c r="N455" s="683"/>
    </row>
    <row r="456">
      <c r="A456" s="683"/>
      <c r="B456" s="683"/>
      <c r="C456" s="683"/>
      <c r="D456" s="683"/>
      <c r="E456" s="683"/>
      <c r="F456" s="683"/>
      <c r="G456" s="683"/>
      <c r="H456" s="683"/>
      <c r="I456" s="683"/>
      <c r="J456" s="683"/>
      <c r="K456" s="683"/>
      <c r="L456" s="683"/>
      <c r="M456" s="683"/>
      <c r="N456" s="683"/>
    </row>
    <row r="457">
      <c r="A457" s="683"/>
      <c r="B457" s="683"/>
      <c r="C457" s="683"/>
      <c r="D457" s="683"/>
      <c r="E457" s="683"/>
      <c r="F457" s="683"/>
      <c r="G457" s="683"/>
      <c r="H457" s="683"/>
      <c r="I457" s="683"/>
      <c r="J457" s="683"/>
      <c r="K457" s="683"/>
      <c r="L457" s="683"/>
      <c r="M457" s="683"/>
      <c r="N457" s="683"/>
    </row>
    <row r="458">
      <c r="A458" s="683"/>
      <c r="B458" s="683"/>
      <c r="C458" s="683"/>
      <c r="D458" s="683"/>
      <c r="E458" s="683"/>
      <c r="F458" s="683"/>
      <c r="G458" s="683"/>
      <c r="H458" s="683"/>
      <c r="I458" s="683"/>
      <c r="J458" s="683"/>
      <c r="K458" s="683"/>
      <c r="L458" s="683"/>
      <c r="M458" s="683"/>
      <c r="N458" s="683"/>
    </row>
    <row r="459">
      <c r="A459" s="683"/>
      <c r="B459" s="683"/>
      <c r="C459" s="683"/>
      <c r="D459" s="683"/>
      <c r="E459" s="683"/>
      <c r="F459" s="683"/>
      <c r="G459" s="683"/>
      <c r="H459" s="683"/>
      <c r="I459" s="683"/>
      <c r="J459" s="683"/>
      <c r="K459" s="683"/>
      <c r="L459" s="683"/>
      <c r="M459" s="683"/>
      <c r="N459" s="683"/>
    </row>
    <row r="460">
      <c r="A460" s="683"/>
      <c r="B460" s="683"/>
      <c r="C460" s="683"/>
      <c r="D460" s="683"/>
      <c r="E460" s="683"/>
      <c r="F460" s="683"/>
      <c r="G460" s="683"/>
      <c r="H460" s="683"/>
      <c r="I460" s="683"/>
      <c r="J460" s="683"/>
      <c r="K460" s="683"/>
      <c r="L460" s="683"/>
      <c r="M460" s="683"/>
      <c r="N460" s="683"/>
    </row>
    <row r="461">
      <c r="A461" s="683"/>
      <c r="B461" s="683"/>
      <c r="C461" s="683"/>
      <c r="D461" s="683"/>
      <c r="E461" s="683"/>
      <c r="F461" s="683"/>
      <c r="G461" s="683"/>
      <c r="H461" s="683"/>
      <c r="I461" s="683"/>
      <c r="J461" s="683"/>
      <c r="K461" s="683"/>
      <c r="L461" s="683"/>
      <c r="M461" s="683"/>
      <c r="N461" s="683"/>
    </row>
    <row r="462">
      <c r="A462" s="683"/>
      <c r="B462" s="683"/>
      <c r="C462" s="683"/>
      <c r="D462" s="683"/>
      <c r="E462" s="683"/>
      <c r="F462" s="683"/>
      <c r="G462" s="683"/>
      <c r="H462" s="683"/>
      <c r="I462" s="683"/>
      <c r="J462" s="683"/>
      <c r="K462" s="683"/>
      <c r="L462" s="683"/>
      <c r="M462" s="683"/>
      <c r="N462" s="683"/>
    </row>
    <row r="463">
      <c r="A463" s="683"/>
      <c r="B463" s="683"/>
      <c r="C463" s="683"/>
      <c r="D463" s="683"/>
      <c r="E463" s="683"/>
      <c r="F463" s="683"/>
      <c r="G463" s="683"/>
      <c r="H463" s="683"/>
      <c r="I463" s="683"/>
      <c r="J463" s="683"/>
      <c r="K463" s="683"/>
      <c r="L463" s="683"/>
      <c r="M463" s="683"/>
      <c r="N463" s="683"/>
    </row>
    <row r="464">
      <c r="A464" s="683"/>
      <c r="B464" s="683"/>
      <c r="C464" s="683"/>
      <c r="D464" s="683"/>
      <c r="E464" s="683"/>
      <c r="F464" s="683"/>
      <c r="G464" s="683"/>
      <c r="H464" s="683"/>
      <c r="I464" s="683"/>
      <c r="J464" s="683"/>
      <c r="K464" s="683"/>
      <c r="L464" s="683"/>
      <c r="M464" s="683"/>
      <c r="N464" s="683"/>
    </row>
    <row r="465">
      <c r="A465" s="683"/>
      <c r="B465" s="683"/>
      <c r="C465" s="683"/>
      <c r="D465" s="683"/>
      <c r="E465" s="683"/>
      <c r="F465" s="683"/>
      <c r="G465" s="683"/>
      <c r="H465" s="683"/>
      <c r="I465" s="683"/>
      <c r="J465" s="683"/>
      <c r="K465" s="683"/>
      <c r="L465" s="683"/>
      <c r="M465" s="683"/>
      <c r="N465" s="683"/>
    </row>
    <row r="466">
      <c r="A466" s="683"/>
      <c r="B466" s="683"/>
      <c r="C466" s="683"/>
      <c r="D466" s="683"/>
      <c r="E466" s="683"/>
      <c r="F466" s="683"/>
      <c r="G466" s="683"/>
      <c r="H466" s="683"/>
      <c r="I466" s="683"/>
      <c r="J466" s="683"/>
      <c r="K466" s="683"/>
      <c r="L466" s="683"/>
      <c r="M466" s="683"/>
      <c r="N466" s="683"/>
    </row>
    <row r="467">
      <c r="A467" s="683"/>
      <c r="B467" s="683"/>
      <c r="C467" s="683"/>
      <c r="D467" s="683"/>
      <c r="E467" s="683"/>
      <c r="F467" s="683"/>
      <c r="G467" s="683"/>
      <c r="H467" s="683"/>
      <c r="I467" s="683"/>
      <c r="J467" s="683"/>
      <c r="K467" s="683"/>
      <c r="L467" s="683"/>
      <c r="M467" s="683"/>
      <c r="N467" s="683"/>
    </row>
    <row r="468">
      <c r="A468" s="683"/>
      <c r="B468" s="683"/>
      <c r="C468" s="683"/>
      <c r="D468" s="683"/>
      <c r="E468" s="683"/>
      <c r="F468" s="683"/>
      <c r="G468" s="683"/>
      <c r="H468" s="683"/>
      <c r="I468" s="683"/>
      <c r="J468" s="683"/>
      <c r="K468" s="683"/>
      <c r="L468" s="683"/>
      <c r="M468" s="683"/>
      <c r="N468" s="683"/>
    </row>
    <row r="469">
      <c r="A469" s="683"/>
      <c r="B469" s="683"/>
      <c r="C469" s="683"/>
      <c r="D469" s="683"/>
      <c r="E469" s="683"/>
      <c r="F469" s="683"/>
      <c r="G469" s="683"/>
      <c r="H469" s="683"/>
      <c r="I469" s="683"/>
      <c r="J469" s="683"/>
      <c r="K469" s="683"/>
      <c r="L469" s="683"/>
      <c r="M469" s="683"/>
      <c r="N469" s="683"/>
    </row>
    <row r="470">
      <c r="A470" s="683"/>
      <c r="B470" s="683"/>
      <c r="C470" s="683"/>
      <c r="D470" s="683"/>
      <c r="E470" s="683"/>
      <c r="F470" s="683"/>
      <c r="G470" s="683"/>
      <c r="H470" s="683"/>
      <c r="I470" s="683"/>
      <c r="J470" s="683"/>
      <c r="K470" s="683"/>
      <c r="L470" s="683"/>
      <c r="M470" s="683"/>
      <c r="N470" s="683"/>
    </row>
    <row r="471">
      <c r="A471" s="683"/>
      <c r="B471" s="683"/>
      <c r="C471" s="683"/>
      <c r="D471" s="683"/>
      <c r="E471" s="683"/>
      <c r="F471" s="683"/>
      <c r="G471" s="683"/>
      <c r="H471" s="683"/>
      <c r="I471" s="683"/>
      <c r="J471" s="683"/>
      <c r="K471" s="683"/>
      <c r="L471" s="683"/>
      <c r="M471" s="683"/>
      <c r="N471" s="683"/>
    </row>
    <row r="472">
      <c r="A472" s="683"/>
      <c r="B472" s="683"/>
      <c r="C472" s="683"/>
      <c r="D472" s="683"/>
      <c r="E472" s="683"/>
      <c r="F472" s="683"/>
      <c r="G472" s="683"/>
      <c r="H472" s="683"/>
      <c r="I472" s="683"/>
      <c r="J472" s="683"/>
      <c r="K472" s="683"/>
      <c r="L472" s="683"/>
      <c r="M472" s="683"/>
      <c r="N472" s="683"/>
    </row>
    <row r="473">
      <c r="A473" s="683"/>
      <c r="B473" s="683"/>
      <c r="C473" s="683"/>
      <c r="D473" s="683"/>
      <c r="E473" s="683"/>
      <c r="F473" s="683"/>
      <c r="G473" s="683"/>
      <c r="H473" s="683"/>
      <c r="I473" s="683"/>
      <c r="J473" s="683"/>
      <c r="K473" s="683"/>
      <c r="L473" s="683"/>
      <c r="M473" s="683"/>
      <c r="N473" s="683"/>
    </row>
    <row r="474">
      <c r="A474" s="683"/>
      <c r="B474" s="683"/>
      <c r="C474" s="683"/>
      <c r="D474" s="683"/>
      <c r="E474" s="683"/>
      <c r="F474" s="683"/>
      <c r="G474" s="683"/>
      <c r="H474" s="683"/>
      <c r="I474" s="683"/>
      <c r="J474" s="683"/>
      <c r="K474" s="683"/>
      <c r="L474" s="683"/>
      <c r="M474" s="683"/>
      <c r="N474" s="683"/>
    </row>
    <row r="475">
      <c r="A475" s="683"/>
      <c r="B475" s="683"/>
      <c r="C475" s="683"/>
      <c r="D475" s="683"/>
      <c r="E475" s="683"/>
      <c r="F475" s="683"/>
      <c r="G475" s="683"/>
      <c r="H475" s="683"/>
      <c r="I475" s="683"/>
      <c r="J475" s="683"/>
      <c r="K475" s="683"/>
      <c r="L475" s="683"/>
      <c r="M475" s="683"/>
      <c r="N475" s="683"/>
    </row>
    <row r="476">
      <c r="A476" s="683"/>
      <c r="B476" s="683"/>
      <c r="C476" s="683"/>
      <c r="D476" s="683"/>
      <c r="E476" s="683"/>
      <c r="F476" s="683"/>
      <c r="G476" s="683"/>
      <c r="H476" s="683"/>
      <c r="I476" s="683"/>
      <c r="J476" s="683"/>
      <c r="K476" s="683"/>
      <c r="L476" s="683"/>
      <c r="M476" s="683"/>
      <c r="N476" s="683"/>
    </row>
    <row r="477">
      <c r="A477" s="683"/>
      <c r="B477" s="683"/>
      <c r="C477" s="683"/>
      <c r="D477" s="683"/>
      <c r="E477" s="683"/>
      <c r="F477" s="683"/>
      <c r="G477" s="683"/>
      <c r="H477" s="683"/>
      <c r="I477" s="683"/>
      <c r="J477" s="683"/>
      <c r="K477" s="683"/>
      <c r="L477" s="683"/>
      <c r="M477" s="683"/>
      <c r="N477" s="683"/>
    </row>
    <row r="478">
      <c r="A478" s="683"/>
      <c r="B478" s="683"/>
      <c r="C478" s="683"/>
      <c r="D478" s="683"/>
      <c r="E478" s="683"/>
      <c r="F478" s="683"/>
      <c r="G478" s="683"/>
      <c r="H478" s="683"/>
      <c r="I478" s="683"/>
      <c r="J478" s="683"/>
      <c r="K478" s="683"/>
      <c r="L478" s="683"/>
      <c r="M478" s="683"/>
      <c r="N478" s="683"/>
    </row>
    <row r="479">
      <c r="A479" s="683"/>
      <c r="B479" s="683"/>
      <c r="C479" s="683"/>
      <c r="D479" s="683"/>
      <c r="E479" s="683"/>
      <c r="F479" s="683"/>
      <c r="G479" s="683"/>
      <c r="H479" s="683"/>
      <c r="I479" s="683"/>
      <c r="J479" s="683"/>
      <c r="K479" s="683"/>
      <c r="L479" s="683"/>
      <c r="M479" s="683"/>
      <c r="N479" s="683"/>
    </row>
    <row r="480">
      <c r="A480" s="683"/>
      <c r="B480" s="683"/>
      <c r="C480" s="683"/>
      <c r="D480" s="683"/>
      <c r="E480" s="683"/>
      <c r="F480" s="683"/>
      <c r="G480" s="683"/>
      <c r="H480" s="683"/>
      <c r="I480" s="683"/>
      <c r="J480" s="683"/>
      <c r="K480" s="683"/>
      <c r="L480" s="683"/>
      <c r="M480" s="683"/>
      <c r="N480" s="683"/>
    </row>
    <row r="481">
      <c r="A481" s="683"/>
      <c r="B481" s="683"/>
      <c r="C481" s="683"/>
      <c r="D481" s="683"/>
      <c r="E481" s="683"/>
      <c r="F481" s="683"/>
      <c r="G481" s="683"/>
      <c r="H481" s="683"/>
      <c r="I481" s="683"/>
      <c r="J481" s="683"/>
      <c r="K481" s="683"/>
      <c r="L481" s="683"/>
      <c r="M481" s="683"/>
      <c r="N481" s="683"/>
    </row>
    <row r="482">
      <c r="A482" s="683"/>
      <c r="B482" s="683"/>
      <c r="C482" s="683"/>
      <c r="D482" s="683"/>
      <c r="E482" s="683"/>
      <c r="F482" s="683"/>
      <c r="G482" s="683"/>
      <c r="H482" s="683"/>
      <c r="I482" s="683"/>
      <c r="J482" s="683"/>
      <c r="K482" s="683"/>
      <c r="L482" s="683"/>
      <c r="M482" s="683"/>
      <c r="N482" s="683"/>
    </row>
    <row r="483">
      <c r="A483" s="683"/>
      <c r="B483" s="683"/>
      <c r="C483" s="683"/>
      <c r="D483" s="683"/>
      <c r="E483" s="683"/>
      <c r="F483" s="683"/>
      <c r="G483" s="683"/>
      <c r="H483" s="683"/>
      <c r="I483" s="683"/>
      <c r="J483" s="683"/>
      <c r="K483" s="683"/>
      <c r="L483" s="683"/>
      <c r="M483" s="683"/>
      <c r="N483" s="683"/>
    </row>
    <row r="484">
      <c r="A484" s="683"/>
      <c r="B484" s="683"/>
      <c r="C484" s="683"/>
      <c r="D484" s="683"/>
      <c r="E484" s="683"/>
      <c r="F484" s="683"/>
      <c r="G484" s="683"/>
      <c r="H484" s="683"/>
      <c r="I484" s="683"/>
      <c r="J484" s="683"/>
      <c r="K484" s="683"/>
      <c r="L484" s="683"/>
      <c r="M484" s="683"/>
      <c r="N484" s="683"/>
    </row>
    <row r="485">
      <c r="A485" s="683"/>
      <c r="B485" s="683"/>
      <c r="C485" s="683"/>
      <c r="D485" s="683"/>
      <c r="E485" s="683"/>
      <c r="F485" s="683"/>
      <c r="G485" s="683"/>
      <c r="H485" s="683"/>
      <c r="I485" s="683"/>
      <c r="J485" s="683"/>
      <c r="K485" s="683"/>
      <c r="L485" s="683"/>
      <c r="M485" s="683"/>
      <c r="N485" s="683"/>
    </row>
    <row r="486">
      <c r="A486" s="683"/>
      <c r="B486" s="683"/>
      <c r="C486" s="683"/>
      <c r="D486" s="683"/>
      <c r="E486" s="683"/>
      <c r="F486" s="683"/>
      <c r="G486" s="683"/>
      <c r="H486" s="683"/>
      <c r="I486" s="683"/>
      <c r="J486" s="683"/>
      <c r="K486" s="683"/>
      <c r="L486" s="683"/>
      <c r="M486" s="683"/>
      <c r="N486" s="683"/>
    </row>
    <row r="487">
      <c r="A487" s="683"/>
      <c r="B487" s="683"/>
      <c r="C487" s="683"/>
      <c r="D487" s="683"/>
      <c r="E487" s="683"/>
      <c r="F487" s="683"/>
      <c r="G487" s="683"/>
      <c r="H487" s="683"/>
      <c r="I487" s="683"/>
      <c r="J487" s="683"/>
      <c r="K487" s="683"/>
      <c r="L487" s="683"/>
      <c r="M487" s="683"/>
      <c r="N487" s="683"/>
    </row>
    <row r="488">
      <c r="A488" s="683"/>
      <c r="B488" s="683"/>
      <c r="C488" s="683"/>
      <c r="D488" s="683"/>
      <c r="E488" s="683"/>
      <c r="F488" s="683"/>
      <c r="G488" s="683"/>
      <c r="H488" s="683"/>
      <c r="I488" s="683"/>
      <c r="J488" s="683"/>
      <c r="K488" s="683"/>
      <c r="L488" s="683"/>
      <c r="M488" s="683"/>
      <c r="N488" s="683"/>
    </row>
    <row r="489">
      <c r="A489" s="683"/>
      <c r="B489" s="683"/>
      <c r="C489" s="683"/>
      <c r="D489" s="683"/>
      <c r="E489" s="683"/>
      <c r="F489" s="683"/>
      <c r="G489" s="683"/>
      <c r="H489" s="683"/>
      <c r="I489" s="683"/>
      <c r="J489" s="683"/>
      <c r="K489" s="683"/>
      <c r="L489" s="683"/>
      <c r="M489" s="683"/>
      <c r="N489" s="683"/>
    </row>
    <row r="490">
      <c r="A490" s="683"/>
      <c r="B490" s="683"/>
      <c r="C490" s="683"/>
      <c r="D490" s="683"/>
      <c r="E490" s="683"/>
      <c r="F490" s="683"/>
      <c r="G490" s="683"/>
      <c r="H490" s="683"/>
      <c r="I490" s="683"/>
      <c r="J490" s="683"/>
      <c r="K490" s="683"/>
      <c r="L490" s="683"/>
      <c r="M490" s="683"/>
      <c r="N490" s="683"/>
    </row>
    <row r="491">
      <c r="A491" s="683"/>
      <c r="B491" s="683"/>
      <c r="C491" s="683"/>
      <c r="D491" s="683"/>
      <c r="E491" s="683"/>
      <c r="F491" s="683"/>
      <c r="G491" s="683"/>
      <c r="H491" s="683"/>
      <c r="I491" s="683"/>
      <c r="J491" s="683"/>
      <c r="K491" s="683"/>
      <c r="L491" s="683"/>
      <c r="M491" s="683"/>
      <c r="N491" s="683"/>
    </row>
    <row r="492">
      <c r="A492" s="683"/>
      <c r="B492" s="683"/>
      <c r="C492" s="683"/>
      <c r="D492" s="683"/>
      <c r="E492" s="683"/>
      <c r="F492" s="683"/>
      <c r="G492" s="683"/>
      <c r="H492" s="683"/>
      <c r="I492" s="683"/>
      <c r="J492" s="683"/>
      <c r="K492" s="683"/>
      <c r="L492" s="683"/>
      <c r="M492" s="683"/>
      <c r="N492" s="683"/>
    </row>
    <row r="493">
      <c r="A493" s="683"/>
      <c r="B493" s="683"/>
      <c r="C493" s="683"/>
      <c r="D493" s="683"/>
      <c r="E493" s="683"/>
      <c r="F493" s="683"/>
      <c r="G493" s="683"/>
      <c r="H493" s="683"/>
      <c r="I493" s="683"/>
      <c r="J493" s="683"/>
      <c r="K493" s="683"/>
      <c r="L493" s="683"/>
      <c r="M493" s="683"/>
      <c r="N493" s="683"/>
    </row>
    <row r="494">
      <c r="A494" s="683"/>
      <c r="B494" s="683"/>
      <c r="C494" s="683"/>
      <c r="D494" s="683"/>
      <c r="E494" s="683"/>
      <c r="F494" s="683"/>
      <c r="G494" s="683"/>
      <c r="H494" s="683"/>
      <c r="I494" s="683"/>
      <c r="J494" s="683"/>
      <c r="K494" s="683"/>
      <c r="L494" s="683"/>
      <c r="M494" s="683"/>
      <c r="N494" s="683"/>
    </row>
    <row r="495">
      <c r="A495" s="683"/>
      <c r="B495" s="683"/>
      <c r="C495" s="683"/>
      <c r="D495" s="683"/>
      <c r="E495" s="683"/>
      <c r="F495" s="683"/>
      <c r="G495" s="683"/>
      <c r="H495" s="683"/>
      <c r="I495" s="683"/>
      <c r="J495" s="683"/>
      <c r="K495" s="683"/>
      <c r="L495" s="683"/>
      <c r="M495" s="683"/>
      <c r="N495" s="683"/>
    </row>
    <row r="496">
      <c r="A496" s="683"/>
      <c r="B496" s="683"/>
      <c r="C496" s="683"/>
      <c r="D496" s="683"/>
      <c r="E496" s="683"/>
      <c r="F496" s="683"/>
      <c r="G496" s="683"/>
      <c r="H496" s="683"/>
      <c r="I496" s="683"/>
      <c r="J496" s="683"/>
      <c r="K496" s="683"/>
      <c r="L496" s="683"/>
      <c r="M496" s="683"/>
      <c r="N496" s="683"/>
    </row>
    <row r="497">
      <c r="A497" s="683"/>
      <c r="B497" s="683"/>
      <c r="C497" s="683"/>
      <c r="D497" s="683"/>
      <c r="E497" s="683"/>
      <c r="F497" s="683"/>
      <c r="G497" s="683"/>
      <c r="H497" s="683"/>
      <c r="I497" s="683"/>
      <c r="J497" s="683"/>
      <c r="K497" s="683"/>
      <c r="L497" s="683"/>
      <c r="M497" s="683"/>
      <c r="N497" s="683"/>
    </row>
    <row r="498">
      <c r="A498" s="683"/>
      <c r="B498" s="683"/>
      <c r="C498" s="683"/>
      <c r="D498" s="683"/>
      <c r="E498" s="683"/>
      <c r="F498" s="683"/>
      <c r="G498" s="683"/>
      <c r="H498" s="683"/>
      <c r="I498" s="683"/>
      <c r="J498" s="683"/>
      <c r="K498" s="683"/>
      <c r="L498" s="683"/>
      <c r="M498" s="683"/>
      <c r="N498" s="683"/>
    </row>
    <row r="499">
      <c r="A499" s="683"/>
      <c r="B499" s="683"/>
      <c r="C499" s="683"/>
      <c r="D499" s="683"/>
      <c r="E499" s="683"/>
      <c r="F499" s="683"/>
      <c r="G499" s="683"/>
      <c r="H499" s="683"/>
      <c r="I499" s="683"/>
      <c r="J499" s="683"/>
      <c r="K499" s="683"/>
      <c r="L499" s="683"/>
      <c r="M499" s="683"/>
      <c r="N499" s="683"/>
    </row>
    <row r="500">
      <c r="A500" s="683"/>
      <c r="B500" s="683"/>
      <c r="C500" s="683"/>
      <c r="D500" s="683"/>
      <c r="E500" s="683"/>
      <c r="F500" s="683"/>
      <c r="G500" s="683"/>
      <c r="H500" s="683"/>
      <c r="I500" s="683"/>
      <c r="J500" s="683"/>
      <c r="K500" s="683"/>
      <c r="L500" s="683"/>
      <c r="M500" s="683"/>
      <c r="N500" s="683"/>
    </row>
    <row r="501">
      <c r="A501" s="683"/>
      <c r="B501" s="683"/>
      <c r="C501" s="683"/>
      <c r="D501" s="683"/>
      <c r="E501" s="683"/>
      <c r="F501" s="683"/>
      <c r="G501" s="683"/>
      <c r="H501" s="683"/>
      <c r="I501" s="683"/>
      <c r="J501" s="683"/>
      <c r="K501" s="683"/>
      <c r="L501" s="683"/>
      <c r="M501" s="683"/>
      <c r="N501" s="683"/>
    </row>
    <row r="502">
      <c r="A502" s="683"/>
      <c r="B502" s="683"/>
      <c r="C502" s="683"/>
      <c r="D502" s="683"/>
      <c r="E502" s="683"/>
      <c r="F502" s="683"/>
      <c r="G502" s="683"/>
      <c r="H502" s="683"/>
      <c r="I502" s="683"/>
      <c r="J502" s="683"/>
      <c r="K502" s="683"/>
      <c r="L502" s="683"/>
      <c r="M502" s="683"/>
      <c r="N502" s="683"/>
    </row>
    <row r="503">
      <c r="A503" s="683"/>
      <c r="B503" s="683"/>
      <c r="C503" s="683"/>
      <c r="D503" s="683"/>
      <c r="E503" s="683"/>
      <c r="F503" s="683"/>
      <c r="G503" s="683"/>
      <c r="H503" s="683"/>
      <c r="I503" s="683"/>
      <c r="J503" s="683"/>
      <c r="K503" s="683"/>
      <c r="L503" s="683"/>
      <c r="M503" s="683"/>
      <c r="N503" s="683"/>
    </row>
    <row r="504">
      <c r="A504" s="683"/>
      <c r="B504" s="683"/>
      <c r="C504" s="683"/>
      <c r="D504" s="683"/>
      <c r="E504" s="683"/>
      <c r="F504" s="683"/>
      <c r="G504" s="683"/>
      <c r="H504" s="683"/>
      <c r="I504" s="683"/>
      <c r="J504" s="683"/>
      <c r="K504" s="683"/>
      <c r="L504" s="683"/>
      <c r="M504" s="683"/>
      <c r="N504" s="683"/>
    </row>
    <row r="505">
      <c r="A505" s="683"/>
      <c r="B505" s="683"/>
      <c r="C505" s="683"/>
      <c r="D505" s="683"/>
      <c r="E505" s="683"/>
      <c r="F505" s="683"/>
      <c r="G505" s="683"/>
      <c r="H505" s="683"/>
      <c r="I505" s="683"/>
      <c r="J505" s="683"/>
      <c r="K505" s="683"/>
      <c r="L505" s="683"/>
      <c r="M505" s="683"/>
      <c r="N505" s="683"/>
    </row>
    <row r="506">
      <c r="A506" s="683"/>
      <c r="B506" s="683"/>
      <c r="C506" s="683"/>
      <c r="D506" s="683"/>
      <c r="E506" s="683"/>
      <c r="F506" s="683"/>
      <c r="G506" s="683"/>
      <c r="H506" s="683"/>
      <c r="I506" s="683"/>
      <c r="J506" s="683"/>
      <c r="K506" s="683"/>
      <c r="L506" s="683"/>
      <c r="M506" s="683"/>
      <c r="N506" s="683"/>
    </row>
    <row r="507">
      <c r="A507" s="683"/>
      <c r="B507" s="683"/>
      <c r="C507" s="683"/>
      <c r="D507" s="683"/>
      <c r="E507" s="683"/>
      <c r="F507" s="683"/>
      <c r="G507" s="683"/>
      <c r="H507" s="683"/>
      <c r="I507" s="683"/>
      <c r="J507" s="683"/>
      <c r="K507" s="683"/>
      <c r="L507" s="683"/>
      <c r="M507" s="683"/>
      <c r="N507" s="683"/>
    </row>
    <row r="508">
      <c r="A508" s="683"/>
      <c r="B508" s="683"/>
      <c r="C508" s="683"/>
      <c r="D508" s="683"/>
      <c r="E508" s="683"/>
      <c r="F508" s="683"/>
      <c r="G508" s="683"/>
      <c r="H508" s="683"/>
      <c r="I508" s="683"/>
      <c r="J508" s="683"/>
      <c r="K508" s="683"/>
      <c r="L508" s="683"/>
      <c r="M508" s="683"/>
      <c r="N508" s="683"/>
    </row>
    <row r="509">
      <c r="A509" s="683"/>
      <c r="B509" s="683"/>
      <c r="C509" s="683"/>
      <c r="D509" s="683"/>
      <c r="E509" s="683"/>
      <c r="F509" s="683"/>
      <c r="G509" s="683"/>
      <c r="H509" s="683"/>
      <c r="I509" s="683"/>
      <c r="J509" s="683"/>
      <c r="K509" s="683"/>
      <c r="L509" s="683"/>
      <c r="M509" s="683"/>
      <c r="N509" s="683"/>
    </row>
    <row r="510">
      <c r="A510" s="683"/>
      <c r="B510" s="683"/>
      <c r="C510" s="683"/>
      <c r="D510" s="683"/>
      <c r="E510" s="683"/>
      <c r="F510" s="683"/>
      <c r="G510" s="683"/>
      <c r="H510" s="683"/>
      <c r="I510" s="683"/>
      <c r="J510" s="683"/>
      <c r="K510" s="683"/>
      <c r="L510" s="683"/>
      <c r="M510" s="683"/>
      <c r="N510" s="683"/>
    </row>
    <row r="511">
      <c r="A511" s="683"/>
      <c r="B511" s="683"/>
      <c r="C511" s="683"/>
      <c r="D511" s="683"/>
      <c r="E511" s="683"/>
      <c r="F511" s="683"/>
      <c r="G511" s="683"/>
      <c r="H511" s="683"/>
      <c r="I511" s="683"/>
      <c r="J511" s="683"/>
      <c r="K511" s="683"/>
      <c r="L511" s="683"/>
      <c r="M511" s="683"/>
      <c r="N511" s="683"/>
    </row>
    <row r="512">
      <c r="A512" s="683"/>
      <c r="B512" s="683"/>
      <c r="C512" s="683"/>
      <c r="D512" s="683"/>
      <c r="E512" s="683"/>
      <c r="F512" s="683"/>
      <c r="G512" s="683"/>
      <c r="H512" s="683"/>
      <c r="I512" s="683"/>
      <c r="J512" s="683"/>
      <c r="K512" s="683"/>
      <c r="L512" s="683"/>
      <c r="M512" s="683"/>
      <c r="N512" s="683"/>
    </row>
    <row r="513">
      <c r="A513" s="683"/>
      <c r="B513" s="683"/>
      <c r="C513" s="683"/>
      <c r="D513" s="683"/>
      <c r="E513" s="683"/>
      <c r="F513" s="683"/>
      <c r="G513" s="683"/>
      <c r="H513" s="683"/>
      <c r="I513" s="683"/>
      <c r="J513" s="683"/>
      <c r="K513" s="683"/>
      <c r="L513" s="683"/>
      <c r="M513" s="683"/>
      <c r="N513" s="683"/>
    </row>
    <row r="514">
      <c r="A514" s="683"/>
      <c r="B514" s="683"/>
      <c r="C514" s="683"/>
      <c r="D514" s="683"/>
      <c r="E514" s="683"/>
      <c r="F514" s="683"/>
      <c r="G514" s="683"/>
      <c r="H514" s="683"/>
      <c r="I514" s="683"/>
      <c r="J514" s="683"/>
      <c r="K514" s="683"/>
      <c r="L514" s="683"/>
      <c r="M514" s="683"/>
      <c r="N514" s="683"/>
    </row>
    <row r="515">
      <c r="A515" s="683"/>
      <c r="B515" s="683"/>
      <c r="C515" s="683"/>
      <c r="D515" s="683"/>
      <c r="E515" s="683"/>
      <c r="F515" s="683"/>
      <c r="G515" s="683"/>
      <c r="H515" s="683"/>
      <c r="I515" s="683"/>
      <c r="J515" s="683"/>
      <c r="K515" s="683"/>
      <c r="L515" s="683"/>
      <c r="M515" s="683"/>
      <c r="N515" s="683"/>
    </row>
    <row r="516">
      <c r="A516" s="683"/>
      <c r="B516" s="683"/>
      <c r="C516" s="683"/>
      <c r="D516" s="683"/>
      <c r="E516" s="683"/>
      <c r="F516" s="683"/>
      <c r="G516" s="683"/>
      <c r="H516" s="683"/>
      <c r="I516" s="683"/>
      <c r="J516" s="683"/>
      <c r="K516" s="683"/>
      <c r="L516" s="683"/>
      <c r="M516" s="683"/>
      <c r="N516" s="683"/>
    </row>
    <row r="517">
      <c r="A517" s="683"/>
      <c r="B517" s="683"/>
      <c r="C517" s="683"/>
      <c r="D517" s="683"/>
      <c r="E517" s="683"/>
      <c r="F517" s="683"/>
      <c r="G517" s="683"/>
      <c r="H517" s="683"/>
      <c r="I517" s="683"/>
      <c r="J517" s="683"/>
      <c r="K517" s="683"/>
      <c r="L517" s="683"/>
      <c r="M517" s="683"/>
      <c r="N517" s="683"/>
    </row>
    <row r="518">
      <c r="A518" s="683"/>
      <c r="B518" s="683"/>
      <c r="C518" s="683"/>
      <c r="D518" s="683"/>
      <c r="E518" s="683"/>
      <c r="F518" s="683"/>
      <c r="G518" s="683"/>
      <c r="H518" s="683"/>
      <c r="I518" s="683"/>
      <c r="J518" s="683"/>
      <c r="K518" s="683"/>
      <c r="L518" s="683"/>
      <c r="M518" s="683"/>
      <c r="N518" s="683"/>
    </row>
    <row r="519">
      <c r="A519" s="683"/>
      <c r="B519" s="683"/>
      <c r="C519" s="683"/>
      <c r="D519" s="683"/>
      <c r="E519" s="683"/>
      <c r="F519" s="683"/>
      <c r="G519" s="683"/>
      <c r="H519" s="683"/>
      <c r="I519" s="683"/>
      <c r="J519" s="683"/>
      <c r="K519" s="683"/>
      <c r="L519" s="683"/>
      <c r="M519" s="683"/>
      <c r="N519" s="683"/>
    </row>
    <row r="520">
      <c r="A520" s="683"/>
      <c r="B520" s="683"/>
      <c r="C520" s="683"/>
      <c r="D520" s="683"/>
      <c r="E520" s="683"/>
      <c r="F520" s="683"/>
      <c r="G520" s="683"/>
      <c r="H520" s="683"/>
      <c r="I520" s="683"/>
      <c r="J520" s="683"/>
      <c r="K520" s="683"/>
      <c r="L520" s="683"/>
      <c r="M520" s="683"/>
      <c r="N520" s="683"/>
    </row>
    <row r="521">
      <c r="A521" s="683"/>
      <c r="B521" s="683"/>
      <c r="C521" s="683"/>
      <c r="D521" s="683"/>
      <c r="E521" s="683"/>
      <c r="F521" s="683"/>
      <c r="G521" s="683"/>
      <c r="H521" s="683"/>
      <c r="I521" s="683"/>
      <c r="J521" s="683"/>
      <c r="K521" s="683"/>
      <c r="L521" s="683"/>
      <c r="M521" s="683"/>
      <c r="N521" s="683"/>
    </row>
    <row r="522">
      <c r="A522" s="683"/>
      <c r="B522" s="683"/>
      <c r="C522" s="683"/>
      <c r="D522" s="683"/>
      <c r="E522" s="683"/>
      <c r="F522" s="683"/>
      <c r="G522" s="683"/>
      <c r="H522" s="683"/>
      <c r="I522" s="683"/>
      <c r="J522" s="683"/>
      <c r="K522" s="683"/>
      <c r="L522" s="683"/>
      <c r="M522" s="683"/>
      <c r="N522" s="683"/>
    </row>
    <row r="523">
      <c r="A523" s="683"/>
      <c r="B523" s="683"/>
      <c r="C523" s="683"/>
      <c r="D523" s="683"/>
      <c r="E523" s="683"/>
      <c r="F523" s="683"/>
      <c r="G523" s="683"/>
      <c r="H523" s="683"/>
      <c r="I523" s="683"/>
      <c r="J523" s="683"/>
      <c r="K523" s="683"/>
      <c r="L523" s="683"/>
      <c r="M523" s="683"/>
      <c r="N523" s="683"/>
    </row>
    <row r="524">
      <c r="A524" s="683"/>
      <c r="B524" s="683"/>
      <c r="C524" s="683"/>
      <c r="D524" s="683"/>
      <c r="E524" s="683"/>
      <c r="F524" s="683"/>
      <c r="G524" s="683"/>
      <c r="H524" s="683"/>
      <c r="I524" s="683"/>
      <c r="J524" s="683"/>
      <c r="K524" s="683"/>
      <c r="L524" s="683"/>
      <c r="M524" s="683"/>
      <c r="N524" s="683"/>
    </row>
    <row r="525">
      <c r="A525" s="683"/>
      <c r="B525" s="683"/>
      <c r="C525" s="683"/>
      <c r="D525" s="683"/>
      <c r="E525" s="683"/>
      <c r="F525" s="683"/>
      <c r="G525" s="683"/>
      <c r="H525" s="683"/>
      <c r="I525" s="683"/>
      <c r="J525" s="683"/>
      <c r="K525" s="683"/>
      <c r="L525" s="683"/>
      <c r="M525" s="683"/>
      <c r="N525" s="683"/>
    </row>
    <row r="526">
      <c r="A526" s="683"/>
      <c r="B526" s="683"/>
      <c r="C526" s="683"/>
      <c r="D526" s="683"/>
      <c r="E526" s="683"/>
      <c r="F526" s="683"/>
      <c r="G526" s="683"/>
      <c r="H526" s="683"/>
      <c r="I526" s="683"/>
      <c r="J526" s="683"/>
      <c r="K526" s="683"/>
      <c r="L526" s="683"/>
      <c r="M526" s="683"/>
      <c r="N526" s="683"/>
    </row>
    <row r="527">
      <c r="A527" s="683"/>
      <c r="B527" s="683"/>
      <c r="C527" s="683"/>
      <c r="D527" s="683"/>
      <c r="E527" s="683"/>
      <c r="F527" s="683"/>
      <c r="G527" s="683"/>
      <c r="H527" s="683"/>
      <c r="I527" s="683"/>
      <c r="J527" s="683"/>
      <c r="K527" s="683"/>
      <c r="L527" s="683"/>
      <c r="M527" s="683"/>
      <c r="N527" s="683"/>
    </row>
    <row r="528">
      <c r="A528" s="683"/>
      <c r="B528" s="683"/>
      <c r="C528" s="683"/>
      <c r="D528" s="683"/>
      <c r="E528" s="683"/>
      <c r="F528" s="683"/>
      <c r="G528" s="683"/>
      <c r="H528" s="683"/>
      <c r="I528" s="683"/>
      <c r="J528" s="683"/>
      <c r="K528" s="683"/>
      <c r="L528" s="683"/>
      <c r="M528" s="683"/>
      <c r="N528" s="683"/>
    </row>
    <row r="529">
      <c r="A529" s="683"/>
      <c r="B529" s="683"/>
      <c r="C529" s="683"/>
      <c r="D529" s="683"/>
      <c r="E529" s="683"/>
      <c r="F529" s="683"/>
      <c r="G529" s="683"/>
      <c r="H529" s="683"/>
      <c r="I529" s="683"/>
      <c r="J529" s="683"/>
      <c r="K529" s="683"/>
      <c r="L529" s="683"/>
      <c r="M529" s="683"/>
      <c r="N529" s="683"/>
    </row>
    <row r="530">
      <c r="A530" s="683"/>
      <c r="B530" s="683"/>
      <c r="C530" s="683"/>
      <c r="D530" s="683"/>
      <c r="E530" s="683"/>
      <c r="F530" s="683"/>
      <c r="G530" s="683"/>
      <c r="H530" s="683"/>
      <c r="I530" s="683"/>
      <c r="J530" s="683"/>
      <c r="K530" s="683"/>
      <c r="L530" s="683"/>
      <c r="M530" s="683"/>
      <c r="N530" s="683"/>
    </row>
    <row r="531">
      <c r="A531" s="683"/>
      <c r="B531" s="683"/>
      <c r="C531" s="683"/>
      <c r="D531" s="683"/>
      <c r="E531" s="683"/>
      <c r="F531" s="683"/>
      <c r="G531" s="683"/>
      <c r="H531" s="683"/>
      <c r="I531" s="683"/>
      <c r="J531" s="683"/>
      <c r="K531" s="683"/>
      <c r="L531" s="683"/>
      <c r="M531" s="683"/>
      <c r="N531" s="683"/>
    </row>
    <row r="532">
      <c r="A532" s="683"/>
      <c r="B532" s="683"/>
      <c r="C532" s="683"/>
      <c r="D532" s="683"/>
      <c r="E532" s="683"/>
      <c r="F532" s="683"/>
      <c r="G532" s="683"/>
      <c r="H532" s="683"/>
      <c r="I532" s="683"/>
      <c r="J532" s="683"/>
      <c r="K532" s="683"/>
      <c r="L532" s="683"/>
      <c r="M532" s="683"/>
      <c r="N532" s="683"/>
    </row>
    <row r="533">
      <c r="A533" s="683"/>
      <c r="B533" s="683"/>
      <c r="C533" s="683"/>
      <c r="D533" s="683"/>
      <c r="E533" s="683"/>
      <c r="F533" s="683"/>
      <c r="G533" s="683"/>
      <c r="H533" s="683"/>
      <c r="I533" s="683"/>
      <c r="J533" s="683"/>
      <c r="K533" s="683"/>
      <c r="L533" s="683"/>
      <c r="M533" s="683"/>
      <c r="N533" s="683"/>
    </row>
    <row r="534">
      <c r="A534" s="683"/>
      <c r="B534" s="683"/>
      <c r="C534" s="683"/>
      <c r="D534" s="683"/>
      <c r="E534" s="683"/>
      <c r="F534" s="683"/>
      <c r="G534" s="683"/>
      <c r="H534" s="683"/>
      <c r="I534" s="683"/>
      <c r="J534" s="683"/>
      <c r="K534" s="683"/>
      <c r="L534" s="683"/>
      <c r="M534" s="683"/>
      <c r="N534" s="683"/>
    </row>
    <row r="535">
      <c r="A535" s="683"/>
      <c r="B535" s="683"/>
      <c r="C535" s="683"/>
      <c r="D535" s="683"/>
      <c r="E535" s="683"/>
      <c r="F535" s="683"/>
      <c r="G535" s="683"/>
      <c r="H535" s="683"/>
      <c r="I535" s="683"/>
      <c r="J535" s="683"/>
      <c r="K535" s="683"/>
      <c r="L535" s="683"/>
      <c r="M535" s="683"/>
      <c r="N535" s="683"/>
    </row>
    <row r="536">
      <c r="A536" s="683"/>
      <c r="B536" s="683"/>
      <c r="C536" s="683"/>
      <c r="D536" s="683"/>
      <c r="E536" s="683"/>
      <c r="F536" s="683"/>
      <c r="G536" s="683"/>
      <c r="H536" s="683"/>
      <c r="I536" s="683"/>
      <c r="J536" s="683"/>
      <c r="K536" s="683"/>
      <c r="L536" s="683"/>
      <c r="M536" s="683"/>
      <c r="N536" s="683"/>
    </row>
    <row r="537">
      <c r="A537" s="683"/>
      <c r="B537" s="683"/>
      <c r="C537" s="683"/>
      <c r="D537" s="683"/>
      <c r="E537" s="683"/>
      <c r="F537" s="683"/>
      <c r="G537" s="683"/>
      <c r="H537" s="683"/>
      <c r="I537" s="683"/>
      <c r="J537" s="683"/>
      <c r="K537" s="683"/>
      <c r="L537" s="683"/>
      <c r="M537" s="683"/>
      <c r="N537" s="683"/>
    </row>
    <row r="538">
      <c r="A538" s="683"/>
      <c r="B538" s="683"/>
      <c r="C538" s="683"/>
      <c r="D538" s="683"/>
      <c r="E538" s="683"/>
      <c r="F538" s="683"/>
      <c r="G538" s="683"/>
      <c r="H538" s="683"/>
      <c r="I538" s="683"/>
      <c r="J538" s="683"/>
      <c r="K538" s="683"/>
      <c r="L538" s="683"/>
      <c r="M538" s="683"/>
      <c r="N538" s="683"/>
    </row>
    <row r="539">
      <c r="A539" s="683"/>
      <c r="B539" s="683"/>
      <c r="C539" s="683"/>
      <c r="D539" s="683"/>
      <c r="E539" s="683"/>
      <c r="F539" s="683"/>
      <c r="G539" s="683"/>
      <c r="H539" s="683"/>
      <c r="I539" s="683"/>
      <c r="J539" s="683"/>
      <c r="K539" s="683"/>
      <c r="L539" s="683"/>
      <c r="M539" s="683"/>
      <c r="N539" s="683"/>
    </row>
    <row r="540">
      <c r="A540" s="683"/>
      <c r="B540" s="683"/>
      <c r="C540" s="683"/>
      <c r="D540" s="683"/>
      <c r="E540" s="683"/>
      <c r="F540" s="683"/>
      <c r="G540" s="683"/>
      <c r="H540" s="683"/>
      <c r="I540" s="683"/>
      <c r="J540" s="683"/>
      <c r="K540" s="683"/>
      <c r="L540" s="683"/>
      <c r="M540" s="683"/>
      <c r="N540" s="683"/>
    </row>
    <row r="541">
      <c r="A541" s="683"/>
      <c r="B541" s="683"/>
      <c r="C541" s="683"/>
      <c r="D541" s="683"/>
      <c r="E541" s="683"/>
      <c r="F541" s="683"/>
      <c r="G541" s="683"/>
      <c r="H541" s="683"/>
      <c r="I541" s="683"/>
      <c r="J541" s="683"/>
      <c r="K541" s="683"/>
      <c r="L541" s="683"/>
      <c r="M541" s="683"/>
      <c r="N541" s="683"/>
    </row>
    <row r="542">
      <c r="A542" s="683"/>
      <c r="B542" s="683"/>
      <c r="C542" s="683"/>
      <c r="D542" s="683"/>
      <c r="E542" s="683"/>
      <c r="F542" s="683"/>
      <c r="G542" s="683"/>
      <c r="H542" s="683"/>
      <c r="I542" s="683"/>
      <c r="J542" s="683"/>
      <c r="K542" s="683"/>
      <c r="L542" s="683"/>
      <c r="M542" s="683"/>
      <c r="N542" s="683"/>
    </row>
    <row r="543">
      <c r="A543" s="683"/>
      <c r="B543" s="683"/>
      <c r="C543" s="683"/>
      <c r="D543" s="683"/>
      <c r="E543" s="683"/>
      <c r="F543" s="683"/>
      <c r="G543" s="683"/>
      <c r="H543" s="683"/>
      <c r="I543" s="683"/>
      <c r="J543" s="683"/>
      <c r="K543" s="683"/>
      <c r="L543" s="683"/>
      <c r="M543" s="683"/>
      <c r="N543" s="683"/>
    </row>
    <row r="544">
      <c r="A544" s="683"/>
      <c r="B544" s="683"/>
      <c r="C544" s="683"/>
      <c r="D544" s="683"/>
      <c r="E544" s="683"/>
      <c r="F544" s="683"/>
      <c r="G544" s="683"/>
      <c r="H544" s="683"/>
      <c r="I544" s="683"/>
      <c r="J544" s="683"/>
      <c r="K544" s="683"/>
      <c r="L544" s="683"/>
      <c r="M544" s="683"/>
      <c r="N544" s="683"/>
    </row>
    <row r="545">
      <c r="A545" s="683"/>
      <c r="B545" s="683"/>
      <c r="C545" s="683"/>
      <c r="D545" s="683"/>
      <c r="E545" s="683"/>
      <c r="F545" s="683"/>
      <c r="G545" s="683"/>
      <c r="H545" s="683"/>
      <c r="I545" s="683"/>
      <c r="J545" s="683"/>
      <c r="K545" s="683"/>
      <c r="L545" s="683"/>
      <c r="M545" s="683"/>
      <c r="N545" s="683"/>
    </row>
    <row r="546">
      <c r="A546" s="683"/>
      <c r="B546" s="683"/>
      <c r="C546" s="683"/>
      <c r="D546" s="683"/>
      <c r="E546" s="683"/>
      <c r="F546" s="683"/>
      <c r="G546" s="683"/>
      <c r="H546" s="683"/>
      <c r="I546" s="683"/>
      <c r="J546" s="683"/>
      <c r="K546" s="683"/>
      <c r="L546" s="683"/>
      <c r="M546" s="683"/>
      <c r="N546" s="683"/>
    </row>
    <row r="547">
      <c r="A547" s="683"/>
      <c r="B547" s="683"/>
      <c r="C547" s="683"/>
      <c r="D547" s="683"/>
      <c r="E547" s="683"/>
      <c r="F547" s="683"/>
      <c r="G547" s="683"/>
      <c r="H547" s="683"/>
      <c r="I547" s="683"/>
      <c r="J547" s="683"/>
      <c r="K547" s="683"/>
      <c r="L547" s="683"/>
      <c r="M547" s="683"/>
      <c r="N547" s="683"/>
    </row>
    <row r="548">
      <c r="A548" s="683"/>
      <c r="B548" s="683"/>
      <c r="C548" s="683"/>
      <c r="D548" s="683"/>
      <c r="E548" s="683"/>
      <c r="F548" s="683"/>
      <c r="G548" s="683"/>
      <c r="H548" s="683"/>
      <c r="I548" s="683"/>
      <c r="J548" s="683"/>
      <c r="K548" s="683"/>
      <c r="L548" s="683"/>
      <c r="M548" s="683"/>
      <c r="N548" s="683"/>
    </row>
    <row r="549">
      <c r="A549" s="683"/>
      <c r="B549" s="683"/>
      <c r="C549" s="683"/>
      <c r="D549" s="683"/>
      <c r="E549" s="683"/>
      <c r="F549" s="683"/>
      <c r="G549" s="683"/>
      <c r="H549" s="683"/>
      <c r="I549" s="683"/>
      <c r="J549" s="683"/>
      <c r="K549" s="683"/>
      <c r="L549" s="683"/>
      <c r="M549" s="683"/>
      <c r="N549" s="683"/>
    </row>
    <row r="550">
      <c r="A550" s="683"/>
      <c r="B550" s="683"/>
      <c r="C550" s="683"/>
      <c r="D550" s="683"/>
      <c r="E550" s="683"/>
      <c r="F550" s="683"/>
      <c r="G550" s="683"/>
      <c r="H550" s="683"/>
      <c r="I550" s="683"/>
      <c r="J550" s="683"/>
      <c r="K550" s="683"/>
      <c r="L550" s="683"/>
      <c r="M550" s="683"/>
      <c r="N550" s="683"/>
    </row>
    <row r="551">
      <c r="A551" s="683"/>
      <c r="B551" s="683"/>
      <c r="C551" s="683"/>
      <c r="D551" s="683"/>
      <c r="E551" s="683"/>
      <c r="F551" s="683"/>
      <c r="G551" s="683"/>
      <c r="H551" s="683"/>
      <c r="I551" s="683"/>
      <c r="J551" s="683"/>
      <c r="K551" s="683"/>
      <c r="L551" s="683"/>
      <c r="M551" s="683"/>
      <c r="N551" s="683"/>
    </row>
    <row r="552">
      <c r="A552" s="683"/>
      <c r="B552" s="683"/>
      <c r="C552" s="683"/>
      <c r="D552" s="683"/>
      <c r="E552" s="683"/>
      <c r="F552" s="683"/>
      <c r="G552" s="683"/>
      <c r="H552" s="683"/>
      <c r="I552" s="683"/>
      <c r="J552" s="683"/>
      <c r="K552" s="683"/>
      <c r="L552" s="683"/>
      <c r="M552" s="683"/>
      <c r="N552" s="683"/>
    </row>
    <row r="553">
      <c r="A553" s="683"/>
      <c r="B553" s="683"/>
      <c r="C553" s="683"/>
      <c r="D553" s="683"/>
      <c r="E553" s="683"/>
      <c r="F553" s="683"/>
      <c r="G553" s="683"/>
      <c r="H553" s="683"/>
      <c r="I553" s="683"/>
      <c r="J553" s="683"/>
      <c r="K553" s="683"/>
      <c r="L553" s="683"/>
      <c r="M553" s="683"/>
      <c r="N553" s="683"/>
    </row>
    <row r="554">
      <c r="A554" s="683"/>
      <c r="B554" s="683"/>
      <c r="C554" s="683"/>
      <c r="D554" s="683"/>
      <c r="E554" s="683"/>
      <c r="F554" s="683"/>
      <c r="G554" s="683"/>
      <c r="H554" s="683"/>
      <c r="I554" s="683"/>
      <c r="J554" s="683"/>
      <c r="K554" s="683"/>
      <c r="L554" s="683"/>
      <c r="M554" s="683"/>
      <c r="N554" s="683"/>
    </row>
    <row r="555">
      <c r="A555" s="683"/>
      <c r="B555" s="683"/>
      <c r="C555" s="683"/>
      <c r="D555" s="683"/>
      <c r="E555" s="683"/>
      <c r="F555" s="683"/>
      <c r="G555" s="683"/>
      <c r="H555" s="683"/>
      <c r="I555" s="683"/>
      <c r="J555" s="683"/>
      <c r="K555" s="683"/>
      <c r="L555" s="683"/>
      <c r="M555" s="683"/>
      <c r="N555" s="683"/>
    </row>
    <row r="556">
      <c r="A556" s="683"/>
      <c r="B556" s="683"/>
      <c r="C556" s="683"/>
      <c r="D556" s="683"/>
      <c r="E556" s="683"/>
      <c r="F556" s="683"/>
      <c r="G556" s="683"/>
      <c r="H556" s="683"/>
      <c r="I556" s="683"/>
      <c r="J556" s="683"/>
      <c r="K556" s="683"/>
      <c r="L556" s="683"/>
      <c r="M556" s="683"/>
      <c r="N556" s="683"/>
    </row>
    <row r="557">
      <c r="A557" s="683"/>
      <c r="B557" s="683"/>
      <c r="C557" s="683"/>
      <c r="D557" s="683"/>
      <c r="E557" s="683"/>
      <c r="F557" s="683"/>
      <c r="G557" s="683"/>
      <c r="H557" s="683"/>
      <c r="I557" s="683"/>
      <c r="J557" s="683"/>
      <c r="K557" s="683"/>
      <c r="L557" s="683"/>
      <c r="M557" s="683"/>
      <c r="N557" s="683"/>
    </row>
    <row r="558">
      <c r="A558" s="683"/>
      <c r="B558" s="683"/>
      <c r="C558" s="683"/>
      <c r="D558" s="683"/>
      <c r="E558" s="683"/>
      <c r="F558" s="683"/>
      <c r="G558" s="683"/>
      <c r="H558" s="683"/>
      <c r="I558" s="683"/>
      <c r="J558" s="683"/>
      <c r="K558" s="683"/>
      <c r="L558" s="683"/>
      <c r="M558" s="683"/>
      <c r="N558" s="683"/>
    </row>
    <row r="559">
      <c r="A559" s="683"/>
      <c r="B559" s="683"/>
      <c r="C559" s="683"/>
      <c r="D559" s="683"/>
      <c r="E559" s="683"/>
      <c r="F559" s="683"/>
      <c r="G559" s="683"/>
      <c r="H559" s="683"/>
      <c r="I559" s="683"/>
      <c r="J559" s="683"/>
      <c r="K559" s="683"/>
      <c r="L559" s="683"/>
      <c r="M559" s="683"/>
      <c r="N559" s="683"/>
    </row>
    <row r="560">
      <c r="A560" s="683"/>
      <c r="B560" s="683"/>
      <c r="C560" s="683"/>
      <c r="D560" s="683"/>
      <c r="E560" s="683"/>
      <c r="F560" s="683"/>
      <c r="G560" s="683"/>
      <c r="H560" s="683"/>
      <c r="I560" s="683"/>
      <c r="J560" s="683"/>
      <c r="K560" s="683"/>
      <c r="L560" s="683"/>
      <c r="M560" s="683"/>
      <c r="N560" s="683"/>
    </row>
    <row r="561">
      <c r="A561" s="683"/>
      <c r="B561" s="683"/>
      <c r="C561" s="683"/>
      <c r="D561" s="683"/>
      <c r="E561" s="683"/>
      <c r="F561" s="683"/>
      <c r="G561" s="683"/>
      <c r="H561" s="683"/>
      <c r="I561" s="683"/>
      <c r="J561" s="683"/>
      <c r="K561" s="683"/>
      <c r="L561" s="683"/>
      <c r="M561" s="683"/>
      <c r="N561" s="683"/>
    </row>
    <row r="562">
      <c r="A562" s="683"/>
      <c r="B562" s="683"/>
      <c r="C562" s="683"/>
      <c r="D562" s="683"/>
      <c r="E562" s="683"/>
      <c r="F562" s="683"/>
      <c r="G562" s="683"/>
      <c r="H562" s="683"/>
      <c r="I562" s="683"/>
      <c r="J562" s="683"/>
      <c r="K562" s="683"/>
      <c r="L562" s="683"/>
      <c r="M562" s="683"/>
      <c r="N562" s="683"/>
    </row>
    <row r="563">
      <c r="A563" s="683"/>
      <c r="B563" s="683"/>
      <c r="C563" s="683"/>
      <c r="D563" s="683"/>
      <c r="E563" s="683"/>
      <c r="F563" s="683"/>
      <c r="G563" s="683"/>
      <c r="H563" s="683"/>
      <c r="I563" s="683"/>
      <c r="J563" s="683"/>
      <c r="K563" s="683"/>
      <c r="L563" s="683"/>
      <c r="M563" s="683"/>
      <c r="N563" s="683"/>
    </row>
    <row r="564">
      <c r="A564" s="683"/>
      <c r="B564" s="683"/>
      <c r="C564" s="683"/>
      <c r="D564" s="683"/>
      <c r="E564" s="683"/>
      <c r="F564" s="683"/>
      <c r="G564" s="683"/>
      <c r="H564" s="683"/>
      <c r="I564" s="683"/>
      <c r="J564" s="683"/>
      <c r="K564" s="683"/>
      <c r="L564" s="683"/>
      <c r="M564" s="683"/>
      <c r="N564" s="683"/>
    </row>
    <row r="565">
      <c r="A565" s="683"/>
      <c r="B565" s="683"/>
      <c r="C565" s="683"/>
      <c r="D565" s="683"/>
      <c r="E565" s="683"/>
      <c r="F565" s="683"/>
      <c r="G565" s="683"/>
      <c r="H565" s="683"/>
      <c r="I565" s="683"/>
      <c r="J565" s="683"/>
      <c r="K565" s="683"/>
      <c r="L565" s="683"/>
      <c r="M565" s="683"/>
      <c r="N565" s="683"/>
    </row>
    <row r="566">
      <c r="A566" s="683"/>
      <c r="B566" s="683"/>
      <c r="C566" s="683"/>
      <c r="D566" s="683"/>
      <c r="E566" s="683"/>
      <c r="F566" s="683"/>
      <c r="G566" s="683"/>
      <c r="H566" s="683"/>
      <c r="I566" s="683"/>
      <c r="J566" s="683"/>
      <c r="K566" s="683"/>
      <c r="L566" s="683"/>
      <c r="M566" s="683"/>
      <c r="N566" s="683"/>
    </row>
    <row r="567">
      <c r="A567" s="683"/>
      <c r="B567" s="683"/>
      <c r="C567" s="683"/>
      <c r="D567" s="683"/>
      <c r="E567" s="683"/>
      <c r="F567" s="683"/>
      <c r="G567" s="683"/>
      <c r="H567" s="683"/>
      <c r="I567" s="683"/>
      <c r="J567" s="683"/>
      <c r="K567" s="683"/>
      <c r="L567" s="683"/>
      <c r="M567" s="683"/>
      <c r="N567" s="683"/>
    </row>
    <row r="568">
      <c r="A568" s="683"/>
      <c r="B568" s="683"/>
      <c r="C568" s="683"/>
      <c r="D568" s="683"/>
      <c r="E568" s="683"/>
      <c r="F568" s="683"/>
      <c r="G568" s="683"/>
      <c r="H568" s="683"/>
      <c r="I568" s="683"/>
      <c r="J568" s="683"/>
      <c r="K568" s="683"/>
      <c r="L568" s="683"/>
      <c r="M568" s="683"/>
      <c r="N568" s="683"/>
    </row>
    <row r="569">
      <c r="A569" s="683"/>
      <c r="B569" s="683"/>
      <c r="C569" s="683"/>
      <c r="D569" s="683"/>
      <c r="E569" s="683"/>
      <c r="F569" s="683"/>
      <c r="G569" s="683"/>
      <c r="H569" s="683"/>
      <c r="I569" s="683"/>
      <c r="J569" s="683"/>
      <c r="K569" s="683"/>
      <c r="L569" s="683"/>
      <c r="M569" s="683"/>
      <c r="N569" s="683"/>
    </row>
    <row r="570">
      <c r="A570" s="683"/>
      <c r="B570" s="683"/>
      <c r="C570" s="683"/>
      <c r="D570" s="683"/>
      <c r="E570" s="683"/>
      <c r="F570" s="683"/>
      <c r="G570" s="683"/>
      <c r="H570" s="683"/>
      <c r="I570" s="683"/>
      <c r="J570" s="683"/>
      <c r="K570" s="683"/>
      <c r="L570" s="683"/>
      <c r="M570" s="683"/>
      <c r="N570" s="683"/>
    </row>
    <row r="571">
      <c r="A571" s="683"/>
      <c r="B571" s="683"/>
      <c r="C571" s="683"/>
      <c r="D571" s="683"/>
      <c r="E571" s="683"/>
      <c r="F571" s="683"/>
      <c r="G571" s="683"/>
      <c r="H571" s="683"/>
      <c r="I571" s="683"/>
      <c r="J571" s="683"/>
      <c r="K571" s="683"/>
      <c r="L571" s="683"/>
      <c r="M571" s="683"/>
      <c r="N571" s="683"/>
    </row>
    <row r="572">
      <c r="A572" s="683"/>
      <c r="B572" s="683"/>
      <c r="C572" s="683"/>
      <c r="D572" s="683"/>
      <c r="E572" s="683"/>
      <c r="F572" s="683"/>
      <c r="G572" s="683"/>
      <c r="H572" s="683"/>
      <c r="I572" s="683"/>
      <c r="J572" s="683"/>
      <c r="K572" s="683"/>
      <c r="L572" s="683"/>
      <c r="M572" s="683"/>
      <c r="N572" s="683"/>
    </row>
    <row r="573">
      <c r="A573" s="683"/>
      <c r="B573" s="683"/>
      <c r="C573" s="683"/>
      <c r="D573" s="683"/>
      <c r="E573" s="683"/>
      <c r="F573" s="683"/>
      <c r="G573" s="683"/>
      <c r="H573" s="683"/>
      <c r="I573" s="683"/>
      <c r="J573" s="683"/>
      <c r="K573" s="683"/>
      <c r="L573" s="683"/>
      <c r="M573" s="683"/>
      <c r="N573" s="683"/>
    </row>
    <row r="574">
      <c r="A574" s="683"/>
      <c r="B574" s="683"/>
      <c r="C574" s="683"/>
      <c r="D574" s="683"/>
      <c r="E574" s="683"/>
      <c r="F574" s="683"/>
      <c r="G574" s="683"/>
      <c r="H574" s="683"/>
      <c r="I574" s="683"/>
      <c r="J574" s="683"/>
      <c r="K574" s="683"/>
      <c r="L574" s="683"/>
      <c r="M574" s="683"/>
      <c r="N574" s="683"/>
    </row>
    <row r="575">
      <c r="A575" s="683"/>
      <c r="B575" s="683"/>
      <c r="C575" s="683"/>
      <c r="D575" s="683"/>
      <c r="E575" s="683"/>
      <c r="F575" s="683"/>
      <c r="G575" s="683"/>
      <c r="H575" s="683"/>
      <c r="I575" s="683"/>
      <c r="J575" s="683"/>
      <c r="K575" s="683"/>
      <c r="L575" s="683"/>
      <c r="M575" s="683"/>
      <c r="N575" s="683"/>
    </row>
    <row r="576">
      <c r="A576" s="683"/>
      <c r="B576" s="683"/>
      <c r="C576" s="683"/>
      <c r="D576" s="683"/>
      <c r="E576" s="683"/>
      <c r="F576" s="683"/>
      <c r="G576" s="683"/>
      <c r="H576" s="683"/>
      <c r="I576" s="683"/>
      <c r="J576" s="683"/>
      <c r="K576" s="683"/>
      <c r="L576" s="683"/>
      <c r="M576" s="683"/>
      <c r="N576" s="683"/>
    </row>
    <row r="577">
      <c r="A577" s="683"/>
      <c r="B577" s="683"/>
      <c r="C577" s="683"/>
      <c r="D577" s="683"/>
      <c r="E577" s="683"/>
      <c r="F577" s="683"/>
      <c r="G577" s="683"/>
      <c r="H577" s="683"/>
      <c r="I577" s="683"/>
      <c r="J577" s="683"/>
      <c r="K577" s="683"/>
      <c r="L577" s="683"/>
      <c r="M577" s="683"/>
      <c r="N577" s="683"/>
    </row>
    <row r="578">
      <c r="A578" s="683"/>
      <c r="B578" s="683"/>
      <c r="C578" s="683"/>
      <c r="D578" s="683"/>
      <c r="E578" s="683"/>
      <c r="F578" s="683"/>
      <c r="G578" s="683"/>
      <c r="H578" s="683"/>
      <c r="I578" s="683"/>
      <c r="J578" s="683"/>
      <c r="K578" s="683"/>
      <c r="L578" s="683"/>
      <c r="M578" s="683"/>
      <c r="N578" s="683"/>
    </row>
    <row r="579">
      <c r="A579" s="683"/>
      <c r="B579" s="683"/>
      <c r="C579" s="683"/>
      <c r="D579" s="683"/>
      <c r="E579" s="683"/>
      <c r="F579" s="683"/>
      <c r="G579" s="683"/>
      <c r="H579" s="683"/>
      <c r="I579" s="683"/>
      <c r="J579" s="683"/>
      <c r="K579" s="683"/>
      <c r="L579" s="683"/>
      <c r="M579" s="683"/>
      <c r="N579" s="683"/>
    </row>
    <row r="580">
      <c r="A580" s="683"/>
      <c r="B580" s="683"/>
      <c r="C580" s="683"/>
      <c r="D580" s="683"/>
      <c r="E580" s="683"/>
      <c r="F580" s="683"/>
      <c r="G580" s="683"/>
      <c r="H580" s="683"/>
      <c r="I580" s="683"/>
      <c r="J580" s="683"/>
      <c r="K580" s="683"/>
      <c r="L580" s="683"/>
      <c r="M580" s="683"/>
      <c r="N580" s="683"/>
    </row>
    <row r="581">
      <c r="A581" s="683"/>
      <c r="B581" s="683"/>
      <c r="C581" s="683"/>
      <c r="D581" s="683"/>
      <c r="E581" s="683"/>
      <c r="F581" s="683"/>
      <c r="G581" s="683"/>
      <c r="H581" s="683"/>
      <c r="I581" s="683"/>
      <c r="J581" s="683"/>
      <c r="K581" s="683"/>
      <c r="L581" s="683"/>
      <c r="M581" s="683"/>
      <c r="N581" s="683"/>
    </row>
    <row r="582">
      <c r="A582" s="683"/>
      <c r="B582" s="683"/>
      <c r="C582" s="683"/>
      <c r="D582" s="683"/>
      <c r="E582" s="683"/>
      <c r="F582" s="683"/>
      <c r="G582" s="683"/>
      <c r="H582" s="683"/>
      <c r="I582" s="683"/>
      <c r="J582" s="683"/>
      <c r="K582" s="683"/>
      <c r="L582" s="683"/>
      <c r="M582" s="683"/>
      <c r="N582" s="683"/>
    </row>
    <row r="583">
      <c r="A583" s="683"/>
      <c r="B583" s="683"/>
      <c r="C583" s="683"/>
      <c r="D583" s="683"/>
      <c r="E583" s="683"/>
      <c r="F583" s="683"/>
      <c r="G583" s="683"/>
      <c r="H583" s="683"/>
      <c r="I583" s="683"/>
      <c r="J583" s="683"/>
      <c r="K583" s="683"/>
      <c r="L583" s="683"/>
      <c r="M583" s="683"/>
      <c r="N583" s="683"/>
    </row>
    <row r="584">
      <c r="A584" s="683"/>
      <c r="B584" s="683"/>
      <c r="C584" s="683"/>
      <c r="D584" s="683"/>
      <c r="E584" s="683"/>
      <c r="F584" s="683"/>
      <c r="G584" s="683"/>
      <c r="H584" s="683"/>
      <c r="I584" s="683"/>
      <c r="J584" s="683"/>
      <c r="K584" s="683"/>
      <c r="L584" s="683"/>
      <c r="M584" s="683"/>
      <c r="N584" s="683"/>
    </row>
    <row r="585">
      <c r="A585" s="683"/>
      <c r="B585" s="683"/>
      <c r="C585" s="683"/>
      <c r="D585" s="683"/>
      <c r="E585" s="683"/>
      <c r="F585" s="683"/>
      <c r="G585" s="683"/>
      <c r="H585" s="683"/>
      <c r="I585" s="683"/>
      <c r="J585" s="683"/>
      <c r="K585" s="683"/>
      <c r="L585" s="683"/>
      <c r="M585" s="683"/>
      <c r="N585" s="683"/>
    </row>
    <row r="586">
      <c r="A586" s="683"/>
      <c r="B586" s="683"/>
      <c r="C586" s="683"/>
      <c r="D586" s="683"/>
      <c r="E586" s="683"/>
      <c r="F586" s="683"/>
      <c r="G586" s="683"/>
      <c r="H586" s="683"/>
      <c r="I586" s="683"/>
      <c r="J586" s="683"/>
      <c r="K586" s="683"/>
      <c r="L586" s="683"/>
      <c r="M586" s="683"/>
      <c r="N586" s="683"/>
    </row>
    <row r="587">
      <c r="A587" s="683"/>
      <c r="B587" s="683"/>
      <c r="C587" s="683"/>
      <c r="D587" s="683"/>
      <c r="E587" s="683"/>
      <c r="F587" s="683"/>
      <c r="G587" s="683"/>
      <c r="H587" s="683"/>
      <c r="I587" s="683"/>
      <c r="J587" s="683"/>
      <c r="K587" s="683"/>
      <c r="L587" s="683"/>
      <c r="M587" s="683"/>
      <c r="N587" s="683"/>
    </row>
    <row r="588">
      <c r="A588" s="683"/>
      <c r="B588" s="683"/>
      <c r="C588" s="683"/>
      <c r="D588" s="683"/>
      <c r="E588" s="683"/>
      <c r="F588" s="683"/>
      <c r="G588" s="683"/>
      <c r="H588" s="683"/>
      <c r="I588" s="683"/>
      <c r="J588" s="683"/>
      <c r="K588" s="683"/>
      <c r="L588" s="683"/>
      <c r="M588" s="683"/>
      <c r="N588" s="683"/>
    </row>
    <row r="589">
      <c r="A589" s="683"/>
      <c r="B589" s="683"/>
      <c r="C589" s="683"/>
      <c r="D589" s="683"/>
      <c r="E589" s="683"/>
      <c r="F589" s="683"/>
      <c r="G589" s="683"/>
      <c r="H589" s="683"/>
      <c r="I589" s="683"/>
      <c r="J589" s="683"/>
      <c r="K589" s="683"/>
      <c r="L589" s="683"/>
      <c r="M589" s="683"/>
      <c r="N589" s="683"/>
    </row>
    <row r="590">
      <c r="A590" s="683"/>
      <c r="B590" s="683"/>
      <c r="C590" s="683"/>
      <c r="D590" s="683"/>
      <c r="E590" s="683"/>
      <c r="F590" s="683"/>
      <c r="G590" s="683"/>
      <c r="H590" s="683"/>
      <c r="I590" s="683"/>
      <c r="J590" s="683"/>
      <c r="K590" s="683"/>
      <c r="L590" s="683"/>
      <c r="M590" s="683"/>
      <c r="N590" s="683"/>
    </row>
    <row r="591">
      <c r="A591" s="683"/>
      <c r="B591" s="683"/>
      <c r="C591" s="683"/>
      <c r="D591" s="683"/>
      <c r="E591" s="683"/>
      <c r="F591" s="683"/>
      <c r="G591" s="683"/>
      <c r="H591" s="683"/>
      <c r="I591" s="683"/>
      <c r="J591" s="683"/>
      <c r="K591" s="683"/>
      <c r="L591" s="683"/>
      <c r="M591" s="683"/>
      <c r="N591" s="683"/>
    </row>
    <row r="592">
      <c r="A592" s="683"/>
      <c r="B592" s="683"/>
      <c r="C592" s="683"/>
      <c r="D592" s="683"/>
      <c r="E592" s="683"/>
      <c r="F592" s="683"/>
      <c r="G592" s="683"/>
      <c r="H592" s="683"/>
      <c r="I592" s="683"/>
      <c r="J592" s="683"/>
      <c r="K592" s="683"/>
      <c r="L592" s="683"/>
      <c r="M592" s="683"/>
      <c r="N592" s="683"/>
    </row>
    <row r="593">
      <c r="A593" s="683"/>
      <c r="B593" s="683"/>
      <c r="C593" s="683"/>
      <c r="D593" s="683"/>
      <c r="E593" s="683"/>
      <c r="F593" s="683"/>
      <c r="G593" s="683"/>
      <c r="H593" s="683"/>
      <c r="I593" s="683"/>
      <c r="J593" s="683"/>
      <c r="K593" s="683"/>
      <c r="L593" s="683"/>
      <c r="M593" s="683"/>
      <c r="N593" s="683"/>
    </row>
    <row r="594">
      <c r="A594" s="683"/>
      <c r="B594" s="683"/>
      <c r="C594" s="683"/>
      <c r="D594" s="683"/>
      <c r="E594" s="683"/>
      <c r="F594" s="683"/>
      <c r="G594" s="683"/>
      <c r="H594" s="683"/>
      <c r="I594" s="683"/>
      <c r="J594" s="683"/>
      <c r="K594" s="683"/>
      <c r="L594" s="683"/>
      <c r="M594" s="683"/>
      <c r="N594" s="683"/>
    </row>
    <row r="595">
      <c r="A595" s="683"/>
      <c r="B595" s="683"/>
      <c r="C595" s="683"/>
      <c r="D595" s="683"/>
      <c r="E595" s="683"/>
      <c r="F595" s="683"/>
      <c r="G595" s="683"/>
      <c r="H595" s="683"/>
      <c r="I595" s="683"/>
      <c r="J595" s="683"/>
      <c r="K595" s="683"/>
      <c r="L595" s="683"/>
      <c r="M595" s="683"/>
      <c r="N595" s="683"/>
    </row>
    <row r="596">
      <c r="A596" s="683"/>
      <c r="B596" s="683"/>
      <c r="C596" s="683"/>
      <c r="D596" s="683"/>
      <c r="E596" s="683"/>
      <c r="F596" s="683"/>
      <c r="G596" s="683"/>
      <c r="H596" s="683"/>
      <c r="I596" s="683"/>
      <c r="J596" s="683"/>
      <c r="K596" s="683"/>
      <c r="L596" s="683"/>
      <c r="M596" s="683"/>
      <c r="N596" s="683"/>
    </row>
    <row r="597">
      <c r="A597" s="683"/>
      <c r="B597" s="683"/>
      <c r="C597" s="683"/>
      <c r="D597" s="683"/>
      <c r="E597" s="683"/>
      <c r="F597" s="683"/>
      <c r="G597" s="683"/>
      <c r="H597" s="683"/>
      <c r="I597" s="683"/>
      <c r="J597" s="683"/>
      <c r="K597" s="683"/>
      <c r="L597" s="683"/>
      <c r="M597" s="683"/>
      <c r="N597" s="683"/>
    </row>
    <row r="598">
      <c r="A598" s="683"/>
      <c r="B598" s="683"/>
      <c r="C598" s="683"/>
      <c r="D598" s="683"/>
      <c r="E598" s="683"/>
      <c r="F598" s="683"/>
      <c r="G598" s="683"/>
      <c r="H598" s="683"/>
      <c r="I598" s="683"/>
      <c r="J598" s="683"/>
      <c r="K598" s="683"/>
      <c r="L598" s="683"/>
      <c r="M598" s="683"/>
      <c r="N598" s="683"/>
    </row>
    <row r="599">
      <c r="A599" s="683"/>
      <c r="B599" s="683"/>
      <c r="C599" s="683"/>
      <c r="D599" s="683"/>
      <c r="E599" s="683"/>
      <c r="F599" s="683"/>
      <c r="G599" s="683"/>
      <c r="H599" s="683"/>
      <c r="I599" s="683"/>
      <c r="J599" s="683"/>
      <c r="K599" s="683"/>
      <c r="L599" s="683"/>
      <c r="M599" s="683"/>
      <c r="N599" s="683"/>
    </row>
    <row r="600">
      <c r="A600" s="683"/>
      <c r="B600" s="683"/>
      <c r="C600" s="683"/>
      <c r="D600" s="683"/>
      <c r="E600" s="683"/>
      <c r="F600" s="683"/>
      <c r="G600" s="683"/>
      <c r="H600" s="683"/>
      <c r="I600" s="683"/>
      <c r="J600" s="683"/>
      <c r="K600" s="683"/>
      <c r="L600" s="683"/>
      <c r="M600" s="683"/>
      <c r="N600" s="683"/>
    </row>
    <row r="601">
      <c r="A601" s="683"/>
      <c r="B601" s="683"/>
      <c r="C601" s="683"/>
      <c r="D601" s="683"/>
      <c r="E601" s="683"/>
      <c r="F601" s="683"/>
      <c r="G601" s="683"/>
      <c r="H601" s="683"/>
      <c r="I601" s="683"/>
      <c r="J601" s="683"/>
      <c r="K601" s="683"/>
      <c r="L601" s="683"/>
      <c r="M601" s="683"/>
      <c r="N601" s="683"/>
    </row>
    <row r="602">
      <c r="A602" s="683"/>
      <c r="B602" s="683"/>
      <c r="C602" s="683"/>
      <c r="D602" s="683"/>
      <c r="E602" s="683"/>
      <c r="F602" s="683"/>
      <c r="G602" s="683"/>
      <c r="H602" s="683"/>
      <c r="I602" s="683"/>
      <c r="J602" s="683"/>
      <c r="K602" s="683"/>
      <c r="L602" s="683"/>
      <c r="M602" s="683"/>
      <c r="N602" s="683"/>
    </row>
    <row r="603">
      <c r="A603" s="683"/>
      <c r="B603" s="683"/>
      <c r="C603" s="683"/>
      <c r="D603" s="683"/>
      <c r="E603" s="683"/>
      <c r="F603" s="683"/>
      <c r="G603" s="683"/>
      <c r="H603" s="683"/>
      <c r="I603" s="683"/>
      <c r="J603" s="683"/>
      <c r="K603" s="683"/>
      <c r="L603" s="683"/>
      <c r="M603" s="683"/>
      <c r="N603" s="683"/>
    </row>
    <row r="604">
      <c r="A604" s="683"/>
      <c r="B604" s="683"/>
      <c r="C604" s="683"/>
      <c r="D604" s="683"/>
      <c r="E604" s="683"/>
      <c r="F604" s="683"/>
      <c r="G604" s="683"/>
      <c r="H604" s="683"/>
      <c r="I604" s="683"/>
      <c r="J604" s="683"/>
      <c r="K604" s="683"/>
      <c r="L604" s="683"/>
      <c r="M604" s="683"/>
      <c r="N604" s="683"/>
    </row>
    <row r="605">
      <c r="A605" s="683"/>
      <c r="B605" s="683"/>
      <c r="C605" s="683"/>
      <c r="D605" s="683"/>
      <c r="E605" s="683"/>
      <c r="F605" s="683"/>
      <c r="G605" s="683"/>
      <c r="H605" s="683"/>
      <c r="I605" s="683"/>
      <c r="J605" s="683"/>
      <c r="K605" s="683"/>
      <c r="L605" s="683"/>
      <c r="M605" s="683"/>
      <c r="N605" s="683"/>
    </row>
    <row r="606">
      <c r="A606" s="683"/>
      <c r="B606" s="683"/>
      <c r="C606" s="683"/>
      <c r="D606" s="683"/>
      <c r="E606" s="683"/>
      <c r="F606" s="683"/>
      <c r="G606" s="683"/>
      <c r="H606" s="683"/>
      <c r="I606" s="683"/>
      <c r="J606" s="683"/>
      <c r="K606" s="683"/>
      <c r="L606" s="683"/>
      <c r="M606" s="683"/>
      <c r="N606" s="683"/>
    </row>
    <row r="607">
      <c r="A607" s="683"/>
      <c r="B607" s="683"/>
      <c r="C607" s="683"/>
      <c r="D607" s="683"/>
      <c r="E607" s="683"/>
      <c r="F607" s="683"/>
      <c r="G607" s="683"/>
      <c r="H607" s="683"/>
      <c r="I607" s="683"/>
      <c r="J607" s="683"/>
      <c r="K607" s="683"/>
      <c r="L607" s="683"/>
      <c r="M607" s="683"/>
      <c r="N607" s="683"/>
    </row>
    <row r="608">
      <c r="A608" s="683"/>
      <c r="B608" s="683"/>
      <c r="C608" s="683"/>
      <c r="D608" s="683"/>
      <c r="E608" s="683"/>
      <c r="F608" s="683"/>
      <c r="G608" s="683"/>
      <c r="H608" s="683"/>
      <c r="I608" s="683"/>
      <c r="J608" s="683"/>
      <c r="K608" s="683"/>
      <c r="L608" s="683"/>
      <c r="M608" s="683"/>
      <c r="N608" s="683"/>
    </row>
    <row r="609">
      <c r="A609" s="683"/>
      <c r="B609" s="683"/>
      <c r="C609" s="683"/>
      <c r="D609" s="683"/>
      <c r="E609" s="683"/>
      <c r="F609" s="683"/>
      <c r="G609" s="683"/>
      <c r="H609" s="683"/>
      <c r="I609" s="683"/>
      <c r="J609" s="683"/>
      <c r="K609" s="683"/>
      <c r="L609" s="683"/>
      <c r="M609" s="683"/>
      <c r="N609" s="683"/>
    </row>
    <row r="610">
      <c r="A610" s="683"/>
      <c r="B610" s="683"/>
      <c r="C610" s="683"/>
      <c r="D610" s="683"/>
      <c r="E610" s="683"/>
      <c r="F610" s="683"/>
      <c r="G610" s="683"/>
      <c r="H610" s="683"/>
      <c r="I610" s="683"/>
      <c r="J610" s="683"/>
      <c r="K610" s="683"/>
      <c r="L610" s="683"/>
      <c r="M610" s="683"/>
      <c r="N610" s="683"/>
    </row>
    <row r="611">
      <c r="A611" s="683"/>
      <c r="B611" s="683"/>
      <c r="C611" s="683"/>
      <c r="D611" s="683"/>
      <c r="E611" s="683"/>
      <c r="F611" s="683"/>
      <c r="G611" s="683"/>
      <c r="H611" s="683"/>
      <c r="I611" s="683"/>
      <c r="J611" s="683"/>
      <c r="K611" s="683"/>
      <c r="L611" s="683"/>
      <c r="M611" s="683"/>
      <c r="N611" s="683"/>
    </row>
    <row r="612">
      <c r="A612" s="683"/>
      <c r="B612" s="683"/>
      <c r="C612" s="683"/>
      <c r="D612" s="683"/>
      <c r="E612" s="683"/>
      <c r="F612" s="683"/>
      <c r="G612" s="683"/>
      <c r="H612" s="683"/>
      <c r="I612" s="683"/>
      <c r="J612" s="683"/>
      <c r="K612" s="683"/>
      <c r="L612" s="683"/>
      <c r="M612" s="683"/>
      <c r="N612" s="683"/>
    </row>
    <row r="613">
      <c r="A613" s="683"/>
      <c r="B613" s="683"/>
      <c r="C613" s="683"/>
      <c r="D613" s="683"/>
      <c r="E613" s="683"/>
      <c r="F613" s="683"/>
      <c r="G613" s="683"/>
      <c r="H613" s="683"/>
      <c r="I613" s="683"/>
      <c r="J613" s="683"/>
      <c r="K613" s="683"/>
      <c r="L613" s="683"/>
      <c r="M613" s="683"/>
      <c r="N613" s="683"/>
    </row>
    <row r="614">
      <c r="A614" s="683"/>
      <c r="B614" s="683"/>
      <c r="C614" s="683"/>
      <c r="D614" s="683"/>
      <c r="E614" s="683"/>
      <c r="F614" s="683"/>
      <c r="G614" s="683"/>
      <c r="H614" s="683"/>
      <c r="I614" s="683"/>
      <c r="J614" s="683"/>
      <c r="K614" s="683"/>
      <c r="L614" s="683"/>
      <c r="M614" s="683"/>
      <c r="N614" s="683"/>
    </row>
    <row r="615">
      <c r="A615" s="683"/>
      <c r="B615" s="683"/>
      <c r="C615" s="683"/>
      <c r="D615" s="683"/>
      <c r="E615" s="683"/>
      <c r="F615" s="683"/>
      <c r="G615" s="683"/>
      <c r="H615" s="683"/>
      <c r="I615" s="683"/>
      <c r="J615" s="683"/>
      <c r="K615" s="683"/>
      <c r="L615" s="683"/>
      <c r="M615" s="683"/>
      <c r="N615" s="683"/>
    </row>
    <row r="616">
      <c r="A616" s="683"/>
      <c r="B616" s="683"/>
      <c r="C616" s="683"/>
      <c r="D616" s="683"/>
      <c r="E616" s="683"/>
      <c r="F616" s="683"/>
      <c r="G616" s="683"/>
      <c r="H616" s="683"/>
      <c r="I616" s="683"/>
      <c r="J616" s="683"/>
      <c r="K616" s="683"/>
      <c r="L616" s="683"/>
      <c r="M616" s="683"/>
      <c r="N616" s="683"/>
    </row>
    <row r="617">
      <c r="A617" s="683"/>
      <c r="B617" s="683"/>
      <c r="C617" s="683"/>
      <c r="D617" s="683"/>
      <c r="E617" s="683"/>
      <c r="F617" s="683"/>
      <c r="G617" s="683"/>
      <c r="H617" s="683"/>
      <c r="I617" s="683"/>
      <c r="J617" s="683"/>
      <c r="K617" s="683"/>
      <c r="L617" s="683"/>
      <c r="M617" s="683"/>
      <c r="N617" s="683"/>
    </row>
    <row r="618">
      <c r="A618" s="683"/>
      <c r="B618" s="683"/>
      <c r="C618" s="683"/>
      <c r="D618" s="683"/>
      <c r="E618" s="683"/>
      <c r="F618" s="683"/>
      <c r="G618" s="683"/>
      <c r="H618" s="683"/>
      <c r="I618" s="683"/>
      <c r="J618" s="683"/>
      <c r="K618" s="683"/>
      <c r="L618" s="683"/>
      <c r="M618" s="683"/>
      <c r="N618" s="683"/>
    </row>
    <row r="619">
      <c r="A619" s="683"/>
      <c r="B619" s="683"/>
      <c r="C619" s="683"/>
      <c r="D619" s="683"/>
      <c r="E619" s="683"/>
      <c r="F619" s="683"/>
      <c r="G619" s="683"/>
      <c r="H619" s="683"/>
      <c r="I619" s="683"/>
      <c r="J619" s="683"/>
      <c r="K619" s="683"/>
      <c r="L619" s="683"/>
      <c r="M619" s="683"/>
      <c r="N619" s="683"/>
    </row>
    <row r="620">
      <c r="A620" s="683"/>
      <c r="B620" s="683"/>
      <c r="C620" s="683"/>
      <c r="D620" s="683"/>
      <c r="E620" s="683"/>
      <c r="F620" s="683"/>
      <c r="G620" s="683"/>
      <c r="H620" s="683"/>
      <c r="I620" s="683"/>
      <c r="J620" s="683"/>
      <c r="K620" s="683"/>
      <c r="L620" s="683"/>
      <c r="M620" s="683"/>
      <c r="N620" s="683"/>
    </row>
    <row r="621">
      <c r="A621" s="683"/>
      <c r="B621" s="683"/>
      <c r="C621" s="683"/>
      <c r="D621" s="683"/>
      <c r="E621" s="683"/>
      <c r="F621" s="683"/>
      <c r="G621" s="683"/>
      <c r="H621" s="683"/>
      <c r="I621" s="683"/>
      <c r="J621" s="683"/>
      <c r="K621" s="683"/>
      <c r="L621" s="683"/>
      <c r="M621" s="683"/>
      <c r="N621" s="683"/>
    </row>
    <row r="622">
      <c r="A622" s="683"/>
      <c r="B622" s="683"/>
      <c r="C622" s="683"/>
      <c r="D622" s="683"/>
      <c r="E622" s="683"/>
      <c r="F622" s="683"/>
      <c r="G622" s="683"/>
      <c r="H622" s="683"/>
      <c r="I622" s="683"/>
      <c r="J622" s="683"/>
      <c r="K622" s="683"/>
      <c r="L622" s="683"/>
      <c r="M622" s="683"/>
      <c r="N622" s="683"/>
    </row>
    <row r="623">
      <c r="A623" s="683"/>
      <c r="B623" s="683"/>
      <c r="C623" s="683"/>
      <c r="D623" s="683"/>
      <c r="E623" s="683"/>
      <c r="F623" s="683"/>
      <c r="G623" s="683"/>
      <c r="H623" s="683"/>
      <c r="I623" s="683"/>
      <c r="J623" s="683"/>
      <c r="K623" s="683"/>
      <c r="L623" s="683"/>
      <c r="M623" s="683"/>
      <c r="N623" s="683"/>
    </row>
    <row r="624">
      <c r="A624" s="683"/>
      <c r="B624" s="683"/>
      <c r="C624" s="683"/>
      <c r="D624" s="683"/>
      <c r="E624" s="683"/>
      <c r="F624" s="683"/>
      <c r="G624" s="683"/>
      <c r="H624" s="683"/>
      <c r="I624" s="683"/>
      <c r="J624" s="683"/>
      <c r="K624" s="683"/>
      <c r="L624" s="683"/>
      <c r="M624" s="683"/>
      <c r="N624" s="683"/>
    </row>
    <row r="625">
      <c r="A625" s="683"/>
      <c r="B625" s="683"/>
      <c r="C625" s="683"/>
      <c r="D625" s="683"/>
      <c r="E625" s="683"/>
      <c r="F625" s="683"/>
      <c r="G625" s="683"/>
      <c r="H625" s="683"/>
      <c r="I625" s="683"/>
      <c r="J625" s="683"/>
      <c r="K625" s="683"/>
      <c r="L625" s="683"/>
      <c r="M625" s="683"/>
      <c r="N625" s="683"/>
    </row>
    <row r="626">
      <c r="A626" s="683"/>
      <c r="B626" s="683"/>
      <c r="C626" s="683"/>
      <c r="D626" s="683"/>
      <c r="E626" s="683"/>
      <c r="F626" s="683"/>
      <c r="G626" s="683"/>
      <c r="H626" s="683"/>
      <c r="I626" s="683"/>
      <c r="J626" s="683"/>
      <c r="K626" s="683"/>
      <c r="L626" s="683"/>
      <c r="M626" s="683"/>
      <c r="N626" s="683"/>
    </row>
    <row r="627">
      <c r="A627" s="683"/>
      <c r="B627" s="683"/>
      <c r="C627" s="683"/>
      <c r="D627" s="683"/>
      <c r="E627" s="683"/>
      <c r="F627" s="683"/>
      <c r="G627" s="683"/>
      <c r="H627" s="683"/>
      <c r="I627" s="683"/>
      <c r="J627" s="683"/>
      <c r="K627" s="683"/>
      <c r="L627" s="683"/>
      <c r="M627" s="683"/>
      <c r="N627" s="683"/>
    </row>
    <row r="628">
      <c r="A628" s="683"/>
      <c r="B628" s="683"/>
      <c r="C628" s="683"/>
      <c r="D628" s="683"/>
      <c r="E628" s="683"/>
      <c r="F628" s="683"/>
      <c r="G628" s="683"/>
      <c r="H628" s="683"/>
      <c r="I628" s="683"/>
      <c r="J628" s="683"/>
      <c r="K628" s="683"/>
      <c r="L628" s="683"/>
      <c r="M628" s="683"/>
      <c r="N628" s="683"/>
    </row>
    <row r="629">
      <c r="A629" s="683"/>
      <c r="B629" s="683"/>
      <c r="C629" s="683"/>
      <c r="D629" s="683"/>
      <c r="E629" s="683"/>
      <c r="F629" s="683"/>
      <c r="G629" s="683"/>
      <c r="H629" s="683"/>
      <c r="I629" s="683"/>
      <c r="J629" s="683"/>
      <c r="K629" s="683"/>
      <c r="L629" s="683"/>
      <c r="M629" s="683"/>
      <c r="N629" s="683"/>
    </row>
    <row r="630">
      <c r="A630" s="683"/>
      <c r="B630" s="683"/>
      <c r="C630" s="683"/>
      <c r="D630" s="683"/>
      <c r="E630" s="683"/>
      <c r="F630" s="683"/>
      <c r="G630" s="683"/>
      <c r="H630" s="683"/>
      <c r="I630" s="683"/>
      <c r="J630" s="683"/>
      <c r="K630" s="683"/>
      <c r="L630" s="683"/>
      <c r="M630" s="683"/>
      <c r="N630" s="683"/>
    </row>
    <row r="631">
      <c r="A631" s="683"/>
      <c r="B631" s="683"/>
      <c r="C631" s="683"/>
      <c r="D631" s="683"/>
      <c r="E631" s="683"/>
      <c r="F631" s="683"/>
      <c r="G631" s="683"/>
      <c r="H631" s="683"/>
      <c r="I631" s="683"/>
      <c r="J631" s="683"/>
      <c r="K631" s="683"/>
      <c r="L631" s="683"/>
      <c r="M631" s="683"/>
      <c r="N631" s="683"/>
    </row>
    <row r="632">
      <c r="A632" s="683"/>
      <c r="B632" s="683"/>
      <c r="C632" s="683"/>
      <c r="D632" s="683"/>
      <c r="E632" s="683"/>
      <c r="F632" s="683"/>
      <c r="G632" s="683"/>
      <c r="H632" s="683"/>
      <c r="I632" s="683"/>
      <c r="J632" s="683"/>
      <c r="K632" s="683"/>
      <c r="L632" s="683"/>
      <c r="M632" s="683"/>
      <c r="N632" s="683"/>
    </row>
    <row r="633">
      <c r="A633" s="683"/>
      <c r="B633" s="683"/>
      <c r="C633" s="683"/>
      <c r="D633" s="683"/>
      <c r="E633" s="683"/>
      <c r="F633" s="683"/>
      <c r="G633" s="683"/>
      <c r="H633" s="683"/>
      <c r="I633" s="683"/>
      <c r="J633" s="683"/>
      <c r="K633" s="683"/>
      <c r="L633" s="683"/>
      <c r="M633" s="683"/>
      <c r="N633" s="683"/>
    </row>
    <row r="634">
      <c r="A634" s="683"/>
      <c r="B634" s="683"/>
      <c r="C634" s="683"/>
      <c r="D634" s="683"/>
      <c r="E634" s="683"/>
      <c r="F634" s="683"/>
      <c r="G634" s="683"/>
      <c r="H634" s="683"/>
      <c r="I634" s="683"/>
      <c r="J634" s="683"/>
      <c r="K634" s="683"/>
      <c r="L634" s="683"/>
      <c r="M634" s="683"/>
      <c r="N634" s="683"/>
    </row>
    <row r="635">
      <c r="A635" s="683"/>
      <c r="B635" s="683"/>
      <c r="C635" s="683"/>
      <c r="D635" s="683"/>
      <c r="E635" s="683"/>
      <c r="F635" s="683"/>
      <c r="G635" s="683"/>
      <c r="H635" s="683"/>
      <c r="I635" s="683"/>
      <c r="J635" s="683"/>
      <c r="K635" s="683"/>
      <c r="L635" s="683"/>
      <c r="M635" s="683"/>
      <c r="N635" s="683"/>
    </row>
    <row r="636">
      <c r="A636" s="683"/>
      <c r="B636" s="683"/>
      <c r="C636" s="683"/>
      <c r="D636" s="683"/>
      <c r="E636" s="683"/>
      <c r="F636" s="683"/>
      <c r="G636" s="683"/>
      <c r="H636" s="683"/>
      <c r="I636" s="683"/>
      <c r="J636" s="683"/>
      <c r="K636" s="683"/>
      <c r="L636" s="683"/>
      <c r="M636" s="683"/>
      <c r="N636" s="683"/>
    </row>
    <row r="637">
      <c r="A637" s="683"/>
      <c r="B637" s="683"/>
      <c r="C637" s="683"/>
      <c r="D637" s="683"/>
      <c r="E637" s="683"/>
      <c r="F637" s="683"/>
      <c r="G637" s="683"/>
      <c r="H637" s="683"/>
      <c r="I637" s="683"/>
      <c r="J637" s="683"/>
      <c r="K637" s="683"/>
      <c r="L637" s="683"/>
      <c r="M637" s="683"/>
      <c r="N637" s="683"/>
    </row>
    <row r="638">
      <c r="A638" s="683"/>
      <c r="B638" s="683"/>
      <c r="C638" s="683"/>
      <c r="D638" s="683"/>
      <c r="E638" s="683"/>
      <c r="F638" s="683"/>
      <c r="G638" s="683"/>
      <c r="H638" s="683"/>
      <c r="I638" s="683"/>
      <c r="J638" s="683"/>
      <c r="K638" s="683"/>
      <c r="L638" s="683"/>
      <c r="M638" s="683"/>
      <c r="N638" s="683"/>
    </row>
    <row r="639">
      <c r="A639" s="683"/>
      <c r="B639" s="683"/>
      <c r="C639" s="683"/>
      <c r="D639" s="683"/>
      <c r="E639" s="683"/>
      <c r="F639" s="683"/>
      <c r="G639" s="683"/>
      <c r="H639" s="683"/>
      <c r="I639" s="683"/>
      <c r="J639" s="683"/>
      <c r="K639" s="683"/>
      <c r="L639" s="683"/>
      <c r="M639" s="683"/>
      <c r="N639" s="683"/>
    </row>
    <row r="640">
      <c r="A640" s="683"/>
      <c r="B640" s="683"/>
      <c r="C640" s="683"/>
      <c r="D640" s="683"/>
      <c r="E640" s="683"/>
      <c r="F640" s="683"/>
      <c r="G640" s="683"/>
      <c r="H640" s="683"/>
      <c r="I640" s="683"/>
      <c r="J640" s="683"/>
      <c r="K640" s="683"/>
      <c r="L640" s="683"/>
      <c r="M640" s="683"/>
      <c r="N640" s="683"/>
    </row>
    <row r="641">
      <c r="A641" s="683"/>
      <c r="B641" s="683"/>
      <c r="C641" s="683"/>
      <c r="D641" s="683"/>
      <c r="E641" s="683"/>
      <c r="F641" s="683"/>
      <c r="G641" s="683"/>
      <c r="H641" s="683"/>
      <c r="I641" s="683"/>
      <c r="J641" s="683"/>
      <c r="K641" s="683"/>
      <c r="L641" s="683"/>
      <c r="M641" s="683"/>
      <c r="N641" s="683"/>
    </row>
    <row r="642">
      <c r="A642" s="683"/>
      <c r="B642" s="683"/>
      <c r="C642" s="683"/>
      <c r="D642" s="683"/>
      <c r="E642" s="683"/>
      <c r="F642" s="683"/>
      <c r="G642" s="683"/>
      <c r="H642" s="683"/>
      <c r="I642" s="683"/>
      <c r="J642" s="683"/>
      <c r="K642" s="683"/>
      <c r="L642" s="683"/>
      <c r="M642" s="683"/>
      <c r="N642" s="683"/>
    </row>
    <row r="643">
      <c r="A643" s="683"/>
      <c r="B643" s="683"/>
      <c r="C643" s="683"/>
      <c r="D643" s="683"/>
      <c r="E643" s="683"/>
      <c r="F643" s="683"/>
      <c r="G643" s="683"/>
      <c r="H643" s="683"/>
      <c r="I643" s="683"/>
      <c r="J643" s="683"/>
      <c r="K643" s="683"/>
      <c r="L643" s="683"/>
      <c r="M643" s="683"/>
      <c r="N643" s="683"/>
    </row>
    <row r="644">
      <c r="A644" s="683"/>
      <c r="B644" s="683"/>
      <c r="C644" s="683"/>
      <c r="D644" s="683"/>
      <c r="E644" s="683"/>
      <c r="F644" s="683"/>
      <c r="G644" s="683"/>
      <c r="H644" s="683"/>
      <c r="I644" s="683"/>
      <c r="J644" s="683"/>
      <c r="K644" s="683"/>
      <c r="L644" s="683"/>
      <c r="M644" s="683"/>
      <c r="N644" s="683"/>
    </row>
    <row r="645">
      <c r="A645" s="683"/>
      <c r="B645" s="683"/>
      <c r="C645" s="683"/>
      <c r="D645" s="683"/>
      <c r="E645" s="683"/>
      <c r="F645" s="683"/>
      <c r="G645" s="683"/>
      <c r="H645" s="683"/>
      <c r="I645" s="683"/>
      <c r="J645" s="683"/>
      <c r="K645" s="683"/>
      <c r="L645" s="683"/>
      <c r="M645" s="683"/>
      <c r="N645" s="683"/>
    </row>
    <row r="646">
      <c r="A646" s="683"/>
      <c r="B646" s="683"/>
      <c r="C646" s="683"/>
      <c r="D646" s="683"/>
      <c r="E646" s="683"/>
      <c r="F646" s="683"/>
      <c r="G646" s="683"/>
      <c r="H646" s="683"/>
      <c r="I646" s="683"/>
      <c r="J646" s="683"/>
      <c r="K646" s="683"/>
      <c r="L646" s="683"/>
      <c r="M646" s="683"/>
      <c r="N646" s="683"/>
    </row>
    <row r="647">
      <c r="A647" s="683"/>
      <c r="B647" s="683"/>
      <c r="C647" s="683"/>
      <c r="D647" s="683"/>
      <c r="E647" s="683"/>
      <c r="F647" s="683"/>
      <c r="G647" s="683"/>
      <c r="H647" s="683"/>
      <c r="I647" s="683"/>
      <c r="J647" s="683"/>
      <c r="K647" s="683"/>
      <c r="L647" s="683"/>
      <c r="M647" s="683"/>
      <c r="N647" s="683"/>
    </row>
    <row r="648">
      <c r="A648" s="683"/>
      <c r="B648" s="683"/>
      <c r="C648" s="683"/>
      <c r="D648" s="683"/>
      <c r="E648" s="683"/>
      <c r="F648" s="683"/>
      <c r="G648" s="683"/>
      <c r="H648" s="683"/>
      <c r="I648" s="683"/>
      <c r="J648" s="683"/>
      <c r="K648" s="683"/>
      <c r="L648" s="683"/>
      <c r="M648" s="683"/>
      <c r="N648" s="683"/>
    </row>
    <row r="649">
      <c r="A649" s="683"/>
      <c r="B649" s="683"/>
      <c r="C649" s="683"/>
      <c r="D649" s="683"/>
      <c r="E649" s="683"/>
      <c r="F649" s="683"/>
      <c r="G649" s="683"/>
      <c r="H649" s="683"/>
      <c r="I649" s="683"/>
      <c r="J649" s="683"/>
      <c r="K649" s="683"/>
      <c r="L649" s="683"/>
      <c r="M649" s="683"/>
      <c r="N649" s="683"/>
    </row>
    <row r="650">
      <c r="A650" s="683"/>
      <c r="B650" s="683"/>
      <c r="C650" s="683"/>
      <c r="D650" s="683"/>
      <c r="E650" s="683"/>
      <c r="F650" s="683"/>
      <c r="G650" s="683"/>
      <c r="H650" s="683"/>
      <c r="I650" s="683"/>
      <c r="J650" s="683"/>
      <c r="K650" s="683"/>
      <c r="L650" s="683"/>
      <c r="M650" s="683"/>
      <c r="N650" s="683"/>
    </row>
    <row r="651">
      <c r="A651" s="683"/>
      <c r="B651" s="683"/>
      <c r="C651" s="683"/>
      <c r="D651" s="683"/>
      <c r="E651" s="683"/>
      <c r="F651" s="683"/>
      <c r="G651" s="683"/>
      <c r="H651" s="683"/>
      <c r="I651" s="683"/>
      <c r="J651" s="683"/>
      <c r="K651" s="683"/>
      <c r="L651" s="683"/>
      <c r="M651" s="683"/>
      <c r="N651" s="683"/>
    </row>
    <row r="652">
      <c r="A652" s="683"/>
      <c r="B652" s="683"/>
      <c r="C652" s="683"/>
      <c r="D652" s="683"/>
      <c r="E652" s="683"/>
      <c r="F652" s="683"/>
      <c r="G652" s="683"/>
      <c r="H652" s="683"/>
      <c r="I652" s="683"/>
      <c r="J652" s="683"/>
      <c r="K652" s="683"/>
      <c r="L652" s="683"/>
      <c r="M652" s="683"/>
      <c r="N652" s="683"/>
    </row>
    <row r="653">
      <c r="A653" s="683"/>
      <c r="B653" s="683"/>
      <c r="C653" s="683"/>
      <c r="D653" s="683"/>
      <c r="E653" s="683"/>
      <c r="F653" s="683"/>
      <c r="G653" s="683"/>
      <c r="H653" s="683"/>
      <c r="I653" s="683"/>
      <c r="J653" s="683"/>
      <c r="K653" s="683"/>
      <c r="L653" s="683"/>
      <c r="M653" s="683"/>
      <c r="N653" s="683"/>
    </row>
    <row r="654">
      <c r="A654" s="683"/>
      <c r="B654" s="683"/>
      <c r="C654" s="683"/>
      <c r="D654" s="683"/>
      <c r="E654" s="683"/>
      <c r="F654" s="683"/>
      <c r="G654" s="683"/>
      <c r="H654" s="683"/>
      <c r="I654" s="683"/>
      <c r="J654" s="683"/>
      <c r="K654" s="683"/>
      <c r="L654" s="683"/>
      <c r="M654" s="683"/>
      <c r="N654" s="683"/>
    </row>
    <row r="655">
      <c r="A655" s="683"/>
      <c r="B655" s="683"/>
      <c r="C655" s="683"/>
      <c r="D655" s="683"/>
      <c r="E655" s="683"/>
      <c r="F655" s="683"/>
      <c r="G655" s="683"/>
      <c r="H655" s="683"/>
      <c r="I655" s="683"/>
      <c r="J655" s="683"/>
      <c r="K655" s="683"/>
      <c r="L655" s="683"/>
      <c r="M655" s="683"/>
      <c r="N655" s="683"/>
    </row>
    <row r="656">
      <c r="A656" s="683"/>
      <c r="B656" s="683"/>
      <c r="C656" s="683"/>
      <c r="D656" s="683"/>
      <c r="E656" s="683"/>
      <c r="F656" s="683"/>
      <c r="G656" s="683"/>
      <c r="H656" s="683"/>
      <c r="I656" s="683"/>
      <c r="J656" s="683"/>
      <c r="K656" s="683"/>
      <c r="L656" s="683"/>
      <c r="M656" s="683"/>
      <c r="N656" s="683"/>
    </row>
    <row r="657">
      <c r="A657" s="683"/>
      <c r="B657" s="683"/>
      <c r="C657" s="683"/>
      <c r="D657" s="683"/>
      <c r="E657" s="683"/>
      <c r="F657" s="683"/>
      <c r="G657" s="683"/>
      <c r="H657" s="683"/>
      <c r="I657" s="683"/>
      <c r="J657" s="683"/>
      <c r="K657" s="683"/>
      <c r="L657" s="683"/>
      <c r="M657" s="683"/>
      <c r="N657" s="683"/>
    </row>
    <row r="658">
      <c r="A658" s="683"/>
      <c r="B658" s="683"/>
      <c r="C658" s="683"/>
      <c r="D658" s="683"/>
      <c r="E658" s="683"/>
      <c r="F658" s="683"/>
      <c r="G658" s="683"/>
      <c r="H658" s="683"/>
      <c r="I658" s="683"/>
      <c r="J658" s="683"/>
      <c r="K658" s="683"/>
      <c r="L658" s="683"/>
      <c r="M658" s="683"/>
      <c r="N658" s="683"/>
    </row>
    <row r="659">
      <c r="A659" s="683"/>
      <c r="B659" s="683"/>
      <c r="C659" s="683"/>
      <c r="D659" s="683"/>
      <c r="E659" s="683"/>
      <c r="F659" s="683"/>
      <c r="G659" s="683"/>
      <c r="H659" s="683"/>
      <c r="I659" s="683"/>
      <c r="J659" s="683"/>
      <c r="K659" s="683"/>
      <c r="L659" s="683"/>
      <c r="M659" s="683"/>
      <c r="N659" s="683"/>
    </row>
    <row r="660">
      <c r="A660" s="683"/>
      <c r="B660" s="683"/>
      <c r="C660" s="683"/>
      <c r="D660" s="683"/>
      <c r="E660" s="683"/>
      <c r="F660" s="683"/>
      <c r="G660" s="683"/>
      <c r="H660" s="683"/>
      <c r="I660" s="683"/>
      <c r="J660" s="683"/>
      <c r="K660" s="683"/>
      <c r="L660" s="683"/>
      <c r="M660" s="683"/>
      <c r="N660" s="683"/>
    </row>
    <row r="661">
      <c r="A661" s="683"/>
      <c r="B661" s="683"/>
      <c r="C661" s="683"/>
      <c r="D661" s="683"/>
      <c r="E661" s="683"/>
      <c r="F661" s="683"/>
      <c r="G661" s="683"/>
      <c r="H661" s="683"/>
      <c r="I661" s="683"/>
      <c r="J661" s="683"/>
      <c r="K661" s="683"/>
      <c r="L661" s="683"/>
      <c r="M661" s="683"/>
      <c r="N661" s="683"/>
    </row>
    <row r="662">
      <c r="A662" s="683"/>
      <c r="B662" s="683"/>
      <c r="C662" s="683"/>
      <c r="D662" s="683"/>
      <c r="E662" s="683"/>
      <c r="F662" s="683"/>
      <c r="G662" s="683"/>
      <c r="H662" s="683"/>
      <c r="I662" s="683"/>
      <c r="J662" s="683"/>
      <c r="K662" s="683"/>
      <c r="L662" s="683"/>
      <c r="M662" s="683"/>
      <c r="N662" s="683"/>
    </row>
    <row r="663">
      <c r="A663" s="683"/>
      <c r="B663" s="683"/>
      <c r="C663" s="683"/>
      <c r="D663" s="683"/>
      <c r="E663" s="683"/>
      <c r="F663" s="683"/>
      <c r="G663" s="683"/>
      <c r="H663" s="683"/>
      <c r="I663" s="683"/>
      <c r="J663" s="683"/>
      <c r="K663" s="683"/>
      <c r="L663" s="683"/>
      <c r="M663" s="683"/>
      <c r="N663" s="683"/>
    </row>
    <row r="664">
      <c r="A664" s="683"/>
      <c r="B664" s="683"/>
      <c r="C664" s="683"/>
      <c r="D664" s="683"/>
      <c r="E664" s="683"/>
      <c r="F664" s="683"/>
      <c r="G664" s="683"/>
      <c r="H664" s="683"/>
      <c r="I664" s="683"/>
      <c r="J664" s="683"/>
      <c r="K664" s="683"/>
      <c r="L664" s="683"/>
      <c r="M664" s="683"/>
      <c r="N664" s="683"/>
    </row>
    <row r="665">
      <c r="A665" s="683"/>
      <c r="B665" s="683"/>
      <c r="C665" s="683"/>
      <c r="D665" s="683"/>
      <c r="E665" s="683"/>
      <c r="F665" s="683"/>
      <c r="G665" s="683"/>
      <c r="H665" s="683"/>
      <c r="I665" s="683"/>
      <c r="J665" s="683"/>
      <c r="K665" s="683"/>
      <c r="L665" s="683"/>
      <c r="M665" s="683"/>
      <c r="N665" s="683"/>
    </row>
    <row r="666">
      <c r="A666" s="683"/>
      <c r="B666" s="683"/>
      <c r="C666" s="683"/>
      <c r="D666" s="683"/>
      <c r="E666" s="683"/>
      <c r="F666" s="683"/>
      <c r="G666" s="683"/>
      <c r="H666" s="683"/>
      <c r="I666" s="683"/>
      <c r="J666" s="683"/>
      <c r="K666" s="683"/>
      <c r="L666" s="683"/>
      <c r="M666" s="683"/>
      <c r="N666" s="683"/>
    </row>
    <row r="667">
      <c r="A667" s="683"/>
      <c r="B667" s="683"/>
      <c r="C667" s="683"/>
      <c r="D667" s="683"/>
      <c r="E667" s="683"/>
      <c r="F667" s="683"/>
      <c r="G667" s="683"/>
      <c r="H667" s="683"/>
      <c r="I667" s="683"/>
      <c r="J667" s="683"/>
      <c r="K667" s="683"/>
      <c r="L667" s="683"/>
      <c r="M667" s="683"/>
      <c r="N667" s="683"/>
    </row>
    <row r="668">
      <c r="A668" s="683"/>
      <c r="B668" s="683"/>
      <c r="C668" s="683"/>
      <c r="D668" s="683"/>
      <c r="E668" s="683"/>
      <c r="F668" s="683"/>
      <c r="G668" s="683"/>
      <c r="H668" s="683"/>
      <c r="I668" s="683"/>
      <c r="J668" s="683"/>
      <c r="K668" s="683"/>
      <c r="L668" s="683"/>
      <c r="M668" s="683"/>
      <c r="N668" s="683"/>
    </row>
    <row r="669">
      <c r="A669" s="683"/>
      <c r="B669" s="683"/>
      <c r="C669" s="683"/>
      <c r="D669" s="683"/>
      <c r="E669" s="683"/>
      <c r="F669" s="683"/>
      <c r="G669" s="683"/>
      <c r="H669" s="683"/>
      <c r="I669" s="683"/>
      <c r="J669" s="683"/>
      <c r="K669" s="683"/>
      <c r="L669" s="683"/>
      <c r="M669" s="683"/>
      <c r="N669" s="683"/>
    </row>
    <row r="670">
      <c r="A670" s="683"/>
      <c r="B670" s="683"/>
      <c r="C670" s="683"/>
      <c r="D670" s="683"/>
      <c r="E670" s="683"/>
      <c r="F670" s="683"/>
      <c r="G670" s="683"/>
      <c r="H670" s="683"/>
      <c r="I670" s="683"/>
      <c r="J670" s="683"/>
      <c r="K670" s="683"/>
      <c r="L670" s="683"/>
      <c r="M670" s="683"/>
      <c r="N670" s="683"/>
    </row>
    <row r="671">
      <c r="A671" s="683"/>
      <c r="B671" s="683"/>
      <c r="C671" s="683"/>
      <c r="D671" s="683"/>
      <c r="E671" s="683"/>
      <c r="F671" s="683"/>
      <c r="G671" s="683"/>
      <c r="H671" s="683"/>
      <c r="I671" s="683"/>
      <c r="J671" s="683"/>
      <c r="K671" s="683"/>
      <c r="L671" s="683"/>
      <c r="M671" s="683"/>
      <c r="N671" s="683"/>
    </row>
    <row r="672">
      <c r="A672" s="683"/>
      <c r="B672" s="683"/>
      <c r="C672" s="683"/>
      <c r="D672" s="683"/>
      <c r="E672" s="683"/>
      <c r="F672" s="683"/>
      <c r="G672" s="683"/>
      <c r="H672" s="683"/>
      <c r="I672" s="683"/>
      <c r="J672" s="683"/>
      <c r="K672" s="683"/>
      <c r="L672" s="683"/>
      <c r="M672" s="683"/>
      <c r="N672" s="683"/>
    </row>
    <row r="673">
      <c r="A673" s="683"/>
      <c r="B673" s="683"/>
      <c r="C673" s="683"/>
      <c r="D673" s="683"/>
      <c r="E673" s="683"/>
      <c r="F673" s="683"/>
      <c r="G673" s="683"/>
      <c r="H673" s="683"/>
      <c r="I673" s="683"/>
      <c r="J673" s="683"/>
      <c r="K673" s="683"/>
      <c r="L673" s="683"/>
      <c r="M673" s="683"/>
      <c r="N673" s="683"/>
    </row>
    <row r="674">
      <c r="A674" s="683"/>
      <c r="B674" s="683"/>
      <c r="C674" s="683"/>
      <c r="D674" s="683"/>
      <c r="E674" s="683"/>
      <c r="F674" s="683"/>
      <c r="G674" s="683"/>
      <c r="H674" s="683"/>
      <c r="I674" s="683"/>
      <c r="J674" s="683"/>
      <c r="K674" s="683"/>
      <c r="L674" s="683"/>
      <c r="M674" s="683"/>
      <c r="N674" s="683"/>
    </row>
    <row r="675">
      <c r="A675" s="683"/>
      <c r="B675" s="683"/>
      <c r="C675" s="683"/>
      <c r="D675" s="683"/>
      <c r="E675" s="683"/>
      <c r="F675" s="683"/>
      <c r="G675" s="683"/>
      <c r="H675" s="683"/>
      <c r="I675" s="683"/>
      <c r="J675" s="683"/>
      <c r="K675" s="683"/>
      <c r="L675" s="683"/>
      <c r="M675" s="683"/>
      <c r="N675" s="683"/>
    </row>
    <row r="676">
      <c r="A676" s="683"/>
      <c r="B676" s="683"/>
      <c r="C676" s="683"/>
      <c r="D676" s="683"/>
      <c r="E676" s="683"/>
      <c r="F676" s="683"/>
      <c r="G676" s="683"/>
      <c r="H676" s="683"/>
      <c r="I676" s="683"/>
      <c r="J676" s="683"/>
      <c r="K676" s="683"/>
      <c r="L676" s="683"/>
      <c r="M676" s="683"/>
      <c r="N676" s="683"/>
    </row>
    <row r="677">
      <c r="A677" s="683"/>
      <c r="B677" s="683"/>
      <c r="C677" s="683"/>
      <c r="D677" s="683"/>
      <c r="E677" s="683"/>
      <c r="F677" s="683"/>
      <c r="G677" s="683"/>
      <c r="H677" s="683"/>
      <c r="I677" s="683"/>
      <c r="J677" s="683"/>
      <c r="K677" s="683"/>
      <c r="L677" s="683"/>
      <c r="M677" s="683"/>
      <c r="N677" s="683"/>
    </row>
    <row r="678">
      <c r="A678" s="683"/>
      <c r="B678" s="683"/>
      <c r="C678" s="683"/>
      <c r="D678" s="683"/>
      <c r="E678" s="683"/>
      <c r="F678" s="683"/>
      <c r="G678" s="683"/>
      <c r="H678" s="683"/>
      <c r="I678" s="683"/>
      <c r="J678" s="683"/>
      <c r="K678" s="683"/>
      <c r="L678" s="683"/>
      <c r="M678" s="683"/>
      <c r="N678" s="683"/>
    </row>
    <row r="679">
      <c r="A679" s="683"/>
      <c r="B679" s="683"/>
      <c r="C679" s="683"/>
      <c r="D679" s="683"/>
      <c r="E679" s="683"/>
      <c r="F679" s="683"/>
      <c r="G679" s="683"/>
      <c r="H679" s="683"/>
      <c r="I679" s="683"/>
      <c r="J679" s="683"/>
      <c r="K679" s="683"/>
      <c r="L679" s="683"/>
      <c r="M679" s="683"/>
      <c r="N679" s="683"/>
    </row>
    <row r="680">
      <c r="A680" s="683"/>
      <c r="B680" s="683"/>
      <c r="C680" s="683"/>
      <c r="D680" s="683"/>
      <c r="E680" s="683"/>
      <c r="F680" s="683"/>
      <c r="G680" s="683"/>
      <c r="H680" s="683"/>
      <c r="I680" s="683"/>
      <c r="J680" s="683"/>
      <c r="K680" s="683"/>
      <c r="L680" s="683"/>
      <c r="M680" s="683"/>
      <c r="N680" s="683"/>
    </row>
    <row r="681">
      <c r="A681" s="683"/>
      <c r="B681" s="683"/>
      <c r="C681" s="683"/>
      <c r="D681" s="683"/>
      <c r="E681" s="683"/>
      <c r="F681" s="683"/>
      <c r="G681" s="683"/>
      <c r="H681" s="683"/>
      <c r="I681" s="683"/>
      <c r="J681" s="683"/>
      <c r="K681" s="683"/>
      <c r="L681" s="683"/>
      <c r="M681" s="683"/>
      <c r="N681" s="683"/>
    </row>
    <row r="682">
      <c r="A682" s="683"/>
      <c r="B682" s="683"/>
      <c r="C682" s="683"/>
      <c r="D682" s="683"/>
      <c r="E682" s="683"/>
      <c r="F682" s="683"/>
      <c r="G682" s="683"/>
      <c r="H682" s="683"/>
      <c r="I682" s="683"/>
      <c r="J682" s="683"/>
      <c r="K682" s="683"/>
      <c r="L682" s="683"/>
      <c r="M682" s="683"/>
      <c r="N682" s="683"/>
    </row>
    <row r="683">
      <c r="A683" s="683"/>
      <c r="B683" s="683"/>
      <c r="C683" s="683"/>
      <c r="D683" s="683"/>
      <c r="E683" s="683"/>
      <c r="F683" s="683"/>
      <c r="G683" s="683"/>
      <c r="H683" s="683"/>
      <c r="I683" s="683"/>
      <c r="J683" s="683"/>
      <c r="K683" s="683"/>
      <c r="L683" s="683"/>
      <c r="M683" s="683"/>
      <c r="N683" s="683"/>
    </row>
    <row r="684">
      <c r="A684" s="683"/>
      <c r="B684" s="683"/>
      <c r="C684" s="683"/>
      <c r="D684" s="683"/>
      <c r="E684" s="683"/>
      <c r="F684" s="683"/>
      <c r="G684" s="683"/>
      <c r="H684" s="683"/>
      <c r="I684" s="683"/>
      <c r="J684" s="683"/>
      <c r="K684" s="683"/>
      <c r="L684" s="683"/>
      <c r="M684" s="683"/>
      <c r="N684" s="683"/>
    </row>
    <row r="685">
      <c r="A685" s="683"/>
      <c r="B685" s="683"/>
      <c r="C685" s="683"/>
      <c r="D685" s="683"/>
      <c r="E685" s="683"/>
      <c r="F685" s="683"/>
      <c r="G685" s="683"/>
      <c r="H685" s="683"/>
      <c r="I685" s="683"/>
      <c r="J685" s="683"/>
      <c r="K685" s="683"/>
      <c r="L685" s="683"/>
      <c r="M685" s="683"/>
      <c r="N685" s="683"/>
    </row>
    <row r="686">
      <c r="A686" s="683"/>
      <c r="B686" s="683"/>
      <c r="C686" s="683"/>
      <c r="D686" s="683"/>
      <c r="E686" s="683"/>
      <c r="F686" s="683"/>
      <c r="G686" s="683"/>
      <c r="H686" s="683"/>
      <c r="I686" s="683"/>
      <c r="J686" s="683"/>
      <c r="K686" s="683"/>
      <c r="L686" s="683"/>
      <c r="M686" s="683"/>
      <c r="N686" s="683"/>
    </row>
    <row r="687">
      <c r="A687" s="683"/>
      <c r="B687" s="683"/>
      <c r="C687" s="683"/>
      <c r="D687" s="683"/>
      <c r="E687" s="683"/>
      <c r="F687" s="683"/>
      <c r="G687" s="683"/>
      <c r="H687" s="683"/>
      <c r="I687" s="683"/>
      <c r="J687" s="683"/>
      <c r="K687" s="683"/>
      <c r="L687" s="683"/>
      <c r="M687" s="683"/>
      <c r="N687" s="683"/>
    </row>
    <row r="688">
      <c r="A688" s="683"/>
      <c r="B688" s="683"/>
      <c r="C688" s="683"/>
      <c r="D688" s="683"/>
      <c r="E688" s="683"/>
      <c r="F688" s="683"/>
      <c r="G688" s="683"/>
      <c r="H688" s="683"/>
      <c r="I688" s="683"/>
      <c r="J688" s="683"/>
      <c r="K688" s="683"/>
      <c r="L688" s="683"/>
      <c r="M688" s="683"/>
      <c r="N688" s="683"/>
    </row>
    <row r="689">
      <c r="A689" s="683"/>
      <c r="B689" s="683"/>
      <c r="C689" s="683"/>
      <c r="D689" s="683"/>
      <c r="E689" s="683"/>
      <c r="F689" s="683"/>
      <c r="G689" s="683"/>
      <c r="H689" s="683"/>
      <c r="I689" s="683"/>
      <c r="J689" s="683"/>
      <c r="K689" s="683"/>
      <c r="L689" s="683"/>
      <c r="M689" s="683"/>
      <c r="N689" s="683"/>
    </row>
    <row r="690">
      <c r="A690" s="683"/>
      <c r="B690" s="683"/>
      <c r="C690" s="683"/>
      <c r="D690" s="683"/>
      <c r="E690" s="683"/>
      <c r="F690" s="683"/>
      <c r="G690" s="683"/>
      <c r="H690" s="683"/>
      <c r="I690" s="683"/>
      <c r="J690" s="683"/>
      <c r="K690" s="683"/>
      <c r="L690" s="683"/>
      <c r="M690" s="683"/>
      <c r="N690" s="683"/>
    </row>
    <row r="691">
      <c r="A691" s="683"/>
      <c r="B691" s="683"/>
      <c r="C691" s="683"/>
      <c r="D691" s="683"/>
      <c r="E691" s="683"/>
      <c r="F691" s="683"/>
      <c r="G691" s="683"/>
      <c r="H691" s="683"/>
      <c r="I691" s="683"/>
      <c r="J691" s="683"/>
      <c r="K691" s="683"/>
      <c r="L691" s="683"/>
      <c r="M691" s="683"/>
      <c r="N691" s="683"/>
    </row>
    <row r="692">
      <c r="A692" s="683"/>
      <c r="B692" s="683"/>
      <c r="C692" s="683"/>
      <c r="D692" s="683"/>
      <c r="E692" s="683"/>
      <c r="F692" s="683"/>
      <c r="G692" s="683"/>
      <c r="H692" s="683"/>
      <c r="I692" s="683"/>
      <c r="J692" s="683"/>
      <c r="K692" s="683"/>
      <c r="L692" s="683"/>
      <c r="M692" s="683"/>
      <c r="N692" s="683"/>
    </row>
    <row r="693">
      <c r="A693" s="683"/>
      <c r="B693" s="683"/>
      <c r="C693" s="683"/>
      <c r="D693" s="683"/>
      <c r="E693" s="683"/>
      <c r="F693" s="683"/>
      <c r="G693" s="683"/>
      <c r="H693" s="683"/>
      <c r="I693" s="683"/>
      <c r="J693" s="683"/>
      <c r="K693" s="683"/>
      <c r="L693" s="683"/>
      <c r="M693" s="683"/>
      <c r="N693" s="683"/>
    </row>
    <row r="694">
      <c r="A694" s="683"/>
      <c r="B694" s="683"/>
      <c r="C694" s="683"/>
      <c r="D694" s="683"/>
      <c r="E694" s="683"/>
      <c r="F694" s="683"/>
      <c r="G694" s="683"/>
      <c r="H694" s="683"/>
      <c r="I694" s="683"/>
      <c r="J694" s="683"/>
      <c r="K694" s="683"/>
      <c r="L694" s="683"/>
      <c r="M694" s="683"/>
      <c r="N694" s="683"/>
    </row>
    <row r="695">
      <c r="A695" s="683"/>
      <c r="B695" s="683"/>
      <c r="C695" s="683"/>
      <c r="D695" s="683"/>
      <c r="E695" s="683"/>
      <c r="F695" s="683"/>
      <c r="G695" s="683"/>
      <c r="H695" s="683"/>
      <c r="I695" s="683"/>
      <c r="J695" s="683"/>
      <c r="K695" s="683"/>
      <c r="L695" s="683"/>
      <c r="M695" s="683"/>
      <c r="N695" s="683"/>
    </row>
    <row r="696">
      <c r="A696" s="683"/>
      <c r="B696" s="683"/>
      <c r="C696" s="683"/>
      <c r="D696" s="683"/>
      <c r="E696" s="683"/>
      <c r="F696" s="683"/>
      <c r="G696" s="683"/>
      <c r="H696" s="683"/>
      <c r="I696" s="683"/>
      <c r="J696" s="683"/>
      <c r="K696" s="683"/>
      <c r="L696" s="683"/>
      <c r="M696" s="683"/>
      <c r="N696" s="683"/>
    </row>
    <row r="697">
      <c r="A697" s="683"/>
      <c r="B697" s="683"/>
      <c r="C697" s="683"/>
      <c r="D697" s="683"/>
      <c r="E697" s="683"/>
      <c r="F697" s="683"/>
      <c r="G697" s="683"/>
      <c r="H697" s="683"/>
      <c r="I697" s="683"/>
      <c r="J697" s="683"/>
      <c r="K697" s="683"/>
      <c r="L697" s="683"/>
      <c r="M697" s="683"/>
      <c r="N697" s="683"/>
    </row>
    <row r="698">
      <c r="A698" s="683"/>
      <c r="B698" s="683"/>
      <c r="C698" s="683"/>
      <c r="D698" s="683"/>
      <c r="E698" s="683"/>
      <c r="F698" s="683"/>
      <c r="G698" s="683"/>
      <c r="H698" s="683"/>
      <c r="I698" s="683"/>
      <c r="J698" s="683"/>
      <c r="K698" s="683"/>
      <c r="L698" s="683"/>
      <c r="M698" s="683"/>
      <c r="N698" s="683"/>
    </row>
    <row r="699">
      <c r="A699" s="683"/>
      <c r="B699" s="683"/>
      <c r="C699" s="683"/>
      <c r="D699" s="683"/>
      <c r="E699" s="683"/>
      <c r="F699" s="683"/>
      <c r="G699" s="683"/>
      <c r="H699" s="683"/>
      <c r="I699" s="683"/>
      <c r="J699" s="683"/>
      <c r="K699" s="683"/>
      <c r="L699" s="683"/>
      <c r="M699" s="683"/>
      <c r="N699" s="683"/>
    </row>
    <row r="700">
      <c r="A700" s="683"/>
      <c r="B700" s="683"/>
      <c r="C700" s="683"/>
      <c r="D700" s="683"/>
      <c r="E700" s="683"/>
      <c r="F700" s="683"/>
      <c r="G700" s="683"/>
      <c r="H700" s="683"/>
      <c r="I700" s="683"/>
      <c r="J700" s="683"/>
      <c r="K700" s="683"/>
      <c r="L700" s="683"/>
      <c r="M700" s="683"/>
      <c r="N700" s="683"/>
    </row>
    <row r="701">
      <c r="A701" s="683"/>
      <c r="B701" s="683"/>
      <c r="C701" s="683"/>
      <c r="D701" s="683"/>
      <c r="E701" s="683"/>
      <c r="F701" s="683"/>
      <c r="G701" s="683"/>
      <c r="H701" s="683"/>
      <c r="I701" s="683"/>
      <c r="J701" s="683"/>
      <c r="K701" s="683"/>
      <c r="L701" s="683"/>
      <c r="M701" s="683"/>
      <c r="N701" s="683"/>
    </row>
    <row r="702">
      <c r="A702" s="683"/>
      <c r="B702" s="683"/>
      <c r="C702" s="683"/>
      <c r="D702" s="683"/>
      <c r="E702" s="683"/>
      <c r="F702" s="683"/>
      <c r="G702" s="683"/>
      <c r="H702" s="683"/>
      <c r="I702" s="683"/>
      <c r="J702" s="683"/>
      <c r="K702" s="683"/>
      <c r="L702" s="683"/>
      <c r="M702" s="683"/>
      <c r="N702" s="683"/>
    </row>
    <row r="703">
      <c r="A703" s="683"/>
      <c r="B703" s="683"/>
      <c r="C703" s="683"/>
      <c r="D703" s="683"/>
      <c r="E703" s="683"/>
      <c r="F703" s="683"/>
      <c r="G703" s="683"/>
      <c r="H703" s="683"/>
      <c r="I703" s="683"/>
      <c r="J703" s="683"/>
      <c r="K703" s="683"/>
      <c r="L703" s="683"/>
      <c r="M703" s="683"/>
      <c r="N703" s="683"/>
    </row>
    <row r="704">
      <c r="A704" s="683"/>
      <c r="B704" s="683"/>
      <c r="C704" s="683"/>
      <c r="D704" s="683"/>
      <c r="E704" s="683"/>
      <c r="F704" s="683"/>
      <c r="G704" s="683"/>
      <c r="H704" s="683"/>
      <c r="I704" s="683"/>
      <c r="J704" s="683"/>
      <c r="K704" s="683"/>
      <c r="L704" s="683"/>
      <c r="M704" s="683"/>
      <c r="N704" s="683"/>
    </row>
    <row r="705">
      <c r="A705" s="683"/>
      <c r="B705" s="683"/>
      <c r="C705" s="683"/>
      <c r="D705" s="683"/>
      <c r="E705" s="683"/>
      <c r="F705" s="683"/>
      <c r="G705" s="683"/>
      <c r="H705" s="683"/>
      <c r="I705" s="683"/>
      <c r="J705" s="683"/>
      <c r="K705" s="683"/>
      <c r="L705" s="683"/>
      <c r="M705" s="683"/>
      <c r="N705" s="683"/>
    </row>
    <row r="706">
      <c r="A706" s="683"/>
      <c r="B706" s="683"/>
      <c r="C706" s="683"/>
      <c r="D706" s="683"/>
      <c r="E706" s="683"/>
      <c r="F706" s="683"/>
      <c r="G706" s="683"/>
      <c r="H706" s="683"/>
      <c r="I706" s="683"/>
      <c r="J706" s="683"/>
      <c r="K706" s="683"/>
      <c r="L706" s="683"/>
      <c r="M706" s="683"/>
      <c r="N706" s="683"/>
    </row>
    <row r="707">
      <c r="A707" s="683"/>
      <c r="B707" s="683"/>
      <c r="C707" s="683"/>
      <c r="D707" s="683"/>
      <c r="E707" s="683"/>
      <c r="F707" s="683"/>
      <c r="G707" s="683"/>
      <c r="H707" s="683"/>
      <c r="I707" s="683"/>
      <c r="J707" s="683"/>
      <c r="K707" s="683"/>
      <c r="L707" s="683"/>
      <c r="M707" s="683"/>
      <c r="N707" s="683"/>
    </row>
    <row r="708">
      <c r="A708" s="683"/>
      <c r="B708" s="683"/>
      <c r="C708" s="683"/>
      <c r="D708" s="683"/>
      <c r="E708" s="683"/>
      <c r="F708" s="683"/>
      <c r="G708" s="683"/>
      <c r="H708" s="683"/>
      <c r="I708" s="683"/>
      <c r="J708" s="683"/>
      <c r="K708" s="683"/>
      <c r="L708" s="683"/>
      <c r="M708" s="683"/>
      <c r="N708" s="683"/>
    </row>
    <row r="709">
      <c r="A709" s="683"/>
      <c r="B709" s="683"/>
      <c r="C709" s="683"/>
      <c r="D709" s="683"/>
      <c r="E709" s="683"/>
      <c r="F709" s="683"/>
      <c r="G709" s="683"/>
      <c r="H709" s="683"/>
      <c r="I709" s="683"/>
      <c r="J709" s="683"/>
      <c r="K709" s="683"/>
      <c r="L709" s="683"/>
      <c r="M709" s="683"/>
      <c r="N709" s="683"/>
    </row>
    <row r="710">
      <c r="A710" s="683"/>
      <c r="B710" s="683"/>
      <c r="C710" s="683"/>
      <c r="D710" s="683"/>
      <c r="E710" s="683"/>
      <c r="F710" s="683"/>
      <c r="G710" s="683"/>
      <c r="H710" s="683"/>
      <c r="I710" s="683"/>
      <c r="J710" s="683"/>
      <c r="K710" s="683"/>
      <c r="L710" s="683"/>
      <c r="M710" s="683"/>
      <c r="N710" s="683"/>
    </row>
    <row r="711">
      <c r="A711" s="683"/>
      <c r="B711" s="683"/>
      <c r="C711" s="683"/>
      <c r="D711" s="683"/>
      <c r="E711" s="683"/>
      <c r="F711" s="683"/>
      <c r="G711" s="683"/>
      <c r="H711" s="683"/>
      <c r="I711" s="683"/>
      <c r="J711" s="683"/>
      <c r="K711" s="683"/>
      <c r="L711" s="683"/>
      <c r="M711" s="683"/>
      <c r="N711" s="683"/>
    </row>
    <row r="712">
      <c r="A712" s="683"/>
      <c r="B712" s="683"/>
      <c r="C712" s="683"/>
      <c r="D712" s="683"/>
      <c r="E712" s="683"/>
      <c r="F712" s="683"/>
      <c r="G712" s="683"/>
      <c r="H712" s="683"/>
      <c r="I712" s="683"/>
      <c r="J712" s="683"/>
      <c r="K712" s="683"/>
      <c r="L712" s="683"/>
      <c r="M712" s="683"/>
      <c r="N712" s="683"/>
    </row>
    <row r="713">
      <c r="A713" s="683"/>
      <c r="B713" s="683"/>
      <c r="C713" s="683"/>
      <c r="D713" s="683"/>
      <c r="E713" s="683"/>
      <c r="F713" s="683"/>
      <c r="G713" s="683"/>
      <c r="H713" s="683"/>
      <c r="I713" s="683"/>
      <c r="J713" s="683"/>
      <c r="K713" s="683"/>
      <c r="L713" s="683"/>
      <c r="M713" s="683"/>
      <c r="N713" s="683"/>
    </row>
    <row r="714">
      <c r="A714" s="683"/>
      <c r="B714" s="683"/>
      <c r="C714" s="683"/>
      <c r="D714" s="683"/>
      <c r="E714" s="683"/>
      <c r="F714" s="683"/>
      <c r="G714" s="683"/>
      <c r="H714" s="683"/>
      <c r="I714" s="683"/>
      <c r="J714" s="683"/>
      <c r="K714" s="683"/>
      <c r="L714" s="683"/>
      <c r="M714" s="683"/>
      <c r="N714" s="683"/>
    </row>
    <row r="715">
      <c r="A715" s="683"/>
      <c r="B715" s="683"/>
      <c r="C715" s="683"/>
      <c r="D715" s="683"/>
      <c r="E715" s="683"/>
      <c r="F715" s="683"/>
      <c r="G715" s="683"/>
      <c r="H715" s="683"/>
      <c r="I715" s="683"/>
      <c r="J715" s="683"/>
      <c r="K715" s="683"/>
      <c r="L715" s="683"/>
      <c r="M715" s="683"/>
      <c r="N715" s="683"/>
    </row>
    <row r="716">
      <c r="A716" s="683"/>
      <c r="B716" s="683"/>
      <c r="C716" s="683"/>
      <c r="D716" s="683"/>
      <c r="E716" s="683"/>
      <c r="F716" s="683"/>
      <c r="G716" s="683"/>
      <c r="H716" s="683"/>
      <c r="I716" s="683"/>
      <c r="J716" s="683"/>
      <c r="K716" s="683"/>
      <c r="L716" s="683"/>
      <c r="M716" s="683"/>
      <c r="N716" s="683"/>
    </row>
    <row r="717">
      <c r="A717" s="683"/>
      <c r="B717" s="683"/>
      <c r="C717" s="683"/>
      <c r="D717" s="683"/>
      <c r="E717" s="683"/>
      <c r="F717" s="683"/>
      <c r="G717" s="683"/>
      <c r="H717" s="683"/>
      <c r="I717" s="683"/>
      <c r="J717" s="683"/>
      <c r="K717" s="683"/>
      <c r="L717" s="683"/>
      <c r="M717" s="683"/>
      <c r="N717" s="683"/>
    </row>
    <row r="718">
      <c r="A718" s="683"/>
      <c r="B718" s="683"/>
      <c r="C718" s="683"/>
      <c r="D718" s="683"/>
      <c r="E718" s="683"/>
      <c r="F718" s="683"/>
      <c r="G718" s="683"/>
      <c r="H718" s="683"/>
      <c r="I718" s="683"/>
      <c r="J718" s="683"/>
      <c r="K718" s="683"/>
      <c r="L718" s="683"/>
      <c r="M718" s="683"/>
      <c r="N718" s="683"/>
    </row>
    <row r="719">
      <c r="A719" s="683"/>
      <c r="B719" s="683"/>
      <c r="C719" s="683"/>
      <c r="D719" s="683"/>
      <c r="E719" s="683"/>
      <c r="F719" s="683"/>
      <c r="G719" s="683"/>
      <c r="H719" s="683"/>
      <c r="I719" s="683"/>
      <c r="J719" s="683"/>
      <c r="K719" s="683"/>
      <c r="L719" s="683"/>
      <c r="M719" s="683"/>
      <c r="N719" s="683"/>
    </row>
    <row r="720">
      <c r="A720" s="683"/>
      <c r="B720" s="683"/>
      <c r="C720" s="683"/>
      <c r="D720" s="683"/>
      <c r="E720" s="683"/>
      <c r="F720" s="683"/>
      <c r="G720" s="683"/>
      <c r="H720" s="683"/>
      <c r="I720" s="683"/>
      <c r="J720" s="683"/>
      <c r="K720" s="683"/>
      <c r="L720" s="683"/>
      <c r="M720" s="683"/>
      <c r="N720" s="683"/>
    </row>
    <row r="721">
      <c r="A721" s="683"/>
      <c r="B721" s="683"/>
      <c r="C721" s="683"/>
      <c r="D721" s="683"/>
      <c r="E721" s="683"/>
      <c r="F721" s="683"/>
      <c r="G721" s="683"/>
      <c r="H721" s="683"/>
      <c r="I721" s="683"/>
      <c r="J721" s="683"/>
      <c r="K721" s="683"/>
      <c r="L721" s="683"/>
      <c r="M721" s="683"/>
      <c r="N721" s="683"/>
    </row>
    <row r="722">
      <c r="A722" s="683"/>
      <c r="B722" s="683"/>
      <c r="C722" s="683"/>
      <c r="D722" s="683"/>
      <c r="E722" s="683"/>
      <c r="F722" s="683"/>
      <c r="G722" s="683"/>
      <c r="H722" s="683"/>
      <c r="I722" s="683"/>
      <c r="J722" s="683"/>
      <c r="K722" s="683"/>
      <c r="L722" s="683"/>
      <c r="M722" s="683"/>
      <c r="N722" s="683"/>
    </row>
    <row r="723">
      <c r="A723" s="683"/>
      <c r="B723" s="683"/>
      <c r="C723" s="683"/>
      <c r="D723" s="683"/>
      <c r="E723" s="683"/>
      <c r="F723" s="683"/>
      <c r="G723" s="683"/>
      <c r="H723" s="683"/>
      <c r="I723" s="683"/>
      <c r="J723" s="683"/>
      <c r="K723" s="683"/>
      <c r="L723" s="683"/>
      <c r="M723" s="683"/>
      <c r="N723" s="683"/>
    </row>
    <row r="724">
      <c r="A724" s="683"/>
      <c r="B724" s="683"/>
      <c r="C724" s="683"/>
      <c r="D724" s="683"/>
      <c r="E724" s="683"/>
      <c r="F724" s="683"/>
      <c r="G724" s="683"/>
      <c r="H724" s="683"/>
      <c r="I724" s="683"/>
      <c r="J724" s="683"/>
      <c r="K724" s="683"/>
      <c r="L724" s="683"/>
      <c r="M724" s="683"/>
      <c r="N724" s="683"/>
    </row>
    <row r="725">
      <c r="A725" s="683"/>
      <c r="B725" s="683"/>
      <c r="C725" s="683"/>
      <c r="D725" s="683"/>
      <c r="E725" s="683"/>
      <c r="F725" s="683"/>
      <c r="G725" s="683"/>
      <c r="H725" s="683"/>
      <c r="I725" s="683"/>
      <c r="J725" s="683"/>
      <c r="K725" s="683"/>
      <c r="L725" s="683"/>
      <c r="M725" s="683"/>
      <c r="N725" s="683"/>
    </row>
    <row r="726">
      <c r="A726" s="683"/>
      <c r="B726" s="683"/>
      <c r="C726" s="683"/>
      <c r="D726" s="683"/>
      <c r="E726" s="683"/>
      <c r="F726" s="683"/>
      <c r="G726" s="683"/>
      <c r="H726" s="683"/>
      <c r="I726" s="683"/>
      <c r="J726" s="683"/>
      <c r="K726" s="683"/>
      <c r="L726" s="683"/>
      <c r="M726" s="683"/>
      <c r="N726" s="683"/>
    </row>
    <row r="727">
      <c r="A727" s="683"/>
      <c r="B727" s="683"/>
      <c r="C727" s="683"/>
      <c r="D727" s="683"/>
      <c r="E727" s="683"/>
      <c r="F727" s="683"/>
      <c r="G727" s="683"/>
      <c r="H727" s="683"/>
      <c r="I727" s="683"/>
      <c r="J727" s="683"/>
      <c r="K727" s="683"/>
      <c r="L727" s="683"/>
      <c r="M727" s="683"/>
      <c r="N727" s="683"/>
    </row>
    <row r="728">
      <c r="A728" s="683"/>
      <c r="B728" s="683"/>
      <c r="C728" s="683"/>
      <c r="D728" s="683"/>
      <c r="E728" s="683"/>
      <c r="F728" s="683"/>
      <c r="G728" s="683"/>
      <c r="H728" s="683"/>
      <c r="I728" s="683"/>
      <c r="J728" s="683"/>
      <c r="K728" s="683"/>
      <c r="L728" s="683"/>
      <c r="M728" s="683"/>
      <c r="N728" s="683"/>
    </row>
    <row r="729">
      <c r="A729" s="683"/>
      <c r="B729" s="683"/>
      <c r="C729" s="683"/>
      <c r="D729" s="683"/>
      <c r="E729" s="683"/>
      <c r="F729" s="683"/>
      <c r="G729" s="683"/>
      <c r="H729" s="683"/>
      <c r="I729" s="683"/>
      <c r="J729" s="683"/>
      <c r="K729" s="683"/>
      <c r="L729" s="683"/>
      <c r="M729" s="683"/>
      <c r="N729" s="683"/>
    </row>
    <row r="730">
      <c r="A730" s="683"/>
      <c r="B730" s="683"/>
      <c r="C730" s="683"/>
      <c r="D730" s="683"/>
      <c r="E730" s="683"/>
      <c r="F730" s="683"/>
      <c r="G730" s="683"/>
      <c r="H730" s="683"/>
      <c r="I730" s="683"/>
      <c r="J730" s="683"/>
      <c r="K730" s="683"/>
      <c r="L730" s="683"/>
      <c r="M730" s="683"/>
      <c r="N730" s="683"/>
    </row>
    <row r="731">
      <c r="A731" s="683"/>
      <c r="B731" s="683"/>
      <c r="C731" s="683"/>
      <c r="D731" s="683"/>
      <c r="E731" s="683"/>
      <c r="F731" s="683"/>
      <c r="G731" s="683"/>
      <c r="H731" s="683"/>
      <c r="I731" s="683"/>
      <c r="J731" s="683"/>
      <c r="K731" s="683"/>
      <c r="L731" s="683"/>
      <c r="M731" s="683"/>
      <c r="N731" s="683"/>
    </row>
    <row r="732">
      <c r="A732" s="683"/>
      <c r="B732" s="683"/>
      <c r="C732" s="683"/>
      <c r="D732" s="683"/>
      <c r="E732" s="683"/>
      <c r="F732" s="683"/>
      <c r="G732" s="683"/>
      <c r="H732" s="683"/>
      <c r="I732" s="683"/>
      <c r="J732" s="683"/>
      <c r="K732" s="683"/>
      <c r="L732" s="683"/>
      <c r="M732" s="683"/>
      <c r="N732" s="683"/>
    </row>
    <row r="733">
      <c r="A733" s="683"/>
      <c r="B733" s="683"/>
      <c r="C733" s="683"/>
      <c r="D733" s="683"/>
      <c r="E733" s="683"/>
      <c r="F733" s="683"/>
      <c r="G733" s="683"/>
      <c r="H733" s="683"/>
      <c r="I733" s="683"/>
      <c r="J733" s="683"/>
      <c r="K733" s="683"/>
      <c r="L733" s="683"/>
      <c r="M733" s="683"/>
      <c r="N733" s="683"/>
    </row>
    <row r="734">
      <c r="A734" s="683"/>
      <c r="B734" s="683"/>
      <c r="C734" s="683"/>
      <c r="D734" s="683"/>
      <c r="E734" s="683"/>
      <c r="F734" s="683"/>
      <c r="G734" s="683"/>
      <c r="H734" s="683"/>
      <c r="I734" s="683"/>
      <c r="J734" s="683"/>
      <c r="K734" s="683"/>
      <c r="L734" s="683"/>
      <c r="M734" s="683"/>
      <c r="N734" s="683"/>
    </row>
    <row r="735">
      <c r="A735" s="683"/>
      <c r="B735" s="683"/>
      <c r="C735" s="683"/>
      <c r="D735" s="683"/>
      <c r="E735" s="683"/>
      <c r="F735" s="683"/>
      <c r="G735" s="683"/>
      <c r="H735" s="683"/>
      <c r="I735" s="683"/>
      <c r="J735" s="683"/>
      <c r="K735" s="683"/>
      <c r="L735" s="683"/>
      <c r="M735" s="683"/>
      <c r="N735" s="683"/>
    </row>
    <row r="736">
      <c r="A736" s="683"/>
      <c r="B736" s="683"/>
      <c r="C736" s="683"/>
      <c r="D736" s="683"/>
      <c r="E736" s="683"/>
      <c r="F736" s="683"/>
      <c r="G736" s="683"/>
      <c r="H736" s="683"/>
      <c r="I736" s="683"/>
      <c r="J736" s="683"/>
      <c r="K736" s="683"/>
      <c r="L736" s="683"/>
      <c r="M736" s="683"/>
      <c r="N736" s="683"/>
    </row>
    <row r="737">
      <c r="A737" s="683"/>
      <c r="B737" s="683"/>
      <c r="C737" s="683"/>
      <c r="D737" s="683"/>
      <c r="E737" s="683"/>
      <c r="F737" s="683"/>
      <c r="G737" s="683"/>
      <c r="H737" s="683"/>
      <c r="I737" s="683"/>
      <c r="J737" s="683"/>
      <c r="K737" s="683"/>
      <c r="L737" s="683"/>
      <c r="M737" s="683"/>
      <c r="N737" s="683"/>
    </row>
    <row r="738">
      <c r="A738" s="683"/>
      <c r="B738" s="683"/>
      <c r="C738" s="683"/>
      <c r="D738" s="683"/>
      <c r="E738" s="683"/>
      <c r="F738" s="683"/>
      <c r="G738" s="683"/>
      <c r="H738" s="683"/>
      <c r="I738" s="683"/>
      <c r="J738" s="683"/>
      <c r="K738" s="683"/>
      <c r="L738" s="683"/>
      <c r="M738" s="683"/>
      <c r="N738" s="683"/>
    </row>
    <row r="739">
      <c r="A739" s="683"/>
      <c r="B739" s="683"/>
      <c r="C739" s="683"/>
      <c r="D739" s="683"/>
      <c r="E739" s="683"/>
      <c r="F739" s="683"/>
      <c r="G739" s="683"/>
      <c r="H739" s="683"/>
      <c r="I739" s="683"/>
      <c r="J739" s="683"/>
      <c r="K739" s="683"/>
      <c r="L739" s="683"/>
      <c r="M739" s="683"/>
      <c r="N739" s="683"/>
    </row>
    <row r="740">
      <c r="A740" s="683"/>
      <c r="B740" s="683"/>
      <c r="C740" s="683"/>
      <c r="D740" s="683"/>
      <c r="E740" s="683"/>
      <c r="F740" s="683"/>
      <c r="G740" s="683"/>
      <c r="H740" s="683"/>
      <c r="I740" s="683"/>
      <c r="J740" s="683"/>
      <c r="K740" s="683"/>
      <c r="L740" s="683"/>
      <c r="M740" s="683"/>
      <c r="N740" s="683"/>
    </row>
    <row r="741">
      <c r="A741" s="683"/>
      <c r="B741" s="683"/>
      <c r="C741" s="683"/>
      <c r="D741" s="683"/>
      <c r="E741" s="683"/>
      <c r="F741" s="683"/>
      <c r="G741" s="683"/>
      <c r="H741" s="683"/>
      <c r="I741" s="683"/>
      <c r="J741" s="683"/>
      <c r="K741" s="683"/>
      <c r="L741" s="683"/>
      <c r="M741" s="683"/>
      <c r="N741" s="683"/>
    </row>
    <row r="742">
      <c r="A742" s="683"/>
      <c r="B742" s="683"/>
      <c r="C742" s="683"/>
      <c r="D742" s="683"/>
      <c r="E742" s="683"/>
      <c r="F742" s="683"/>
      <c r="G742" s="683"/>
      <c r="H742" s="683"/>
      <c r="I742" s="683"/>
      <c r="J742" s="683"/>
      <c r="K742" s="683"/>
      <c r="L742" s="683"/>
      <c r="M742" s="683"/>
      <c r="N742" s="683"/>
    </row>
    <row r="743">
      <c r="A743" s="683"/>
      <c r="B743" s="683"/>
      <c r="C743" s="683"/>
      <c r="D743" s="683"/>
      <c r="E743" s="683"/>
      <c r="F743" s="683"/>
      <c r="G743" s="683"/>
      <c r="H743" s="683"/>
      <c r="I743" s="683"/>
      <c r="J743" s="683"/>
      <c r="K743" s="683"/>
      <c r="L743" s="683"/>
      <c r="M743" s="683"/>
      <c r="N743" s="683"/>
    </row>
    <row r="744">
      <c r="A744" s="683"/>
      <c r="B744" s="683"/>
      <c r="C744" s="683"/>
      <c r="D744" s="683"/>
      <c r="E744" s="683"/>
      <c r="F744" s="683"/>
      <c r="G744" s="683"/>
      <c r="H744" s="683"/>
      <c r="I744" s="683"/>
      <c r="J744" s="683"/>
      <c r="K744" s="683"/>
      <c r="L744" s="683"/>
      <c r="M744" s="683"/>
      <c r="N744" s="683"/>
    </row>
    <row r="745">
      <c r="A745" s="683"/>
      <c r="B745" s="683"/>
      <c r="C745" s="683"/>
      <c r="D745" s="683"/>
      <c r="E745" s="683"/>
      <c r="F745" s="683"/>
      <c r="G745" s="683"/>
      <c r="H745" s="683"/>
      <c r="I745" s="683"/>
      <c r="J745" s="683"/>
      <c r="K745" s="683"/>
      <c r="L745" s="683"/>
      <c r="M745" s="683"/>
      <c r="N745" s="683"/>
    </row>
    <row r="746">
      <c r="A746" s="683"/>
      <c r="B746" s="683"/>
      <c r="C746" s="683"/>
      <c r="D746" s="683"/>
      <c r="E746" s="683"/>
      <c r="F746" s="683"/>
      <c r="G746" s="683"/>
      <c r="H746" s="683"/>
      <c r="I746" s="683"/>
      <c r="J746" s="683"/>
      <c r="K746" s="683"/>
      <c r="L746" s="683"/>
      <c r="M746" s="683"/>
      <c r="N746" s="683"/>
    </row>
    <row r="747">
      <c r="A747" s="683"/>
      <c r="B747" s="683"/>
      <c r="C747" s="683"/>
      <c r="D747" s="683"/>
      <c r="E747" s="683"/>
      <c r="F747" s="683"/>
      <c r="G747" s="683"/>
      <c r="H747" s="683"/>
      <c r="I747" s="683"/>
      <c r="J747" s="683"/>
      <c r="K747" s="683"/>
      <c r="L747" s="683"/>
      <c r="M747" s="683"/>
      <c r="N747" s="683"/>
    </row>
    <row r="748">
      <c r="A748" s="683"/>
      <c r="B748" s="683"/>
      <c r="C748" s="683"/>
      <c r="D748" s="683"/>
      <c r="E748" s="683"/>
      <c r="F748" s="683"/>
      <c r="G748" s="683"/>
      <c r="H748" s="683"/>
      <c r="I748" s="683"/>
      <c r="J748" s="683"/>
      <c r="K748" s="683"/>
      <c r="L748" s="683"/>
      <c r="M748" s="683"/>
      <c r="N748" s="683"/>
    </row>
    <row r="749">
      <c r="A749" s="683"/>
      <c r="B749" s="683"/>
      <c r="C749" s="683"/>
      <c r="D749" s="683"/>
      <c r="E749" s="683"/>
      <c r="F749" s="683"/>
      <c r="G749" s="683"/>
      <c r="H749" s="683"/>
      <c r="I749" s="683"/>
      <c r="J749" s="683"/>
      <c r="K749" s="683"/>
      <c r="L749" s="683"/>
      <c r="M749" s="683"/>
      <c r="N749" s="683"/>
    </row>
    <row r="750">
      <c r="A750" s="683"/>
      <c r="B750" s="683"/>
      <c r="C750" s="683"/>
      <c r="D750" s="683"/>
      <c r="E750" s="683"/>
      <c r="F750" s="683"/>
      <c r="G750" s="683"/>
      <c r="H750" s="683"/>
      <c r="I750" s="683"/>
      <c r="J750" s="683"/>
      <c r="K750" s="683"/>
      <c r="L750" s="683"/>
      <c r="M750" s="683"/>
      <c r="N750" s="683"/>
    </row>
    <row r="751">
      <c r="A751" s="683"/>
      <c r="B751" s="683"/>
      <c r="C751" s="683"/>
      <c r="D751" s="683"/>
      <c r="E751" s="683"/>
      <c r="F751" s="683"/>
      <c r="G751" s="683"/>
      <c r="H751" s="683"/>
      <c r="I751" s="683"/>
      <c r="J751" s="683"/>
      <c r="K751" s="683"/>
      <c r="L751" s="683"/>
      <c r="M751" s="683"/>
      <c r="N751" s="683"/>
    </row>
    <row r="752">
      <c r="A752" s="683"/>
      <c r="B752" s="683"/>
      <c r="C752" s="683"/>
      <c r="D752" s="683"/>
      <c r="E752" s="683"/>
      <c r="F752" s="683"/>
      <c r="G752" s="683"/>
      <c r="H752" s="683"/>
      <c r="I752" s="683"/>
      <c r="J752" s="683"/>
      <c r="K752" s="683"/>
      <c r="L752" s="683"/>
      <c r="M752" s="683"/>
      <c r="N752" s="683"/>
    </row>
    <row r="753">
      <c r="A753" s="683"/>
      <c r="B753" s="683"/>
      <c r="C753" s="683"/>
      <c r="D753" s="683"/>
      <c r="E753" s="683"/>
      <c r="F753" s="683"/>
      <c r="G753" s="683"/>
      <c r="H753" s="683"/>
      <c r="I753" s="683"/>
      <c r="J753" s="683"/>
      <c r="K753" s="683"/>
      <c r="L753" s="683"/>
      <c r="M753" s="683"/>
      <c r="N753" s="683"/>
    </row>
    <row r="754">
      <c r="A754" s="683"/>
      <c r="B754" s="683"/>
      <c r="C754" s="683"/>
      <c r="D754" s="683"/>
      <c r="E754" s="683"/>
      <c r="F754" s="683"/>
      <c r="G754" s="683"/>
      <c r="H754" s="683"/>
      <c r="I754" s="683"/>
      <c r="J754" s="683"/>
      <c r="K754" s="683"/>
      <c r="L754" s="683"/>
      <c r="M754" s="683"/>
      <c r="N754" s="683"/>
    </row>
    <row r="755">
      <c r="A755" s="683"/>
      <c r="B755" s="683"/>
      <c r="C755" s="683"/>
      <c r="D755" s="683"/>
      <c r="E755" s="683"/>
      <c r="F755" s="683"/>
      <c r="G755" s="683"/>
      <c r="H755" s="683"/>
      <c r="I755" s="683"/>
      <c r="J755" s="683"/>
      <c r="K755" s="683"/>
      <c r="L755" s="683"/>
      <c r="M755" s="683"/>
      <c r="N755" s="683"/>
    </row>
    <row r="756">
      <c r="A756" s="683"/>
      <c r="B756" s="683"/>
      <c r="C756" s="683"/>
      <c r="D756" s="683"/>
      <c r="E756" s="683"/>
      <c r="F756" s="683"/>
      <c r="G756" s="683"/>
      <c r="H756" s="683"/>
      <c r="I756" s="683"/>
      <c r="J756" s="683"/>
      <c r="K756" s="683"/>
      <c r="L756" s="683"/>
      <c r="M756" s="683"/>
      <c r="N756" s="683"/>
    </row>
    <row r="757">
      <c r="A757" s="683"/>
      <c r="B757" s="683"/>
      <c r="C757" s="683"/>
      <c r="D757" s="683"/>
      <c r="E757" s="683"/>
      <c r="F757" s="683"/>
      <c r="G757" s="683"/>
      <c r="H757" s="683"/>
      <c r="I757" s="683"/>
      <c r="J757" s="683"/>
      <c r="K757" s="683"/>
      <c r="L757" s="683"/>
      <c r="M757" s="683"/>
      <c r="N757" s="683"/>
    </row>
    <row r="758">
      <c r="A758" s="683"/>
      <c r="B758" s="683"/>
      <c r="C758" s="683"/>
      <c r="D758" s="683"/>
      <c r="E758" s="683"/>
      <c r="F758" s="683"/>
      <c r="G758" s="683"/>
      <c r="H758" s="683"/>
      <c r="I758" s="683"/>
      <c r="J758" s="683"/>
      <c r="K758" s="683"/>
      <c r="L758" s="683"/>
      <c r="M758" s="683"/>
      <c r="N758" s="683"/>
    </row>
    <row r="759">
      <c r="A759" s="683"/>
      <c r="B759" s="683"/>
      <c r="C759" s="683"/>
      <c r="D759" s="683"/>
      <c r="E759" s="683"/>
      <c r="F759" s="683"/>
      <c r="G759" s="683"/>
      <c r="H759" s="683"/>
      <c r="I759" s="683"/>
      <c r="J759" s="683"/>
      <c r="K759" s="683"/>
      <c r="L759" s="683"/>
      <c r="M759" s="683"/>
      <c r="N759" s="683"/>
    </row>
    <row r="760">
      <c r="A760" s="683"/>
      <c r="B760" s="683"/>
      <c r="C760" s="683"/>
      <c r="D760" s="683"/>
      <c r="E760" s="683"/>
      <c r="F760" s="683"/>
      <c r="G760" s="683"/>
      <c r="H760" s="683"/>
      <c r="I760" s="683"/>
      <c r="J760" s="683"/>
      <c r="K760" s="683"/>
      <c r="L760" s="683"/>
      <c r="M760" s="683"/>
      <c r="N760" s="683"/>
    </row>
    <row r="761">
      <c r="A761" s="683"/>
      <c r="B761" s="683"/>
      <c r="C761" s="683"/>
      <c r="D761" s="683"/>
      <c r="E761" s="683"/>
      <c r="F761" s="683"/>
      <c r="G761" s="683"/>
      <c r="H761" s="683"/>
      <c r="I761" s="683"/>
      <c r="J761" s="683"/>
      <c r="K761" s="683"/>
      <c r="L761" s="683"/>
      <c r="M761" s="683"/>
      <c r="N761" s="683"/>
    </row>
    <row r="762">
      <c r="A762" s="683"/>
      <c r="B762" s="683"/>
      <c r="C762" s="683"/>
      <c r="D762" s="683"/>
      <c r="E762" s="683"/>
      <c r="F762" s="683"/>
      <c r="G762" s="683"/>
      <c r="H762" s="683"/>
      <c r="I762" s="683"/>
      <c r="J762" s="683"/>
      <c r="K762" s="683"/>
      <c r="L762" s="683"/>
      <c r="M762" s="683"/>
      <c r="N762" s="683"/>
    </row>
    <row r="763">
      <c r="A763" s="683"/>
      <c r="B763" s="683"/>
      <c r="C763" s="683"/>
      <c r="D763" s="683"/>
      <c r="E763" s="683"/>
      <c r="F763" s="683"/>
      <c r="G763" s="683"/>
      <c r="H763" s="683"/>
      <c r="I763" s="683"/>
      <c r="J763" s="683"/>
      <c r="K763" s="683"/>
      <c r="L763" s="683"/>
      <c r="M763" s="683"/>
      <c r="N763" s="683"/>
    </row>
    <row r="764">
      <c r="A764" s="683"/>
      <c r="B764" s="683"/>
      <c r="C764" s="683"/>
      <c r="D764" s="683"/>
      <c r="E764" s="683"/>
      <c r="F764" s="683"/>
      <c r="G764" s="683"/>
      <c r="H764" s="683"/>
      <c r="I764" s="683"/>
      <c r="J764" s="683"/>
      <c r="K764" s="683"/>
      <c r="L764" s="683"/>
      <c r="M764" s="683"/>
      <c r="N764" s="683"/>
    </row>
    <row r="765">
      <c r="A765" s="683"/>
      <c r="B765" s="683"/>
      <c r="C765" s="683"/>
      <c r="D765" s="683"/>
      <c r="E765" s="683"/>
      <c r="F765" s="683"/>
      <c r="G765" s="683"/>
      <c r="H765" s="683"/>
      <c r="I765" s="683"/>
      <c r="J765" s="683"/>
      <c r="K765" s="683"/>
      <c r="L765" s="683"/>
      <c r="M765" s="683"/>
      <c r="N765" s="683"/>
    </row>
    <row r="766">
      <c r="A766" s="683"/>
      <c r="B766" s="683"/>
      <c r="C766" s="683"/>
      <c r="D766" s="683"/>
      <c r="E766" s="683"/>
      <c r="F766" s="683"/>
      <c r="G766" s="683"/>
      <c r="H766" s="683"/>
      <c r="I766" s="683"/>
      <c r="J766" s="683"/>
      <c r="K766" s="683"/>
      <c r="L766" s="683"/>
      <c r="M766" s="683"/>
      <c r="N766" s="683"/>
    </row>
    <row r="767">
      <c r="A767" s="683"/>
      <c r="B767" s="683"/>
      <c r="C767" s="683"/>
      <c r="D767" s="683"/>
      <c r="E767" s="683"/>
      <c r="F767" s="683"/>
      <c r="G767" s="683"/>
      <c r="H767" s="683"/>
      <c r="I767" s="683"/>
      <c r="J767" s="683"/>
      <c r="K767" s="683"/>
      <c r="L767" s="683"/>
      <c r="M767" s="683"/>
      <c r="N767" s="683"/>
    </row>
    <row r="768">
      <c r="A768" s="683"/>
      <c r="B768" s="683"/>
      <c r="C768" s="683"/>
      <c r="D768" s="683"/>
      <c r="E768" s="683"/>
      <c r="F768" s="683"/>
      <c r="G768" s="683"/>
      <c r="H768" s="683"/>
      <c r="I768" s="683"/>
      <c r="J768" s="683"/>
      <c r="K768" s="683"/>
      <c r="L768" s="683"/>
      <c r="M768" s="683"/>
      <c r="N768" s="683"/>
    </row>
    <row r="769">
      <c r="A769" s="683"/>
      <c r="B769" s="683"/>
      <c r="C769" s="683"/>
      <c r="D769" s="683"/>
      <c r="E769" s="683"/>
      <c r="F769" s="683"/>
      <c r="G769" s="683"/>
      <c r="H769" s="683"/>
      <c r="I769" s="683"/>
      <c r="J769" s="683"/>
      <c r="K769" s="683"/>
      <c r="L769" s="683"/>
      <c r="M769" s="683"/>
      <c r="N769" s="683"/>
    </row>
    <row r="770">
      <c r="A770" s="683"/>
      <c r="B770" s="683"/>
      <c r="C770" s="683"/>
      <c r="D770" s="683"/>
      <c r="E770" s="683"/>
      <c r="F770" s="683"/>
      <c r="G770" s="683"/>
      <c r="H770" s="683"/>
      <c r="I770" s="683"/>
      <c r="J770" s="683"/>
      <c r="K770" s="683"/>
      <c r="L770" s="683"/>
      <c r="M770" s="683"/>
      <c r="N770" s="683"/>
    </row>
    <row r="771">
      <c r="A771" s="683"/>
      <c r="B771" s="683"/>
      <c r="C771" s="683"/>
      <c r="D771" s="683"/>
      <c r="E771" s="683"/>
      <c r="F771" s="683"/>
      <c r="G771" s="683"/>
      <c r="H771" s="683"/>
      <c r="I771" s="683"/>
      <c r="J771" s="683"/>
      <c r="K771" s="683"/>
      <c r="L771" s="683"/>
      <c r="M771" s="683"/>
      <c r="N771" s="683"/>
    </row>
    <row r="772">
      <c r="A772" s="683"/>
      <c r="B772" s="683"/>
      <c r="C772" s="683"/>
      <c r="D772" s="683"/>
      <c r="E772" s="683"/>
      <c r="F772" s="683"/>
      <c r="G772" s="683"/>
      <c r="H772" s="683"/>
      <c r="I772" s="683"/>
      <c r="J772" s="683"/>
      <c r="K772" s="683"/>
      <c r="L772" s="683"/>
      <c r="M772" s="683"/>
      <c r="N772" s="683"/>
    </row>
    <row r="773">
      <c r="A773" s="683"/>
      <c r="B773" s="683"/>
      <c r="C773" s="683"/>
      <c r="D773" s="683"/>
      <c r="E773" s="683"/>
      <c r="F773" s="683"/>
      <c r="G773" s="683"/>
      <c r="H773" s="683"/>
      <c r="I773" s="683"/>
      <c r="J773" s="683"/>
      <c r="K773" s="683"/>
      <c r="L773" s="683"/>
      <c r="M773" s="683"/>
      <c r="N773" s="683"/>
    </row>
    <row r="774">
      <c r="A774" s="683"/>
      <c r="B774" s="683"/>
      <c r="C774" s="683"/>
      <c r="D774" s="683"/>
      <c r="E774" s="683"/>
      <c r="F774" s="683"/>
      <c r="G774" s="683"/>
      <c r="H774" s="683"/>
      <c r="I774" s="683"/>
      <c r="J774" s="683"/>
      <c r="K774" s="683"/>
      <c r="L774" s="683"/>
      <c r="M774" s="683"/>
      <c r="N774" s="683"/>
    </row>
    <row r="775">
      <c r="A775" s="683"/>
      <c r="B775" s="683"/>
      <c r="C775" s="683"/>
      <c r="D775" s="683"/>
      <c r="E775" s="683"/>
      <c r="F775" s="683"/>
      <c r="G775" s="683"/>
      <c r="H775" s="683"/>
      <c r="I775" s="683"/>
      <c r="J775" s="683"/>
      <c r="K775" s="683"/>
      <c r="L775" s="683"/>
      <c r="M775" s="683"/>
      <c r="N775" s="683"/>
    </row>
    <row r="776">
      <c r="A776" s="683"/>
      <c r="B776" s="683"/>
      <c r="C776" s="683"/>
      <c r="D776" s="683"/>
      <c r="E776" s="683"/>
      <c r="F776" s="683"/>
      <c r="G776" s="683"/>
      <c r="H776" s="683"/>
      <c r="I776" s="683"/>
      <c r="J776" s="683"/>
      <c r="K776" s="683"/>
      <c r="L776" s="683"/>
      <c r="M776" s="683"/>
      <c r="N776" s="683"/>
    </row>
    <row r="777">
      <c r="A777" s="683"/>
      <c r="B777" s="683"/>
      <c r="C777" s="683"/>
      <c r="D777" s="683"/>
      <c r="E777" s="683"/>
      <c r="F777" s="683"/>
      <c r="G777" s="683"/>
      <c r="H777" s="683"/>
      <c r="I777" s="683"/>
      <c r="J777" s="683"/>
      <c r="K777" s="683"/>
      <c r="L777" s="683"/>
      <c r="M777" s="683"/>
      <c r="N777" s="683"/>
    </row>
    <row r="778">
      <c r="A778" s="683"/>
      <c r="B778" s="683"/>
      <c r="C778" s="683"/>
      <c r="D778" s="683"/>
      <c r="E778" s="683"/>
      <c r="F778" s="683"/>
      <c r="G778" s="683"/>
      <c r="H778" s="683"/>
      <c r="I778" s="683"/>
      <c r="J778" s="683"/>
      <c r="K778" s="683"/>
      <c r="L778" s="683"/>
      <c r="M778" s="683"/>
      <c r="N778" s="683"/>
    </row>
    <row r="779">
      <c r="A779" s="683"/>
      <c r="B779" s="683"/>
      <c r="C779" s="683"/>
      <c r="D779" s="683"/>
      <c r="E779" s="683"/>
      <c r="F779" s="683"/>
      <c r="G779" s="683"/>
      <c r="H779" s="683"/>
      <c r="I779" s="683"/>
      <c r="J779" s="683"/>
      <c r="K779" s="683"/>
      <c r="L779" s="683"/>
      <c r="M779" s="683"/>
      <c r="N779" s="683"/>
    </row>
    <row r="780">
      <c r="A780" s="683"/>
      <c r="B780" s="683"/>
      <c r="C780" s="683"/>
      <c r="D780" s="683"/>
      <c r="E780" s="683"/>
      <c r="F780" s="683"/>
      <c r="G780" s="683"/>
      <c r="H780" s="683"/>
      <c r="I780" s="683"/>
      <c r="J780" s="683"/>
      <c r="K780" s="683"/>
      <c r="L780" s="683"/>
      <c r="M780" s="683"/>
      <c r="N780" s="683"/>
    </row>
    <row r="781">
      <c r="A781" s="683"/>
      <c r="B781" s="683"/>
      <c r="C781" s="683"/>
      <c r="D781" s="683"/>
      <c r="E781" s="683"/>
      <c r="F781" s="683"/>
      <c r="G781" s="683"/>
      <c r="H781" s="683"/>
      <c r="I781" s="683"/>
      <c r="J781" s="683"/>
      <c r="K781" s="683"/>
      <c r="L781" s="683"/>
      <c r="M781" s="683"/>
      <c r="N781" s="683"/>
    </row>
    <row r="782">
      <c r="A782" s="683"/>
      <c r="B782" s="683"/>
      <c r="C782" s="683"/>
      <c r="D782" s="683"/>
      <c r="E782" s="683"/>
      <c r="F782" s="683"/>
      <c r="G782" s="683"/>
      <c r="H782" s="683"/>
      <c r="I782" s="683"/>
      <c r="J782" s="683"/>
      <c r="K782" s="683"/>
      <c r="L782" s="683"/>
      <c r="M782" s="683"/>
      <c r="N782" s="683"/>
    </row>
    <row r="783">
      <c r="A783" s="683"/>
      <c r="B783" s="683"/>
      <c r="C783" s="683"/>
      <c r="D783" s="683"/>
      <c r="E783" s="683"/>
      <c r="F783" s="683"/>
      <c r="G783" s="683"/>
      <c r="H783" s="683"/>
      <c r="I783" s="683"/>
      <c r="J783" s="683"/>
      <c r="K783" s="683"/>
      <c r="L783" s="683"/>
      <c r="M783" s="683"/>
      <c r="N783" s="683"/>
    </row>
    <row r="784">
      <c r="A784" s="683"/>
      <c r="B784" s="683"/>
      <c r="C784" s="683"/>
      <c r="D784" s="683"/>
      <c r="E784" s="683"/>
      <c r="F784" s="683"/>
      <c r="G784" s="683"/>
      <c r="H784" s="683"/>
      <c r="I784" s="683"/>
      <c r="J784" s="683"/>
      <c r="K784" s="683"/>
      <c r="L784" s="683"/>
      <c r="M784" s="683"/>
      <c r="N784" s="683"/>
    </row>
    <row r="785">
      <c r="A785" s="683"/>
      <c r="B785" s="683"/>
      <c r="C785" s="683"/>
      <c r="D785" s="683"/>
      <c r="E785" s="683"/>
      <c r="F785" s="683"/>
      <c r="G785" s="683"/>
      <c r="H785" s="683"/>
      <c r="I785" s="683"/>
      <c r="J785" s="683"/>
      <c r="K785" s="683"/>
      <c r="L785" s="683"/>
      <c r="M785" s="683"/>
      <c r="N785" s="683"/>
    </row>
    <row r="786">
      <c r="A786" s="683"/>
      <c r="B786" s="683"/>
      <c r="C786" s="683"/>
      <c r="D786" s="683"/>
      <c r="E786" s="683"/>
      <c r="F786" s="683"/>
      <c r="G786" s="683"/>
      <c r="H786" s="683"/>
      <c r="I786" s="683"/>
      <c r="J786" s="683"/>
      <c r="K786" s="683"/>
      <c r="L786" s="683"/>
      <c r="M786" s="683"/>
      <c r="N786" s="683"/>
    </row>
    <row r="787">
      <c r="A787" s="683"/>
      <c r="B787" s="683"/>
      <c r="C787" s="683"/>
      <c r="D787" s="683"/>
      <c r="E787" s="683"/>
      <c r="F787" s="683"/>
      <c r="G787" s="683"/>
      <c r="H787" s="683"/>
      <c r="I787" s="683"/>
      <c r="J787" s="683"/>
      <c r="K787" s="683"/>
      <c r="L787" s="683"/>
      <c r="M787" s="683"/>
      <c r="N787" s="683"/>
    </row>
    <row r="788">
      <c r="A788" s="683"/>
      <c r="B788" s="683"/>
      <c r="C788" s="683"/>
      <c r="D788" s="683"/>
      <c r="E788" s="683"/>
      <c r="F788" s="683"/>
      <c r="G788" s="683"/>
      <c r="H788" s="683"/>
      <c r="I788" s="683"/>
      <c r="J788" s="683"/>
      <c r="K788" s="683"/>
      <c r="L788" s="683"/>
      <c r="M788" s="683"/>
      <c r="N788" s="683"/>
    </row>
    <row r="789">
      <c r="A789" s="683"/>
      <c r="B789" s="683"/>
      <c r="C789" s="683"/>
      <c r="D789" s="683"/>
      <c r="E789" s="683"/>
      <c r="F789" s="683"/>
      <c r="G789" s="683"/>
      <c r="H789" s="683"/>
      <c r="I789" s="683"/>
      <c r="J789" s="683"/>
      <c r="K789" s="683"/>
      <c r="L789" s="683"/>
      <c r="M789" s="683"/>
      <c r="N789" s="683"/>
    </row>
    <row r="790">
      <c r="A790" s="683"/>
      <c r="B790" s="683"/>
      <c r="C790" s="683"/>
      <c r="D790" s="683"/>
      <c r="E790" s="683"/>
      <c r="F790" s="683"/>
      <c r="G790" s="683"/>
      <c r="H790" s="683"/>
      <c r="I790" s="683"/>
      <c r="J790" s="683"/>
      <c r="K790" s="683"/>
      <c r="L790" s="683"/>
      <c r="M790" s="683"/>
      <c r="N790" s="683"/>
    </row>
    <row r="791">
      <c r="A791" s="683"/>
      <c r="B791" s="683"/>
      <c r="C791" s="683"/>
      <c r="D791" s="683"/>
      <c r="E791" s="683"/>
      <c r="F791" s="683"/>
      <c r="G791" s="683"/>
      <c r="H791" s="683"/>
      <c r="I791" s="683"/>
      <c r="J791" s="683"/>
      <c r="K791" s="683"/>
      <c r="L791" s="683"/>
      <c r="M791" s="683"/>
      <c r="N791" s="683"/>
    </row>
    <row r="792">
      <c r="A792" s="683"/>
      <c r="B792" s="683"/>
      <c r="C792" s="683"/>
      <c r="D792" s="683"/>
      <c r="E792" s="683"/>
      <c r="F792" s="683"/>
      <c r="G792" s="683"/>
      <c r="H792" s="683"/>
      <c r="I792" s="683"/>
      <c r="J792" s="683"/>
      <c r="K792" s="683"/>
      <c r="L792" s="683"/>
      <c r="M792" s="683"/>
      <c r="N792" s="683"/>
    </row>
    <row r="793">
      <c r="A793" s="683"/>
      <c r="B793" s="683"/>
      <c r="C793" s="683"/>
      <c r="D793" s="683"/>
      <c r="E793" s="683"/>
      <c r="F793" s="683"/>
      <c r="G793" s="683"/>
      <c r="H793" s="683"/>
      <c r="I793" s="683"/>
      <c r="J793" s="683"/>
      <c r="K793" s="683"/>
      <c r="L793" s="683"/>
      <c r="M793" s="683"/>
      <c r="N793" s="683"/>
    </row>
    <row r="794">
      <c r="A794" s="683"/>
      <c r="B794" s="683"/>
      <c r="C794" s="683"/>
      <c r="D794" s="683"/>
      <c r="E794" s="683"/>
      <c r="F794" s="683"/>
      <c r="G794" s="683"/>
      <c r="H794" s="683"/>
      <c r="I794" s="683"/>
      <c r="J794" s="683"/>
      <c r="K794" s="683"/>
      <c r="L794" s="683"/>
      <c r="M794" s="683"/>
      <c r="N794" s="683"/>
    </row>
    <row r="795">
      <c r="A795" s="683"/>
      <c r="B795" s="683"/>
      <c r="C795" s="683"/>
      <c r="D795" s="683"/>
      <c r="E795" s="683"/>
      <c r="F795" s="683"/>
      <c r="G795" s="683"/>
      <c r="H795" s="683"/>
      <c r="I795" s="683"/>
      <c r="J795" s="683"/>
      <c r="K795" s="683"/>
      <c r="L795" s="683"/>
      <c r="M795" s="683"/>
      <c r="N795" s="683"/>
    </row>
    <row r="796">
      <c r="A796" s="683"/>
      <c r="B796" s="683"/>
      <c r="C796" s="683"/>
      <c r="D796" s="683"/>
      <c r="E796" s="683"/>
      <c r="F796" s="683"/>
      <c r="G796" s="683"/>
      <c r="H796" s="683"/>
      <c r="I796" s="683"/>
      <c r="J796" s="683"/>
      <c r="K796" s="683"/>
      <c r="L796" s="683"/>
      <c r="M796" s="683"/>
      <c r="N796" s="683"/>
    </row>
    <row r="797">
      <c r="A797" s="683"/>
      <c r="B797" s="683"/>
      <c r="C797" s="683"/>
      <c r="D797" s="683"/>
      <c r="E797" s="683"/>
      <c r="F797" s="683"/>
      <c r="G797" s="683"/>
      <c r="H797" s="683"/>
      <c r="I797" s="683"/>
      <c r="J797" s="683"/>
      <c r="K797" s="683"/>
      <c r="L797" s="683"/>
      <c r="M797" s="683"/>
      <c r="N797" s="683"/>
    </row>
    <row r="798">
      <c r="A798" s="683"/>
      <c r="B798" s="683"/>
      <c r="C798" s="683"/>
      <c r="D798" s="683"/>
      <c r="E798" s="683"/>
      <c r="F798" s="683"/>
      <c r="G798" s="683"/>
      <c r="H798" s="683"/>
      <c r="I798" s="683"/>
      <c r="J798" s="683"/>
      <c r="K798" s="683"/>
      <c r="L798" s="683"/>
      <c r="M798" s="683"/>
      <c r="N798" s="683"/>
    </row>
    <row r="799">
      <c r="A799" s="683"/>
      <c r="B799" s="683"/>
      <c r="C799" s="683"/>
      <c r="D799" s="683"/>
      <c r="E799" s="683"/>
      <c r="F799" s="683"/>
      <c r="G799" s="683"/>
      <c r="H799" s="683"/>
      <c r="I799" s="683"/>
      <c r="J799" s="683"/>
      <c r="K799" s="683"/>
      <c r="L799" s="683"/>
      <c r="M799" s="683"/>
      <c r="N799" s="683"/>
    </row>
    <row r="800">
      <c r="A800" s="683"/>
      <c r="B800" s="683"/>
      <c r="C800" s="683"/>
      <c r="D800" s="683"/>
      <c r="E800" s="683"/>
      <c r="F800" s="683"/>
      <c r="G800" s="683"/>
      <c r="H800" s="683"/>
      <c r="I800" s="683"/>
      <c r="J800" s="683"/>
      <c r="K800" s="683"/>
      <c r="L800" s="683"/>
      <c r="M800" s="683"/>
      <c r="N800" s="683"/>
    </row>
    <row r="801">
      <c r="A801" s="683"/>
      <c r="B801" s="683"/>
      <c r="C801" s="683"/>
      <c r="D801" s="683"/>
      <c r="E801" s="683"/>
      <c r="F801" s="683"/>
      <c r="G801" s="683"/>
      <c r="H801" s="683"/>
      <c r="I801" s="683"/>
      <c r="J801" s="683"/>
      <c r="K801" s="683"/>
      <c r="L801" s="683"/>
      <c r="M801" s="683"/>
      <c r="N801" s="683"/>
    </row>
    <row r="802">
      <c r="A802" s="683"/>
      <c r="B802" s="683"/>
      <c r="C802" s="683"/>
      <c r="D802" s="683"/>
      <c r="E802" s="683"/>
      <c r="F802" s="683"/>
      <c r="G802" s="683"/>
      <c r="H802" s="683"/>
      <c r="I802" s="683"/>
      <c r="J802" s="683"/>
      <c r="K802" s="683"/>
      <c r="L802" s="683"/>
      <c r="M802" s="683"/>
      <c r="N802" s="683"/>
    </row>
    <row r="803">
      <c r="A803" s="683"/>
      <c r="B803" s="683"/>
      <c r="C803" s="683"/>
      <c r="D803" s="683"/>
      <c r="E803" s="683"/>
      <c r="F803" s="683"/>
      <c r="G803" s="683"/>
      <c r="H803" s="683"/>
      <c r="I803" s="683"/>
      <c r="J803" s="683"/>
      <c r="K803" s="683"/>
      <c r="L803" s="683"/>
      <c r="M803" s="683"/>
      <c r="N803" s="683"/>
    </row>
    <row r="804">
      <c r="A804" s="683"/>
      <c r="B804" s="683"/>
      <c r="C804" s="683"/>
      <c r="D804" s="683"/>
      <c r="E804" s="683"/>
      <c r="F804" s="683"/>
      <c r="G804" s="683"/>
      <c r="H804" s="683"/>
      <c r="I804" s="683"/>
      <c r="J804" s="683"/>
      <c r="K804" s="683"/>
      <c r="L804" s="683"/>
      <c r="M804" s="683"/>
      <c r="N804" s="683"/>
    </row>
    <row r="805">
      <c r="A805" s="683"/>
      <c r="B805" s="683"/>
      <c r="C805" s="683"/>
      <c r="D805" s="683"/>
      <c r="E805" s="683"/>
      <c r="F805" s="683"/>
      <c r="G805" s="683"/>
      <c r="H805" s="683"/>
      <c r="I805" s="683"/>
      <c r="J805" s="683"/>
      <c r="K805" s="683"/>
      <c r="L805" s="683"/>
      <c r="M805" s="683"/>
      <c r="N805" s="683"/>
    </row>
    <row r="806">
      <c r="A806" s="683"/>
      <c r="B806" s="683"/>
      <c r="C806" s="683"/>
      <c r="D806" s="683"/>
      <c r="E806" s="683"/>
      <c r="F806" s="683"/>
      <c r="G806" s="683"/>
      <c r="H806" s="683"/>
      <c r="I806" s="683"/>
      <c r="J806" s="683"/>
      <c r="K806" s="683"/>
      <c r="L806" s="683"/>
      <c r="M806" s="683"/>
      <c r="N806" s="683"/>
    </row>
    <row r="807">
      <c r="A807" s="683"/>
      <c r="B807" s="683"/>
      <c r="C807" s="683"/>
      <c r="D807" s="683"/>
      <c r="E807" s="683"/>
      <c r="F807" s="683"/>
      <c r="G807" s="683"/>
      <c r="H807" s="683"/>
      <c r="I807" s="683"/>
      <c r="J807" s="683"/>
      <c r="K807" s="683"/>
      <c r="L807" s="683"/>
      <c r="M807" s="683"/>
      <c r="N807" s="683"/>
    </row>
    <row r="808">
      <c r="A808" s="683"/>
      <c r="B808" s="683"/>
      <c r="C808" s="683"/>
      <c r="D808" s="683"/>
      <c r="E808" s="683"/>
      <c r="F808" s="683"/>
      <c r="G808" s="683"/>
      <c r="H808" s="683"/>
      <c r="I808" s="683"/>
      <c r="J808" s="683"/>
      <c r="K808" s="683"/>
      <c r="L808" s="683"/>
      <c r="M808" s="683"/>
      <c r="N808" s="683"/>
    </row>
    <row r="809">
      <c r="A809" s="683"/>
      <c r="B809" s="683"/>
      <c r="C809" s="683"/>
      <c r="D809" s="683"/>
      <c r="E809" s="683"/>
      <c r="F809" s="683"/>
      <c r="G809" s="683"/>
      <c r="H809" s="683"/>
      <c r="I809" s="683"/>
      <c r="J809" s="683"/>
      <c r="K809" s="683"/>
      <c r="L809" s="683"/>
      <c r="M809" s="683"/>
      <c r="N809" s="683"/>
    </row>
    <row r="810">
      <c r="A810" s="683"/>
      <c r="B810" s="683"/>
      <c r="C810" s="683"/>
      <c r="D810" s="683"/>
      <c r="E810" s="683"/>
      <c r="F810" s="683"/>
      <c r="G810" s="683"/>
      <c r="H810" s="683"/>
      <c r="I810" s="683"/>
      <c r="J810" s="683"/>
      <c r="K810" s="683"/>
      <c r="L810" s="683"/>
      <c r="M810" s="683"/>
      <c r="N810" s="683"/>
    </row>
    <row r="811">
      <c r="A811" s="683"/>
      <c r="B811" s="683"/>
      <c r="C811" s="683"/>
      <c r="D811" s="683"/>
      <c r="E811" s="683"/>
      <c r="F811" s="683"/>
      <c r="G811" s="683"/>
      <c r="H811" s="683"/>
      <c r="I811" s="683"/>
      <c r="J811" s="683"/>
      <c r="K811" s="683"/>
      <c r="L811" s="683"/>
      <c r="M811" s="683"/>
      <c r="N811" s="683"/>
    </row>
    <row r="812">
      <c r="A812" s="683"/>
      <c r="B812" s="683"/>
      <c r="C812" s="683"/>
      <c r="D812" s="683"/>
      <c r="E812" s="683"/>
      <c r="F812" s="683"/>
      <c r="G812" s="683"/>
      <c r="H812" s="683"/>
      <c r="I812" s="683"/>
      <c r="J812" s="683"/>
      <c r="K812" s="683"/>
      <c r="L812" s="683"/>
      <c r="M812" s="683"/>
      <c r="N812" s="683"/>
    </row>
    <row r="813">
      <c r="A813" s="683"/>
      <c r="B813" s="683"/>
      <c r="C813" s="683"/>
      <c r="D813" s="683"/>
      <c r="E813" s="683"/>
      <c r="F813" s="683"/>
      <c r="G813" s="683"/>
      <c r="H813" s="683"/>
      <c r="I813" s="683"/>
      <c r="J813" s="683"/>
      <c r="K813" s="683"/>
      <c r="L813" s="683"/>
      <c r="M813" s="683"/>
      <c r="N813" s="683"/>
    </row>
    <row r="814">
      <c r="A814" s="683"/>
      <c r="B814" s="683"/>
      <c r="C814" s="683"/>
      <c r="D814" s="683"/>
      <c r="E814" s="683"/>
      <c r="F814" s="683"/>
      <c r="G814" s="683"/>
      <c r="H814" s="683"/>
      <c r="I814" s="683"/>
      <c r="J814" s="683"/>
      <c r="K814" s="683"/>
      <c r="L814" s="683"/>
      <c r="M814" s="683"/>
      <c r="N814" s="683"/>
    </row>
    <row r="815">
      <c r="A815" s="683"/>
      <c r="B815" s="683"/>
      <c r="C815" s="683"/>
      <c r="D815" s="683"/>
      <c r="E815" s="683"/>
      <c r="F815" s="683"/>
      <c r="G815" s="683"/>
      <c r="H815" s="683"/>
      <c r="I815" s="683"/>
      <c r="J815" s="683"/>
      <c r="K815" s="683"/>
      <c r="L815" s="683"/>
      <c r="M815" s="683"/>
      <c r="N815" s="683"/>
    </row>
    <row r="816">
      <c r="A816" s="683"/>
      <c r="B816" s="683"/>
      <c r="C816" s="683"/>
      <c r="D816" s="683"/>
      <c r="E816" s="683"/>
      <c r="F816" s="683"/>
      <c r="G816" s="683"/>
      <c r="H816" s="683"/>
      <c r="I816" s="683"/>
      <c r="J816" s="683"/>
      <c r="K816" s="683"/>
      <c r="L816" s="683"/>
      <c r="M816" s="683"/>
      <c r="N816" s="683"/>
    </row>
    <row r="817">
      <c r="A817" s="683"/>
      <c r="B817" s="683"/>
      <c r="C817" s="683"/>
      <c r="D817" s="683"/>
      <c r="E817" s="683"/>
      <c r="F817" s="683"/>
      <c r="G817" s="683"/>
      <c r="H817" s="683"/>
      <c r="I817" s="683"/>
      <c r="J817" s="683"/>
      <c r="K817" s="683"/>
      <c r="L817" s="683"/>
      <c r="M817" s="683"/>
      <c r="N817" s="683"/>
    </row>
    <row r="818">
      <c r="A818" s="683"/>
      <c r="B818" s="683"/>
      <c r="C818" s="683"/>
      <c r="D818" s="683"/>
      <c r="E818" s="683"/>
      <c r="F818" s="683"/>
      <c r="G818" s="683"/>
      <c r="H818" s="683"/>
      <c r="I818" s="683"/>
      <c r="J818" s="683"/>
      <c r="K818" s="683"/>
      <c r="L818" s="683"/>
      <c r="M818" s="683"/>
      <c r="N818" s="683"/>
    </row>
    <row r="819">
      <c r="A819" s="683"/>
      <c r="B819" s="683"/>
      <c r="C819" s="683"/>
      <c r="D819" s="683"/>
      <c r="E819" s="683"/>
      <c r="F819" s="683"/>
      <c r="G819" s="683"/>
      <c r="H819" s="683"/>
      <c r="I819" s="683"/>
      <c r="J819" s="683"/>
      <c r="K819" s="683"/>
      <c r="L819" s="683"/>
      <c r="M819" s="683"/>
      <c r="N819" s="683"/>
    </row>
    <row r="820">
      <c r="A820" s="683"/>
      <c r="B820" s="683"/>
      <c r="C820" s="683"/>
      <c r="D820" s="683"/>
      <c r="E820" s="683"/>
      <c r="F820" s="683"/>
      <c r="G820" s="683"/>
      <c r="H820" s="683"/>
      <c r="I820" s="683"/>
      <c r="J820" s="683"/>
      <c r="K820" s="683"/>
      <c r="L820" s="683"/>
      <c r="M820" s="683"/>
      <c r="N820" s="683"/>
    </row>
    <row r="821">
      <c r="A821" s="683"/>
      <c r="B821" s="683"/>
      <c r="C821" s="683"/>
      <c r="D821" s="683"/>
      <c r="E821" s="683"/>
      <c r="F821" s="683"/>
      <c r="G821" s="683"/>
      <c r="H821" s="683"/>
      <c r="I821" s="683"/>
      <c r="J821" s="683"/>
      <c r="K821" s="683"/>
      <c r="L821" s="683"/>
      <c r="M821" s="683"/>
      <c r="N821" s="683"/>
    </row>
    <row r="822">
      <c r="A822" s="683"/>
      <c r="B822" s="683"/>
      <c r="C822" s="683"/>
      <c r="D822" s="683"/>
      <c r="E822" s="683"/>
      <c r="F822" s="683"/>
      <c r="G822" s="683"/>
      <c r="H822" s="683"/>
      <c r="I822" s="683"/>
      <c r="J822" s="683"/>
      <c r="K822" s="683"/>
      <c r="L822" s="683"/>
      <c r="M822" s="683"/>
      <c r="N822" s="683"/>
    </row>
    <row r="823">
      <c r="A823" s="683"/>
      <c r="B823" s="683"/>
      <c r="C823" s="683"/>
      <c r="D823" s="683"/>
      <c r="E823" s="683"/>
      <c r="F823" s="683"/>
      <c r="G823" s="683"/>
      <c r="H823" s="683"/>
      <c r="I823" s="683"/>
      <c r="J823" s="683"/>
      <c r="K823" s="683"/>
      <c r="L823" s="683"/>
      <c r="M823" s="683"/>
      <c r="N823" s="683"/>
    </row>
    <row r="824">
      <c r="A824" s="683"/>
      <c r="B824" s="683"/>
      <c r="C824" s="683"/>
      <c r="D824" s="683"/>
      <c r="E824" s="683"/>
      <c r="F824" s="683"/>
      <c r="G824" s="683"/>
      <c r="H824" s="683"/>
      <c r="I824" s="683"/>
      <c r="J824" s="683"/>
      <c r="K824" s="683"/>
      <c r="L824" s="683"/>
      <c r="M824" s="683"/>
      <c r="N824" s="683"/>
    </row>
    <row r="825">
      <c r="A825" s="683"/>
      <c r="B825" s="683"/>
      <c r="C825" s="683"/>
      <c r="D825" s="683"/>
      <c r="E825" s="683"/>
      <c r="F825" s="683"/>
      <c r="G825" s="683"/>
      <c r="H825" s="683"/>
      <c r="I825" s="683"/>
      <c r="J825" s="683"/>
      <c r="K825" s="683"/>
      <c r="L825" s="683"/>
      <c r="M825" s="683"/>
      <c r="N825" s="683"/>
    </row>
    <row r="826">
      <c r="A826" s="683"/>
      <c r="B826" s="683"/>
      <c r="C826" s="683"/>
      <c r="D826" s="683"/>
      <c r="E826" s="683"/>
      <c r="F826" s="683"/>
      <c r="G826" s="683"/>
      <c r="H826" s="683"/>
      <c r="I826" s="683"/>
      <c r="J826" s="683"/>
      <c r="K826" s="683"/>
      <c r="L826" s="683"/>
      <c r="M826" s="683"/>
      <c r="N826" s="683"/>
    </row>
    <row r="827">
      <c r="A827" s="683"/>
      <c r="B827" s="683"/>
      <c r="C827" s="683"/>
      <c r="D827" s="683"/>
      <c r="E827" s="683"/>
      <c r="F827" s="683"/>
      <c r="G827" s="683"/>
      <c r="H827" s="683"/>
      <c r="I827" s="683"/>
      <c r="J827" s="683"/>
      <c r="K827" s="683"/>
      <c r="L827" s="683"/>
      <c r="M827" s="683"/>
      <c r="N827" s="683"/>
    </row>
    <row r="828">
      <c r="A828" s="683"/>
      <c r="B828" s="683"/>
      <c r="C828" s="683"/>
      <c r="D828" s="683"/>
      <c r="E828" s="683"/>
      <c r="F828" s="683"/>
      <c r="G828" s="683"/>
      <c r="H828" s="683"/>
      <c r="I828" s="683"/>
      <c r="J828" s="683"/>
      <c r="K828" s="683"/>
      <c r="L828" s="683"/>
      <c r="M828" s="683"/>
      <c r="N828" s="683"/>
    </row>
    <row r="829">
      <c r="A829" s="683"/>
      <c r="B829" s="683"/>
      <c r="C829" s="683"/>
      <c r="D829" s="683"/>
      <c r="E829" s="683"/>
      <c r="F829" s="683"/>
      <c r="G829" s="683"/>
      <c r="H829" s="683"/>
      <c r="I829" s="683"/>
      <c r="J829" s="683"/>
      <c r="K829" s="683"/>
      <c r="L829" s="683"/>
      <c r="M829" s="683"/>
      <c r="N829" s="683"/>
    </row>
    <row r="830">
      <c r="A830" s="683"/>
      <c r="B830" s="683"/>
      <c r="C830" s="683"/>
      <c r="D830" s="683"/>
      <c r="E830" s="683"/>
      <c r="F830" s="683"/>
      <c r="G830" s="683"/>
      <c r="H830" s="683"/>
      <c r="I830" s="683"/>
      <c r="J830" s="683"/>
      <c r="K830" s="683"/>
      <c r="L830" s="683"/>
      <c r="M830" s="683"/>
      <c r="N830" s="683"/>
    </row>
    <row r="831">
      <c r="A831" s="683"/>
      <c r="B831" s="683"/>
      <c r="C831" s="683"/>
      <c r="D831" s="683"/>
      <c r="E831" s="683"/>
      <c r="F831" s="683"/>
      <c r="G831" s="683"/>
      <c r="H831" s="683"/>
      <c r="I831" s="683"/>
      <c r="J831" s="683"/>
      <c r="K831" s="683"/>
      <c r="L831" s="683"/>
      <c r="M831" s="683"/>
      <c r="N831" s="683"/>
    </row>
    <row r="832">
      <c r="A832" s="683"/>
      <c r="B832" s="683"/>
      <c r="C832" s="683"/>
      <c r="D832" s="683"/>
      <c r="E832" s="683"/>
      <c r="F832" s="683"/>
      <c r="G832" s="683"/>
      <c r="H832" s="683"/>
      <c r="I832" s="683"/>
      <c r="J832" s="683"/>
      <c r="K832" s="683"/>
      <c r="L832" s="683"/>
      <c r="M832" s="683"/>
      <c r="N832" s="683"/>
    </row>
    <row r="833">
      <c r="A833" s="683"/>
      <c r="B833" s="683"/>
      <c r="C833" s="683"/>
      <c r="D833" s="683"/>
      <c r="E833" s="683"/>
      <c r="F833" s="683"/>
      <c r="G833" s="683"/>
      <c r="H833" s="683"/>
      <c r="I833" s="683"/>
      <c r="J833" s="683"/>
      <c r="K833" s="683"/>
      <c r="L833" s="683"/>
      <c r="M833" s="683"/>
      <c r="N833" s="683"/>
    </row>
    <row r="834">
      <c r="A834" s="683"/>
      <c r="B834" s="683"/>
      <c r="C834" s="683"/>
      <c r="D834" s="683"/>
      <c r="E834" s="683"/>
      <c r="F834" s="683"/>
      <c r="G834" s="683"/>
      <c r="H834" s="683"/>
      <c r="I834" s="683"/>
      <c r="J834" s="683"/>
      <c r="K834" s="683"/>
      <c r="L834" s="683"/>
      <c r="M834" s="683"/>
      <c r="N834" s="683"/>
    </row>
    <row r="835">
      <c r="A835" s="683"/>
      <c r="B835" s="683"/>
      <c r="C835" s="683"/>
      <c r="D835" s="683"/>
      <c r="E835" s="683"/>
      <c r="F835" s="683"/>
      <c r="G835" s="683"/>
      <c r="H835" s="683"/>
      <c r="I835" s="683"/>
      <c r="J835" s="683"/>
      <c r="K835" s="683"/>
      <c r="L835" s="683"/>
      <c r="M835" s="683"/>
      <c r="N835" s="683"/>
    </row>
    <row r="836">
      <c r="A836" s="683"/>
      <c r="B836" s="683"/>
      <c r="C836" s="683"/>
      <c r="D836" s="683"/>
      <c r="E836" s="683"/>
      <c r="F836" s="683"/>
      <c r="G836" s="683"/>
      <c r="H836" s="683"/>
      <c r="I836" s="683"/>
      <c r="J836" s="683"/>
      <c r="K836" s="683"/>
      <c r="L836" s="683"/>
      <c r="M836" s="683"/>
      <c r="N836" s="683"/>
    </row>
    <row r="837">
      <c r="A837" s="683"/>
      <c r="B837" s="683"/>
      <c r="C837" s="683"/>
      <c r="D837" s="683"/>
      <c r="E837" s="683"/>
      <c r="F837" s="683"/>
      <c r="G837" s="683"/>
      <c r="H837" s="683"/>
      <c r="I837" s="683"/>
      <c r="J837" s="683"/>
      <c r="K837" s="683"/>
      <c r="L837" s="683"/>
      <c r="M837" s="683"/>
      <c r="N837" s="683"/>
    </row>
    <row r="838">
      <c r="A838" s="683"/>
      <c r="B838" s="683"/>
      <c r="C838" s="683"/>
      <c r="D838" s="683"/>
      <c r="E838" s="683"/>
      <c r="F838" s="683"/>
      <c r="G838" s="683"/>
      <c r="H838" s="683"/>
      <c r="I838" s="683"/>
      <c r="J838" s="683"/>
      <c r="K838" s="683"/>
      <c r="L838" s="683"/>
      <c r="M838" s="683"/>
      <c r="N838" s="683"/>
    </row>
    <row r="839">
      <c r="A839" s="683"/>
      <c r="B839" s="683"/>
      <c r="C839" s="683"/>
      <c r="D839" s="683"/>
      <c r="E839" s="683"/>
      <c r="F839" s="683"/>
      <c r="G839" s="683"/>
      <c r="H839" s="683"/>
      <c r="I839" s="683"/>
      <c r="J839" s="683"/>
      <c r="K839" s="683"/>
      <c r="L839" s="683"/>
      <c r="M839" s="683"/>
      <c r="N839" s="683"/>
    </row>
    <row r="840">
      <c r="A840" s="683"/>
      <c r="B840" s="683"/>
      <c r="C840" s="683"/>
      <c r="D840" s="683"/>
      <c r="E840" s="683"/>
      <c r="F840" s="683"/>
      <c r="G840" s="683"/>
      <c r="H840" s="683"/>
      <c r="I840" s="683"/>
      <c r="J840" s="683"/>
      <c r="K840" s="683"/>
      <c r="L840" s="683"/>
      <c r="M840" s="683"/>
      <c r="N840" s="683"/>
    </row>
    <row r="841">
      <c r="A841" s="683"/>
      <c r="B841" s="683"/>
      <c r="C841" s="683"/>
      <c r="D841" s="683"/>
      <c r="E841" s="683"/>
      <c r="F841" s="683"/>
      <c r="G841" s="683"/>
      <c r="H841" s="683"/>
      <c r="I841" s="683"/>
      <c r="J841" s="683"/>
      <c r="K841" s="683"/>
      <c r="L841" s="683"/>
      <c r="M841" s="683"/>
      <c r="N841" s="683"/>
    </row>
    <row r="842">
      <c r="A842" s="683"/>
      <c r="B842" s="683"/>
      <c r="C842" s="683"/>
      <c r="D842" s="683"/>
      <c r="E842" s="683"/>
      <c r="F842" s="683"/>
      <c r="G842" s="683"/>
      <c r="H842" s="683"/>
      <c r="I842" s="683"/>
      <c r="J842" s="683"/>
      <c r="K842" s="683"/>
      <c r="L842" s="683"/>
      <c r="M842" s="683"/>
      <c r="N842" s="683"/>
    </row>
    <row r="843">
      <c r="A843" s="683"/>
      <c r="B843" s="683"/>
      <c r="C843" s="683"/>
      <c r="D843" s="683"/>
      <c r="E843" s="683"/>
      <c r="F843" s="683"/>
      <c r="G843" s="683"/>
      <c r="H843" s="683"/>
      <c r="I843" s="683"/>
      <c r="J843" s="683"/>
      <c r="K843" s="683"/>
      <c r="L843" s="683"/>
      <c r="M843" s="683"/>
      <c r="N843" s="683"/>
    </row>
    <row r="844">
      <c r="A844" s="683"/>
      <c r="B844" s="683"/>
      <c r="C844" s="683"/>
      <c r="D844" s="683"/>
      <c r="E844" s="683"/>
      <c r="F844" s="683"/>
      <c r="G844" s="683"/>
      <c r="H844" s="683"/>
      <c r="I844" s="683"/>
      <c r="J844" s="683"/>
      <c r="K844" s="683"/>
      <c r="L844" s="683"/>
      <c r="M844" s="683"/>
      <c r="N844" s="683"/>
    </row>
    <row r="845">
      <c r="A845" s="683"/>
      <c r="B845" s="683"/>
      <c r="C845" s="683"/>
      <c r="D845" s="683"/>
      <c r="E845" s="683"/>
      <c r="F845" s="683"/>
      <c r="G845" s="683"/>
      <c r="H845" s="683"/>
      <c r="I845" s="683"/>
      <c r="J845" s="683"/>
      <c r="K845" s="683"/>
      <c r="L845" s="683"/>
      <c r="M845" s="683"/>
      <c r="N845" s="683"/>
    </row>
    <row r="846">
      <c r="A846" s="683"/>
      <c r="B846" s="683"/>
      <c r="C846" s="683"/>
      <c r="D846" s="683"/>
      <c r="E846" s="683"/>
      <c r="F846" s="683"/>
      <c r="G846" s="683"/>
      <c r="H846" s="683"/>
      <c r="I846" s="683"/>
      <c r="J846" s="683"/>
      <c r="K846" s="683"/>
      <c r="L846" s="683"/>
      <c r="M846" s="683"/>
      <c r="N846" s="683"/>
    </row>
    <row r="847">
      <c r="A847" s="683"/>
      <c r="B847" s="683"/>
      <c r="C847" s="683"/>
      <c r="D847" s="683"/>
      <c r="E847" s="683"/>
      <c r="F847" s="683"/>
      <c r="G847" s="683"/>
      <c r="H847" s="683"/>
      <c r="I847" s="683"/>
      <c r="J847" s="683"/>
      <c r="K847" s="683"/>
      <c r="L847" s="683"/>
      <c r="M847" s="683"/>
      <c r="N847" s="683"/>
    </row>
    <row r="848">
      <c r="A848" s="683"/>
      <c r="B848" s="683"/>
      <c r="C848" s="683"/>
      <c r="D848" s="683"/>
      <c r="E848" s="683"/>
      <c r="F848" s="683"/>
      <c r="G848" s="683"/>
      <c r="H848" s="683"/>
      <c r="I848" s="683"/>
      <c r="J848" s="683"/>
      <c r="K848" s="683"/>
      <c r="L848" s="683"/>
      <c r="M848" s="683"/>
      <c r="N848" s="683"/>
    </row>
    <row r="849">
      <c r="A849" s="683"/>
      <c r="B849" s="683"/>
      <c r="C849" s="683"/>
      <c r="D849" s="683"/>
      <c r="E849" s="683"/>
      <c r="F849" s="683"/>
      <c r="G849" s="683"/>
      <c r="H849" s="683"/>
      <c r="I849" s="683"/>
      <c r="J849" s="683"/>
      <c r="K849" s="683"/>
      <c r="L849" s="683"/>
      <c r="M849" s="683"/>
      <c r="N849" s="683"/>
    </row>
    <row r="850">
      <c r="A850" s="683"/>
      <c r="B850" s="683"/>
      <c r="C850" s="683"/>
      <c r="D850" s="683"/>
      <c r="E850" s="683"/>
      <c r="F850" s="683"/>
      <c r="G850" s="683"/>
      <c r="H850" s="683"/>
      <c r="I850" s="683"/>
      <c r="J850" s="683"/>
      <c r="K850" s="683"/>
      <c r="L850" s="683"/>
      <c r="M850" s="683"/>
      <c r="N850" s="683"/>
    </row>
    <row r="851">
      <c r="A851" s="683"/>
      <c r="B851" s="683"/>
      <c r="C851" s="683"/>
      <c r="D851" s="683"/>
      <c r="E851" s="683"/>
      <c r="F851" s="683"/>
      <c r="G851" s="683"/>
      <c r="H851" s="683"/>
      <c r="I851" s="683"/>
      <c r="J851" s="683"/>
      <c r="K851" s="683"/>
      <c r="L851" s="683"/>
      <c r="M851" s="683"/>
      <c r="N851" s="683"/>
    </row>
    <row r="852">
      <c r="A852" s="683"/>
      <c r="B852" s="683"/>
      <c r="C852" s="683"/>
      <c r="D852" s="683"/>
      <c r="E852" s="683"/>
      <c r="F852" s="683"/>
      <c r="G852" s="683"/>
      <c r="H852" s="683"/>
      <c r="I852" s="683"/>
      <c r="J852" s="683"/>
      <c r="K852" s="683"/>
      <c r="L852" s="683"/>
      <c r="M852" s="683"/>
      <c r="N852" s="683"/>
    </row>
    <row r="853">
      <c r="A853" s="683"/>
      <c r="B853" s="683"/>
      <c r="C853" s="683"/>
      <c r="D853" s="683"/>
      <c r="E853" s="683"/>
      <c r="F853" s="683"/>
      <c r="G853" s="683"/>
      <c r="H853" s="683"/>
      <c r="I853" s="683"/>
      <c r="J853" s="683"/>
      <c r="K853" s="683"/>
      <c r="L853" s="683"/>
      <c r="M853" s="683"/>
      <c r="N853" s="683"/>
    </row>
    <row r="854">
      <c r="A854" s="683"/>
      <c r="B854" s="683"/>
      <c r="C854" s="683"/>
      <c r="D854" s="683"/>
      <c r="E854" s="683"/>
      <c r="F854" s="683"/>
      <c r="G854" s="683"/>
      <c r="H854" s="683"/>
      <c r="I854" s="683"/>
      <c r="J854" s="683"/>
      <c r="K854" s="683"/>
      <c r="L854" s="683"/>
      <c r="M854" s="683"/>
      <c r="N854" s="683"/>
    </row>
    <row r="855">
      <c r="A855" s="683"/>
      <c r="B855" s="683"/>
      <c r="C855" s="683"/>
      <c r="D855" s="683"/>
      <c r="E855" s="683"/>
      <c r="F855" s="683"/>
      <c r="G855" s="683"/>
      <c r="H855" s="683"/>
      <c r="I855" s="683"/>
      <c r="J855" s="683"/>
      <c r="K855" s="683"/>
      <c r="L855" s="683"/>
      <c r="M855" s="683"/>
      <c r="N855" s="683"/>
    </row>
    <row r="856">
      <c r="A856" s="683"/>
      <c r="B856" s="683"/>
      <c r="C856" s="683"/>
      <c r="D856" s="683"/>
      <c r="E856" s="683"/>
      <c r="F856" s="683"/>
      <c r="G856" s="683"/>
      <c r="H856" s="683"/>
      <c r="I856" s="683"/>
      <c r="J856" s="683"/>
      <c r="K856" s="683"/>
      <c r="L856" s="683"/>
      <c r="M856" s="683"/>
      <c r="N856" s="683"/>
    </row>
    <row r="857">
      <c r="A857" s="683"/>
      <c r="B857" s="683"/>
      <c r="C857" s="683"/>
      <c r="D857" s="683"/>
      <c r="E857" s="683"/>
      <c r="F857" s="683"/>
      <c r="G857" s="683"/>
      <c r="H857" s="683"/>
      <c r="I857" s="683"/>
      <c r="J857" s="683"/>
      <c r="K857" s="683"/>
      <c r="L857" s="683"/>
      <c r="M857" s="683"/>
      <c r="N857" s="683"/>
    </row>
    <row r="858">
      <c r="A858" s="683"/>
      <c r="B858" s="683"/>
      <c r="C858" s="683"/>
      <c r="D858" s="683"/>
      <c r="E858" s="683"/>
      <c r="F858" s="683"/>
      <c r="G858" s="683"/>
      <c r="H858" s="683"/>
      <c r="I858" s="683"/>
      <c r="J858" s="683"/>
      <c r="K858" s="683"/>
      <c r="L858" s="683"/>
      <c r="M858" s="683"/>
      <c r="N858" s="683"/>
    </row>
    <row r="859">
      <c r="A859" s="683"/>
      <c r="B859" s="683"/>
      <c r="C859" s="683"/>
      <c r="D859" s="683"/>
      <c r="E859" s="683"/>
      <c r="F859" s="683"/>
      <c r="G859" s="683"/>
      <c r="H859" s="683"/>
      <c r="I859" s="683"/>
      <c r="J859" s="683"/>
      <c r="K859" s="683"/>
      <c r="L859" s="683"/>
      <c r="M859" s="683"/>
      <c r="N859" s="683"/>
    </row>
    <row r="860">
      <c r="A860" s="683"/>
      <c r="B860" s="683"/>
      <c r="C860" s="683"/>
      <c r="D860" s="683"/>
      <c r="E860" s="683"/>
      <c r="F860" s="683"/>
      <c r="G860" s="683"/>
      <c r="H860" s="683"/>
      <c r="I860" s="683"/>
      <c r="J860" s="683"/>
      <c r="K860" s="683"/>
      <c r="L860" s="683"/>
      <c r="M860" s="683"/>
      <c r="N860" s="683"/>
    </row>
    <row r="861">
      <c r="A861" s="683"/>
      <c r="B861" s="683"/>
      <c r="C861" s="683"/>
      <c r="D861" s="683"/>
      <c r="E861" s="683"/>
      <c r="F861" s="683"/>
      <c r="G861" s="683"/>
      <c r="H861" s="683"/>
      <c r="I861" s="683"/>
      <c r="J861" s="683"/>
      <c r="K861" s="683"/>
      <c r="L861" s="683"/>
      <c r="M861" s="683"/>
      <c r="N861" s="683"/>
    </row>
    <row r="862">
      <c r="A862" s="683"/>
      <c r="B862" s="683"/>
      <c r="C862" s="683"/>
      <c r="D862" s="683"/>
      <c r="E862" s="683"/>
      <c r="F862" s="683"/>
      <c r="G862" s="683"/>
      <c r="H862" s="683"/>
      <c r="I862" s="683"/>
      <c r="J862" s="683"/>
      <c r="K862" s="683"/>
      <c r="L862" s="683"/>
      <c r="M862" s="683"/>
      <c r="N862" s="683"/>
    </row>
    <row r="863">
      <c r="A863" s="683"/>
      <c r="B863" s="683"/>
      <c r="C863" s="683"/>
      <c r="D863" s="683"/>
      <c r="E863" s="683"/>
      <c r="F863" s="683"/>
      <c r="G863" s="683"/>
      <c r="H863" s="683"/>
      <c r="I863" s="683"/>
      <c r="J863" s="683"/>
      <c r="K863" s="683"/>
      <c r="L863" s="683"/>
      <c r="M863" s="683"/>
      <c r="N863" s="683"/>
    </row>
    <row r="864">
      <c r="A864" s="683"/>
      <c r="B864" s="683"/>
      <c r="C864" s="683"/>
      <c r="D864" s="683"/>
      <c r="E864" s="683"/>
      <c r="F864" s="683"/>
      <c r="G864" s="683"/>
      <c r="H864" s="683"/>
      <c r="I864" s="683"/>
      <c r="J864" s="683"/>
      <c r="K864" s="683"/>
      <c r="L864" s="683"/>
      <c r="M864" s="683"/>
      <c r="N864" s="683"/>
    </row>
    <row r="865">
      <c r="A865" s="683"/>
      <c r="B865" s="683"/>
      <c r="C865" s="683"/>
      <c r="D865" s="683"/>
      <c r="E865" s="683"/>
      <c r="F865" s="683"/>
      <c r="G865" s="683"/>
      <c r="H865" s="683"/>
      <c r="I865" s="683"/>
      <c r="J865" s="683"/>
      <c r="K865" s="683"/>
      <c r="L865" s="683"/>
      <c r="M865" s="683"/>
      <c r="N865" s="683"/>
    </row>
    <row r="866">
      <c r="A866" s="683"/>
      <c r="B866" s="683"/>
      <c r="C866" s="683"/>
      <c r="D866" s="683"/>
      <c r="E866" s="683"/>
      <c r="F866" s="683"/>
      <c r="G866" s="683"/>
      <c r="H866" s="683"/>
      <c r="I866" s="683"/>
      <c r="J866" s="683"/>
      <c r="K866" s="683"/>
      <c r="L866" s="683"/>
      <c r="M866" s="683"/>
      <c r="N866" s="683"/>
    </row>
    <row r="867">
      <c r="A867" s="683"/>
      <c r="B867" s="683"/>
      <c r="C867" s="683"/>
      <c r="D867" s="683"/>
      <c r="E867" s="683"/>
      <c r="F867" s="683"/>
      <c r="G867" s="683"/>
      <c r="H867" s="683"/>
      <c r="I867" s="683"/>
      <c r="J867" s="683"/>
      <c r="K867" s="683"/>
      <c r="L867" s="683"/>
      <c r="M867" s="683"/>
      <c r="N867" s="683"/>
    </row>
    <row r="868">
      <c r="A868" s="683"/>
      <c r="B868" s="683"/>
      <c r="C868" s="683"/>
      <c r="D868" s="683"/>
      <c r="E868" s="683"/>
      <c r="F868" s="683"/>
      <c r="G868" s="683"/>
      <c r="H868" s="683"/>
      <c r="I868" s="683"/>
      <c r="J868" s="683"/>
      <c r="K868" s="683"/>
      <c r="L868" s="683"/>
      <c r="M868" s="683"/>
      <c r="N868" s="683"/>
    </row>
    <row r="869">
      <c r="A869" s="683"/>
      <c r="B869" s="683"/>
      <c r="C869" s="683"/>
      <c r="D869" s="683"/>
      <c r="E869" s="683"/>
      <c r="F869" s="683"/>
      <c r="G869" s="683"/>
      <c r="H869" s="683"/>
      <c r="I869" s="683"/>
      <c r="J869" s="683"/>
      <c r="K869" s="683"/>
      <c r="L869" s="683"/>
      <c r="M869" s="683"/>
      <c r="N869" s="683"/>
    </row>
    <row r="870">
      <c r="A870" s="683"/>
      <c r="B870" s="683"/>
      <c r="C870" s="683"/>
      <c r="D870" s="683"/>
      <c r="E870" s="683"/>
      <c r="F870" s="683"/>
      <c r="G870" s="683"/>
      <c r="H870" s="683"/>
      <c r="I870" s="683"/>
      <c r="J870" s="683"/>
      <c r="K870" s="683"/>
      <c r="L870" s="683"/>
      <c r="M870" s="683"/>
      <c r="N870" s="683"/>
    </row>
    <row r="871">
      <c r="A871" s="683"/>
      <c r="B871" s="683"/>
      <c r="C871" s="683"/>
      <c r="D871" s="683"/>
      <c r="E871" s="683"/>
      <c r="F871" s="683"/>
      <c r="G871" s="683"/>
      <c r="H871" s="683"/>
      <c r="I871" s="683"/>
      <c r="J871" s="683"/>
      <c r="K871" s="683"/>
      <c r="L871" s="683"/>
      <c r="M871" s="683"/>
      <c r="N871" s="683"/>
    </row>
    <row r="872">
      <c r="A872" s="683"/>
      <c r="B872" s="683"/>
      <c r="C872" s="683"/>
      <c r="D872" s="683"/>
      <c r="E872" s="683"/>
      <c r="F872" s="683"/>
      <c r="G872" s="683"/>
      <c r="H872" s="683"/>
      <c r="I872" s="683"/>
      <c r="J872" s="683"/>
      <c r="K872" s="683"/>
      <c r="L872" s="683"/>
      <c r="M872" s="683"/>
      <c r="N872" s="683"/>
    </row>
    <row r="873">
      <c r="A873" s="683"/>
      <c r="B873" s="683"/>
      <c r="C873" s="683"/>
      <c r="D873" s="683"/>
      <c r="E873" s="683"/>
      <c r="F873" s="683"/>
      <c r="G873" s="683"/>
      <c r="H873" s="683"/>
      <c r="I873" s="683"/>
      <c r="J873" s="683"/>
      <c r="K873" s="683"/>
      <c r="L873" s="683"/>
      <c r="M873" s="683"/>
      <c r="N873" s="683"/>
    </row>
    <row r="874">
      <c r="A874" s="683"/>
      <c r="B874" s="683"/>
      <c r="C874" s="683"/>
      <c r="D874" s="683"/>
      <c r="E874" s="683"/>
      <c r="F874" s="683"/>
      <c r="G874" s="683"/>
      <c r="H874" s="683"/>
      <c r="I874" s="683"/>
      <c r="J874" s="683"/>
      <c r="K874" s="683"/>
      <c r="L874" s="683"/>
      <c r="M874" s="683"/>
      <c r="N874" s="683"/>
    </row>
    <row r="875">
      <c r="A875" s="683"/>
      <c r="B875" s="683"/>
      <c r="C875" s="683"/>
      <c r="D875" s="683"/>
      <c r="E875" s="683"/>
      <c r="F875" s="683"/>
      <c r="G875" s="683"/>
      <c r="H875" s="683"/>
      <c r="I875" s="683"/>
      <c r="J875" s="683"/>
      <c r="K875" s="683"/>
      <c r="L875" s="683"/>
      <c r="M875" s="683"/>
      <c r="N875" s="683"/>
    </row>
    <row r="876">
      <c r="A876" s="683"/>
      <c r="B876" s="683"/>
      <c r="C876" s="683"/>
      <c r="D876" s="683"/>
      <c r="E876" s="683"/>
      <c r="F876" s="683"/>
      <c r="G876" s="683"/>
      <c r="H876" s="683"/>
      <c r="I876" s="683"/>
      <c r="J876" s="683"/>
      <c r="K876" s="683"/>
      <c r="L876" s="683"/>
      <c r="M876" s="683"/>
      <c r="N876" s="683"/>
    </row>
    <row r="877">
      <c r="A877" s="683"/>
      <c r="B877" s="683"/>
      <c r="C877" s="683"/>
      <c r="D877" s="683"/>
      <c r="E877" s="683"/>
      <c r="F877" s="683"/>
      <c r="G877" s="683"/>
      <c r="H877" s="683"/>
      <c r="I877" s="683"/>
      <c r="J877" s="683"/>
      <c r="K877" s="683"/>
      <c r="L877" s="683"/>
      <c r="M877" s="683"/>
      <c r="N877" s="683"/>
    </row>
    <row r="878">
      <c r="A878" s="683"/>
      <c r="B878" s="683"/>
      <c r="C878" s="683"/>
      <c r="D878" s="683"/>
      <c r="E878" s="683"/>
      <c r="F878" s="683"/>
      <c r="G878" s="683"/>
      <c r="H878" s="683"/>
      <c r="I878" s="683"/>
      <c r="J878" s="683"/>
      <c r="K878" s="683"/>
      <c r="L878" s="683"/>
      <c r="M878" s="683"/>
      <c r="N878" s="683"/>
    </row>
    <row r="879">
      <c r="A879" s="683"/>
      <c r="B879" s="683"/>
      <c r="C879" s="683"/>
      <c r="D879" s="683"/>
      <c r="E879" s="683"/>
      <c r="F879" s="683"/>
      <c r="G879" s="683"/>
      <c r="H879" s="683"/>
      <c r="I879" s="683"/>
      <c r="J879" s="683"/>
      <c r="K879" s="683"/>
      <c r="L879" s="683"/>
      <c r="M879" s="683"/>
      <c r="N879" s="683"/>
    </row>
    <row r="880">
      <c r="A880" s="683"/>
      <c r="B880" s="683"/>
      <c r="C880" s="683"/>
      <c r="D880" s="683"/>
      <c r="E880" s="683"/>
      <c r="F880" s="683"/>
      <c r="G880" s="683"/>
      <c r="H880" s="683"/>
      <c r="I880" s="683"/>
      <c r="J880" s="683"/>
      <c r="K880" s="683"/>
      <c r="L880" s="683"/>
      <c r="M880" s="683"/>
      <c r="N880" s="683"/>
    </row>
    <row r="881">
      <c r="A881" s="683"/>
      <c r="B881" s="683"/>
      <c r="C881" s="683"/>
      <c r="D881" s="683"/>
      <c r="E881" s="683"/>
      <c r="F881" s="683"/>
      <c r="G881" s="683"/>
      <c r="H881" s="683"/>
      <c r="I881" s="683"/>
      <c r="J881" s="683"/>
      <c r="K881" s="683"/>
      <c r="L881" s="683"/>
      <c r="M881" s="683"/>
      <c r="N881" s="683"/>
    </row>
    <row r="882">
      <c r="A882" s="683"/>
      <c r="B882" s="683"/>
      <c r="C882" s="683"/>
      <c r="D882" s="683"/>
      <c r="E882" s="683"/>
      <c r="F882" s="683"/>
      <c r="G882" s="683"/>
      <c r="H882" s="683"/>
      <c r="I882" s="683"/>
      <c r="J882" s="683"/>
      <c r="K882" s="683"/>
      <c r="L882" s="683"/>
      <c r="M882" s="683"/>
      <c r="N882" s="683"/>
    </row>
    <row r="883">
      <c r="A883" s="683"/>
      <c r="B883" s="683"/>
      <c r="C883" s="683"/>
      <c r="D883" s="683"/>
      <c r="E883" s="683"/>
      <c r="F883" s="683"/>
      <c r="G883" s="683"/>
      <c r="H883" s="683"/>
      <c r="I883" s="683"/>
      <c r="J883" s="683"/>
      <c r="K883" s="683"/>
      <c r="L883" s="683"/>
      <c r="M883" s="683"/>
      <c r="N883" s="683"/>
    </row>
    <row r="884">
      <c r="A884" s="683"/>
      <c r="B884" s="683"/>
      <c r="C884" s="683"/>
      <c r="D884" s="683"/>
      <c r="E884" s="683"/>
      <c r="F884" s="683"/>
      <c r="G884" s="683"/>
      <c r="H884" s="683"/>
      <c r="I884" s="683"/>
      <c r="J884" s="683"/>
      <c r="K884" s="683"/>
      <c r="L884" s="683"/>
      <c r="M884" s="683"/>
      <c r="N884" s="683"/>
    </row>
    <row r="885">
      <c r="A885" s="683"/>
      <c r="B885" s="683"/>
      <c r="C885" s="683"/>
      <c r="D885" s="683"/>
      <c r="E885" s="683"/>
      <c r="F885" s="683"/>
      <c r="G885" s="683"/>
      <c r="H885" s="683"/>
      <c r="I885" s="683"/>
      <c r="J885" s="683"/>
      <c r="K885" s="683"/>
      <c r="L885" s="683"/>
      <c r="M885" s="683"/>
      <c r="N885" s="683"/>
    </row>
    <row r="886">
      <c r="A886" s="683"/>
      <c r="B886" s="683"/>
      <c r="C886" s="683"/>
      <c r="D886" s="683"/>
      <c r="E886" s="683"/>
      <c r="F886" s="683"/>
      <c r="G886" s="683"/>
      <c r="H886" s="683"/>
      <c r="I886" s="683"/>
      <c r="J886" s="683"/>
      <c r="K886" s="683"/>
      <c r="L886" s="683"/>
      <c r="M886" s="683"/>
      <c r="N886" s="683"/>
    </row>
    <row r="887">
      <c r="A887" s="683"/>
      <c r="B887" s="683"/>
      <c r="C887" s="683"/>
      <c r="D887" s="683"/>
      <c r="E887" s="683"/>
      <c r="F887" s="683"/>
      <c r="G887" s="683"/>
      <c r="H887" s="683"/>
      <c r="I887" s="683"/>
      <c r="J887" s="683"/>
      <c r="K887" s="683"/>
      <c r="L887" s="683"/>
      <c r="M887" s="683"/>
      <c r="N887" s="683"/>
    </row>
    <row r="888">
      <c r="A888" s="683"/>
      <c r="B888" s="683"/>
      <c r="C888" s="683"/>
      <c r="D888" s="683"/>
      <c r="E888" s="683"/>
      <c r="F888" s="683"/>
      <c r="G888" s="683"/>
      <c r="H888" s="683"/>
      <c r="I888" s="683"/>
      <c r="J888" s="683"/>
      <c r="K888" s="683"/>
      <c r="L888" s="683"/>
      <c r="M888" s="683"/>
      <c r="N888" s="683"/>
    </row>
    <row r="889">
      <c r="A889" s="683"/>
      <c r="B889" s="683"/>
      <c r="C889" s="683"/>
      <c r="D889" s="683"/>
      <c r="E889" s="683"/>
      <c r="F889" s="683"/>
      <c r="G889" s="683"/>
      <c r="H889" s="683"/>
      <c r="I889" s="683"/>
      <c r="J889" s="683"/>
      <c r="K889" s="683"/>
      <c r="L889" s="683"/>
      <c r="M889" s="683"/>
      <c r="N889" s="683"/>
    </row>
    <row r="890">
      <c r="A890" s="683"/>
      <c r="B890" s="683"/>
      <c r="C890" s="683"/>
      <c r="D890" s="683"/>
      <c r="E890" s="683"/>
      <c r="F890" s="683"/>
      <c r="G890" s="683"/>
      <c r="H890" s="683"/>
      <c r="I890" s="683"/>
      <c r="J890" s="683"/>
      <c r="K890" s="683"/>
      <c r="L890" s="683"/>
      <c r="M890" s="683"/>
      <c r="N890" s="683"/>
    </row>
    <row r="891">
      <c r="A891" s="683"/>
      <c r="B891" s="683"/>
      <c r="C891" s="683"/>
      <c r="D891" s="683"/>
      <c r="E891" s="683"/>
      <c r="F891" s="683"/>
      <c r="G891" s="683"/>
      <c r="H891" s="683"/>
      <c r="I891" s="683"/>
      <c r="J891" s="683"/>
      <c r="K891" s="683"/>
      <c r="L891" s="683"/>
      <c r="M891" s="683"/>
      <c r="N891" s="683"/>
    </row>
    <row r="892">
      <c r="A892" s="683"/>
      <c r="B892" s="683"/>
      <c r="C892" s="683"/>
      <c r="D892" s="683"/>
      <c r="E892" s="683"/>
      <c r="F892" s="683"/>
      <c r="G892" s="683"/>
      <c r="H892" s="683"/>
      <c r="I892" s="683"/>
      <c r="J892" s="683"/>
      <c r="K892" s="683"/>
      <c r="L892" s="683"/>
      <c r="M892" s="683"/>
      <c r="N892" s="683"/>
    </row>
    <row r="893">
      <c r="A893" s="683"/>
      <c r="B893" s="683"/>
      <c r="C893" s="683"/>
      <c r="D893" s="683"/>
      <c r="E893" s="683"/>
      <c r="F893" s="683"/>
      <c r="G893" s="683"/>
      <c r="H893" s="683"/>
      <c r="I893" s="683"/>
      <c r="J893" s="683"/>
      <c r="K893" s="683"/>
      <c r="L893" s="683"/>
      <c r="M893" s="683"/>
      <c r="N893" s="683"/>
    </row>
    <row r="894">
      <c r="A894" s="683"/>
      <c r="B894" s="683"/>
      <c r="C894" s="683"/>
      <c r="D894" s="683"/>
      <c r="E894" s="683"/>
      <c r="F894" s="683"/>
      <c r="G894" s="683"/>
      <c r="H894" s="683"/>
      <c r="I894" s="683"/>
      <c r="J894" s="683"/>
      <c r="K894" s="683"/>
      <c r="L894" s="683"/>
      <c r="M894" s="683"/>
      <c r="N894" s="683"/>
    </row>
    <row r="895">
      <c r="A895" s="683"/>
      <c r="B895" s="683"/>
      <c r="C895" s="683"/>
      <c r="D895" s="683"/>
      <c r="E895" s="683"/>
      <c r="F895" s="683"/>
      <c r="G895" s="683"/>
      <c r="H895" s="683"/>
      <c r="I895" s="683"/>
      <c r="J895" s="683"/>
      <c r="K895" s="683"/>
      <c r="L895" s="683"/>
      <c r="M895" s="683"/>
      <c r="N895" s="683"/>
    </row>
    <row r="896">
      <c r="A896" s="683"/>
      <c r="B896" s="683"/>
      <c r="C896" s="683"/>
      <c r="D896" s="683"/>
      <c r="E896" s="683"/>
      <c r="F896" s="683"/>
      <c r="G896" s="683"/>
      <c r="H896" s="683"/>
      <c r="I896" s="683"/>
      <c r="J896" s="683"/>
      <c r="K896" s="683"/>
      <c r="L896" s="683"/>
      <c r="M896" s="683"/>
      <c r="N896" s="683"/>
    </row>
    <row r="897">
      <c r="A897" s="683"/>
      <c r="B897" s="683"/>
      <c r="C897" s="683"/>
      <c r="D897" s="683"/>
      <c r="E897" s="683"/>
      <c r="F897" s="683"/>
      <c r="G897" s="683"/>
      <c r="H897" s="683"/>
      <c r="I897" s="683"/>
      <c r="J897" s="683"/>
      <c r="K897" s="683"/>
      <c r="L897" s="683"/>
      <c r="M897" s="683"/>
      <c r="N897" s="683"/>
    </row>
    <row r="898">
      <c r="A898" s="683"/>
      <c r="B898" s="683"/>
      <c r="C898" s="683"/>
      <c r="D898" s="683"/>
      <c r="E898" s="683"/>
      <c r="F898" s="683"/>
      <c r="G898" s="683"/>
      <c r="H898" s="683"/>
      <c r="I898" s="683"/>
      <c r="J898" s="683"/>
      <c r="K898" s="683"/>
      <c r="L898" s="683"/>
      <c r="M898" s="683"/>
      <c r="N898" s="683"/>
    </row>
    <row r="899">
      <c r="A899" s="683"/>
      <c r="B899" s="683"/>
      <c r="C899" s="683"/>
      <c r="D899" s="683"/>
      <c r="E899" s="683"/>
      <c r="F899" s="683"/>
      <c r="G899" s="683"/>
      <c r="H899" s="683"/>
      <c r="I899" s="683"/>
      <c r="J899" s="683"/>
      <c r="K899" s="683"/>
      <c r="L899" s="683"/>
      <c r="M899" s="683"/>
      <c r="N899" s="683"/>
    </row>
    <row r="900">
      <c r="A900" s="683"/>
      <c r="B900" s="683"/>
      <c r="C900" s="683"/>
      <c r="D900" s="683"/>
      <c r="E900" s="683"/>
      <c r="F900" s="683"/>
      <c r="G900" s="683"/>
      <c r="H900" s="683"/>
      <c r="I900" s="683"/>
      <c r="J900" s="683"/>
      <c r="K900" s="683"/>
      <c r="L900" s="683"/>
      <c r="M900" s="683"/>
      <c r="N900" s="683"/>
    </row>
    <row r="901">
      <c r="A901" s="683"/>
      <c r="B901" s="683"/>
      <c r="C901" s="683"/>
      <c r="D901" s="683"/>
      <c r="E901" s="683"/>
      <c r="F901" s="683"/>
      <c r="G901" s="683"/>
      <c r="H901" s="683"/>
      <c r="I901" s="683"/>
      <c r="J901" s="683"/>
      <c r="K901" s="683"/>
      <c r="L901" s="683"/>
      <c r="M901" s="683"/>
      <c r="N901" s="683"/>
    </row>
    <row r="902">
      <c r="A902" s="683"/>
      <c r="B902" s="683"/>
      <c r="C902" s="683"/>
      <c r="D902" s="683"/>
      <c r="E902" s="683"/>
      <c r="F902" s="683"/>
      <c r="G902" s="683"/>
      <c r="H902" s="683"/>
      <c r="I902" s="683"/>
      <c r="J902" s="683"/>
      <c r="K902" s="683"/>
      <c r="L902" s="683"/>
      <c r="M902" s="683"/>
      <c r="N902" s="683"/>
    </row>
    <row r="903">
      <c r="A903" s="683"/>
      <c r="B903" s="683"/>
      <c r="C903" s="683"/>
      <c r="D903" s="683"/>
      <c r="E903" s="683"/>
      <c r="F903" s="683"/>
      <c r="G903" s="683"/>
      <c r="H903" s="683"/>
      <c r="I903" s="683"/>
      <c r="J903" s="683"/>
      <c r="K903" s="683"/>
      <c r="L903" s="683"/>
      <c r="M903" s="683"/>
      <c r="N903" s="683"/>
    </row>
    <row r="904">
      <c r="A904" s="683"/>
      <c r="B904" s="683"/>
      <c r="C904" s="683"/>
      <c r="D904" s="683"/>
      <c r="E904" s="683"/>
      <c r="F904" s="683"/>
      <c r="G904" s="683"/>
      <c r="H904" s="683"/>
      <c r="I904" s="683"/>
      <c r="J904" s="683"/>
      <c r="K904" s="683"/>
      <c r="L904" s="683"/>
      <c r="M904" s="683"/>
      <c r="N904" s="683"/>
    </row>
    <row r="905">
      <c r="A905" s="683"/>
      <c r="B905" s="683"/>
      <c r="C905" s="683"/>
      <c r="D905" s="683"/>
      <c r="E905" s="683"/>
      <c r="F905" s="683"/>
      <c r="G905" s="683"/>
      <c r="H905" s="683"/>
      <c r="I905" s="683"/>
      <c r="J905" s="683"/>
      <c r="K905" s="683"/>
      <c r="L905" s="683"/>
      <c r="M905" s="683"/>
      <c r="N905" s="683"/>
    </row>
    <row r="906">
      <c r="A906" s="683"/>
      <c r="B906" s="683"/>
      <c r="C906" s="683"/>
      <c r="D906" s="683"/>
      <c r="E906" s="683"/>
      <c r="F906" s="683"/>
      <c r="G906" s="683"/>
      <c r="H906" s="683"/>
      <c r="I906" s="683"/>
      <c r="J906" s="683"/>
      <c r="K906" s="683"/>
      <c r="L906" s="683"/>
      <c r="M906" s="683"/>
      <c r="N906" s="683"/>
    </row>
    <row r="907">
      <c r="A907" s="683"/>
      <c r="B907" s="683"/>
      <c r="C907" s="683"/>
      <c r="D907" s="683"/>
      <c r="E907" s="683"/>
      <c r="F907" s="683"/>
      <c r="G907" s="683"/>
      <c r="H907" s="683"/>
      <c r="I907" s="683"/>
      <c r="J907" s="683"/>
      <c r="K907" s="683"/>
      <c r="L907" s="683"/>
      <c r="M907" s="683"/>
      <c r="N907" s="683"/>
    </row>
    <row r="908">
      <c r="A908" s="683"/>
      <c r="B908" s="683"/>
      <c r="C908" s="683"/>
      <c r="D908" s="683"/>
      <c r="E908" s="683"/>
      <c r="F908" s="683"/>
      <c r="G908" s="683"/>
      <c r="H908" s="683"/>
      <c r="I908" s="683"/>
      <c r="J908" s="683"/>
      <c r="K908" s="683"/>
      <c r="L908" s="683"/>
      <c r="M908" s="683"/>
      <c r="N908" s="683"/>
    </row>
    <row r="909">
      <c r="A909" s="683"/>
      <c r="B909" s="683"/>
      <c r="C909" s="683"/>
      <c r="D909" s="683"/>
      <c r="E909" s="683"/>
      <c r="F909" s="683"/>
      <c r="G909" s="683"/>
      <c r="H909" s="683"/>
      <c r="I909" s="683"/>
      <c r="J909" s="683"/>
      <c r="K909" s="683"/>
      <c r="L909" s="683"/>
      <c r="M909" s="683"/>
      <c r="N909" s="683"/>
    </row>
    <row r="910">
      <c r="A910" s="683"/>
      <c r="B910" s="683"/>
      <c r="C910" s="683"/>
      <c r="D910" s="683"/>
      <c r="E910" s="683"/>
      <c r="F910" s="683"/>
      <c r="G910" s="683"/>
      <c r="H910" s="683"/>
      <c r="I910" s="683"/>
      <c r="J910" s="683"/>
      <c r="K910" s="683"/>
      <c r="L910" s="683"/>
      <c r="M910" s="683"/>
      <c r="N910" s="683"/>
    </row>
    <row r="911">
      <c r="A911" s="683"/>
      <c r="B911" s="683"/>
      <c r="C911" s="683"/>
      <c r="D911" s="683"/>
      <c r="E911" s="683"/>
      <c r="F911" s="683"/>
      <c r="G911" s="683"/>
      <c r="H911" s="683"/>
      <c r="I911" s="683"/>
      <c r="J911" s="683"/>
      <c r="K911" s="683"/>
      <c r="L911" s="683"/>
      <c r="M911" s="683"/>
      <c r="N911" s="683"/>
    </row>
    <row r="912">
      <c r="A912" s="683"/>
      <c r="B912" s="683"/>
      <c r="C912" s="683"/>
      <c r="D912" s="683"/>
      <c r="E912" s="683"/>
      <c r="F912" s="683"/>
      <c r="G912" s="683"/>
      <c r="H912" s="683"/>
      <c r="I912" s="683"/>
      <c r="J912" s="683"/>
      <c r="K912" s="683"/>
      <c r="L912" s="683"/>
      <c r="M912" s="683"/>
      <c r="N912" s="683"/>
    </row>
    <row r="913">
      <c r="A913" s="683"/>
      <c r="B913" s="683"/>
      <c r="C913" s="683"/>
      <c r="D913" s="683"/>
      <c r="E913" s="683"/>
      <c r="F913" s="683"/>
      <c r="G913" s="683"/>
      <c r="H913" s="683"/>
      <c r="I913" s="683"/>
      <c r="J913" s="683"/>
      <c r="K913" s="683"/>
      <c r="L913" s="683"/>
      <c r="M913" s="683"/>
      <c r="N913" s="683"/>
    </row>
    <row r="914">
      <c r="A914" s="683"/>
      <c r="B914" s="683"/>
      <c r="C914" s="683"/>
      <c r="D914" s="683"/>
      <c r="E914" s="683"/>
      <c r="F914" s="683"/>
      <c r="G914" s="683"/>
      <c r="H914" s="683"/>
      <c r="I914" s="683"/>
      <c r="J914" s="683"/>
      <c r="K914" s="683"/>
      <c r="L914" s="683"/>
      <c r="M914" s="683"/>
      <c r="N914" s="683"/>
    </row>
    <row r="915">
      <c r="A915" s="683"/>
      <c r="B915" s="683"/>
      <c r="C915" s="683"/>
      <c r="D915" s="683"/>
      <c r="E915" s="683"/>
      <c r="F915" s="683"/>
      <c r="G915" s="683"/>
      <c r="H915" s="683"/>
      <c r="I915" s="683"/>
      <c r="J915" s="683"/>
      <c r="K915" s="683"/>
      <c r="L915" s="683"/>
      <c r="M915" s="683"/>
      <c r="N915" s="683"/>
    </row>
    <row r="916">
      <c r="A916" s="683"/>
      <c r="B916" s="683"/>
      <c r="C916" s="683"/>
      <c r="D916" s="683"/>
      <c r="E916" s="683"/>
      <c r="F916" s="683"/>
      <c r="G916" s="683"/>
      <c r="H916" s="683"/>
      <c r="I916" s="683"/>
      <c r="J916" s="683"/>
      <c r="K916" s="683"/>
      <c r="L916" s="683"/>
      <c r="M916" s="683"/>
      <c r="N916" s="683"/>
    </row>
    <row r="917">
      <c r="A917" s="683"/>
      <c r="B917" s="683"/>
      <c r="C917" s="683"/>
      <c r="D917" s="683"/>
      <c r="E917" s="683"/>
      <c r="F917" s="683"/>
      <c r="G917" s="683"/>
      <c r="H917" s="683"/>
      <c r="I917" s="683"/>
      <c r="J917" s="683"/>
      <c r="K917" s="683"/>
      <c r="L917" s="683"/>
      <c r="M917" s="683"/>
      <c r="N917" s="683"/>
    </row>
    <row r="918">
      <c r="A918" s="683"/>
      <c r="B918" s="683"/>
      <c r="C918" s="683"/>
      <c r="D918" s="683"/>
      <c r="E918" s="683"/>
      <c r="F918" s="683"/>
      <c r="G918" s="683"/>
      <c r="H918" s="683"/>
      <c r="I918" s="683"/>
      <c r="J918" s="683"/>
      <c r="K918" s="683"/>
      <c r="L918" s="683"/>
      <c r="M918" s="683"/>
      <c r="N918" s="683"/>
    </row>
    <row r="919">
      <c r="A919" s="683"/>
      <c r="B919" s="683"/>
      <c r="C919" s="683"/>
      <c r="D919" s="683"/>
      <c r="E919" s="683"/>
      <c r="F919" s="683"/>
      <c r="G919" s="683"/>
      <c r="H919" s="683"/>
      <c r="I919" s="683"/>
      <c r="J919" s="683"/>
      <c r="K919" s="683"/>
      <c r="L919" s="683"/>
      <c r="M919" s="683"/>
      <c r="N919" s="683"/>
    </row>
    <row r="920">
      <c r="A920" s="683"/>
      <c r="B920" s="683"/>
      <c r="C920" s="683"/>
      <c r="D920" s="683"/>
      <c r="E920" s="683"/>
      <c r="F920" s="683"/>
      <c r="G920" s="683"/>
      <c r="H920" s="683"/>
      <c r="I920" s="683"/>
      <c r="J920" s="683"/>
      <c r="K920" s="683"/>
      <c r="L920" s="683"/>
      <c r="M920" s="683"/>
      <c r="N920" s="683"/>
    </row>
    <row r="921">
      <c r="A921" s="683"/>
      <c r="B921" s="683"/>
      <c r="C921" s="683"/>
      <c r="D921" s="683"/>
      <c r="E921" s="683"/>
      <c r="F921" s="683"/>
      <c r="G921" s="683"/>
      <c r="H921" s="683"/>
      <c r="I921" s="683"/>
      <c r="J921" s="683"/>
      <c r="K921" s="683"/>
      <c r="L921" s="683"/>
      <c r="M921" s="683"/>
      <c r="N921" s="683"/>
    </row>
    <row r="922">
      <c r="A922" s="683"/>
      <c r="B922" s="683"/>
      <c r="C922" s="683"/>
      <c r="D922" s="683"/>
      <c r="E922" s="683"/>
      <c r="F922" s="683"/>
      <c r="G922" s="683"/>
      <c r="H922" s="683"/>
      <c r="I922" s="683"/>
      <c r="J922" s="683"/>
      <c r="K922" s="683"/>
      <c r="L922" s="683"/>
      <c r="M922" s="683"/>
      <c r="N922" s="683"/>
    </row>
    <row r="923">
      <c r="A923" s="683"/>
      <c r="B923" s="683"/>
      <c r="C923" s="683"/>
      <c r="D923" s="683"/>
      <c r="E923" s="683"/>
      <c r="F923" s="683"/>
      <c r="G923" s="683"/>
      <c r="H923" s="683"/>
      <c r="I923" s="683"/>
      <c r="J923" s="683"/>
      <c r="K923" s="683"/>
      <c r="L923" s="683"/>
      <c r="M923" s="683"/>
      <c r="N923" s="683"/>
    </row>
    <row r="924">
      <c r="A924" s="683"/>
      <c r="B924" s="683"/>
      <c r="C924" s="683"/>
      <c r="D924" s="683"/>
      <c r="E924" s="683"/>
      <c r="F924" s="683"/>
      <c r="G924" s="683"/>
      <c r="H924" s="683"/>
      <c r="I924" s="683"/>
      <c r="J924" s="683"/>
      <c r="K924" s="683"/>
      <c r="L924" s="683"/>
      <c r="M924" s="683"/>
      <c r="N924" s="683"/>
    </row>
    <row r="925">
      <c r="A925" s="683"/>
      <c r="B925" s="683"/>
      <c r="C925" s="683"/>
      <c r="D925" s="683"/>
      <c r="E925" s="683"/>
      <c r="F925" s="683"/>
      <c r="G925" s="683"/>
      <c r="H925" s="683"/>
      <c r="I925" s="683"/>
      <c r="J925" s="683"/>
      <c r="K925" s="683"/>
      <c r="L925" s="683"/>
      <c r="M925" s="683"/>
      <c r="N925" s="683"/>
    </row>
    <row r="926">
      <c r="A926" s="683"/>
      <c r="B926" s="683"/>
      <c r="C926" s="683"/>
      <c r="D926" s="683"/>
      <c r="E926" s="683"/>
      <c r="F926" s="683"/>
      <c r="G926" s="683"/>
      <c r="H926" s="683"/>
      <c r="I926" s="683"/>
      <c r="J926" s="683"/>
      <c r="K926" s="683"/>
      <c r="L926" s="683"/>
      <c r="M926" s="683"/>
      <c r="N926" s="683"/>
    </row>
    <row r="927">
      <c r="A927" s="683"/>
      <c r="B927" s="683"/>
      <c r="C927" s="683"/>
      <c r="D927" s="683"/>
      <c r="E927" s="683"/>
      <c r="F927" s="683"/>
      <c r="G927" s="683"/>
      <c r="H927" s="683"/>
      <c r="I927" s="683"/>
      <c r="J927" s="683"/>
      <c r="K927" s="683"/>
      <c r="L927" s="683"/>
      <c r="M927" s="683"/>
      <c r="N927" s="683"/>
    </row>
    <row r="928">
      <c r="A928" s="683"/>
      <c r="B928" s="683"/>
      <c r="C928" s="683"/>
      <c r="D928" s="683"/>
      <c r="E928" s="683"/>
      <c r="F928" s="683"/>
      <c r="G928" s="683"/>
      <c r="H928" s="683"/>
      <c r="I928" s="683"/>
      <c r="J928" s="683"/>
      <c r="K928" s="683"/>
      <c r="L928" s="683"/>
      <c r="M928" s="683"/>
      <c r="N928" s="683"/>
    </row>
    <row r="929">
      <c r="A929" s="683"/>
      <c r="B929" s="683"/>
      <c r="C929" s="683"/>
      <c r="D929" s="683"/>
      <c r="E929" s="683"/>
      <c r="F929" s="683"/>
      <c r="G929" s="683"/>
      <c r="H929" s="683"/>
      <c r="I929" s="683"/>
      <c r="J929" s="683"/>
      <c r="K929" s="683"/>
      <c r="L929" s="683"/>
      <c r="M929" s="683"/>
      <c r="N929" s="683"/>
    </row>
    <row r="930">
      <c r="A930" s="683"/>
      <c r="B930" s="683"/>
      <c r="C930" s="683"/>
      <c r="D930" s="683"/>
      <c r="E930" s="683"/>
      <c r="F930" s="683"/>
      <c r="G930" s="683"/>
      <c r="H930" s="683"/>
      <c r="I930" s="683"/>
      <c r="J930" s="683"/>
      <c r="K930" s="683"/>
      <c r="L930" s="683"/>
      <c r="M930" s="683"/>
      <c r="N930" s="683"/>
    </row>
    <row r="931">
      <c r="A931" s="683"/>
      <c r="B931" s="683"/>
      <c r="C931" s="683"/>
      <c r="D931" s="683"/>
      <c r="E931" s="683"/>
      <c r="F931" s="683"/>
      <c r="G931" s="683"/>
      <c r="H931" s="683"/>
      <c r="I931" s="683"/>
      <c r="J931" s="683"/>
      <c r="K931" s="683"/>
      <c r="L931" s="683"/>
      <c r="M931" s="683"/>
      <c r="N931" s="683"/>
    </row>
    <row r="932">
      <c r="A932" s="683"/>
      <c r="B932" s="683"/>
      <c r="C932" s="683"/>
      <c r="D932" s="683"/>
      <c r="E932" s="683"/>
      <c r="F932" s="683"/>
      <c r="G932" s="683"/>
      <c r="H932" s="683"/>
      <c r="I932" s="683"/>
      <c r="J932" s="683"/>
      <c r="K932" s="683"/>
      <c r="L932" s="683"/>
      <c r="M932" s="683"/>
      <c r="N932" s="683"/>
    </row>
    <row r="933">
      <c r="A933" s="683"/>
      <c r="B933" s="683"/>
      <c r="C933" s="683"/>
      <c r="D933" s="683"/>
      <c r="E933" s="683"/>
      <c r="F933" s="683"/>
      <c r="G933" s="683"/>
      <c r="H933" s="683"/>
      <c r="I933" s="683"/>
      <c r="J933" s="683"/>
      <c r="K933" s="683"/>
      <c r="L933" s="683"/>
      <c r="M933" s="683"/>
      <c r="N933" s="683"/>
    </row>
    <row r="934">
      <c r="A934" s="683"/>
      <c r="B934" s="683"/>
      <c r="C934" s="683"/>
      <c r="D934" s="683"/>
      <c r="E934" s="683"/>
      <c r="F934" s="683"/>
      <c r="G934" s="683"/>
      <c r="H934" s="683"/>
      <c r="I934" s="683"/>
      <c r="J934" s="683"/>
      <c r="K934" s="683"/>
      <c r="L934" s="683"/>
      <c r="M934" s="683"/>
      <c r="N934" s="683"/>
    </row>
    <row r="935">
      <c r="A935" s="683"/>
      <c r="B935" s="683"/>
      <c r="C935" s="683"/>
      <c r="D935" s="683"/>
      <c r="E935" s="683"/>
      <c r="F935" s="683"/>
      <c r="G935" s="683"/>
      <c r="H935" s="683"/>
      <c r="I935" s="683"/>
      <c r="J935" s="683"/>
      <c r="K935" s="683"/>
      <c r="L935" s="683"/>
      <c r="M935" s="683"/>
      <c r="N935" s="683"/>
    </row>
    <row r="936">
      <c r="A936" s="683"/>
      <c r="B936" s="683"/>
      <c r="C936" s="683"/>
      <c r="D936" s="683"/>
      <c r="E936" s="683"/>
      <c r="F936" s="683"/>
      <c r="G936" s="683"/>
      <c r="H936" s="683"/>
      <c r="I936" s="683"/>
      <c r="J936" s="683"/>
      <c r="K936" s="683"/>
      <c r="L936" s="683"/>
      <c r="M936" s="683"/>
      <c r="N936" s="683"/>
    </row>
    <row r="937">
      <c r="A937" s="683"/>
      <c r="B937" s="683"/>
      <c r="C937" s="683"/>
      <c r="D937" s="683"/>
      <c r="E937" s="683"/>
      <c r="F937" s="683"/>
      <c r="G937" s="683"/>
      <c r="H937" s="683"/>
      <c r="I937" s="683"/>
      <c r="J937" s="683"/>
      <c r="K937" s="683"/>
      <c r="L937" s="683"/>
      <c r="M937" s="683"/>
      <c r="N937" s="683"/>
    </row>
    <row r="938">
      <c r="A938" s="683"/>
      <c r="B938" s="683"/>
      <c r="C938" s="683"/>
      <c r="D938" s="683"/>
      <c r="E938" s="683"/>
      <c r="F938" s="683"/>
      <c r="G938" s="683"/>
      <c r="H938" s="683"/>
      <c r="I938" s="683"/>
      <c r="J938" s="683"/>
      <c r="K938" s="683"/>
      <c r="L938" s="683"/>
      <c r="M938" s="683"/>
      <c r="N938" s="683"/>
    </row>
    <row r="939">
      <c r="A939" s="683"/>
      <c r="B939" s="683"/>
      <c r="C939" s="683"/>
      <c r="D939" s="683"/>
      <c r="E939" s="683"/>
      <c r="F939" s="683"/>
      <c r="G939" s="683"/>
      <c r="H939" s="683"/>
      <c r="I939" s="683"/>
      <c r="J939" s="683"/>
      <c r="K939" s="683"/>
      <c r="L939" s="683"/>
      <c r="M939" s="683"/>
      <c r="N939" s="683"/>
    </row>
    <row r="940">
      <c r="A940" s="683"/>
      <c r="B940" s="683"/>
      <c r="C940" s="683"/>
      <c r="D940" s="683"/>
      <c r="E940" s="683"/>
      <c r="F940" s="683"/>
      <c r="G940" s="683"/>
      <c r="H940" s="683"/>
      <c r="I940" s="683"/>
      <c r="J940" s="683"/>
      <c r="K940" s="683"/>
      <c r="L940" s="683"/>
      <c r="M940" s="683"/>
      <c r="N940" s="683"/>
    </row>
    <row r="941">
      <c r="A941" s="683"/>
      <c r="B941" s="683"/>
      <c r="C941" s="683"/>
      <c r="D941" s="683"/>
      <c r="E941" s="683"/>
      <c r="F941" s="683"/>
      <c r="G941" s="683"/>
      <c r="H941" s="683"/>
      <c r="I941" s="683"/>
      <c r="J941" s="683"/>
      <c r="K941" s="683"/>
      <c r="L941" s="683"/>
      <c r="M941" s="683"/>
      <c r="N941" s="683"/>
    </row>
    <row r="942">
      <c r="A942" s="683"/>
      <c r="B942" s="683"/>
      <c r="C942" s="683"/>
      <c r="D942" s="683"/>
      <c r="E942" s="683"/>
      <c r="F942" s="683"/>
      <c r="G942" s="683"/>
      <c r="H942" s="683"/>
      <c r="I942" s="683"/>
      <c r="J942" s="683"/>
      <c r="K942" s="683"/>
      <c r="L942" s="683"/>
      <c r="M942" s="683"/>
      <c r="N942" s="683"/>
    </row>
    <row r="943">
      <c r="A943" s="683"/>
      <c r="B943" s="683"/>
      <c r="C943" s="683"/>
      <c r="D943" s="683"/>
      <c r="E943" s="683"/>
      <c r="F943" s="683"/>
      <c r="G943" s="683"/>
      <c r="H943" s="683"/>
      <c r="I943" s="683"/>
      <c r="J943" s="683"/>
      <c r="K943" s="683"/>
      <c r="L943" s="683"/>
      <c r="M943" s="683"/>
      <c r="N943" s="683"/>
    </row>
    <row r="944">
      <c r="A944" s="683"/>
      <c r="B944" s="683"/>
      <c r="C944" s="683"/>
      <c r="D944" s="683"/>
      <c r="E944" s="683"/>
      <c r="F944" s="683"/>
      <c r="G944" s="683"/>
      <c r="H944" s="683"/>
      <c r="I944" s="683"/>
      <c r="J944" s="683"/>
      <c r="K944" s="683"/>
      <c r="L944" s="683"/>
      <c r="M944" s="683"/>
      <c r="N944" s="683"/>
    </row>
    <row r="945">
      <c r="A945" s="683"/>
      <c r="B945" s="683"/>
      <c r="C945" s="683"/>
      <c r="D945" s="683"/>
      <c r="E945" s="683"/>
      <c r="F945" s="683"/>
      <c r="G945" s="683"/>
      <c r="H945" s="683"/>
      <c r="I945" s="683"/>
      <c r="J945" s="683"/>
      <c r="K945" s="683"/>
      <c r="L945" s="683"/>
      <c r="M945" s="683"/>
      <c r="N945" s="683"/>
    </row>
    <row r="946">
      <c r="A946" s="683"/>
      <c r="B946" s="683"/>
      <c r="C946" s="683"/>
      <c r="D946" s="683"/>
      <c r="E946" s="683"/>
      <c r="F946" s="683"/>
      <c r="G946" s="683"/>
      <c r="H946" s="683"/>
      <c r="I946" s="683"/>
      <c r="J946" s="683"/>
      <c r="K946" s="683"/>
      <c r="L946" s="683"/>
      <c r="M946" s="683"/>
      <c r="N946" s="683"/>
    </row>
    <row r="947">
      <c r="A947" s="683"/>
      <c r="B947" s="683"/>
      <c r="C947" s="683"/>
      <c r="D947" s="683"/>
      <c r="E947" s="683"/>
      <c r="F947" s="683"/>
      <c r="G947" s="683"/>
      <c r="H947" s="683"/>
      <c r="I947" s="683"/>
      <c r="J947" s="683"/>
      <c r="K947" s="683"/>
      <c r="L947" s="683"/>
      <c r="M947" s="683"/>
      <c r="N947" s="683"/>
    </row>
    <row r="948">
      <c r="A948" s="683"/>
      <c r="B948" s="683"/>
      <c r="C948" s="683"/>
      <c r="D948" s="683"/>
      <c r="E948" s="683"/>
      <c r="F948" s="683"/>
      <c r="G948" s="683"/>
      <c r="H948" s="683"/>
      <c r="I948" s="683"/>
      <c r="J948" s="683"/>
      <c r="K948" s="683"/>
      <c r="L948" s="683"/>
      <c r="M948" s="683"/>
      <c r="N948" s="683"/>
    </row>
    <row r="949">
      <c r="A949" s="683"/>
      <c r="B949" s="683"/>
      <c r="C949" s="683"/>
      <c r="D949" s="683"/>
      <c r="E949" s="683"/>
      <c r="F949" s="683"/>
      <c r="G949" s="683"/>
      <c r="H949" s="683"/>
      <c r="I949" s="683"/>
      <c r="J949" s="683"/>
      <c r="K949" s="683"/>
      <c r="L949" s="683"/>
      <c r="M949" s="683"/>
      <c r="N949" s="683"/>
    </row>
    <row r="950">
      <c r="A950" s="683"/>
      <c r="B950" s="683"/>
      <c r="C950" s="683"/>
      <c r="D950" s="683"/>
      <c r="E950" s="683"/>
      <c r="F950" s="683"/>
      <c r="G950" s="683"/>
      <c r="H950" s="683"/>
      <c r="I950" s="683"/>
      <c r="J950" s="683"/>
      <c r="K950" s="683"/>
      <c r="L950" s="683"/>
      <c r="M950" s="683"/>
      <c r="N950" s="683"/>
    </row>
    <row r="951">
      <c r="A951" s="683"/>
      <c r="B951" s="683"/>
      <c r="C951" s="683"/>
      <c r="D951" s="683"/>
      <c r="E951" s="683"/>
      <c r="F951" s="683"/>
      <c r="G951" s="683"/>
      <c r="H951" s="683"/>
      <c r="I951" s="683"/>
      <c r="J951" s="683"/>
      <c r="K951" s="683"/>
      <c r="L951" s="683"/>
      <c r="M951" s="683"/>
      <c r="N951" s="683"/>
    </row>
    <row r="952">
      <c r="A952" s="683"/>
      <c r="B952" s="683"/>
      <c r="C952" s="683"/>
      <c r="D952" s="683"/>
      <c r="E952" s="683"/>
      <c r="F952" s="683"/>
      <c r="G952" s="683"/>
      <c r="H952" s="683"/>
      <c r="I952" s="683"/>
      <c r="J952" s="683"/>
      <c r="K952" s="683"/>
      <c r="L952" s="683"/>
      <c r="M952" s="683"/>
      <c r="N952" s="683"/>
    </row>
    <row r="953">
      <c r="A953" s="683"/>
      <c r="B953" s="683"/>
      <c r="C953" s="683"/>
      <c r="D953" s="683"/>
      <c r="E953" s="683"/>
      <c r="F953" s="683"/>
      <c r="G953" s="683"/>
      <c r="H953" s="683"/>
      <c r="I953" s="683"/>
      <c r="J953" s="683"/>
      <c r="K953" s="683"/>
      <c r="L953" s="683"/>
      <c r="M953" s="683"/>
      <c r="N953" s="683"/>
    </row>
    <row r="954">
      <c r="A954" s="683"/>
      <c r="B954" s="683"/>
      <c r="C954" s="683"/>
      <c r="D954" s="683"/>
      <c r="E954" s="683"/>
      <c r="F954" s="683"/>
      <c r="G954" s="683"/>
      <c r="H954" s="683"/>
      <c r="I954" s="683"/>
      <c r="J954" s="683"/>
      <c r="K954" s="683"/>
      <c r="L954" s="683"/>
      <c r="M954" s="683"/>
      <c r="N954" s="683"/>
    </row>
    <row r="955">
      <c r="A955" s="683"/>
      <c r="B955" s="683"/>
      <c r="C955" s="683"/>
      <c r="D955" s="683"/>
      <c r="E955" s="683"/>
      <c r="F955" s="683"/>
      <c r="G955" s="683"/>
      <c r="H955" s="683"/>
      <c r="I955" s="683"/>
      <c r="J955" s="683"/>
      <c r="K955" s="683"/>
      <c r="L955" s="683"/>
      <c r="M955" s="683"/>
      <c r="N955" s="683"/>
    </row>
    <row r="956">
      <c r="A956" s="683"/>
      <c r="B956" s="683"/>
      <c r="C956" s="683"/>
      <c r="D956" s="683"/>
      <c r="E956" s="683"/>
      <c r="F956" s="683"/>
      <c r="G956" s="683"/>
      <c r="H956" s="683"/>
      <c r="I956" s="683"/>
      <c r="J956" s="683"/>
      <c r="K956" s="683"/>
      <c r="L956" s="683"/>
      <c r="M956" s="683"/>
      <c r="N956" s="683"/>
    </row>
    <row r="957">
      <c r="A957" s="683"/>
      <c r="B957" s="683"/>
      <c r="C957" s="683"/>
      <c r="D957" s="683"/>
      <c r="E957" s="683"/>
      <c r="F957" s="683"/>
      <c r="G957" s="683"/>
      <c r="H957" s="683"/>
      <c r="I957" s="683"/>
      <c r="J957" s="683"/>
      <c r="K957" s="683"/>
      <c r="L957" s="683"/>
      <c r="M957" s="683"/>
      <c r="N957" s="683"/>
    </row>
    <row r="958">
      <c r="A958" s="683"/>
      <c r="B958" s="683"/>
      <c r="C958" s="683"/>
      <c r="D958" s="683"/>
      <c r="E958" s="683"/>
      <c r="F958" s="683"/>
      <c r="G958" s="683"/>
      <c r="H958" s="683"/>
      <c r="I958" s="683"/>
      <c r="J958" s="683"/>
      <c r="K958" s="683"/>
      <c r="L958" s="683"/>
      <c r="M958" s="683"/>
      <c r="N958" s="683"/>
    </row>
    <row r="959">
      <c r="A959" s="683"/>
      <c r="B959" s="683"/>
      <c r="C959" s="683"/>
      <c r="D959" s="683"/>
      <c r="E959" s="683"/>
      <c r="F959" s="683"/>
      <c r="G959" s="683"/>
      <c r="H959" s="683"/>
      <c r="I959" s="683"/>
      <c r="J959" s="683"/>
      <c r="K959" s="683"/>
      <c r="L959" s="683"/>
      <c r="M959" s="683"/>
      <c r="N959" s="683"/>
    </row>
    <row r="960">
      <c r="A960" s="683"/>
      <c r="B960" s="683"/>
      <c r="C960" s="683"/>
      <c r="D960" s="683"/>
      <c r="E960" s="683"/>
      <c r="F960" s="683"/>
      <c r="G960" s="683"/>
      <c r="H960" s="683"/>
      <c r="I960" s="683"/>
      <c r="J960" s="683"/>
      <c r="K960" s="683"/>
      <c r="L960" s="683"/>
      <c r="M960" s="683"/>
      <c r="N960" s="683"/>
    </row>
    <row r="961">
      <c r="A961" s="683"/>
      <c r="B961" s="683"/>
      <c r="C961" s="683"/>
      <c r="D961" s="683"/>
      <c r="E961" s="683"/>
      <c r="F961" s="683"/>
      <c r="G961" s="683"/>
      <c r="H961" s="683"/>
      <c r="I961" s="683"/>
      <c r="J961" s="683"/>
      <c r="K961" s="683"/>
      <c r="L961" s="683"/>
      <c r="M961" s="683"/>
      <c r="N961" s="683"/>
    </row>
    <row r="962">
      <c r="A962" s="683"/>
      <c r="B962" s="683"/>
      <c r="C962" s="683"/>
      <c r="D962" s="683"/>
      <c r="E962" s="683"/>
      <c r="F962" s="683"/>
      <c r="G962" s="683"/>
      <c r="H962" s="683"/>
      <c r="I962" s="683"/>
      <c r="J962" s="683"/>
      <c r="K962" s="683"/>
      <c r="L962" s="683"/>
      <c r="M962" s="683"/>
      <c r="N962" s="683"/>
    </row>
    <row r="963">
      <c r="A963" s="683"/>
      <c r="B963" s="683"/>
      <c r="C963" s="683"/>
      <c r="D963" s="683"/>
      <c r="E963" s="683"/>
      <c r="F963" s="683"/>
      <c r="G963" s="683"/>
      <c r="H963" s="683"/>
      <c r="I963" s="683"/>
      <c r="J963" s="683"/>
      <c r="K963" s="683"/>
      <c r="L963" s="683"/>
      <c r="M963" s="683"/>
      <c r="N963" s="683"/>
    </row>
    <row r="964">
      <c r="A964" s="683"/>
      <c r="B964" s="683"/>
      <c r="C964" s="683"/>
      <c r="D964" s="683"/>
      <c r="E964" s="683"/>
      <c r="F964" s="683"/>
      <c r="G964" s="683"/>
      <c r="H964" s="683"/>
      <c r="I964" s="683"/>
      <c r="J964" s="683"/>
      <c r="K964" s="683"/>
      <c r="L964" s="683"/>
      <c r="M964" s="683"/>
      <c r="N964" s="683"/>
    </row>
    <row r="965">
      <c r="A965" s="683"/>
      <c r="B965" s="683"/>
      <c r="C965" s="683"/>
      <c r="D965" s="683"/>
      <c r="E965" s="683"/>
      <c r="F965" s="683"/>
      <c r="G965" s="683"/>
      <c r="H965" s="683"/>
      <c r="I965" s="683"/>
      <c r="J965" s="683"/>
      <c r="K965" s="683"/>
      <c r="L965" s="683"/>
      <c r="M965" s="683"/>
      <c r="N965" s="683"/>
    </row>
    <row r="966">
      <c r="A966" s="683"/>
      <c r="B966" s="683"/>
      <c r="C966" s="683"/>
      <c r="D966" s="683"/>
      <c r="E966" s="683"/>
      <c r="F966" s="683"/>
      <c r="G966" s="683"/>
      <c r="H966" s="683"/>
      <c r="I966" s="683"/>
      <c r="J966" s="683"/>
      <c r="K966" s="683"/>
      <c r="L966" s="683"/>
      <c r="M966" s="683"/>
      <c r="N966" s="683"/>
    </row>
    <row r="967">
      <c r="A967" s="683"/>
      <c r="B967" s="683"/>
      <c r="C967" s="683"/>
      <c r="D967" s="683"/>
      <c r="E967" s="683"/>
      <c r="F967" s="683"/>
      <c r="G967" s="683"/>
      <c r="H967" s="683"/>
      <c r="I967" s="683"/>
      <c r="J967" s="683"/>
      <c r="K967" s="683"/>
      <c r="L967" s="683"/>
      <c r="M967" s="683"/>
      <c r="N967" s="683"/>
    </row>
    <row r="968">
      <c r="A968" s="683"/>
      <c r="B968" s="683"/>
      <c r="C968" s="683"/>
      <c r="D968" s="683"/>
      <c r="E968" s="683"/>
      <c r="F968" s="683"/>
      <c r="G968" s="683"/>
      <c r="H968" s="683"/>
      <c r="I968" s="683"/>
      <c r="J968" s="683"/>
      <c r="K968" s="683"/>
      <c r="L968" s="683"/>
      <c r="M968" s="683"/>
      <c r="N968" s="683"/>
    </row>
    <row r="969">
      <c r="A969" s="683"/>
      <c r="B969" s="683"/>
      <c r="C969" s="683"/>
      <c r="D969" s="683"/>
      <c r="E969" s="683"/>
      <c r="F969" s="683"/>
      <c r="G969" s="683"/>
      <c r="H969" s="683"/>
      <c r="I969" s="683"/>
      <c r="J969" s="683"/>
      <c r="K969" s="683"/>
      <c r="L969" s="683"/>
      <c r="M969" s="683"/>
      <c r="N969" s="683"/>
    </row>
    <row r="970">
      <c r="A970" s="683"/>
      <c r="B970" s="683"/>
      <c r="C970" s="683"/>
      <c r="D970" s="683"/>
      <c r="E970" s="683"/>
      <c r="F970" s="683"/>
      <c r="G970" s="683"/>
      <c r="H970" s="683"/>
      <c r="I970" s="683"/>
      <c r="J970" s="683"/>
      <c r="K970" s="683"/>
      <c r="L970" s="683"/>
      <c r="M970" s="683"/>
      <c r="N970" s="683"/>
    </row>
    <row r="971">
      <c r="A971" s="683"/>
      <c r="B971" s="683"/>
      <c r="C971" s="683"/>
      <c r="D971" s="683"/>
      <c r="E971" s="683"/>
      <c r="F971" s="683"/>
      <c r="G971" s="683"/>
      <c r="H971" s="683"/>
      <c r="I971" s="683"/>
      <c r="J971" s="683"/>
      <c r="K971" s="683"/>
      <c r="L971" s="683"/>
      <c r="M971" s="683"/>
      <c r="N971" s="683"/>
    </row>
    <row r="972">
      <c r="A972" s="683"/>
      <c r="B972" s="683"/>
      <c r="C972" s="683"/>
      <c r="D972" s="683"/>
      <c r="E972" s="683"/>
      <c r="F972" s="683"/>
      <c r="G972" s="683"/>
      <c r="H972" s="683"/>
      <c r="I972" s="683"/>
      <c r="J972" s="683"/>
      <c r="K972" s="683"/>
      <c r="L972" s="683"/>
      <c r="M972" s="683"/>
      <c r="N972" s="683"/>
    </row>
    <row r="973">
      <c r="A973" s="683"/>
      <c r="B973" s="683"/>
      <c r="C973" s="683"/>
      <c r="D973" s="683"/>
      <c r="E973" s="683"/>
      <c r="F973" s="683"/>
      <c r="G973" s="683"/>
      <c r="H973" s="683"/>
      <c r="I973" s="683"/>
      <c r="J973" s="683"/>
      <c r="K973" s="683"/>
      <c r="L973" s="683"/>
      <c r="M973" s="683"/>
      <c r="N973" s="683"/>
    </row>
    <row r="974">
      <c r="A974" s="683"/>
      <c r="B974" s="683"/>
      <c r="C974" s="683"/>
      <c r="D974" s="683"/>
      <c r="E974" s="683"/>
      <c r="F974" s="683"/>
      <c r="G974" s="683"/>
      <c r="H974" s="683"/>
      <c r="I974" s="683"/>
      <c r="J974" s="683"/>
      <c r="K974" s="683"/>
      <c r="L974" s="683"/>
      <c r="M974" s="683"/>
      <c r="N974" s="683"/>
    </row>
    <row r="975">
      <c r="A975" s="683"/>
      <c r="B975" s="683"/>
      <c r="C975" s="683"/>
      <c r="D975" s="683"/>
      <c r="E975" s="683"/>
      <c r="F975" s="683"/>
      <c r="G975" s="683"/>
      <c r="H975" s="683"/>
      <c r="I975" s="683"/>
      <c r="J975" s="683"/>
      <c r="K975" s="683"/>
      <c r="L975" s="683"/>
      <c r="M975" s="683"/>
      <c r="N975" s="683"/>
    </row>
    <row r="976">
      <c r="A976" s="683"/>
      <c r="B976" s="683"/>
      <c r="C976" s="683"/>
      <c r="D976" s="683"/>
      <c r="E976" s="683"/>
      <c r="F976" s="683"/>
      <c r="G976" s="683"/>
      <c r="H976" s="683"/>
      <c r="I976" s="683"/>
      <c r="J976" s="683"/>
      <c r="K976" s="683"/>
      <c r="L976" s="683"/>
      <c r="M976" s="683"/>
      <c r="N976" s="683"/>
    </row>
    <row r="977">
      <c r="A977" s="683"/>
      <c r="B977" s="683"/>
      <c r="C977" s="683"/>
      <c r="D977" s="683"/>
      <c r="E977" s="683"/>
      <c r="F977" s="683"/>
      <c r="G977" s="683"/>
      <c r="H977" s="683"/>
      <c r="I977" s="683"/>
      <c r="J977" s="683"/>
      <c r="K977" s="683"/>
      <c r="L977" s="683"/>
      <c r="M977" s="683"/>
      <c r="N977" s="683"/>
    </row>
    <row r="978">
      <c r="A978" s="683"/>
      <c r="B978" s="683"/>
      <c r="C978" s="683"/>
      <c r="D978" s="683"/>
      <c r="E978" s="683"/>
      <c r="F978" s="683"/>
      <c r="G978" s="683"/>
      <c r="H978" s="683"/>
      <c r="I978" s="683"/>
      <c r="J978" s="683"/>
      <c r="K978" s="683"/>
      <c r="L978" s="683"/>
      <c r="M978" s="683"/>
      <c r="N978" s="683"/>
    </row>
    <row r="979">
      <c r="A979" s="683"/>
      <c r="B979" s="683"/>
      <c r="C979" s="683"/>
      <c r="D979" s="683"/>
      <c r="E979" s="683"/>
      <c r="F979" s="683"/>
      <c r="G979" s="683"/>
      <c r="H979" s="683"/>
      <c r="I979" s="683"/>
      <c r="J979" s="683"/>
      <c r="K979" s="683"/>
      <c r="L979" s="683"/>
      <c r="M979" s="683"/>
      <c r="N979" s="683"/>
    </row>
    <row r="980">
      <c r="A980" s="683"/>
      <c r="B980" s="683"/>
      <c r="C980" s="683"/>
      <c r="D980" s="683"/>
      <c r="E980" s="683"/>
      <c r="F980" s="683"/>
      <c r="G980" s="683"/>
      <c r="H980" s="683"/>
      <c r="I980" s="683"/>
      <c r="J980" s="683"/>
      <c r="K980" s="683"/>
      <c r="L980" s="683"/>
      <c r="M980" s="683"/>
      <c r="N980" s="683"/>
    </row>
    <row r="981">
      <c r="A981" s="683"/>
      <c r="B981" s="683"/>
      <c r="C981" s="683"/>
      <c r="D981" s="683"/>
      <c r="E981" s="683"/>
      <c r="F981" s="683"/>
      <c r="G981" s="683"/>
      <c r="H981" s="683"/>
      <c r="I981" s="683"/>
      <c r="J981" s="683"/>
      <c r="K981" s="683"/>
      <c r="L981" s="683"/>
      <c r="M981" s="683"/>
      <c r="N981" s="683"/>
    </row>
    <row r="982">
      <c r="A982" s="683"/>
      <c r="B982" s="683"/>
      <c r="C982" s="683"/>
      <c r="D982" s="683"/>
      <c r="E982" s="683"/>
      <c r="F982" s="683"/>
      <c r="G982" s="683"/>
      <c r="H982" s="683"/>
      <c r="I982" s="683"/>
      <c r="J982" s="683"/>
      <c r="K982" s="683"/>
      <c r="L982" s="683"/>
      <c r="M982" s="683"/>
      <c r="N982" s="683"/>
    </row>
    <row r="983">
      <c r="A983" s="683"/>
      <c r="B983" s="683"/>
      <c r="C983" s="683"/>
      <c r="D983" s="683"/>
      <c r="E983" s="683"/>
      <c r="F983" s="683"/>
      <c r="G983" s="683"/>
      <c r="H983" s="683"/>
      <c r="I983" s="683"/>
      <c r="J983" s="683"/>
      <c r="K983" s="683"/>
      <c r="L983" s="683"/>
      <c r="M983" s="683"/>
      <c r="N983" s="683"/>
    </row>
    <row r="984">
      <c r="A984" s="683"/>
      <c r="B984" s="683"/>
      <c r="C984" s="683"/>
      <c r="D984" s="683"/>
      <c r="E984" s="683"/>
      <c r="F984" s="683"/>
      <c r="G984" s="683"/>
      <c r="H984" s="683"/>
      <c r="I984" s="683"/>
      <c r="J984" s="683"/>
      <c r="K984" s="683"/>
      <c r="L984" s="683"/>
      <c r="M984" s="683"/>
      <c r="N984" s="683"/>
    </row>
    <row r="985">
      <c r="A985" s="683"/>
      <c r="B985" s="683"/>
      <c r="C985" s="683"/>
      <c r="D985" s="683"/>
      <c r="E985" s="683"/>
      <c r="F985" s="683"/>
      <c r="G985" s="683"/>
      <c r="H985" s="683"/>
      <c r="I985" s="683"/>
      <c r="J985" s="683"/>
      <c r="K985" s="683"/>
      <c r="L985" s="683"/>
      <c r="M985" s="683"/>
      <c r="N985" s="683"/>
    </row>
    <row r="986">
      <c r="A986" s="683"/>
      <c r="B986" s="683"/>
      <c r="C986" s="683"/>
      <c r="D986" s="683"/>
      <c r="E986" s="683"/>
      <c r="F986" s="683"/>
      <c r="G986" s="683"/>
      <c r="H986" s="683"/>
      <c r="I986" s="683"/>
      <c r="J986" s="683"/>
      <c r="K986" s="683"/>
      <c r="L986" s="683"/>
      <c r="M986" s="683"/>
      <c r="N986" s="683"/>
    </row>
    <row r="987">
      <c r="A987" s="683"/>
      <c r="B987" s="683"/>
      <c r="C987" s="683"/>
      <c r="D987" s="683"/>
      <c r="E987" s="683"/>
      <c r="F987" s="683"/>
      <c r="G987" s="683"/>
      <c r="H987" s="683"/>
      <c r="I987" s="683"/>
      <c r="J987" s="683"/>
      <c r="K987" s="683"/>
      <c r="L987" s="683"/>
      <c r="M987" s="683"/>
      <c r="N987" s="683"/>
    </row>
    <row r="988">
      <c r="A988" s="683"/>
      <c r="B988" s="683"/>
      <c r="C988" s="683"/>
      <c r="D988" s="683"/>
      <c r="E988" s="683"/>
      <c r="F988" s="683"/>
      <c r="G988" s="683"/>
      <c r="H988" s="683"/>
      <c r="I988" s="683"/>
      <c r="J988" s="683"/>
      <c r="K988" s="683"/>
      <c r="L988" s="683"/>
      <c r="M988" s="683"/>
      <c r="N988" s="683"/>
    </row>
    <row r="989">
      <c r="A989" s="683"/>
      <c r="B989" s="683"/>
      <c r="C989" s="683"/>
      <c r="D989" s="683"/>
      <c r="E989" s="683"/>
      <c r="F989" s="683"/>
      <c r="G989" s="683"/>
      <c r="H989" s="683"/>
      <c r="I989" s="683"/>
      <c r="J989" s="683"/>
      <c r="K989" s="683"/>
      <c r="L989" s="683"/>
      <c r="M989" s="683"/>
      <c r="N989" s="683"/>
    </row>
    <row r="990">
      <c r="A990" s="683"/>
      <c r="B990" s="683"/>
      <c r="C990" s="683"/>
      <c r="D990" s="683"/>
      <c r="E990" s="683"/>
      <c r="F990" s="683"/>
      <c r="G990" s="683"/>
      <c r="H990" s="683"/>
      <c r="I990" s="683"/>
      <c r="J990" s="683"/>
      <c r="K990" s="683"/>
      <c r="L990" s="683"/>
      <c r="M990" s="683"/>
      <c r="N990" s="683"/>
    </row>
    <row r="991">
      <c r="A991" s="683"/>
      <c r="B991" s="683"/>
      <c r="C991" s="683"/>
      <c r="D991" s="683"/>
      <c r="E991" s="683"/>
      <c r="F991" s="683"/>
      <c r="G991" s="683"/>
      <c r="H991" s="683"/>
      <c r="I991" s="683"/>
      <c r="J991" s="683"/>
      <c r="K991" s="683"/>
      <c r="L991" s="683"/>
      <c r="M991" s="683"/>
      <c r="N991" s="683"/>
    </row>
    <row r="992">
      <c r="A992" s="683"/>
      <c r="B992" s="683"/>
      <c r="C992" s="683"/>
      <c r="D992" s="683"/>
      <c r="E992" s="683"/>
      <c r="F992" s="683"/>
      <c r="G992" s="683"/>
      <c r="H992" s="683"/>
      <c r="I992" s="683"/>
      <c r="J992" s="683"/>
      <c r="K992" s="683"/>
      <c r="L992" s="683"/>
      <c r="M992" s="683"/>
      <c r="N992" s="683"/>
    </row>
    <row r="993">
      <c r="A993" s="683"/>
      <c r="B993" s="683"/>
      <c r="C993" s="683"/>
      <c r="D993" s="683"/>
      <c r="E993" s="683"/>
      <c r="F993" s="683"/>
      <c r="G993" s="683"/>
      <c r="H993" s="683"/>
      <c r="I993" s="683"/>
      <c r="J993" s="683"/>
      <c r="K993" s="683"/>
      <c r="L993" s="683"/>
      <c r="M993" s="683"/>
      <c r="N993" s="683"/>
    </row>
    <row r="994">
      <c r="A994" s="683"/>
      <c r="B994" s="683"/>
      <c r="C994" s="683"/>
      <c r="D994" s="683"/>
      <c r="E994" s="683"/>
      <c r="F994" s="683"/>
      <c r="G994" s="683"/>
      <c r="H994" s="683"/>
      <c r="I994" s="683"/>
      <c r="J994" s="683"/>
      <c r="K994" s="683"/>
      <c r="L994" s="683"/>
      <c r="M994" s="683"/>
      <c r="N994" s="683"/>
    </row>
    <row r="995">
      <c r="A995" s="683"/>
      <c r="B995" s="683"/>
      <c r="C995" s="683"/>
      <c r="D995" s="683"/>
      <c r="E995" s="683"/>
      <c r="F995" s="683"/>
      <c r="G995" s="683"/>
      <c r="H995" s="683"/>
      <c r="I995" s="683"/>
      <c r="J995" s="683"/>
      <c r="K995" s="683"/>
      <c r="L995" s="683"/>
      <c r="M995" s="683"/>
      <c r="N995" s="683"/>
    </row>
    <row r="996">
      <c r="A996" s="683"/>
      <c r="B996" s="683"/>
      <c r="C996" s="683"/>
      <c r="D996" s="683"/>
      <c r="E996" s="683"/>
      <c r="F996" s="683"/>
      <c r="G996" s="683"/>
      <c r="H996" s="683"/>
      <c r="I996" s="683"/>
      <c r="J996" s="683"/>
      <c r="K996" s="683"/>
      <c r="L996" s="683"/>
      <c r="M996" s="683"/>
      <c r="N996" s="683"/>
    </row>
    <row r="997">
      <c r="A997" s="683"/>
      <c r="B997" s="683"/>
      <c r="C997" s="683"/>
      <c r="D997" s="683"/>
      <c r="E997" s="683"/>
      <c r="F997" s="683"/>
      <c r="G997" s="683"/>
      <c r="H997" s="683"/>
      <c r="I997" s="683"/>
      <c r="J997" s="683"/>
      <c r="K997" s="683"/>
      <c r="L997" s="683"/>
      <c r="M997" s="683"/>
      <c r="N997" s="683"/>
    </row>
    <row r="998">
      <c r="A998" s="683"/>
      <c r="B998" s="683"/>
      <c r="C998" s="683"/>
      <c r="D998" s="683"/>
      <c r="E998" s="683"/>
      <c r="F998" s="683"/>
      <c r="G998" s="683"/>
      <c r="H998" s="683"/>
      <c r="I998" s="683"/>
      <c r="J998" s="683"/>
      <c r="K998" s="683"/>
      <c r="L998" s="683"/>
      <c r="M998" s="683"/>
      <c r="N998" s="683"/>
    </row>
    <row r="999">
      <c r="A999" s="683"/>
      <c r="B999" s="683"/>
      <c r="C999" s="683"/>
      <c r="D999" s="683"/>
      <c r="E999" s="683"/>
      <c r="F999" s="683"/>
      <c r="G999" s="683"/>
      <c r="H999" s="683"/>
      <c r="I999" s="683"/>
      <c r="J999" s="683"/>
      <c r="K999" s="683"/>
      <c r="L999" s="683"/>
      <c r="M999" s="683"/>
      <c r="N999" s="683"/>
    </row>
    <row r="1000">
      <c r="A1000" s="683"/>
      <c r="B1000" s="683"/>
      <c r="C1000" s="683"/>
      <c r="D1000" s="683"/>
      <c r="E1000" s="683"/>
      <c r="F1000" s="683"/>
      <c r="G1000" s="683"/>
      <c r="H1000" s="683"/>
      <c r="I1000" s="683"/>
      <c r="J1000" s="683"/>
      <c r="K1000" s="683"/>
      <c r="L1000" s="683"/>
      <c r="M1000" s="683"/>
      <c r="N1000" s="683"/>
    </row>
  </sheetData>
  <conditionalFormatting sqref="G2:G24">
    <cfRule type="expression" dxfId="2" priority="1">
      <formula>$C2="컨펌 필요"</formula>
    </cfRule>
  </conditionalFormatting>
  <conditionalFormatting sqref="G2:G24">
    <cfRule type="expression" dxfId="3" priority="2">
      <formula>$C2="발송 예정"</formula>
    </cfRule>
  </conditionalFormatting>
  <conditionalFormatting sqref="G2:G24">
    <cfRule type="expression" dxfId="4" priority="3">
      <formula>$C2="진행 중"</formula>
    </cfRule>
  </conditionalFormatting>
  <conditionalFormatting sqref="G2:G24">
    <cfRule type="expression" dxfId="5" priority="4">
      <formula>$C2="계약 완료"</formula>
    </cfRule>
  </conditionalFormatting>
  <conditionalFormatting sqref="G2:G24">
    <cfRule type="expression" dxfId="6" priority="5">
      <formula>$C2="제외"</formula>
    </cfRule>
  </conditionalFormatting>
  <conditionalFormatting sqref="G2:G24">
    <cfRule type="expression" dxfId="7" priority="6">
      <formula>$C2="보류"</formula>
    </cfRule>
  </conditionalFormatting>
  <conditionalFormatting sqref="G2:G24">
    <cfRule type="expression" dxfId="6" priority="7">
      <formula>$C2="거절"</formula>
    </cfRule>
  </conditionalFormatting>
  <dataValidations>
    <dataValidation type="list" allowBlank="1" showErrorMessage="1" sqref="G2:G24">
      <formula1>"미검토,컨펌 필요,발송 예정,진행 중,계약 완료,제외,보류,거절"</formula1>
    </dataValidation>
  </dataValidations>
  <hyperlinks>
    <hyperlink r:id="rId2" ref="F2"/>
    <hyperlink r:id="rId3" ref="F3"/>
    <hyperlink r:id="rId4" ref="F4"/>
    <hyperlink r:id="rId5" ref="F5"/>
    <hyperlink r:id="rId6" ref="F6"/>
    <hyperlink r:id="rId7" ref="F8"/>
    <hyperlink r:id="rId8" ref="F9"/>
    <hyperlink r:id="rId9" ref="F10"/>
    <hyperlink r:id="rId10" ref="F11"/>
    <hyperlink r:id="rId11" ref="F24"/>
  </hyperlinks>
  <drawing r:id="rId12"/>
  <legacy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712" t="s">
        <v>3621</v>
      </c>
      <c r="B1" s="713"/>
      <c r="C1" s="714"/>
    </row>
    <row r="2">
      <c r="A2" s="712" t="s">
        <v>3622</v>
      </c>
      <c r="B2" s="682" t="s">
        <v>3623</v>
      </c>
      <c r="C2" s="712" t="s">
        <v>3624</v>
      </c>
    </row>
    <row r="3">
      <c r="B3" s="692"/>
    </row>
    <row r="4">
      <c r="B4" s="692"/>
    </row>
    <row r="5">
      <c r="B5" s="692"/>
    </row>
    <row r="6">
      <c r="B6" s="692"/>
    </row>
    <row r="7">
      <c r="B7" s="692"/>
    </row>
    <row r="8">
      <c r="B8" s="692"/>
    </row>
    <row r="9">
      <c r="B9" s="692"/>
    </row>
    <row r="10">
      <c r="B10" s="692"/>
    </row>
    <row r="11">
      <c r="B11" s="692"/>
    </row>
    <row r="12">
      <c r="B12" s="692"/>
    </row>
    <row r="13">
      <c r="B13" s="692"/>
    </row>
    <row r="14">
      <c r="B14" s="692"/>
    </row>
    <row r="15">
      <c r="B15" s="692"/>
    </row>
    <row r="16">
      <c r="B16" s="692"/>
    </row>
    <row r="17">
      <c r="B17" s="692"/>
    </row>
    <row r="18">
      <c r="B18" s="692"/>
    </row>
    <row r="19">
      <c r="B19" s="692"/>
    </row>
    <row r="20">
      <c r="B20" s="692"/>
    </row>
    <row r="21">
      <c r="B21" s="692"/>
    </row>
    <row r="22">
      <c r="B22" s="692"/>
    </row>
    <row r="23">
      <c r="B23" s="692"/>
    </row>
    <row r="24">
      <c r="B24" s="692"/>
    </row>
    <row r="25">
      <c r="B25" s="692"/>
    </row>
    <row r="26">
      <c r="B26" s="692"/>
    </row>
    <row r="27">
      <c r="B27" s="692"/>
    </row>
    <row r="28">
      <c r="B28" s="692"/>
    </row>
    <row r="29">
      <c r="B29" s="692"/>
    </row>
    <row r="30">
      <c r="B30" s="692"/>
    </row>
    <row r="31">
      <c r="B31" s="692"/>
    </row>
    <row r="32">
      <c r="B32" s="692"/>
    </row>
    <row r="33">
      <c r="B33" s="692"/>
    </row>
    <row r="34">
      <c r="B34" s="692"/>
    </row>
    <row r="35">
      <c r="B35" s="692"/>
    </row>
    <row r="36">
      <c r="B36" s="692"/>
    </row>
    <row r="37">
      <c r="B37" s="692"/>
    </row>
    <row r="38">
      <c r="B38" s="692"/>
    </row>
    <row r="39">
      <c r="B39" s="692"/>
    </row>
    <row r="40">
      <c r="B40" s="692"/>
    </row>
    <row r="41">
      <c r="B41" s="692"/>
    </row>
    <row r="42">
      <c r="B42" s="692"/>
    </row>
    <row r="43">
      <c r="B43" s="692"/>
    </row>
    <row r="44">
      <c r="B44" s="692"/>
    </row>
    <row r="45">
      <c r="B45" s="692"/>
    </row>
    <row r="46">
      <c r="B46" s="692"/>
    </row>
    <row r="47">
      <c r="B47" s="692"/>
    </row>
    <row r="48">
      <c r="B48" s="692"/>
    </row>
    <row r="49">
      <c r="B49" s="692"/>
    </row>
    <row r="50">
      <c r="B50" s="692"/>
    </row>
    <row r="51">
      <c r="B51" s="692"/>
    </row>
    <row r="52">
      <c r="B52" s="692"/>
    </row>
    <row r="53">
      <c r="B53" s="692"/>
    </row>
    <row r="54">
      <c r="B54" s="692"/>
    </row>
    <row r="55">
      <c r="B55" s="692"/>
    </row>
    <row r="56">
      <c r="B56" s="692"/>
    </row>
    <row r="57">
      <c r="B57" s="692"/>
    </row>
    <row r="58">
      <c r="B58" s="692"/>
    </row>
    <row r="59">
      <c r="B59" s="692"/>
    </row>
    <row r="60">
      <c r="B60" s="692"/>
    </row>
    <row r="61">
      <c r="B61" s="692"/>
    </row>
    <row r="62">
      <c r="B62" s="692"/>
    </row>
    <row r="63">
      <c r="B63" s="692"/>
    </row>
    <row r="64">
      <c r="B64" s="692"/>
    </row>
    <row r="65">
      <c r="B65" s="692"/>
    </row>
    <row r="66">
      <c r="B66" s="692"/>
    </row>
    <row r="67">
      <c r="B67" s="692"/>
    </row>
    <row r="68">
      <c r="B68" s="692"/>
    </row>
    <row r="69">
      <c r="B69" s="692"/>
    </row>
    <row r="70">
      <c r="B70" s="692"/>
    </row>
    <row r="71">
      <c r="B71" s="692"/>
    </row>
    <row r="72">
      <c r="B72" s="692"/>
    </row>
    <row r="73">
      <c r="B73" s="692"/>
    </row>
    <row r="74">
      <c r="B74" s="692"/>
    </row>
    <row r="75">
      <c r="B75" s="692"/>
    </row>
    <row r="76">
      <c r="B76" s="692"/>
    </row>
    <row r="77">
      <c r="B77" s="692"/>
    </row>
    <row r="78">
      <c r="B78" s="692"/>
    </row>
    <row r="79">
      <c r="B79" s="692"/>
    </row>
    <row r="80">
      <c r="B80" s="692"/>
    </row>
    <row r="81">
      <c r="B81" s="692"/>
    </row>
    <row r="82">
      <c r="B82" s="692"/>
    </row>
    <row r="83">
      <c r="B83" s="692"/>
    </row>
    <row r="84">
      <c r="B84" s="692"/>
    </row>
    <row r="85">
      <c r="B85" s="692"/>
    </row>
    <row r="86">
      <c r="B86" s="692"/>
    </row>
    <row r="87">
      <c r="B87" s="692"/>
    </row>
    <row r="88">
      <c r="B88" s="692"/>
    </row>
    <row r="89">
      <c r="B89" s="692"/>
    </row>
    <row r="90">
      <c r="B90" s="692"/>
    </row>
    <row r="91">
      <c r="B91" s="692"/>
    </row>
    <row r="92">
      <c r="B92" s="692"/>
    </row>
    <row r="93">
      <c r="B93" s="692"/>
    </row>
    <row r="94">
      <c r="B94" s="692"/>
    </row>
    <row r="95">
      <c r="B95" s="692"/>
    </row>
    <row r="96">
      <c r="B96" s="692"/>
    </row>
    <row r="97">
      <c r="B97" s="692"/>
    </row>
    <row r="98">
      <c r="B98" s="692"/>
    </row>
    <row r="99">
      <c r="B99" s="692"/>
    </row>
    <row r="100">
      <c r="B100" s="69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213E"/>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
  </cols>
  <sheetData>
    <row r="1" ht="27.0" customHeight="1">
      <c r="C1" s="715" t="s">
        <v>3625</v>
      </c>
      <c r="I1" s="716" t="s">
        <v>3626</v>
      </c>
    </row>
    <row r="2" ht="21.0" customHeight="1"/>
    <row r="4" ht="18.0" customHeight="1">
      <c r="C4" s="717" t="s">
        <v>3627</v>
      </c>
      <c r="D4" s="718"/>
      <c r="E4" s="718"/>
      <c r="F4" s="718"/>
      <c r="G4" s="719"/>
      <c r="I4" s="717" t="s">
        <v>3628</v>
      </c>
      <c r="J4" s="718"/>
      <c r="K4" s="718"/>
      <c r="L4" s="718"/>
      <c r="M4" s="719"/>
    </row>
    <row r="5" ht="16.5" customHeight="1">
      <c r="C5" s="720"/>
      <c r="G5" s="721"/>
      <c r="I5" s="720"/>
      <c r="M5" s="721"/>
    </row>
    <row r="6" ht="16.5" customHeight="1">
      <c r="C6" s="720"/>
      <c r="G6" s="721"/>
      <c r="I6" s="720"/>
      <c r="M6" s="721"/>
    </row>
    <row r="7" ht="16.5" customHeight="1">
      <c r="C7" s="720"/>
      <c r="G7" s="721"/>
      <c r="I7" s="720"/>
      <c r="M7" s="721"/>
    </row>
    <row r="8" ht="16.5" customHeight="1">
      <c r="C8" s="720"/>
      <c r="G8" s="721"/>
      <c r="I8" s="720"/>
      <c r="M8" s="721"/>
    </row>
    <row r="9">
      <c r="C9" s="720"/>
      <c r="G9" s="721"/>
      <c r="I9" s="720"/>
      <c r="M9" s="721"/>
    </row>
    <row r="10" ht="18.0" customHeight="1">
      <c r="C10" s="720"/>
      <c r="G10" s="721"/>
      <c r="I10" s="720"/>
      <c r="M10" s="721"/>
    </row>
    <row r="11" ht="16.5" customHeight="1">
      <c r="C11" s="720"/>
      <c r="G11" s="721"/>
      <c r="I11" s="720"/>
      <c r="M11" s="721"/>
    </row>
    <row r="12" ht="16.5" customHeight="1">
      <c r="C12" s="720"/>
      <c r="G12" s="721"/>
      <c r="I12" s="720"/>
      <c r="M12" s="721"/>
    </row>
    <row r="13" ht="16.5" customHeight="1">
      <c r="C13" s="720"/>
      <c r="G13" s="721"/>
      <c r="I13" s="720"/>
      <c r="M13" s="721"/>
    </row>
    <row r="14" ht="16.5" customHeight="1">
      <c r="C14" s="720"/>
      <c r="G14" s="721"/>
      <c r="I14" s="720"/>
      <c r="M14" s="721"/>
    </row>
    <row r="15" ht="16.5" customHeight="1">
      <c r="C15" s="720"/>
      <c r="G15" s="721"/>
      <c r="I15" s="720"/>
      <c r="M15" s="721"/>
    </row>
    <row r="16">
      <c r="C16" s="720"/>
      <c r="G16" s="721"/>
      <c r="I16" s="720"/>
      <c r="M16" s="721"/>
    </row>
    <row r="17" ht="18.0" customHeight="1">
      <c r="C17" s="720"/>
      <c r="G17" s="721"/>
      <c r="I17" s="720"/>
      <c r="M17" s="721"/>
    </row>
    <row r="18" ht="16.5" customHeight="1">
      <c r="C18" s="720"/>
      <c r="G18" s="721"/>
      <c r="I18" s="720"/>
      <c r="M18" s="721"/>
    </row>
    <row r="19" ht="52.5" customHeight="1">
      <c r="C19" s="720"/>
      <c r="G19" s="721"/>
      <c r="I19" s="720"/>
      <c r="M19" s="721"/>
    </row>
    <row r="20" ht="21.0" customHeight="1">
      <c r="C20" s="720"/>
      <c r="G20" s="721"/>
      <c r="I20" s="720"/>
      <c r="M20" s="721"/>
    </row>
    <row r="21" ht="120.0" customHeight="1">
      <c r="C21" s="722"/>
      <c r="D21" s="723"/>
      <c r="E21" s="723"/>
      <c r="F21" s="723"/>
      <c r="G21" s="724"/>
      <c r="I21" s="722"/>
      <c r="J21" s="723"/>
      <c r="K21" s="723"/>
      <c r="L21" s="723"/>
      <c r="M21" s="724"/>
    </row>
    <row r="23" ht="16.5" customHeight="1"/>
    <row r="24" ht="52.5" customHeight="1"/>
    <row r="25" ht="21.0" customHeight="1"/>
    <row r="26" ht="120.0" customHeight="1"/>
    <row r="28" ht="16.5" customHeight="1"/>
    <row r="29" ht="52.5" customHeight="1"/>
    <row r="30" ht="21.0" customHeight="1"/>
    <row r="31" ht="120.0" customHeight="1"/>
    <row r="33" ht="18.0" customHeight="1"/>
    <row r="34" ht="16.5" customHeight="1"/>
    <row r="35" ht="16.5" customHeight="1"/>
    <row r="36" ht="16.5" customHeight="1"/>
  </sheetData>
  <mergeCells count="4">
    <mergeCell ref="C1:G2"/>
    <mergeCell ref="I1:M2"/>
    <mergeCell ref="C4:G21"/>
    <mergeCell ref="I4:M21"/>
  </mergeCells>
  <hyperlinks>
    <hyperlink r:id="rId1" ref="C4"/>
    <hyperlink r:id="rId2" ref="I4"/>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213E"/>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
  </cols>
  <sheetData>
    <row r="1" ht="27.0" customHeight="1">
      <c r="C1" s="716" t="s">
        <v>111</v>
      </c>
      <c r="J1" s="715" t="s">
        <v>3629</v>
      </c>
    </row>
    <row r="2" ht="21.0" customHeight="1"/>
    <row r="4" ht="18.0" customHeight="1">
      <c r="C4" s="725" t="s">
        <v>3630</v>
      </c>
      <c r="D4" s="718"/>
      <c r="E4" s="718"/>
      <c r="F4" s="718"/>
      <c r="G4" s="719"/>
      <c r="J4" s="725" t="s">
        <v>3631</v>
      </c>
      <c r="K4" s="718"/>
      <c r="L4" s="718"/>
      <c r="M4" s="718"/>
      <c r="N4" s="719"/>
    </row>
    <row r="5" ht="16.5" customHeight="1">
      <c r="C5" s="720"/>
      <c r="G5" s="721"/>
      <c r="J5" s="720"/>
      <c r="N5" s="721"/>
    </row>
    <row r="6" ht="16.5" customHeight="1">
      <c r="C6" s="720"/>
      <c r="G6" s="721"/>
      <c r="J6" s="720"/>
      <c r="N6" s="721"/>
    </row>
    <row r="7" ht="16.5" customHeight="1">
      <c r="C7" s="720"/>
      <c r="G7" s="721"/>
      <c r="J7" s="720"/>
      <c r="N7" s="721"/>
    </row>
    <row r="8" ht="16.5" customHeight="1">
      <c r="C8" s="720"/>
      <c r="G8" s="721"/>
      <c r="J8" s="720"/>
      <c r="N8" s="721"/>
    </row>
    <row r="9">
      <c r="C9" s="720"/>
      <c r="G9" s="721"/>
      <c r="J9" s="720"/>
      <c r="N9" s="721"/>
    </row>
    <row r="10" ht="18.0" customHeight="1">
      <c r="C10" s="720"/>
      <c r="G10" s="721"/>
      <c r="J10" s="720"/>
      <c r="N10" s="721"/>
    </row>
    <row r="11" ht="16.5" customHeight="1">
      <c r="C11" s="720"/>
      <c r="G11" s="721"/>
      <c r="J11" s="720"/>
      <c r="N11" s="721"/>
    </row>
    <row r="12" ht="16.5" customHeight="1">
      <c r="C12" s="720"/>
      <c r="G12" s="721"/>
      <c r="J12" s="720"/>
      <c r="N12" s="721"/>
    </row>
    <row r="13" ht="16.5" customHeight="1">
      <c r="C13" s="720"/>
      <c r="G13" s="721"/>
      <c r="J13" s="720"/>
      <c r="N13" s="721"/>
    </row>
    <row r="14" ht="16.5" customHeight="1">
      <c r="C14" s="720"/>
      <c r="G14" s="721"/>
      <c r="J14" s="720"/>
      <c r="N14" s="721"/>
    </row>
    <row r="15" ht="16.5" customHeight="1">
      <c r="C15" s="720"/>
      <c r="G15" s="721"/>
      <c r="J15" s="720"/>
      <c r="N15" s="721"/>
    </row>
    <row r="16">
      <c r="C16" s="720"/>
      <c r="G16" s="721"/>
      <c r="J16" s="720"/>
      <c r="N16" s="721"/>
    </row>
    <row r="17" ht="18.0" customHeight="1">
      <c r="C17" s="720"/>
      <c r="G17" s="721"/>
      <c r="J17" s="720"/>
      <c r="N17" s="721"/>
    </row>
    <row r="18" ht="16.5" customHeight="1">
      <c r="C18" s="720"/>
      <c r="G18" s="721"/>
      <c r="J18" s="720"/>
      <c r="N18" s="721"/>
    </row>
    <row r="19" ht="52.5" customHeight="1">
      <c r="C19" s="720"/>
      <c r="G19" s="721"/>
      <c r="J19" s="720"/>
      <c r="N19" s="721"/>
    </row>
    <row r="20" ht="21.0" customHeight="1">
      <c r="C20" s="720"/>
      <c r="G20" s="721"/>
      <c r="J20" s="720"/>
      <c r="N20" s="721"/>
    </row>
    <row r="21" ht="120.0" customHeight="1">
      <c r="C21" s="720"/>
      <c r="G21" s="721"/>
      <c r="J21" s="720"/>
      <c r="N21" s="721"/>
    </row>
    <row r="22">
      <c r="C22" s="720"/>
      <c r="G22" s="721"/>
      <c r="J22" s="720"/>
      <c r="N22" s="721"/>
    </row>
    <row r="23" ht="16.5" customHeight="1">
      <c r="C23" s="720"/>
      <c r="G23" s="721"/>
      <c r="J23" s="720"/>
      <c r="N23" s="721"/>
    </row>
    <row r="24" ht="52.5" customHeight="1">
      <c r="C24" s="720"/>
      <c r="G24" s="721"/>
      <c r="J24" s="720"/>
      <c r="N24" s="721"/>
    </row>
    <row r="25" ht="21.0" customHeight="1">
      <c r="C25" s="720"/>
      <c r="G25" s="721"/>
      <c r="J25" s="720"/>
      <c r="N25" s="721"/>
    </row>
    <row r="26" ht="120.0" customHeight="1">
      <c r="C26" s="720"/>
      <c r="G26" s="721"/>
      <c r="J26" s="720"/>
      <c r="N26" s="721"/>
    </row>
    <row r="27">
      <c r="C27" s="720"/>
      <c r="G27" s="721"/>
      <c r="J27" s="720"/>
      <c r="N27" s="721"/>
    </row>
    <row r="28" ht="16.5" customHeight="1">
      <c r="C28" s="720"/>
      <c r="G28" s="721"/>
      <c r="J28" s="720"/>
      <c r="N28" s="721"/>
    </row>
    <row r="29" ht="52.5" customHeight="1">
      <c r="C29" s="720"/>
      <c r="G29" s="721"/>
      <c r="J29" s="720"/>
      <c r="N29" s="721"/>
    </row>
    <row r="30" ht="21.0" customHeight="1">
      <c r="C30" s="722"/>
      <c r="D30" s="723"/>
      <c r="E30" s="723"/>
      <c r="F30" s="723"/>
      <c r="G30" s="724"/>
      <c r="J30" s="722"/>
      <c r="K30" s="723"/>
      <c r="L30" s="723"/>
      <c r="M30" s="723"/>
      <c r="N30" s="724"/>
    </row>
    <row r="31" ht="120.0" customHeight="1"/>
    <row r="33" ht="18.0" customHeight="1"/>
    <row r="34" ht="16.5" customHeight="1"/>
    <row r="35" ht="16.5" customHeight="1"/>
    <row r="36" ht="16.5" customHeight="1"/>
  </sheetData>
  <mergeCells count="4">
    <mergeCell ref="C1:G2"/>
    <mergeCell ref="J1:N2"/>
    <mergeCell ref="C4:G30"/>
    <mergeCell ref="J4:N30"/>
  </mergeCells>
  <hyperlinks>
    <hyperlink r:id="rId1" ref="C4"/>
    <hyperlink r:id="rId2" ref="J4"/>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213E"/>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
  </cols>
  <sheetData>
    <row r="1" ht="27.0" customHeight="1">
      <c r="D1" s="726" t="s">
        <v>111</v>
      </c>
      <c r="E1" s="718"/>
      <c r="F1" s="718"/>
      <c r="G1" s="718"/>
      <c r="H1" s="719"/>
    </row>
    <row r="2" ht="21.0" customHeight="1">
      <c r="D2" s="722"/>
      <c r="E2" s="723"/>
      <c r="F2" s="723"/>
      <c r="G2" s="723"/>
      <c r="H2" s="724"/>
    </row>
    <row r="4" ht="18.0" customHeight="1">
      <c r="D4" s="725" t="s">
        <v>3632</v>
      </c>
      <c r="E4" s="718"/>
      <c r="F4" s="718"/>
      <c r="G4" s="718"/>
      <c r="H4" s="719"/>
    </row>
    <row r="5" ht="16.5" customHeight="1">
      <c r="D5" s="720"/>
      <c r="H5" s="721"/>
    </row>
    <row r="6" ht="16.5" customHeight="1">
      <c r="D6" s="720"/>
      <c r="H6" s="721"/>
    </row>
    <row r="7" ht="16.5" customHeight="1">
      <c r="D7" s="720"/>
      <c r="H7" s="721"/>
    </row>
    <row r="8" ht="16.5" customHeight="1">
      <c r="D8" s="720"/>
      <c r="H8" s="721"/>
    </row>
    <row r="9">
      <c r="D9" s="720"/>
      <c r="H9" s="721"/>
    </row>
    <row r="10" ht="18.0" customHeight="1">
      <c r="D10" s="720"/>
      <c r="H10" s="721"/>
    </row>
    <row r="11" ht="16.5" customHeight="1">
      <c r="D11" s="720"/>
      <c r="H11" s="721"/>
    </row>
    <row r="12" ht="16.5" customHeight="1">
      <c r="D12" s="720"/>
      <c r="H12" s="721"/>
    </row>
    <row r="13" ht="16.5" customHeight="1">
      <c r="D13" s="720"/>
      <c r="H13" s="721"/>
    </row>
    <row r="14" ht="16.5" customHeight="1">
      <c r="D14" s="720"/>
      <c r="H14" s="721"/>
    </row>
    <row r="15" ht="16.5" customHeight="1">
      <c r="D15" s="720"/>
      <c r="H15" s="721"/>
    </row>
    <row r="16">
      <c r="D16" s="720"/>
      <c r="H16" s="721"/>
    </row>
    <row r="17" ht="18.0" customHeight="1">
      <c r="D17" s="720"/>
      <c r="H17" s="721"/>
    </row>
    <row r="18" ht="16.5" customHeight="1">
      <c r="D18" s="720"/>
      <c r="H18" s="721"/>
    </row>
    <row r="19" ht="52.5" customHeight="1">
      <c r="D19" s="720"/>
      <c r="H19" s="721"/>
    </row>
    <row r="20" ht="21.0" customHeight="1">
      <c r="D20" s="720"/>
      <c r="H20" s="721"/>
    </row>
    <row r="21" ht="120.0" customHeight="1">
      <c r="D21" s="722"/>
      <c r="E21" s="723"/>
      <c r="F21" s="723"/>
      <c r="G21" s="723"/>
      <c r="H21" s="724"/>
    </row>
    <row r="23" ht="16.5" customHeight="1"/>
    <row r="24" ht="52.5" customHeight="1"/>
    <row r="25" ht="21.0" customHeight="1"/>
    <row r="26" ht="120.0" customHeight="1"/>
    <row r="28" ht="16.5" customHeight="1"/>
    <row r="29" ht="52.5" customHeight="1"/>
    <row r="30" ht="21.0" customHeight="1"/>
    <row r="31" ht="120.0" customHeight="1"/>
    <row r="33" ht="18.0" customHeight="1"/>
    <row r="34" ht="16.5" customHeight="1"/>
    <row r="35" ht="16.5" customHeight="1"/>
    <row r="36" ht="16.5" customHeight="1"/>
  </sheetData>
  <mergeCells count="3">
    <mergeCell ref="D1:H2"/>
    <mergeCell ref="D4:H21"/>
    <mergeCell ref="J14:Q14"/>
  </mergeCells>
  <hyperlinks>
    <hyperlink r:id="rId1" ref="D4"/>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3">
      <c r="B3" s="727" t="s">
        <v>3633</v>
      </c>
      <c r="C3" s="718"/>
      <c r="D3" s="718"/>
      <c r="E3" s="718"/>
      <c r="F3" s="719"/>
      <c r="H3" s="726" t="s">
        <v>3634</v>
      </c>
      <c r="I3" s="718"/>
      <c r="J3" s="718"/>
      <c r="K3" s="718"/>
      <c r="L3" s="719"/>
    </row>
    <row r="4">
      <c r="B4" s="722"/>
      <c r="C4" s="723"/>
      <c r="D4" s="723"/>
      <c r="E4" s="723"/>
      <c r="F4" s="724"/>
      <c r="H4" s="722"/>
      <c r="I4" s="723"/>
      <c r="J4" s="723"/>
      <c r="K4" s="723"/>
      <c r="L4" s="724"/>
    </row>
    <row r="5">
      <c r="B5" s="728" t="s">
        <v>3635</v>
      </c>
      <c r="H5" s="728" t="s">
        <v>3636</v>
      </c>
    </row>
    <row r="7">
      <c r="M7" s="729" t="s">
        <v>3637</v>
      </c>
    </row>
    <row r="8">
      <c r="M8" s="681" t="s">
        <v>3638</v>
      </c>
    </row>
  </sheetData>
  <mergeCells count="4">
    <mergeCell ref="B3:F4"/>
    <mergeCell ref="H3:L4"/>
    <mergeCell ref="B5:F32"/>
    <mergeCell ref="H5:L3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262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27.63"/>
    <col customWidth="1" min="5" max="5" width="19.5"/>
    <col customWidth="1" min="6" max="6" width="54.38"/>
  </cols>
  <sheetData>
    <row r="1" ht="27.0" customHeight="1">
      <c r="A1" s="730" t="s">
        <v>3639</v>
      </c>
    </row>
    <row r="2" ht="27.0" customHeight="1">
      <c r="A2" s="731" t="s">
        <v>3640</v>
      </c>
    </row>
    <row r="4" ht="18.0" customHeight="1">
      <c r="A4" s="732" t="s">
        <v>3641</v>
      </c>
    </row>
    <row r="5" ht="15.0" customHeight="1">
      <c r="A5" s="733" t="s">
        <v>3642</v>
      </c>
    </row>
    <row r="6" ht="15.0" customHeight="1">
      <c r="A6" s="733" t="s">
        <v>534</v>
      </c>
    </row>
    <row r="7" ht="15.0" customHeight="1">
      <c r="A7" s="733" t="s">
        <v>3643</v>
      </c>
    </row>
    <row r="8" ht="15.0" customHeight="1">
      <c r="A8" s="733" t="s">
        <v>3644</v>
      </c>
    </row>
    <row r="9" ht="15.0" customHeight="1">
      <c r="A9" s="733" t="s">
        <v>335</v>
      </c>
    </row>
    <row r="10" ht="15.0" customHeight="1">
      <c r="A10" s="734"/>
    </row>
    <row r="11" ht="15.0" customHeight="1">
      <c r="A11" s="734"/>
    </row>
    <row r="12" ht="15.0" customHeight="1">
      <c r="A12" s="734"/>
    </row>
    <row r="13" ht="15.0" customHeight="1">
      <c r="A13" s="734"/>
    </row>
    <row r="14" ht="15.0" customHeight="1">
      <c r="A14" s="734"/>
    </row>
    <row r="17" ht="18.0" customHeight="1">
      <c r="A17" s="19" t="s">
        <v>3645</v>
      </c>
      <c r="B17" s="19" t="s">
        <v>3646</v>
      </c>
      <c r="C17" s="19" t="s">
        <v>3647</v>
      </c>
      <c r="E17" s="19" t="s">
        <v>3648</v>
      </c>
      <c r="F17" s="19" t="s">
        <v>3649</v>
      </c>
    </row>
    <row r="18">
      <c r="A18" s="735" t="s">
        <v>532</v>
      </c>
      <c r="B18" s="735" t="s">
        <v>534</v>
      </c>
      <c r="C18" s="735" t="s">
        <v>3650</v>
      </c>
      <c r="E18" s="736" t="s">
        <v>3651</v>
      </c>
      <c r="F18" s="736" t="s">
        <v>3652</v>
      </c>
    </row>
    <row r="19">
      <c r="A19" s="735" t="s">
        <v>3653</v>
      </c>
      <c r="B19" s="735" t="s">
        <v>3642</v>
      </c>
      <c r="C19" s="735" t="s">
        <v>3650</v>
      </c>
      <c r="E19" s="736" t="s">
        <v>3654</v>
      </c>
      <c r="F19" s="736" t="s">
        <v>3655</v>
      </c>
    </row>
    <row r="20">
      <c r="A20" s="735" t="s">
        <v>184</v>
      </c>
      <c r="B20" s="735" t="s">
        <v>3656</v>
      </c>
      <c r="C20" s="735" t="s">
        <v>3650</v>
      </c>
      <c r="E20" s="736" t="s">
        <v>3657</v>
      </c>
      <c r="F20" s="736" t="s">
        <v>3658</v>
      </c>
    </row>
    <row r="21">
      <c r="A21" s="735" t="s">
        <v>3659</v>
      </c>
      <c r="B21" s="735" t="s">
        <v>3643</v>
      </c>
      <c r="C21" s="735" t="s">
        <v>3650</v>
      </c>
      <c r="E21" s="736" t="s">
        <v>3660</v>
      </c>
      <c r="F21" s="736" t="s">
        <v>3661</v>
      </c>
    </row>
    <row r="22">
      <c r="A22" s="735" t="s">
        <v>333</v>
      </c>
      <c r="B22" s="735" t="s">
        <v>335</v>
      </c>
      <c r="C22" s="735" t="s">
        <v>3650</v>
      </c>
      <c r="E22" s="736" t="s">
        <v>3662</v>
      </c>
      <c r="F22" s="736" t="s">
        <v>3663</v>
      </c>
    </row>
    <row r="23">
      <c r="A23" s="735" t="s">
        <v>3664</v>
      </c>
      <c r="B23" s="735" t="s">
        <v>3643</v>
      </c>
      <c r="C23" s="735" t="s">
        <v>3650</v>
      </c>
      <c r="E23" s="736" t="s">
        <v>3665</v>
      </c>
      <c r="F23" s="736" t="s">
        <v>3666</v>
      </c>
    </row>
    <row r="24">
      <c r="A24" s="735" t="s">
        <v>3667</v>
      </c>
      <c r="B24" s="735" t="s">
        <v>335</v>
      </c>
      <c r="C24" s="735" t="s">
        <v>3650</v>
      </c>
      <c r="E24" s="736" t="s">
        <v>3668</v>
      </c>
      <c r="F24" s="736" t="s">
        <v>3669</v>
      </c>
    </row>
    <row r="25">
      <c r="A25" s="735" t="s">
        <v>3670</v>
      </c>
      <c r="B25" s="735" t="s">
        <v>3643</v>
      </c>
      <c r="C25" s="735" t="s">
        <v>3650</v>
      </c>
      <c r="E25" s="736" t="s">
        <v>3671</v>
      </c>
      <c r="F25" s="736" t="s">
        <v>3672</v>
      </c>
    </row>
    <row r="26">
      <c r="A26" s="735" t="s">
        <v>485</v>
      </c>
      <c r="B26" s="735" t="s">
        <v>3642</v>
      </c>
      <c r="C26" s="735" t="s">
        <v>3650</v>
      </c>
      <c r="E26" s="736" t="s">
        <v>3673</v>
      </c>
      <c r="F26" s="736" t="s">
        <v>3674</v>
      </c>
    </row>
    <row r="27">
      <c r="A27" s="735" t="s">
        <v>3675</v>
      </c>
      <c r="B27" s="735" t="s">
        <v>335</v>
      </c>
      <c r="C27" s="735" t="s">
        <v>3650</v>
      </c>
      <c r="E27" s="736" t="s">
        <v>3676</v>
      </c>
      <c r="F27" s="736" t="s">
        <v>3677</v>
      </c>
    </row>
    <row r="28">
      <c r="A28" s="735" t="s">
        <v>3678</v>
      </c>
      <c r="B28" s="735" t="s">
        <v>335</v>
      </c>
      <c r="C28" s="735" t="s">
        <v>3650</v>
      </c>
      <c r="E28" s="736" t="s">
        <v>3679</v>
      </c>
      <c r="F28" s="736" t="s">
        <v>3680</v>
      </c>
    </row>
    <row r="29">
      <c r="A29" s="735" t="s">
        <v>3681</v>
      </c>
      <c r="B29" s="735" t="s">
        <v>534</v>
      </c>
      <c r="C29" s="735" t="s">
        <v>3650</v>
      </c>
      <c r="E29" s="736" t="s">
        <v>3682</v>
      </c>
      <c r="F29" s="736" t="s">
        <v>3683</v>
      </c>
    </row>
    <row r="30">
      <c r="A30" s="735" t="s">
        <v>3684</v>
      </c>
      <c r="B30" s="735" t="s">
        <v>3644</v>
      </c>
      <c r="C30" s="735" t="s">
        <v>3650</v>
      </c>
      <c r="E30" s="736" t="s">
        <v>3685</v>
      </c>
      <c r="F30" s="736" t="s">
        <v>3686</v>
      </c>
    </row>
    <row r="31">
      <c r="A31" s="735" t="s">
        <v>3687</v>
      </c>
      <c r="B31" s="735" t="s">
        <v>3644</v>
      </c>
      <c r="C31" s="735" t="s">
        <v>3650</v>
      </c>
      <c r="E31" s="736" t="s">
        <v>3688</v>
      </c>
      <c r="F31" s="736" t="s">
        <v>3689</v>
      </c>
    </row>
    <row r="32">
      <c r="A32" s="735" t="s">
        <v>3690</v>
      </c>
      <c r="B32" s="735" t="s">
        <v>335</v>
      </c>
      <c r="C32" s="735" t="s">
        <v>3650</v>
      </c>
      <c r="E32" s="736" t="s">
        <v>3691</v>
      </c>
      <c r="F32" s="736" t="s">
        <v>3692</v>
      </c>
    </row>
    <row r="33">
      <c r="A33" s="737" t="s">
        <v>184</v>
      </c>
      <c r="B33" s="737" t="s">
        <v>534</v>
      </c>
      <c r="C33" s="734"/>
      <c r="E33" s="736" t="s">
        <v>3693</v>
      </c>
      <c r="F33" s="736" t="s">
        <v>3694</v>
      </c>
    </row>
    <row r="34">
      <c r="A34" s="737" t="s">
        <v>3695</v>
      </c>
      <c r="B34" s="737" t="s">
        <v>3642</v>
      </c>
      <c r="C34" s="734"/>
      <c r="E34" s="738" t="s">
        <v>3696</v>
      </c>
      <c r="F34" s="736" t="s">
        <v>3697</v>
      </c>
    </row>
    <row r="35">
      <c r="A35" s="737" t="s">
        <v>3684</v>
      </c>
      <c r="B35" s="737" t="s">
        <v>3644</v>
      </c>
      <c r="C35" s="734"/>
      <c r="E35" s="736" t="s">
        <v>3698</v>
      </c>
      <c r="F35" s="736" t="s">
        <v>3699</v>
      </c>
    </row>
    <row r="36">
      <c r="A36" s="737" t="s">
        <v>3700</v>
      </c>
      <c r="B36" s="737" t="s">
        <v>534</v>
      </c>
      <c r="C36" s="734"/>
      <c r="E36" s="736" t="s">
        <v>3701</v>
      </c>
      <c r="F36" s="736" t="s">
        <v>3702</v>
      </c>
    </row>
    <row r="37">
      <c r="A37" s="737" t="s">
        <v>3703</v>
      </c>
      <c r="B37" s="737" t="s">
        <v>335</v>
      </c>
      <c r="C37" s="734"/>
      <c r="E37" s="736" t="s">
        <v>3704</v>
      </c>
      <c r="F37" s="736" t="s">
        <v>3705</v>
      </c>
    </row>
    <row r="38">
      <c r="A38" s="737" t="s">
        <v>743</v>
      </c>
      <c r="B38" s="737" t="s">
        <v>2587</v>
      </c>
      <c r="C38" s="734"/>
      <c r="E38" s="736" t="s">
        <v>3706</v>
      </c>
      <c r="F38" s="736" t="s">
        <v>3707</v>
      </c>
    </row>
    <row r="39">
      <c r="A39" s="737" t="s">
        <v>3708</v>
      </c>
      <c r="B39" s="737" t="s">
        <v>3642</v>
      </c>
      <c r="C39" s="734"/>
      <c r="E39" s="736" t="s">
        <v>3709</v>
      </c>
      <c r="F39" s="736" t="s">
        <v>3710</v>
      </c>
    </row>
    <row r="40">
      <c r="A40" s="737" t="s">
        <v>3711</v>
      </c>
      <c r="B40" s="737" t="s">
        <v>3712</v>
      </c>
      <c r="C40" s="734"/>
      <c r="E40" s="738" t="s">
        <v>3713</v>
      </c>
      <c r="F40" s="736" t="s">
        <v>3714</v>
      </c>
    </row>
    <row r="41">
      <c r="A41" s="737" t="s">
        <v>3715</v>
      </c>
      <c r="B41" s="737" t="s">
        <v>3643</v>
      </c>
      <c r="C41" s="734"/>
      <c r="E41" s="736" t="s">
        <v>3716</v>
      </c>
      <c r="F41" s="736" t="s">
        <v>3717</v>
      </c>
    </row>
    <row r="42">
      <c r="A42" s="737" t="s">
        <v>3718</v>
      </c>
      <c r="B42" s="737" t="s">
        <v>3642</v>
      </c>
      <c r="C42" s="734"/>
      <c r="E42" s="736" t="s">
        <v>3719</v>
      </c>
      <c r="F42" s="736" t="s">
        <v>3720</v>
      </c>
    </row>
    <row r="43">
      <c r="A43" s="737" t="s">
        <v>3721</v>
      </c>
      <c r="B43" s="737" t="s">
        <v>3644</v>
      </c>
      <c r="C43" s="734"/>
      <c r="E43" s="736" t="s">
        <v>3722</v>
      </c>
      <c r="F43" s="736" t="s">
        <v>3723</v>
      </c>
    </row>
    <row r="44">
      <c r="A44" s="737" t="s">
        <v>3724</v>
      </c>
      <c r="B44" s="737" t="s">
        <v>3644</v>
      </c>
      <c r="C44" s="734"/>
      <c r="E44" s="736" t="s">
        <v>3725</v>
      </c>
      <c r="F44" s="736" t="s">
        <v>3726</v>
      </c>
    </row>
    <row r="45">
      <c r="A45" s="737" t="s">
        <v>3681</v>
      </c>
      <c r="B45" s="737" t="s">
        <v>534</v>
      </c>
      <c r="C45" s="734"/>
      <c r="E45" s="736" t="s">
        <v>3727</v>
      </c>
      <c r="F45" s="736" t="s">
        <v>3728</v>
      </c>
    </row>
    <row r="46">
      <c r="A46" s="737" t="s">
        <v>3729</v>
      </c>
      <c r="B46" s="737" t="s">
        <v>335</v>
      </c>
      <c r="C46" s="734"/>
      <c r="E46" s="736" t="s">
        <v>3730</v>
      </c>
      <c r="F46" s="736" t="s">
        <v>2425</v>
      </c>
    </row>
    <row r="47">
      <c r="A47" s="737" t="s">
        <v>3731</v>
      </c>
      <c r="B47" s="737" t="s">
        <v>2587</v>
      </c>
      <c r="C47" s="734"/>
      <c r="E47" s="736" t="s">
        <v>3732</v>
      </c>
      <c r="F47" s="736" t="s">
        <v>3733</v>
      </c>
    </row>
    <row r="48">
      <c r="A48" s="737" t="s">
        <v>3734</v>
      </c>
      <c r="B48" s="737" t="s">
        <v>3642</v>
      </c>
      <c r="C48" s="734"/>
      <c r="E48" s="736" t="s">
        <v>3735</v>
      </c>
      <c r="F48" s="736" t="s">
        <v>3736</v>
      </c>
    </row>
    <row r="49">
      <c r="A49" s="737" t="s">
        <v>3737</v>
      </c>
      <c r="B49" s="737" t="s">
        <v>3643</v>
      </c>
      <c r="C49" s="734"/>
      <c r="E49" s="736" t="s">
        <v>3738</v>
      </c>
      <c r="F49" s="736" t="s">
        <v>3739</v>
      </c>
    </row>
    <row r="50">
      <c r="A50" s="737" t="s">
        <v>3740</v>
      </c>
      <c r="B50" s="737" t="s">
        <v>534</v>
      </c>
      <c r="C50" s="734"/>
      <c r="E50" s="736" t="s">
        <v>3741</v>
      </c>
      <c r="F50" s="736" t="s">
        <v>3742</v>
      </c>
    </row>
    <row r="51">
      <c r="A51" s="737" t="s">
        <v>3743</v>
      </c>
      <c r="B51" s="737" t="s">
        <v>335</v>
      </c>
      <c r="C51" s="734"/>
      <c r="E51" s="736" t="s">
        <v>3744</v>
      </c>
      <c r="F51" s="736" t="s">
        <v>3745</v>
      </c>
    </row>
    <row r="52">
      <c r="A52" s="737" t="s">
        <v>3746</v>
      </c>
      <c r="B52" s="737" t="s">
        <v>534</v>
      </c>
      <c r="C52" s="734"/>
      <c r="E52" s="736" t="s">
        <v>3747</v>
      </c>
      <c r="F52" s="736" t="s">
        <v>1955</v>
      </c>
    </row>
    <row r="53">
      <c r="A53" s="737" t="s">
        <v>3748</v>
      </c>
      <c r="B53" s="737" t="s">
        <v>534</v>
      </c>
      <c r="C53" s="734"/>
      <c r="E53" s="736" t="s">
        <v>3749</v>
      </c>
      <c r="F53" s="736" t="s">
        <v>3750</v>
      </c>
    </row>
    <row r="54">
      <c r="A54" s="737" t="s">
        <v>3751</v>
      </c>
      <c r="B54" s="737" t="s">
        <v>3643</v>
      </c>
      <c r="C54" s="734"/>
      <c r="E54" s="736" t="s">
        <v>3752</v>
      </c>
      <c r="F54" s="736" t="s">
        <v>3753</v>
      </c>
    </row>
    <row r="55">
      <c r="A55" s="737" t="s">
        <v>3754</v>
      </c>
      <c r="B55" s="737" t="s">
        <v>534</v>
      </c>
      <c r="C55" s="734"/>
      <c r="E55" s="736" t="s">
        <v>3755</v>
      </c>
      <c r="F55" s="736" t="s">
        <v>3756</v>
      </c>
    </row>
    <row r="56">
      <c r="A56" s="737" t="s">
        <v>3757</v>
      </c>
      <c r="B56" s="737" t="s">
        <v>534</v>
      </c>
      <c r="C56" s="734"/>
      <c r="E56" s="736" t="s">
        <v>3758</v>
      </c>
      <c r="F56" s="736" t="s">
        <v>3759</v>
      </c>
    </row>
    <row r="57">
      <c r="A57" s="737" t="s">
        <v>242</v>
      </c>
      <c r="B57" s="737" t="s">
        <v>534</v>
      </c>
      <c r="C57" s="734"/>
      <c r="E57" s="736" t="s">
        <v>3760</v>
      </c>
      <c r="F57" s="736" t="s">
        <v>3761</v>
      </c>
    </row>
    <row r="58">
      <c r="A58" s="737" t="s">
        <v>3762</v>
      </c>
      <c r="B58" s="737" t="s">
        <v>3642</v>
      </c>
      <c r="C58" s="734"/>
      <c r="E58" s="736" t="s">
        <v>3763</v>
      </c>
      <c r="F58" s="736" t="s">
        <v>3764</v>
      </c>
    </row>
    <row r="59">
      <c r="A59" s="737" t="s">
        <v>3667</v>
      </c>
      <c r="B59" s="737" t="s">
        <v>335</v>
      </c>
      <c r="C59" s="734"/>
      <c r="E59" s="736" t="s">
        <v>3765</v>
      </c>
      <c r="F59" s="736" t="s">
        <v>3766</v>
      </c>
    </row>
    <row r="60">
      <c r="A60" s="737" t="s">
        <v>3767</v>
      </c>
      <c r="B60" s="737" t="s">
        <v>462</v>
      </c>
      <c r="C60" s="734"/>
      <c r="E60" s="736" t="s">
        <v>3768</v>
      </c>
      <c r="F60" s="736" t="s">
        <v>3769</v>
      </c>
    </row>
    <row r="61">
      <c r="A61" s="737" t="s">
        <v>3664</v>
      </c>
      <c r="B61" s="737" t="s">
        <v>3643</v>
      </c>
      <c r="C61" s="734"/>
      <c r="E61" s="736" t="s">
        <v>3770</v>
      </c>
      <c r="F61" s="736" t="s">
        <v>3771</v>
      </c>
    </row>
    <row r="62">
      <c r="A62" s="737" t="s">
        <v>3772</v>
      </c>
      <c r="B62" s="737" t="s">
        <v>2587</v>
      </c>
      <c r="C62" s="734"/>
      <c r="E62" s="736" t="s">
        <v>3773</v>
      </c>
      <c r="F62" s="736" t="s">
        <v>3774</v>
      </c>
    </row>
    <row r="63">
      <c r="A63" s="737" t="s">
        <v>3775</v>
      </c>
      <c r="B63" s="737" t="s">
        <v>3642</v>
      </c>
      <c r="C63" s="734"/>
      <c r="E63" s="736" t="s">
        <v>3776</v>
      </c>
      <c r="F63" s="736" t="s">
        <v>3777</v>
      </c>
    </row>
    <row r="64">
      <c r="A64" s="737" t="s">
        <v>3778</v>
      </c>
      <c r="B64" s="737" t="s">
        <v>534</v>
      </c>
      <c r="C64" s="734"/>
      <c r="E64" s="736" t="s">
        <v>3779</v>
      </c>
      <c r="F64" s="736" t="s">
        <v>3780</v>
      </c>
    </row>
    <row r="65">
      <c r="A65" s="737" t="s">
        <v>3687</v>
      </c>
      <c r="B65" s="737" t="s">
        <v>3644</v>
      </c>
      <c r="C65" s="734"/>
      <c r="E65" s="738" t="s">
        <v>3781</v>
      </c>
      <c r="F65" s="736" t="s">
        <v>3782</v>
      </c>
    </row>
    <row r="66">
      <c r="A66" s="737" t="s">
        <v>3675</v>
      </c>
      <c r="B66" s="737" t="s">
        <v>335</v>
      </c>
      <c r="C66" s="734"/>
      <c r="E66" s="736" t="s">
        <v>3783</v>
      </c>
      <c r="F66" s="736" t="s">
        <v>3784</v>
      </c>
    </row>
    <row r="67">
      <c r="A67" s="737" t="s">
        <v>3785</v>
      </c>
      <c r="B67" s="737" t="s">
        <v>3786</v>
      </c>
      <c r="C67" s="734"/>
      <c r="E67" s="736" t="s">
        <v>3787</v>
      </c>
      <c r="F67" s="736" t="s">
        <v>3788</v>
      </c>
    </row>
    <row r="68">
      <c r="A68" s="737" t="s">
        <v>3789</v>
      </c>
      <c r="B68" s="737" t="s">
        <v>3643</v>
      </c>
      <c r="C68" s="734"/>
      <c r="E68" s="738" t="s">
        <v>3790</v>
      </c>
      <c r="F68" s="736" t="s">
        <v>1433</v>
      </c>
    </row>
    <row r="69">
      <c r="A69" s="737" t="s">
        <v>3791</v>
      </c>
      <c r="B69" s="737" t="s">
        <v>3642</v>
      </c>
      <c r="C69" s="734"/>
      <c r="E69" s="736" t="s">
        <v>3792</v>
      </c>
      <c r="F69" s="736" t="s">
        <v>3793</v>
      </c>
    </row>
    <row r="70">
      <c r="A70" s="737" t="s">
        <v>1043</v>
      </c>
      <c r="B70" s="737" t="s">
        <v>2587</v>
      </c>
      <c r="C70" s="734"/>
      <c r="E70" s="736" t="s">
        <v>3794</v>
      </c>
      <c r="F70" s="736" t="s">
        <v>3795</v>
      </c>
    </row>
    <row r="71">
      <c r="A71" s="737" t="s">
        <v>3796</v>
      </c>
      <c r="B71" s="737" t="s">
        <v>3786</v>
      </c>
      <c r="C71" s="734"/>
      <c r="E71" s="736" t="s">
        <v>3797</v>
      </c>
      <c r="F71" s="736" t="s">
        <v>3798</v>
      </c>
    </row>
    <row r="72">
      <c r="A72" s="737" t="s">
        <v>3799</v>
      </c>
      <c r="B72" s="737" t="s">
        <v>3800</v>
      </c>
      <c r="C72" s="734"/>
      <c r="E72" s="736" t="s">
        <v>3801</v>
      </c>
      <c r="F72" s="736" t="s">
        <v>3802</v>
      </c>
    </row>
    <row r="73">
      <c r="A73" s="737" t="s">
        <v>3803</v>
      </c>
      <c r="B73" s="737" t="s">
        <v>534</v>
      </c>
      <c r="C73" s="734"/>
      <c r="E73" s="736" t="s">
        <v>3804</v>
      </c>
      <c r="F73" s="736" t="s">
        <v>3805</v>
      </c>
    </row>
    <row r="74">
      <c r="A74" s="737" t="s">
        <v>3806</v>
      </c>
      <c r="B74" s="737" t="s">
        <v>335</v>
      </c>
      <c r="C74" s="734"/>
      <c r="E74" s="736" t="s">
        <v>3807</v>
      </c>
      <c r="F74" s="736"/>
    </row>
    <row r="75">
      <c r="A75" s="737" t="s">
        <v>3808</v>
      </c>
      <c r="B75" s="737" t="s">
        <v>2587</v>
      </c>
      <c r="C75" s="734"/>
      <c r="E75" s="736" t="s">
        <v>3809</v>
      </c>
      <c r="F75" s="736" t="s">
        <v>3810</v>
      </c>
    </row>
    <row r="76">
      <c r="A76" s="737" t="s">
        <v>3811</v>
      </c>
      <c r="B76" s="737" t="s">
        <v>3642</v>
      </c>
      <c r="C76" s="734"/>
      <c r="E76" s="736" t="s">
        <v>3812</v>
      </c>
      <c r="F76" s="736" t="s">
        <v>3813</v>
      </c>
    </row>
    <row r="77">
      <c r="A77" s="737" t="s">
        <v>3814</v>
      </c>
      <c r="B77" s="737" t="s">
        <v>3786</v>
      </c>
      <c r="C77" s="734"/>
      <c r="E77" s="736" t="s">
        <v>3815</v>
      </c>
      <c r="F77" s="736" t="s">
        <v>3816</v>
      </c>
    </row>
    <row r="78">
      <c r="A78" s="737" t="s">
        <v>3817</v>
      </c>
      <c r="B78" s="737" t="s">
        <v>3644</v>
      </c>
      <c r="C78" s="734"/>
      <c r="E78" s="736" t="s">
        <v>3818</v>
      </c>
      <c r="F78" s="736" t="s">
        <v>3819</v>
      </c>
    </row>
    <row r="79">
      <c r="A79" s="737" t="s">
        <v>3820</v>
      </c>
      <c r="B79" s="737" t="s">
        <v>534</v>
      </c>
      <c r="C79" s="734"/>
      <c r="E79" s="736" t="s">
        <v>3821</v>
      </c>
      <c r="F79" s="736" t="s">
        <v>3822</v>
      </c>
    </row>
    <row r="80">
      <c r="A80" s="737" t="s">
        <v>3823</v>
      </c>
      <c r="B80" s="737" t="s">
        <v>3642</v>
      </c>
      <c r="C80" s="734"/>
      <c r="E80" s="736" t="s">
        <v>3824</v>
      </c>
      <c r="F80" s="736" t="s">
        <v>3825</v>
      </c>
    </row>
    <row r="81">
      <c r="A81" s="737" t="s">
        <v>3826</v>
      </c>
      <c r="B81" s="737" t="s">
        <v>335</v>
      </c>
      <c r="E81" s="736" t="s">
        <v>3827</v>
      </c>
      <c r="F81" s="736" t="s">
        <v>3828</v>
      </c>
    </row>
    <row r="82">
      <c r="A82" s="737" t="s">
        <v>3829</v>
      </c>
      <c r="B82" s="737" t="s">
        <v>3800</v>
      </c>
      <c r="E82" s="736" t="s">
        <v>3830</v>
      </c>
      <c r="F82" s="736" t="s">
        <v>3831</v>
      </c>
    </row>
    <row r="83">
      <c r="A83" s="737" t="s">
        <v>3832</v>
      </c>
      <c r="B83" s="737" t="s">
        <v>3712</v>
      </c>
      <c r="E83" s="738" t="s">
        <v>3833</v>
      </c>
      <c r="F83" s="736" t="s">
        <v>3834</v>
      </c>
    </row>
    <row r="84">
      <c r="A84" s="737" t="s">
        <v>3835</v>
      </c>
      <c r="B84" s="737" t="s">
        <v>3643</v>
      </c>
      <c r="E84" s="736" t="s">
        <v>3836</v>
      </c>
      <c r="F84" s="736" t="s">
        <v>3837</v>
      </c>
    </row>
    <row r="85">
      <c r="A85" s="737" t="s">
        <v>3838</v>
      </c>
      <c r="B85" s="737" t="s">
        <v>534</v>
      </c>
      <c r="E85" s="736" t="s">
        <v>3839</v>
      </c>
      <c r="F85" s="736" t="s">
        <v>3840</v>
      </c>
    </row>
    <row r="86">
      <c r="A86" s="737" t="s">
        <v>3841</v>
      </c>
      <c r="B86" s="737" t="s">
        <v>335</v>
      </c>
      <c r="E86" s="736" t="s">
        <v>3842</v>
      </c>
      <c r="F86" s="736" t="s">
        <v>3843</v>
      </c>
    </row>
    <row r="87">
      <c r="A87" s="737" t="s">
        <v>3844</v>
      </c>
      <c r="B87" s="737" t="s">
        <v>3644</v>
      </c>
      <c r="E87" s="736" t="s">
        <v>3845</v>
      </c>
      <c r="F87" s="736" t="s">
        <v>3846</v>
      </c>
    </row>
    <row r="88">
      <c r="A88" s="737" t="s">
        <v>3847</v>
      </c>
      <c r="B88" s="737" t="s">
        <v>2587</v>
      </c>
      <c r="E88" s="736" t="s">
        <v>3848</v>
      </c>
      <c r="F88" s="736" t="s">
        <v>3849</v>
      </c>
    </row>
    <row r="89">
      <c r="A89" s="737" t="s">
        <v>3850</v>
      </c>
      <c r="B89" s="737" t="s">
        <v>534</v>
      </c>
      <c r="E89" s="738" t="s">
        <v>3851</v>
      </c>
      <c r="F89" s="736" t="s">
        <v>3852</v>
      </c>
    </row>
    <row r="90">
      <c r="A90" s="737" t="s">
        <v>3853</v>
      </c>
      <c r="B90" s="737" t="s">
        <v>3643</v>
      </c>
      <c r="E90" s="736" t="s">
        <v>3854</v>
      </c>
      <c r="F90" s="736" t="s">
        <v>3855</v>
      </c>
    </row>
    <row r="91">
      <c r="A91" s="737" t="s">
        <v>3856</v>
      </c>
      <c r="B91" s="737" t="s">
        <v>534</v>
      </c>
      <c r="E91" s="736" t="s">
        <v>3857</v>
      </c>
      <c r="F91" s="736" t="s">
        <v>3858</v>
      </c>
    </row>
    <row r="92">
      <c r="A92" s="737" t="s">
        <v>761</v>
      </c>
      <c r="B92" s="737" t="s">
        <v>3712</v>
      </c>
      <c r="E92" s="736" t="s">
        <v>3859</v>
      </c>
      <c r="F92" s="736" t="s">
        <v>3860</v>
      </c>
    </row>
    <row r="93">
      <c r="A93" s="737" t="s">
        <v>3861</v>
      </c>
      <c r="B93" s="737" t="s">
        <v>3642</v>
      </c>
      <c r="E93" s="736" t="s">
        <v>3862</v>
      </c>
      <c r="F93" s="736" t="s">
        <v>3863</v>
      </c>
    </row>
    <row r="94">
      <c r="A94" s="737" t="s">
        <v>3864</v>
      </c>
      <c r="B94" s="737" t="s">
        <v>3786</v>
      </c>
      <c r="E94" s="736" t="s">
        <v>3865</v>
      </c>
      <c r="F94" s="736" t="s">
        <v>3866</v>
      </c>
    </row>
    <row r="95">
      <c r="A95" s="737" t="s">
        <v>3867</v>
      </c>
      <c r="B95" s="737" t="s">
        <v>534</v>
      </c>
      <c r="E95" s="736" t="s">
        <v>3868</v>
      </c>
      <c r="F95" s="736" t="s">
        <v>3869</v>
      </c>
    </row>
    <row r="96">
      <c r="A96" s="737" t="s">
        <v>3870</v>
      </c>
      <c r="B96" s="737" t="s">
        <v>335</v>
      </c>
      <c r="E96" s="736" t="s">
        <v>3871</v>
      </c>
      <c r="F96" s="736" t="s">
        <v>3872</v>
      </c>
    </row>
    <row r="97">
      <c r="A97" s="737" t="s">
        <v>3873</v>
      </c>
      <c r="B97" s="737" t="s">
        <v>462</v>
      </c>
      <c r="E97" s="736" t="s">
        <v>3874</v>
      </c>
      <c r="F97" s="736" t="s">
        <v>3875</v>
      </c>
    </row>
    <row r="98">
      <c r="A98" s="737" t="s">
        <v>3876</v>
      </c>
      <c r="B98" s="737" t="s">
        <v>3643</v>
      </c>
      <c r="E98" s="736" t="s">
        <v>3877</v>
      </c>
      <c r="F98" s="736" t="s">
        <v>3878</v>
      </c>
    </row>
    <row r="99">
      <c r="A99" s="737" t="s">
        <v>3879</v>
      </c>
      <c r="B99" s="737" t="s">
        <v>534</v>
      </c>
      <c r="E99" s="736" t="s">
        <v>3880</v>
      </c>
      <c r="F99" s="736" t="s">
        <v>3881</v>
      </c>
    </row>
    <row r="100">
      <c r="A100" s="737" t="s">
        <v>3882</v>
      </c>
      <c r="B100" s="737" t="s">
        <v>3644</v>
      </c>
      <c r="E100" s="736" t="s">
        <v>3883</v>
      </c>
      <c r="F100" s="736" t="s">
        <v>3884</v>
      </c>
    </row>
    <row r="101">
      <c r="A101" s="737" t="s">
        <v>3885</v>
      </c>
      <c r="B101" s="737" t="s">
        <v>3800</v>
      </c>
      <c r="E101" s="736" t="s">
        <v>3886</v>
      </c>
      <c r="F101" s="736" t="s">
        <v>3887</v>
      </c>
    </row>
    <row r="102">
      <c r="A102" s="737" t="s">
        <v>3888</v>
      </c>
      <c r="B102" s="737" t="s">
        <v>534</v>
      </c>
      <c r="E102" s="736" t="s">
        <v>3889</v>
      </c>
      <c r="F102" s="739"/>
    </row>
    <row r="103">
      <c r="A103" s="737" t="s">
        <v>3890</v>
      </c>
      <c r="B103" s="737" t="s">
        <v>3642</v>
      </c>
      <c r="E103" s="736" t="s">
        <v>3891</v>
      </c>
      <c r="F103" s="736" t="s">
        <v>3892</v>
      </c>
    </row>
    <row r="104">
      <c r="A104" s="737" t="s">
        <v>3893</v>
      </c>
      <c r="B104" s="737" t="s">
        <v>3643</v>
      </c>
      <c r="E104" s="738" t="s">
        <v>3894</v>
      </c>
      <c r="F104" s="736" t="s">
        <v>3895</v>
      </c>
    </row>
    <row r="105">
      <c r="A105" s="737" t="s">
        <v>3896</v>
      </c>
      <c r="B105" s="737" t="s">
        <v>3642</v>
      </c>
      <c r="E105" s="736" t="s">
        <v>3897</v>
      </c>
      <c r="F105" s="736" t="s">
        <v>3898</v>
      </c>
    </row>
    <row r="106">
      <c r="A106" s="737" t="s">
        <v>3899</v>
      </c>
      <c r="B106" s="737" t="s">
        <v>3712</v>
      </c>
      <c r="E106" s="736" t="s">
        <v>3900</v>
      </c>
      <c r="F106" s="736" t="s">
        <v>3901</v>
      </c>
    </row>
    <row r="107">
      <c r="A107" s="737" t="s">
        <v>3902</v>
      </c>
      <c r="B107" s="737" t="s">
        <v>3644</v>
      </c>
      <c r="E107" s="736" t="s">
        <v>3903</v>
      </c>
      <c r="F107" s="736" t="s">
        <v>3904</v>
      </c>
    </row>
    <row r="108">
      <c r="A108" s="737" t="s">
        <v>3905</v>
      </c>
      <c r="B108" s="737" t="s">
        <v>3786</v>
      </c>
      <c r="E108" s="736" t="s">
        <v>3906</v>
      </c>
      <c r="F108" s="736" t="s">
        <v>3907</v>
      </c>
    </row>
    <row r="109">
      <c r="A109" s="737" t="s">
        <v>3908</v>
      </c>
      <c r="B109" s="737" t="s">
        <v>3642</v>
      </c>
      <c r="E109" s="736" t="s">
        <v>3909</v>
      </c>
      <c r="F109" s="736" t="s">
        <v>3910</v>
      </c>
    </row>
    <row r="110">
      <c r="A110" s="737" t="s">
        <v>2481</v>
      </c>
      <c r="B110" s="737" t="s">
        <v>3800</v>
      </c>
      <c r="E110" s="736" t="s">
        <v>3911</v>
      </c>
      <c r="F110" s="736" t="s">
        <v>3746</v>
      </c>
    </row>
    <row r="111">
      <c r="A111" s="737" t="s">
        <v>168</v>
      </c>
      <c r="B111" s="737" t="s">
        <v>335</v>
      </c>
      <c r="E111" s="736" t="s">
        <v>3912</v>
      </c>
      <c r="F111" s="736" t="s">
        <v>3913</v>
      </c>
    </row>
    <row r="112">
      <c r="A112" s="737" t="s">
        <v>2518</v>
      </c>
      <c r="B112" s="737" t="s">
        <v>3800</v>
      </c>
      <c r="E112" s="736" t="s">
        <v>3914</v>
      </c>
      <c r="F112" s="736" t="s">
        <v>3915</v>
      </c>
    </row>
    <row r="113">
      <c r="A113" s="737" t="s">
        <v>3916</v>
      </c>
      <c r="B113" s="737" t="s">
        <v>3712</v>
      </c>
      <c r="E113" s="736" t="s">
        <v>3917</v>
      </c>
      <c r="F113" s="736" t="s">
        <v>3918</v>
      </c>
    </row>
    <row r="114">
      <c r="A114" s="737" t="s">
        <v>3919</v>
      </c>
      <c r="B114" s="737" t="s">
        <v>3642</v>
      </c>
      <c r="E114" s="736" t="s">
        <v>3920</v>
      </c>
    </row>
    <row r="115">
      <c r="A115" s="737" t="s">
        <v>3921</v>
      </c>
      <c r="B115" s="737" t="s">
        <v>3643</v>
      </c>
      <c r="E115" s="736" t="s">
        <v>3922</v>
      </c>
      <c r="F115" s="736" t="s">
        <v>3923</v>
      </c>
    </row>
    <row r="116">
      <c r="A116" s="737" t="s">
        <v>3924</v>
      </c>
      <c r="B116" s="737" t="s">
        <v>3786</v>
      </c>
      <c r="E116" s="736" t="s">
        <v>3925</v>
      </c>
      <c r="F116" s="736" t="s">
        <v>3926</v>
      </c>
    </row>
    <row r="117">
      <c r="A117" s="737" t="s">
        <v>3927</v>
      </c>
      <c r="B117" s="737" t="s">
        <v>3642</v>
      </c>
      <c r="E117" s="736" t="s">
        <v>3928</v>
      </c>
      <c r="F117" s="736" t="s">
        <v>3929</v>
      </c>
    </row>
    <row r="118">
      <c r="A118" s="737" t="s">
        <v>3930</v>
      </c>
      <c r="B118" s="737" t="s">
        <v>2587</v>
      </c>
      <c r="E118" s="736" t="s">
        <v>3931</v>
      </c>
      <c r="F118" s="736" t="s">
        <v>3932</v>
      </c>
    </row>
    <row r="119">
      <c r="A119" s="737" t="s">
        <v>3933</v>
      </c>
      <c r="B119" s="737" t="s">
        <v>3644</v>
      </c>
      <c r="E119" s="736" t="s">
        <v>3934</v>
      </c>
      <c r="F119" s="736" t="s">
        <v>3935</v>
      </c>
    </row>
    <row r="120">
      <c r="A120" s="737" t="s">
        <v>3936</v>
      </c>
      <c r="B120" s="737" t="s">
        <v>462</v>
      </c>
      <c r="E120" s="736" t="s">
        <v>3937</v>
      </c>
      <c r="F120" s="736" t="s">
        <v>3938</v>
      </c>
    </row>
    <row r="121">
      <c r="A121" s="737" t="s">
        <v>3939</v>
      </c>
      <c r="B121" s="737" t="s">
        <v>3643</v>
      </c>
      <c r="E121" s="736" t="s">
        <v>3940</v>
      </c>
      <c r="F121" s="736" t="s">
        <v>3941</v>
      </c>
    </row>
    <row r="122">
      <c r="A122" s="737" t="s">
        <v>3690</v>
      </c>
      <c r="B122" s="737" t="s">
        <v>335</v>
      </c>
      <c r="E122" s="736" t="s">
        <v>3942</v>
      </c>
      <c r="F122" s="736" t="s">
        <v>3943</v>
      </c>
    </row>
    <row r="123">
      <c r="A123" s="737" t="s">
        <v>3944</v>
      </c>
      <c r="B123" s="737" t="s">
        <v>3786</v>
      </c>
      <c r="E123" s="736" t="s">
        <v>3945</v>
      </c>
      <c r="F123" s="736" t="s">
        <v>3946</v>
      </c>
    </row>
    <row r="124">
      <c r="A124" s="737" t="s">
        <v>3678</v>
      </c>
      <c r="B124" s="737" t="s">
        <v>335</v>
      </c>
      <c r="E124" s="736" t="s">
        <v>3947</v>
      </c>
      <c r="F124" s="736" t="s">
        <v>3948</v>
      </c>
    </row>
    <row r="125">
      <c r="A125" s="737" t="s">
        <v>3717</v>
      </c>
      <c r="B125" s="737" t="s">
        <v>3712</v>
      </c>
      <c r="E125" s="736" t="s">
        <v>3949</v>
      </c>
      <c r="F125" s="736" t="s">
        <v>3950</v>
      </c>
    </row>
    <row r="126">
      <c r="A126" s="737" t="s">
        <v>3951</v>
      </c>
      <c r="B126" s="737" t="s">
        <v>3642</v>
      </c>
      <c r="E126" s="736" t="s">
        <v>3952</v>
      </c>
      <c r="F126" s="736" t="s">
        <v>3953</v>
      </c>
    </row>
    <row r="127">
      <c r="A127" s="737" t="s">
        <v>1045</v>
      </c>
      <c r="B127" s="737" t="s">
        <v>3642</v>
      </c>
      <c r="E127" s="736" t="s">
        <v>3954</v>
      </c>
      <c r="F127" s="736" t="s">
        <v>3955</v>
      </c>
    </row>
    <row r="128">
      <c r="A128" s="737" t="s">
        <v>3956</v>
      </c>
      <c r="B128" s="737" t="s">
        <v>3643</v>
      </c>
      <c r="E128" s="736" t="s">
        <v>3957</v>
      </c>
      <c r="F128" s="736" t="s">
        <v>3958</v>
      </c>
    </row>
    <row r="129">
      <c r="A129" s="737" t="s">
        <v>3959</v>
      </c>
      <c r="B129" s="737" t="s">
        <v>3786</v>
      </c>
      <c r="E129" s="736" t="s">
        <v>3960</v>
      </c>
      <c r="F129" s="736" t="s">
        <v>3961</v>
      </c>
    </row>
    <row r="130">
      <c r="A130" s="737" t="s">
        <v>3962</v>
      </c>
      <c r="B130" s="737" t="s">
        <v>335</v>
      </c>
      <c r="E130" s="736" t="s">
        <v>3963</v>
      </c>
      <c r="F130" s="736" t="s">
        <v>3964</v>
      </c>
    </row>
    <row r="131">
      <c r="A131" s="737" t="s">
        <v>2481</v>
      </c>
      <c r="B131" s="737" t="s">
        <v>3800</v>
      </c>
      <c r="E131" s="736" t="s">
        <v>3965</v>
      </c>
      <c r="F131" s="736" t="s">
        <v>3966</v>
      </c>
    </row>
    <row r="132">
      <c r="A132" s="737" t="s">
        <v>3967</v>
      </c>
      <c r="B132" s="737" t="s">
        <v>3644</v>
      </c>
      <c r="E132" s="736" t="s">
        <v>3968</v>
      </c>
      <c r="F132" s="736" t="s">
        <v>3969</v>
      </c>
    </row>
    <row r="133">
      <c r="A133" s="737" t="s">
        <v>3970</v>
      </c>
      <c r="B133" s="737" t="s">
        <v>2587</v>
      </c>
      <c r="E133" s="736" t="s">
        <v>3971</v>
      </c>
      <c r="F133" s="736" t="s">
        <v>3972</v>
      </c>
    </row>
    <row r="134">
      <c r="A134" s="737" t="s">
        <v>3973</v>
      </c>
      <c r="B134" s="737" t="s">
        <v>3642</v>
      </c>
      <c r="E134" s="736" t="s">
        <v>3974</v>
      </c>
      <c r="F134" s="736" t="s">
        <v>3975</v>
      </c>
    </row>
    <row r="135">
      <c r="A135" s="737" t="s">
        <v>3976</v>
      </c>
      <c r="B135" s="737" t="s">
        <v>335</v>
      </c>
      <c r="E135" s="736" t="s">
        <v>3977</v>
      </c>
      <c r="F135" s="736" t="s">
        <v>3978</v>
      </c>
    </row>
    <row r="136">
      <c r="A136" s="737" t="s">
        <v>3979</v>
      </c>
      <c r="B136" s="737" t="s">
        <v>534</v>
      </c>
      <c r="E136" s="736" t="s">
        <v>3980</v>
      </c>
      <c r="F136" s="736" t="s">
        <v>3981</v>
      </c>
    </row>
    <row r="137">
      <c r="A137" s="737" t="s">
        <v>3731</v>
      </c>
      <c r="B137" s="737" t="s">
        <v>2587</v>
      </c>
      <c r="E137" s="736" t="s">
        <v>3982</v>
      </c>
      <c r="F137" s="736" t="s">
        <v>3983</v>
      </c>
    </row>
    <row r="138">
      <c r="A138" s="737" t="s">
        <v>3984</v>
      </c>
      <c r="B138" s="737" t="s">
        <v>3642</v>
      </c>
      <c r="E138" s="736" t="s">
        <v>3985</v>
      </c>
      <c r="F138" s="736" t="s">
        <v>3986</v>
      </c>
    </row>
    <row r="139">
      <c r="A139" s="737" t="s">
        <v>3987</v>
      </c>
      <c r="B139" s="737" t="s">
        <v>335</v>
      </c>
      <c r="E139" s="736" t="s">
        <v>3988</v>
      </c>
      <c r="F139" s="736" t="s">
        <v>3989</v>
      </c>
    </row>
    <row r="140">
      <c r="A140" s="737" t="s">
        <v>3990</v>
      </c>
      <c r="B140" s="737" t="s">
        <v>534</v>
      </c>
      <c r="E140" s="736" t="s">
        <v>3991</v>
      </c>
      <c r="F140" s="736" t="s">
        <v>3992</v>
      </c>
    </row>
    <row r="141">
      <c r="A141" s="737" t="s">
        <v>2284</v>
      </c>
      <c r="B141" s="737" t="s">
        <v>2587</v>
      </c>
      <c r="E141" s="736" t="s">
        <v>3993</v>
      </c>
      <c r="F141" s="736" t="s">
        <v>3994</v>
      </c>
    </row>
    <row r="142">
      <c r="A142" s="737" t="s">
        <v>3995</v>
      </c>
      <c r="B142" s="737" t="s">
        <v>534</v>
      </c>
      <c r="E142" s="736" t="s">
        <v>3996</v>
      </c>
      <c r="F142" s="736" t="s">
        <v>3997</v>
      </c>
    </row>
    <row r="143">
      <c r="A143" s="737" t="s">
        <v>3998</v>
      </c>
      <c r="B143" s="737" t="s">
        <v>534</v>
      </c>
      <c r="E143" s="736" t="s">
        <v>3999</v>
      </c>
      <c r="F143" s="736" t="s">
        <v>4000</v>
      </c>
    </row>
    <row r="144">
      <c r="A144" s="737" t="s">
        <v>4001</v>
      </c>
      <c r="B144" s="737" t="s">
        <v>3642</v>
      </c>
      <c r="E144" s="738" t="s">
        <v>4002</v>
      </c>
      <c r="F144" s="736" t="s">
        <v>4003</v>
      </c>
    </row>
    <row r="145">
      <c r="A145" s="737" t="s">
        <v>4004</v>
      </c>
      <c r="B145" s="737" t="s">
        <v>335</v>
      </c>
      <c r="E145" s="736" t="s">
        <v>4005</v>
      </c>
      <c r="F145" s="736" t="s">
        <v>4006</v>
      </c>
    </row>
    <row r="146">
      <c r="A146" s="737" t="s">
        <v>3885</v>
      </c>
      <c r="B146" s="737" t="s">
        <v>3800</v>
      </c>
      <c r="E146" s="736" t="s">
        <v>4007</v>
      </c>
      <c r="F146" s="736" t="s">
        <v>4008</v>
      </c>
    </row>
    <row r="147">
      <c r="A147" s="737" t="s">
        <v>3864</v>
      </c>
      <c r="B147" s="737" t="s">
        <v>534</v>
      </c>
      <c r="E147" s="736" t="s">
        <v>4009</v>
      </c>
      <c r="F147" s="736" t="s">
        <v>4010</v>
      </c>
    </row>
    <row r="148">
      <c r="A148" s="737" t="s">
        <v>4011</v>
      </c>
      <c r="B148" s="737" t="s">
        <v>3786</v>
      </c>
      <c r="E148" s="736" t="s">
        <v>4012</v>
      </c>
      <c r="F148" s="736" t="s">
        <v>4013</v>
      </c>
    </row>
    <row r="149">
      <c r="A149" s="737" t="s">
        <v>4014</v>
      </c>
      <c r="B149" s="737" t="s">
        <v>335</v>
      </c>
      <c r="E149" s="736" t="s">
        <v>4015</v>
      </c>
      <c r="F149" s="736" t="s">
        <v>4016</v>
      </c>
    </row>
    <row r="150">
      <c r="A150" s="737" t="s">
        <v>4017</v>
      </c>
      <c r="B150" s="737" t="s">
        <v>3642</v>
      </c>
      <c r="E150" s="736" t="s">
        <v>4018</v>
      </c>
      <c r="F150" s="736" t="s">
        <v>4019</v>
      </c>
    </row>
    <row r="151">
      <c r="A151" s="737" t="s">
        <v>4020</v>
      </c>
      <c r="B151" s="737" t="s">
        <v>3786</v>
      </c>
      <c r="E151" s="736" t="s">
        <v>4021</v>
      </c>
      <c r="F151" s="736" t="s">
        <v>4022</v>
      </c>
    </row>
    <row r="152">
      <c r="A152" s="737" t="s">
        <v>4023</v>
      </c>
      <c r="B152" s="737" t="s">
        <v>3644</v>
      </c>
      <c r="E152" s="736" t="s">
        <v>4024</v>
      </c>
      <c r="F152" s="736" t="s">
        <v>4025</v>
      </c>
    </row>
    <row r="153">
      <c r="A153" s="737" t="s">
        <v>2087</v>
      </c>
      <c r="B153" s="737" t="s">
        <v>2587</v>
      </c>
      <c r="E153" s="736" t="s">
        <v>4026</v>
      </c>
      <c r="F153" s="736" t="s">
        <v>4027</v>
      </c>
    </row>
    <row r="154">
      <c r="A154" s="737" t="s">
        <v>4028</v>
      </c>
      <c r="B154" s="737" t="s">
        <v>534</v>
      </c>
      <c r="E154" s="736" t="s">
        <v>4029</v>
      </c>
      <c r="F154" s="736" t="s">
        <v>4030</v>
      </c>
    </row>
    <row r="155">
      <c r="A155" s="737" t="s">
        <v>4031</v>
      </c>
      <c r="B155" s="737" t="s">
        <v>3642</v>
      </c>
      <c r="E155" s="736" t="s">
        <v>4032</v>
      </c>
      <c r="F155" s="736" t="s">
        <v>4033</v>
      </c>
    </row>
    <row r="156">
      <c r="A156" s="737" t="s">
        <v>3711</v>
      </c>
      <c r="B156" s="737" t="s">
        <v>3712</v>
      </c>
      <c r="E156" s="736" t="s">
        <v>4034</v>
      </c>
      <c r="F156" s="736" t="s">
        <v>4035</v>
      </c>
    </row>
    <row r="157">
      <c r="A157" s="737" t="s">
        <v>4036</v>
      </c>
      <c r="B157" s="737" t="s">
        <v>3786</v>
      </c>
      <c r="E157" s="736" t="s">
        <v>4037</v>
      </c>
      <c r="F157" s="736" t="s">
        <v>4038</v>
      </c>
    </row>
    <row r="158">
      <c r="A158" s="737" t="s">
        <v>4039</v>
      </c>
      <c r="B158" s="737" t="s">
        <v>335</v>
      </c>
      <c r="E158" s="736" t="s">
        <v>4040</v>
      </c>
      <c r="F158" s="736" t="s">
        <v>4041</v>
      </c>
    </row>
    <row r="159">
      <c r="A159" s="737" t="s">
        <v>4042</v>
      </c>
      <c r="B159" s="737" t="s">
        <v>3642</v>
      </c>
      <c r="E159" s="736" t="s">
        <v>4043</v>
      </c>
      <c r="F159" s="736" t="s">
        <v>4044</v>
      </c>
    </row>
    <row r="160">
      <c r="A160" s="737" t="s">
        <v>1816</v>
      </c>
      <c r="B160" s="737" t="s">
        <v>3643</v>
      </c>
      <c r="E160" s="736" t="s">
        <v>4045</v>
      </c>
      <c r="F160" s="736" t="s">
        <v>4046</v>
      </c>
    </row>
    <row r="161">
      <c r="A161" s="737" t="s">
        <v>4047</v>
      </c>
      <c r="B161" s="737" t="s">
        <v>534</v>
      </c>
      <c r="E161" s="736" t="s">
        <v>4048</v>
      </c>
      <c r="F161" s="736" t="s">
        <v>4049</v>
      </c>
    </row>
    <row r="162">
      <c r="A162" s="737" t="s">
        <v>1500</v>
      </c>
      <c r="B162" s="737" t="s">
        <v>3642</v>
      </c>
      <c r="E162" s="736" t="s">
        <v>4050</v>
      </c>
      <c r="F162" s="736" t="s">
        <v>4051</v>
      </c>
    </row>
    <row r="163">
      <c r="A163" s="737" t="s">
        <v>304</v>
      </c>
      <c r="B163" s="737" t="s">
        <v>3644</v>
      </c>
      <c r="E163" s="736" t="s">
        <v>4052</v>
      </c>
      <c r="F163" s="736" t="s">
        <v>4053</v>
      </c>
    </row>
    <row r="164">
      <c r="A164" s="737" t="s">
        <v>3757</v>
      </c>
      <c r="B164" s="737" t="s">
        <v>3786</v>
      </c>
      <c r="E164" s="736" t="s">
        <v>4054</v>
      </c>
      <c r="F164" s="736" t="s">
        <v>4055</v>
      </c>
    </row>
    <row r="165">
      <c r="A165" s="737" t="s">
        <v>1837</v>
      </c>
      <c r="B165" s="737" t="s">
        <v>3800</v>
      </c>
      <c r="E165" s="736" t="s">
        <v>4056</v>
      </c>
      <c r="F165" s="736" t="s">
        <v>4057</v>
      </c>
    </row>
    <row r="166">
      <c r="A166" s="737" t="s">
        <v>4011</v>
      </c>
      <c r="B166" s="737" t="s">
        <v>3786</v>
      </c>
      <c r="E166" s="736" t="s">
        <v>4058</v>
      </c>
      <c r="F166" s="736" t="s">
        <v>4059</v>
      </c>
    </row>
    <row r="167">
      <c r="A167" s="737" t="s">
        <v>4060</v>
      </c>
      <c r="B167" s="737" t="s">
        <v>3643</v>
      </c>
      <c r="E167" s="736" t="s">
        <v>4061</v>
      </c>
      <c r="F167" s="736" t="s">
        <v>4062</v>
      </c>
    </row>
    <row r="168">
      <c r="A168" s="737" t="s">
        <v>3853</v>
      </c>
      <c r="B168" s="737" t="s">
        <v>3643</v>
      </c>
      <c r="E168" s="736" t="s">
        <v>4063</v>
      </c>
    </row>
    <row r="169">
      <c r="A169" s="737" t="s">
        <v>3803</v>
      </c>
      <c r="B169" s="737" t="s">
        <v>3786</v>
      </c>
      <c r="E169" s="736" t="s">
        <v>4064</v>
      </c>
      <c r="F169" s="736" t="s">
        <v>4065</v>
      </c>
    </row>
    <row r="170">
      <c r="A170" s="737" t="s">
        <v>4066</v>
      </c>
      <c r="B170" s="737" t="s">
        <v>3644</v>
      </c>
      <c r="E170" s="736" t="s">
        <v>4067</v>
      </c>
      <c r="F170" s="736" t="s">
        <v>4068</v>
      </c>
    </row>
    <row r="171">
      <c r="A171" s="737" t="s">
        <v>1400</v>
      </c>
      <c r="B171" s="737" t="s">
        <v>335</v>
      </c>
      <c r="E171" s="736" t="s">
        <v>4069</v>
      </c>
      <c r="F171" s="736" t="s">
        <v>4070</v>
      </c>
    </row>
    <row r="172">
      <c r="A172" s="737" t="s">
        <v>3856</v>
      </c>
      <c r="B172" s="737" t="s">
        <v>534</v>
      </c>
      <c r="E172" s="736" t="s">
        <v>4071</v>
      </c>
      <c r="F172" s="736" t="s">
        <v>4072</v>
      </c>
    </row>
    <row r="173">
      <c r="A173" s="737" t="s">
        <v>4073</v>
      </c>
      <c r="B173" s="737" t="s">
        <v>3642</v>
      </c>
      <c r="E173" s="736" t="s">
        <v>4074</v>
      </c>
      <c r="F173" s="736" t="s">
        <v>4075</v>
      </c>
    </row>
    <row r="174">
      <c r="A174" s="737" t="s">
        <v>4076</v>
      </c>
      <c r="B174" s="737" t="s">
        <v>3644</v>
      </c>
      <c r="E174" s="736" t="s">
        <v>4077</v>
      </c>
      <c r="F174" s="736" t="s">
        <v>4078</v>
      </c>
    </row>
    <row r="175">
      <c r="A175" s="737" t="s">
        <v>3806</v>
      </c>
      <c r="B175" s="737" t="s">
        <v>335</v>
      </c>
      <c r="E175" s="736" t="s">
        <v>4079</v>
      </c>
      <c r="F175" s="736" t="s">
        <v>4080</v>
      </c>
    </row>
    <row r="176">
      <c r="A176" s="737" t="s">
        <v>743</v>
      </c>
      <c r="B176" s="737" t="s">
        <v>2587</v>
      </c>
      <c r="E176" s="736" t="s">
        <v>4081</v>
      </c>
      <c r="F176" s="736" t="s">
        <v>4082</v>
      </c>
    </row>
    <row r="177">
      <c r="A177" s="737" t="s">
        <v>3924</v>
      </c>
      <c r="B177" s="737" t="s">
        <v>3786</v>
      </c>
      <c r="E177" s="736" t="s">
        <v>4083</v>
      </c>
      <c r="F177" s="736" t="s">
        <v>4084</v>
      </c>
    </row>
    <row r="178">
      <c r="A178" s="737" t="s">
        <v>184</v>
      </c>
      <c r="B178" s="737" t="s">
        <v>534</v>
      </c>
      <c r="E178" s="736" t="s">
        <v>4085</v>
      </c>
      <c r="F178" s="736" t="s">
        <v>4086</v>
      </c>
    </row>
    <row r="179">
      <c r="A179" s="737" t="s">
        <v>4087</v>
      </c>
      <c r="B179" s="737" t="s">
        <v>3786</v>
      </c>
      <c r="E179" s="736" t="s">
        <v>4088</v>
      </c>
      <c r="F179" s="736" t="s">
        <v>4089</v>
      </c>
    </row>
    <row r="180">
      <c r="A180" s="737" t="s">
        <v>4090</v>
      </c>
      <c r="B180" s="737" t="s">
        <v>3643</v>
      </c>
      <c r="E180" s="736" t="s">
        <v>4091</v>
      </c>
      <c r="F180" s="736" t="s">
        <v>4092</v>
      </c>
    </row>
    <row r="181">
      <c r="A181" s="737" t="s">
        <v>4093</v>
      </c>
      <c r="B181" s="737" t="s">
        <v>3642</v>
      </c>
      <c r="E181" s="736" t="s">
        <v>4094</v>
      </c>
      <c r="F181" s="736" t="s">
        <v>4095</v>
      </c>
    </row>
    <row r="182">
      <c r="A182" s="737" t="s">
        <v>3820</v>
      </c>
      <c r="B182" s="737" t="s">
        <v>534</v>
      </c>
      <c r="E182" s="736" t="s">
        <v>4096</v>
      </c>
      <c r="F182" s="736" t="s">
        <v>1022</v>
      </c>
    </row>
    <row r="183">
      <c r="A183" s="737" t="s">
        <v>4097</v>
      </c>
      <c r="B183" s="737" t="s">
        <v>335</v>
      </c>
      <c r="E183" s="736" t="s">
        <v>4098</v>
      </c>
      <c r="F183" s="736" t="s">
        <v>4099</v>
      </c>
    </row>
    <row r="184">
      <c r="A184" s="737" t="s">
        <v>4100</v>
      </c>
      <c r="B184" s="737" t="s">
        <v>3642</v>
      </c>
      <c r="E184" s="736" t="s">
        <v>4101</v>
      </c>
      <c r="F184" s="736" t="s">
        <v>4102</v>
      </c>
    </row>
    <row r="185">
      <c r="A185" s="737" t="s">
        <v>4103</v>
      </c>
      <c r="B185" s="737" t="s">
        <v>3644</v>
      </c>
      <c r="E185" s="736" t="s">
        <v>4104</v>
      </c>
      <c r="F185" s="736" t="s">
        <v>4105</v>
      </c>
    </row>
    <row r="186">
      <c r="A186" s="737" t="s">
        <v>4106</v>
      </c>
      <c r="B186" s="737" t="s">
        <v>335</v>
      </c>
      <c r="E186" s="736" t="s">
        <v>4107</v>
      </c>
      <c r="F186" s="736" t="s">
        <v>4108</v>
      </c>
    </row>
    <row r="187">
      <c r="A187" s="737" t="s">
        <v>3841</v>
      </c>
      <c r="B187" s="737" t="s">
        <v>335</v>
      </c>
      <c r="E187" s="736" t="s">
        <v>4109</v>
      </c>
      <c r="F187" s="736" t="s">
        <v>4110</v>
      </c>
    </row>
    <row r="188">
      <c r="A188" s="737" t="s">
        <v>4111</v>
      </c>
      <c r="B188" s="737" t="s">
        <v>462</v>
      </c>
      <c r="E188" s="736" t="s">
        <v>4112</v>
      </c>
      <c r="F188" s="736" t="s">
        <v>4113</v>
      </c>
    </row>
    <row r="189">
      <c r="A189" s="737" t="s">
        <v>4114</v>
      </c>
      <c r="B189" s="737" t="s">
        <v>3642</v>
      </c>
      <c r="E189" s="736" t="s">
        <v>4115</v>
      </c>
      <c r="F189" s="736" t="s">
        <v>4116</v>
      </c>
    </row>
    <row r="190">
      <c r="A190" s="737" t="s">
        <v>3751</v>
      </c>
      <c r="B190" s="737" t="s">
        <v>3643</v>
      </c>
      <c r="E190" s="736" t="s">
        <v>4117</v>
      </c>
      <c r="F190" s="736" t="s">
        <v>4118</v>
      </c>
    </row>
    <row r="191">
      <c r="A191" s="737" t="s">
        <v>4119</v>
      </c>
      <c r="B191" s="737" t="s">
        <v>3786</v>
      </c>
      <c r="E191" s="736" t="s">
        <v>4120</v>
      </c>
      <c r="F191" s="736" t="s">
        <v>4121</v>
      </c>
    </row>
    <row r="192">
      <c r="A192" s="737" t="s">
        <v>4122</v>
      </c>
      <c r="B192" s="737" t="s">
        <v>3642</v>
      </c>
      <c r="E192" s="736" t="s">
        <v>4123</v>
      </c>
      <c r="F192" s="736" t="s">
        <v>4124</v>
      </c>
    </row>
    <row r="193">
      <c r="A193" s="737" t="s">
        <v>4125</v>
      </c>
      <c r="B193" s="737" t="s">
        <v>534</v>
      </c>
      <c r="E193" s="736" t="s">
        <v>4126</v>
      </c>
      <c r="F193" s="736" t="s">
        <v>4127</v>
      </c>
    </row>
    <row r="194">
      <c r="A194" s="737" t="s">
        <v>4128</v>
      </c>
      <c r="B194" s="737" t="s">
        <v>3786</v>
      </c>
      <c r="E194" s="736" t="s">
        <v>4129</v>
      </c>
      <c r="F194" s="736" t="s">
        <v>4130</v>
      </c>
    </row>
    <row r="195">
      <c r="A195" s="737" t="s">
        <v>2512</v>
      </c>
      <c r="B195" s="737" t="s">
        <v>3643</v>
      </c>
      <c r="E195" s="736" t="s">
        <v>4131</v>
      </c>
      <c r="F195" s="736" t="s">
        <v>4132</v>
      </c>
    </row>
    <row r="196">
      <c r="A196" s="737" t="s">
        <v>3930</v>
      </c>
      <c r="B196" s="737" t="s">
        <v>2587</v>
      </c>
      <c r="E196" s="736" t="s">
        <v>4133</v>
      </c>
      <c r="F196" s="736" t="s">
        <v>4134</v>
      </c>
    </row>
    <row r="197">
      <c r="A197" s="737" t="s">
        <v>4135</v>
      </c>
      <c r="B197" s="737" t="s">
        <v>3642</v>
      </c>
      <c r="E197" s="736" t="s">
        <v>4136</v>
      </c>
      <c r="F197" s="736" t="s">
        <v>4137</v>
      </c>
    </row>
    <row r="198">
      <c r="A198" s="737" t="s">
        <v>4138</v>
      </c>
      <c r="B198" s="737" t="s">
        <v>534</v>
      </c>
      <c r="E198" s="736" t="s">
        <v>4139</v>
      </c>
      <c r="F198" s="736" t="s">
        <v>4140</v>
      </c>
    </row>
    <row r="199">
      <c r="A199" s="737" t="s">
        <v>4141</v>
      </c>
      <c r="B199" s="737" t="s">
        <v>534</v>
      </c>
      <c r="E199" s="736" t="s">
        <v>4142</v>
      </c>
      <c r="F199" s="736" t="s">
        <v>4143</v>
      </c>
    </row>
    <row r="200">
      <c r="A200" s="737" t="s">
        <v>1610</v>
      </c>
      <c r="B200" s="737" t="s">
        <v>335</v>
      </c>
      <c r="E200" s="736" t="s">
        <v>4144</v>
      </c>
      <c r="F200" s="736" t="s">
        <v>4145</v>
      </c>
    </row>
    <row r="201">
      <c r="A201" s="737" t="s">
        <v>4146</v>
      </c>
      <c r="B201" s="737" t="s">
        <v>3800</v>
      </c>
      <c r="E201" s="736" t="s">
        <v>4147</v>
      </c>
      <c r="F201" s="739"/>
    </row>
    <row r="202">
      <c r="A202" s="737" t="s">
        <v>3899</v>
      </c>
      <c r="B202" s="737" t="s">
        <v>3712</v>
      </c>
      <c r="E202" s="736" t="s">
        <v>4148</v>
      </c>
      <c r="F202" s="736" t="s">
        <v>4149</v>
      </c>
    </row>
    <row r="203">
      <c r="A203" s="737" t="s">
        <v>4150</v>
      </c>
      <c r="B203" s="737" t="s">
        <v>335</v>
      </c>
      <c r="E203" s="736" t="s">
        <v>4151</v>
      </c>
      <c r="F203" s="736" t="s">
        <v>4152</v>
      </c>
    </row>
    <row r="204">
      <c r="A204" s="737" t="s">
        <v>4153</v>
      </c>
      <c r="B204" s="737" t="s">
        <v>462</v>
      </c>
      <c r="E204" s="736" t="s">
        <v>4154</v>
      </c>
      <c r="F204" s="736" t="s">
        <v>4155</v>
      </c>
    </row>
    <row r="205">
      <c r="A205" s="737" t="s">
        <v>4156</v>
      </c>
      <c r="B205" s="737" t="s">
        <v>3643</v>
      </c>
      <c r="E205" s="736" t="s">
        <v>4157</v>
      </c>
      <c r="F205" s="736" t="s">
        <v>4158</v>
      </c>
    </row>
    <row r="206">
      <c r="A206" s="737" t="s">
        <v>4159</v>
      </c>
      <c r="B206" s="737" t="s">
        <v>534</v>
      </c>
      <c r="E206" s="736" t="s">
        <v>4160</v>
      </c>
      <c r="F206" s="736" t="s">
        <v>4161</v>
      </c>
    </row>
    <row r="207">
      <c r="A207" s="737" t="s">
        <v>4162</v>
      </c>
      <c r="B207" s="737" t="s">
        <v>3642</v>
      </c>
      <c r="E207" s="736" t="s">
        <v>4163</v>
      </c>
      <c r="F207" s="736" t="s">
        <v>4164</v>
      </c>
    </row>
    <row r="208">
      <c r="A208" s="737" t="s">
        <v>4165</v>
      </c>
      <c r="B208" s="737" t="s">
        <v>3786</v>
      </c>
      <c r="E208" s="736" t="s">
        <v>4166</v>
      </c>
      <c r="F208" s="736" t="s">
        <v>3856</v>
      </c>
    </row>
    <row r="209">
      <c r="A209" s="737" t="s">
        <v>2369</v>
      </c>
      <c r="B209" s="737" t="s">
        <v>3643</v>
      </c>
      <c r="E209" s="736" t="s">
        <v>4167</v>
      </c>
      <c r="F209" s="736" t="s">
        <v>4168</v>
      </c>
    </row>
    <row r="210">
      <c r="A210" s="737" t="s">
        <v>3681</v>
      </c>
      <c r="B210" s="737" t="s">
        <v>3786</v>
      </c>
      <c r="E210" s="736" t="s">
        <v>4169</v>
      </c>
      <c r="F210" s="736" t="s">
        <v>4170</v>
      </c>
    </row>
    <row r="211">
      <c r="A211" s="737" t="s">
        <v>3715</v>
      </c>
      <c r="B211" s="737" t="s">
        <v>3643</v>
      </c>
      <c r="E211" s="736" t="s">
        <v>4171</v>
      </c>
      <c r="F211" s="736" t="s">
        <v>4172</v>
      </c>
    </row>
    <row r="212">
      <c r="A212" s="737" t="s">
        <v>3882</v>
      </c>
      <c r="B212" s="737" t="s">
        <v>3644</v>
      </c>
      <c r="E212" s="736" t="s">
        <v>4173</v>
      </c>
      <c r="F212" s="736" t="s">
        <v>4174</v>
      </c>
    </row>
    <row r="213">
      <c r="A213" s="737" t="s">
        <v>4175</v>
      </c>
      <c r="B213" s="737" t="s">
        <v>3712</v>
      </c>
      <c r="E213" s="736" t="s">
        <v>4176</v>
      </c>
      <c r="F213" s="736" t="s">
        <v>4177</v>
      </c>
    </row>
    <row r="214">
      <c r="A214" s="737" t="s">
        <v>2152</v>
      </c>
      <c r="B214" s="737" t="s">
        <v>3800</v>
      </c>
      <c r="E214" s="736" t="s">
        <v>4178</v>
      </c>
      <c r="F214" s="736" t="s">
        <v>4179</v>
      </c>
    </row>
    <row r="215">
      <c r="A215" s="737" t="s">
        <v>3746</v>
      </c>
      <c r="B215" s="737" t="s">
        <v>534</v>
      </c>
      <c r="E215" s="736" t="s">
        <v>4180</v>
      </c>
      <c r="F215" s="736" t="s">
        <v>4181</v>
      </c>
    </row>
    <row r="216">
      <c r="A216" s="737" t="s">
        <v>4023</v>
      </c>
      <c r="B216" s="737" t="s">
        <v>3644</v>
      </c>
      <c r="E216" s="736" t="s">
        <v>4182</v>
      </c>
      <c r="F216" s="736" t="s">
        <v>4183</v>
      </c>
    </row>
    <row r="217">
      <c r="A217" s="737" t="s">
        <v>4184</v>
      </c>
      <c r="B217" s="737" t="s">
        <v>3712</v>
      </c>
      <c r="E217" s="736" t="s">
        <v>4185</v>
      </c>
      <c r="F217" s="736" t="s">
        <v>4186</v>
      </c>
    </row>
    <row r="218">
      <c r="A218" s="737" t="s">
        <v>837</v>
      </c>
      <c r="B218" s="737" t="s">
        <v>335</v>
      </c>
      <c r="E218" s="736" t="s">
        <v>4187</v>
      </c>
      <c r="F218" s="736" t="s">
        <v>4188</v>
      </c>
    </row>
    <row r="219">
      <c r="A219" s="737" t="s">
        <v>3659</v>
      </c>
      <c r="B219" s="737" t="s">
        <v>3643</v>
      </c>
      <c r="E219" s="736" t="s">
        <v>4189</v>
      </c>
      <c r="F219" s="736" t="s">
        <v>4190</v>
      </c>
    </row>
    <row r="220">
      <c r="A220" s="737" t="s">
        <v>485</v>
      </c>
      <c r="B220" s="737" t="s">
        <v>3642</v>
      </c>
      <c r="E220" s="736" t="s">
        <v>4191</v>
      </c>
      <c r="F220" s="736" t="s">
        <v>4192</v>
      </c>
    </row>
    <row r="221">
      <c r="A221" s="737" t="s">
        <v>4193</v>
      </c>
      <c r="B221" s="737" t="s">
        <v>534</v>
      </c>
      <c r="E221" s="736" t="s">
        <v>4194</v>
      </c>
      <c r="F221" s="736" t="s">
        <v>4195</v>
      </c>
    </row>
    <row r="222">
      <c r="A222" s="737" t="s">
        <v>3653</v>
      </c>
      <c r="B222" s="737" t="s">
        <v>3642</v>
      </c>
      <c r="E222" s="736" t="s">
        <v>4196</v>
      </c>
      <c r="F222" s="736" t="s">
        <v>4197</v>
      </c>
    </row>
    <row r="223">
      <c r="A223" s="737" t="s">
        <v>3962</v>
      </c>
      <c r="B223" s="737" t="s">
        <v>335</v>
      </c>
      <c r="E223" s="736" t="s">
        <v>4198</v>
      </c>
      <c r="F223" s="736" t="s">
        <v>4199</v>
      </c>
    </row>
    <row r="224">
      <c r="A224" s="737" t="s">
        <v>4200</v>
      </c>
      <c r="B224" s="737" t="s">
        <v>534</v>
      </c>
      <c r="E224" s="736" t="s">
        <v>4201</v>
      </c>
      <c r="F224" s="736" t="s">
        <v>4202</v>
      </c>
    </row>
    <row r="225">
      <c r="A225" s="737" t="s">
        <v>3731</v>
      </c>
      <c r="B225" s="737" t="s">
        <v>2587</v>
      </c>
      <c r="E225" s="736" t="s">
        <v>4203</v>
      </c>
      <c r="F225" s="736" t="s">
        <v>4204</v>
      </c>
    </row>
    <row r="226">
      <c r="A226" s="737" t="s">
        <v>3927</v>
      </c>
      <c r="B226" s="737" t="s">
        <v>3642</v>
      </c>
      <c r="E226" s="736" t="s">
        <v>4205</v>
      </c>
      <c r="F226" s="736" t="s">
        <v>4206</v>
      </c>
    </row>
    <row r="227">
      <c r="A227" s="737" t="s">
        <v>3690</v>
      </c>
      <c r="B227" s="737" t="s">
        <v>335</v>
      </c>
      <c r="E227" s="736" t="s">
        <v>4207</v>
      </c>
      <c r="F227" s="736" t="s">
        <v>4208</v>
      </c>
    </row>
    <row r="228">
      <c r="A228" s="737" t="s">
        <v>4047</v>
      </c>
      <c r="B228" s="737" t="s">
        <v>534</v>
      </c>
      <c r="E228" s="736" t="s">
        <v>4209</v>
      </c>
      <c r="F228" s="736" t="s">
        <v>3956</v>
      </c>
    </row>
    <row r="229">
      <c r="A229" s="737" t="s">
        <v>3882</v>
      </c>
      <c r="B229" s="737" t="s">
        <v>3644</v>
      </c>
      <c r="E229" s="736" t="s">
        <v>4210</v>
      </c>
    </row>
    <row r="230">
      <c r="A230" s="737" t="s">
        <v>2161</v>
      </c>
      <c r="B230" s="737" t="s">
        <v>3643</v>
      </c>
      <c r="E230" s="736" t="s">
        <v>4211</v>
      </c>
      <c r="F230" s="736" t="s">
        <v>4212</v>
      </c>
    </row>
    <row r="231">
      <c r="A231" s="737" t="s">
        <v>4213</v>
      </c>
      <c r="B231" s="737" t="s">
        <v>3642</v>
      </c>
      <c r="E231" s="736" t="s">
        <v>4214</v>
      </c>
      <c r="F231" s="736" t="s">
        <v>4215</v>
      </c>
    </row>
    <row r="232">
      <c r="A232" s="737" t="s">
        <v>4216</v>
      </c>
      <c r="B232" s="737" t="s">
        <v>335</v>
      </c>
      <c r="E232" s="736" t="s">
        <v>4217</v>
      </c>
      <c r="F232" s="736" t="s">
        <v>4218</v>
      </c>
    </row>
    <row r="233">
      <c r="A233" s="737" t="s">
        <v>4219</v>
      </c>
      <c r="B233" s="737" t="s">
        <v>534</v>
      </c>
      <c r="E233" s="736" t="s">
        <v>4220</v>
      </c>
      <c r="F233" s="736" t="s">
        <v>4221</v>
      </c>
    </row>
    <row r="234">
      <c r="A234" s="737" t="s">
        <v>4222</v>
      </c>
      <c r="B234" s="737" t="s">
        <v>3642</v>
      </c>
      <c r="E234" s="736" t="s">
        <v>4223</v>
      </c>
      <c r="F234" s="736" t="s">
        <v>4224</v>
      </c>
    </row>
    <row r="235">
      <c r="A235" s="737" t="s">
        <v>2161</v>
      </c>
      <c r="B235" s="737" t="s">
        <v>3643</v>
      </c>
      <c r="E235" s="736" t="s">
        <v>4225</v>
      </c>
      <c r="F235" s="736" t="s">
        <v>4226</v>
      </c>
    </row>
    <row r="236">
      <c r="A236" s="737" t="s">
        <v>4227</v>
      </c>
      <c r="B236" s="737" t="s">
        <v>3643</v>
      </c>
      <c r="E236" s="736" t="s">
        <v>4228</v>
      </c>
      <c r="F236" s="736" t="s">
        <v>4229</v>
      </c>
    </row>
    <row r="237">
      <c r="A237" s="737" t="s">
        <v>4230</v>
      </c>
      <c r="B237" s="737" t="s">
        <v>534</v>
      </c>
      <c r="E237" s="736" t="s">
        <v>4231</v>
      </c>
      <c r="F237" s="736" t="s">
        <v>4232</v>
      </c>
    </row>
    <row r="238">
      <c r="A238" s="737" t="s">
        <v>3893</v>
      </c>
      <c r="B238" s="737" t="s">
        <v>2587</v>
      </c>
      <c r="E238" s="736" t="s">
        <v>4233</v>
      </c>
      <c r="F238" s="736" t="s">
        <v>4234</v>
      </c>
    </row>
    <row r="239">
      <c r="A239" s="737" t="s">
        <v>3896</v>
      </c>
      <c r="B239" s="737" t="s">
        <v>3642</v>
      </c>
      <c r="E239" s="736" t="s">
        <v>4235</v>
      </c>
      <c r="F239" s="736" t="s">
        <v>4236</v>
      </c>
    </row>
    <row r="240">
      <c r="A240" s="737" t="s">
        <v>4237</v>
      </c>
      <c r="B240" s="737" t="s">
        <v>3786</v>
      </c>
      <c r="E240" s="736" t="s">
        <v>4238</v>
      </c>
      <c r="F240" s="736" t="s">
        <v>4239</v>
      </c>
    </row>
    <row r="241">
      <c r="A241" s="737" t="s">
        <v>4240</v>
      </c>
      <c r="B241" s="737" t="s">
        <v>335</v>
      </c>
      <c r="E241" s="736" t="s">
        <v>4241</v>
      </c>
      <c r="F241" s="736" t="s">
        <v>4242</v>
      </c>
    </row>
    <row r="242">
      <c r="A242" s="737" t="s">
        <v>3944</v>
      </c>
      <c r="B242" s="737" t="s">
        <v>534</v>
      </c>
      <c r="E242" s="736" t="s">
        <v>4243</v>
      </c>
      <c r="F242" s="736" t="s">
        <v>4244</v>
      </c>
    </row>
    <row r="243">
      <c r="A243" s="737" t="s">
        <v>4245</v>
      </c>
      <c r="B243" s="737" t="s">
        <v>3643</v>
      </c>
      <c r="E243" s="736" t="s">
        <v>4246</v>
      </c>
      <c r="F243" s="736" t="s">
        <v>4247</v>
      </c>
    </row>
    <row r="244">
      <c r="A244" s="737" t="s">
        <v>4248</v>
      </c>
      <c r="B244" s="737" t="s">
        <v>534</v>
      </c>
      <c r="E244" s="736" t="s">
        <v>4249</v>
      </c>
      <c r="F244" s="736" t="s">
        <v>4250</v>
      </c>
    </row>
    <row r="245">
      <c r="A245" s="737" t="s">
        <v>4251</v>
      </c>
      <c r="B245" s="737" t="s">
        <v>3642</v>
      </c>
      <c r="E245" s="736" t="s">
        <v>4252</v>
      </c>
      <c r="F245" s="736" t="s">
        <v>4253</v>
      </c>
    </row>
    <row r="246">
      <c r="A246" s="737" t="s">
        <v>4254</v>
      </c>
      <c r="B246" s="737" t="s">
        <v>3786</v>
      </c>
      <c r="E246" s="736" t="s">
        <v>4255</v>
      </c>
      <c r="F246" s="736" t="s">
        <v>4256</v>
      </c>
    </row>
    <row r="247">
      <c r="A247" s="737" t="s">
        <v>4257</v>
      </c>
      <c r="B247" s="737" t="s">
        <v>3786</v>
      </c>
      <c r="E247" s="736" t="s">
        <v>4258</v>
      </c>
      <c r="F247" s="736" t="s">
        <v>4259</v>
      </c>
    </row>
    <row r="248">
      <c r="A248" s="737" t="s">
        <v>3902</v>
      </c>
      <c r="B248" s="737" t="s">
        <v>3642</v>
      </c>
      <c r="E248" s="736" t="s">
        <v>4260</v>
      </c>
      <c r="F248" s="736" t="s">
        <v>4261</v>
      </c>
    </row>
    <row r="249">
      <c r="A249" s="737" t="s">
        <v>3979</v>
      </c>
      <c r="B249" s="737" t="s">
        <v>534</v>
      </c>
      <c r="E249" s="736" t="s">
        <v>4262</v>
      </c>
      <c r="F249" s="736" t="s">
        <v>4263</v>
      </c>
    </row>
    <row r="250">
      <c r="A250" s="737" t="s">
        <v>1675</v>
      </c>
      <c r="B250" s="737" t="s">
        <v>2587</v>
      </c>
      <c r="E250" s="736" t="s">
        <v>4264</v>
      </c>
      <c r="F250" s="739"/>
    </row>
    <row r="251">
      <c r="A251" s="737" t="s">
        <v>3956</v>
      </c>
      <c r="B251" s="737" t="s">
        <v>3643</v>
      </c>
      <c r="E251" s="736" t="s">
        <v>4265</v>
      </c>
      <c r="F251" s="736" t="s">
        <v>4266</v>
      </c>
    </row>
    <row r="252">
      <c r="A252" s="737" t="s">
        <v>4267</v>
      </c>
      <c r="B252" s="737" t="s">
        <v>534</v>
      </c>
      <c r="E252" s="736" t="s">
        <v>4268</v>
      </c>
      <c r="F252" s="736" t="s">
        <v>4269</v>
      </c>
    </row>
    <row r="253">
      <c r="A253" s="737" t="s">
        <v>3870</v>
      </c>
      <c r="B253" s="737" t="s">
        <v>335</v>
      </c>
      <c r="E253" s="736" t="s">
        <v>4270</v>
      </c>
      <c r="F253" s="736" t="s">
        <v>4271</v>
      </c>
    </row>
    <row r="254">
      <c r="A254" s="737" t="s">
        <v>3905</v>
      </c>
      <c r="B254" s="737" t="s">
        <v>3786</v>
      </c>
      <c r="E254" s="736" t="s">
        <v>4272</v>
      </c>
      <c r="F254" s="736" t="s">
        <v>4273</v>
      </c>
    </row>
    <row r="255">
      <c r="A255" s="737" t="s">
        <v>3785</v>
      </c>
      <c r="B255" s="737" t="s">
        <v>3786</v>
      </c>
      <c r="E255" s="736" t="s">
        <v>4274</v>
      </c>
      <c r="F255" s="736" t="s">
        <v>4275</v>
      </c>
    </row>
    <row r="256">
      <c r="A256" s="737" t="s">
        <v>4276</v>
      </c>
      <c r="B256" s="737" t="s">
        <v>3642</v>
      </c>
      <c r="E256" s="736" t="s">
        <v>4277</v>
      </c>
      <c r="F256" s="736" t="s">
        <v>4278</v>
      </c>
    </row>
    <row r="257">
      <c r="A257" s="737" t="s">
        <v>4279</v>
      </c>
      <c r="B257" s="737" t="s">
        <v>534</v>
      </c>
      <c r="E257" s="736" t="s">
        <v>4280</v>
      </c>
      <c r="F257" s="736" t="s">
        <v>2463</v>
      </c>
    </row>
    <row r="258">
      <c r="A258" s="737" t="s">
        <v>4281</v>
      </c>
      <c r="B258" s="737" t="s">
        <v>534</v>
      </c>
      <c r="E258" s="736" t="s">
        <v>4282</v>
      </c>
      <c r="F258" s="736" t="s">
        <v>4283</v>
      </c>
    </row>
    <row r="259">
      <c r="A259" s="737" t="s">
        <v>4020</v>
      </c>
      <c r="B259" s="737" t="s">
        <v>3786</v>
      </c>
      <c r="E259" s="736" t="s">
        <v>4284</v>
      </c>
      <c r="F259" s="736" t="s">
        <v>4285</v>
      </c>
    </row>
    <row r="260">
      <c r="A260" s="737" t="s">
        <v>4286</v>
      </c>
      <c r="B260" s="737" t="s">
        <v>534</v>
      </c>
      <c r="E260" s="736" t="s">
        <v>4287</v>
      </c>
      <c r="F260" s="736" t="s">
        <v>4288</v>
      </c>
    </row>
    <row r="261">
      <c r="A261" s="737" t="s">
        <v>4289</v>
      </c>
      <c r="B261" s="737" t="s">
        <v>3786</v>
      </c>
      <c r="E261" s="736" t="s">
        <v>4290</v>
      </c>
      <c r="F261" s="736" t="s">
        <v>4291</v>
      </c>
    </row>
    <row r="262">
      <c r="A262" s="737" t="s">
        <v>3933</v>
      </c>
      <c r="B262" s="737" t="s">
        <v>3644</v>
      </c>
      <c r="E262" s="736" t="s">
        <v>4292</v>
      </c>
      <c r="F262" s="736" t="s">
        <v>4293</v>
      </c>
    </row>
    <row r="263">
      <c r="A263" s="737" t="s">
        <v>4294</v>
      </c>
      <c r="B263" s="737" t="s">
        <v>335</v>
      </c>
      <c r="E263" s="736" t="s">
        <v>4295</v>
      </c>
      <c r="F263" s="736" t="s">
        <v>4296</v>
      </c>
    </row>
    <row r="264">
      <c r="A264" s="737" t="s">
        <v>4297</v>
      </c>
      <c r="B264" s="737" t="s">
        <v>3644</v>
      </c>
      <c r="E264" s="736" t="s">
        <v>4298</v>
      </c>
      <c r="F264" s="736" t="s">
        <v>4299</v>
      </c>
    </row>
    <row r="265">
      <c r="A265" s="737" t="s">
        <v>4300</v>
      </c>
      <c r="B265" s="737" t="s">
        <v>3643</v>
      </c>
      <c r="E265" s="736" t="s">
        <v>4301</v>
      </c>
      <c r="F265" s="736" t="s">
        <v>4302</v>
      </c>
    </row>
    <row r="266">
      <c r="A266" s="737" t="s">
        <v>4303</v>
      </c>
      <c r="B266" s="737" t="s">
        <v>3644</v>
      </c>
      <c r="E266" s="736" t="s">
        <v>4304</v>
      </c>
      <c r="F266" s="736" t="s">
        <v>4305</v>
      </c>
    </row>
    <row r="267">
      <c r="A267" s="737" t="s">
        <v>3772</v>
      </c>
      <c r="B267" s="737" t="s">
        <v>2587</v>
      </c>
      <c r="E267" s="736" t="s">
        <v>4306</v>
      </c>
      <c r="F267" s="736" t="s">
        <v>4307</v>
      </c>
    </row>
    <row r="268">
      <c r="A268" s="737" t="s">
        <v>4308</v>
      </c>
      <c r="B268" s="737" t="s">
        <v>534</v>
      </c>
      <c r="E268" s="736" t="s">
        <v>4309</v>
      </c>
      <c r="F268" s="736" t="s">
        <v>4310</v>
      </c>
    </row>
    <row r="269">
      <c r="A269" s="737" t="s">
        <v>4076</v>
      </c>
      <c r="B269" s="737" t="s">
        <v>3644</v>
      </c>
      <c r="E269" s="736" t="s">
        <v>4311</v>
      </c>
      <c r="F269" s="736" t="s">
        <v>4312</v>
      </c>
    </row>
    <row r="270">
      <c r="A270" s="737" t="s">
        <v>4313</v>
      </c>
      <c r="B270" s="737" t="s">
        <v>534</v>
      </c>
      <c r="E270" s="736" t="s">
        <v>4314</v>
      </c>
      <c r="F270" s="736" t="s">
        <v>4315</v>
      </c>
    </row>
    <row r="271">
      <c r="A271" s="737" t="s">
        <v>4316</v>
      </c>
      <c r="B271" s="737" t="s">
        <v>335</v>
      </c>
      <c r="E271" s="736" t="s">
        <v>4317</v>
      </c>
      <c r="F271" s="736" t="s">
        <v>4318</v>
      </c>
    </row>
    <row r="272">
      <c r="A272" s="737" t="s">
        <v>3823</v>
      </c>
      <c r="B272" s="737" t="s">
        <v>3642</v>
      </c>
      <c r="E272" s="736" t="s">
        <v>4319</v>
      </c>
      <c r="F272" s="736" t="s">
        <v>4320</v>
      </c>
    </row>
    <row r="273">
      <c r="A273" s="737" t="s">
        <v>3820</v>
      </c>
      <c r="B273" s="737" t="s">
        <v>534</v>
      </c>
      <c r="E273" s="736" t="s">
        <v>4321</v>
      </c>
      <c r="F273" s="736" t="s">
        <v>4322</v>
      </c>
    </row>
    <row r="274">
      <c r="A274" s="737" t="s">
        <v>3847</v>
      </c>
      <c r="B274" s="737" t="s">
        <v>2587</v>
      </c>
      <c r="E274" s="736" t="s">
        <v>4323</v>
      </c>
      <c r="F274" s="736" t="s">
        <v>4324</v>
      </c>
    </row>
    <row r="275">
      <c r="A275" s="737" t="s">
        <v>3939</v>
      </c>
      <c r="B275" s="737" t="s">
        <v>3643</v>
      </c>
      <c r="E275" s="736" t="s">
        <v>4325</v>
      </c>
      <c r="F275" s="736" t="s">
        <v>4326</v>
      </c>
    </row>
    <row r="276">
      <c r="A276" s="737" t="s">
        <v>3724</v>
      </c>
      <c r="B276" s="737" t="s">
        <v>3644</v>
      </c>
      <c r="E276" s="736" t="s">
        <v>4327</v>
      </c>
      <c r="F276" s="736" t="s">
        <v>4328</v>
      </c>
    </row>
    <row r="277">
      <c r="A277" s="737" t="s">
        <v>4329</v>
      </c>
      <c r="B277" s="737" t="s">
        <v>3642</v>
      </c>
      <c r="E277" s="736" t="s">
        <v>4330</v>
      </c>
      <c r="F277" s="736" t="s">
        <v>4331</v>
      </c>
    </row>
    <row r="278">
      <c r="A278" s="737" t="s">
        <v>4332</v>
      </c>
      <c r="B278" s="737" t="s">
        <v>335</v>
      </c>
      <c r="E278" s="736" t="s">
        <v>4333</v>
      </c>
      <c r="F278" s="736" t="s">
        <v>4334</v>
      </c>
    </row>
    <row r="279">
      <c r="A279" s="737" t="s">
        <v>3976</v>
      </c>
      <c r="B279" s="737" t="s">
        <v>335</v>
      </c>
      <c r="E279" s="736" t="s">
        <v>4335</v>
      </c>
      <c r="F279" s="736" t="s">
        <v>4336</v>
      </c>
    </row>
    <row r="280">
      <c r="A280" s="737" t="s">
        <v>1526</v>
      </c>
      <c r="B280" s="737" t="s">
        <v>335</v>
      </c>
      <c r="E280" s="736" t="s">
        <v>4337</v>
      </c>
      <c r="F280" s="736" t="s">
        <v>4338</v>
      </c>
    </row>
    <row r="281">
      <c r="A281" s="737" t="s">
        <v>4339</v>
      </c>
      <c r="B281" s="737" t="s">
        <v>335</v>
      </c>
      <c r="E281" s="736" t="s">
        <v>4340</v>
      </c>
      <c r="F281" s="736" t="s">
        <v>4341</v>
      </c>
    </row>
    <row r="282">
      <c r="A282" s="737" t="s">
        <v>4162</v>
      </c>
      <c r="B282" s="737" t="s">
        <v>3642</v>
      </c>
      <c r="E282" s="736" t="s">
        <v>4342</v>
      </c>
      <c r="F282" s="736" t="s">
        <v>4343</v>
      </c>
    </row>
    <row r="283">
      <c r="A283" s="737" t="s">
        <v>4141</v>
      </c>
      <c r="B283" s="737" t="s">
        <v>534</v>
      </c>
      <c r="E283" s="736" t="s">
        <v>4344</v>
      </c>
      <c r="F283" s="736" t="s">
        <v>4345</v>
      </c>
    </row>
    <row r="284">
      <c r="A284" s="737" t="s">
        <v>4346</v>
      </c>
      <c r="B284" s="737" t="s">
        <v>3643</v>
      </c>
      <c r="E284" s="736" t="s">
        <v>4347</v>
      </c>
      <c r="F284" s="736" t="s">
        <v>4348</v>
      </c>
    </row>
    <row r="285">
      <c r="A285" s="737" t="s">
        <v>3856</v>
      </c>
      <c r="B285" s="737" t="s">
        <v>534</v>
      </c>
      <c r="E285" s="736" t="s">
        <v>4349</v>
      </c>
      <c r="F285" s="736" t="s">
        <v>4350</v>
      </c>
    </row>
    <row r="286">
      <c r="A286" s="737" t="s">
        <v>4351</v>
      </c>
      <c r="B286" s="737" t="s">
        <v>3644</v>
      </c>
      <c r="E286" s="736" t="s">
        <v>4352</v>
      </c>
      <c r="F286" s="736" t="s">
        <v>4353</v>
      </c>
    </row>
    <row r="287">
      <c r="A287" s="737" t="s">
        <v>4354</v>
      </c>
      <c r="B287" s="737" t="s">
        <v>2587</v>
      </c>
      <c r="E287" s="736" t="s">
        <v>4355</v>
      </c>
      <c r="F287" s="736" t="s">
        <v>4356</v>
      </c>
    </row>
    <row r="288">
      <c r="A288" s="737" t="s">
        <v>3775</v>
      </c>
      <c r="B288" s="737" t="s">
        <v>3642</v>
      </c>
      <c r="E288" s="736" t="s">
        <v>4357</v>
      </c>
      <c r="F288" s="736" t="s">
        <v>4358</v>
      </c>
    </row>
    <row r="289">
      <c r="A289" s="737" t="s">
        <v>4359</v>
      </c>
      <c r="B289" s="737" t="s">
        <v>534</v>
      </c>
      <c r="E289" s="736" t="s">
        <v>4360</v>
      </c>
      <c r="F289" s="736" t="s">
        <v>4361</v>
      </c>
    </row>
    <row r="290">
      <c r="A290" s="737" t="s">
        <v>3919</v>
      </c>
      <c r="B290" s="737" t="s">
        <v>3642</v>
      </c>
      <c r="E290" s="736" t="s">
        <v>4362</v>
      </c>
      <c r="F290" s="736" t="s">
        <v>4363</v>
      </c>
    </row>
    <row r="291">
      <c r="A291" s="737" t="s">
        <v>4364</v>
      </c>
      <c r="B291" s="737" t="s">
        <v>3643</v>
      </c>
      <c r="E291" s="736" t="s">
        <v>4365</v>
      </c>
      <c r="F291" s="736" t="s">
        <v>4366</v>
      </c>
    </row>
    <row r="292">
      <c r="A292" s="737" t="s">
        <v>3746</v>
      </c>
      <c r="B292" s="737" t="s">
        <v>534</v>
      </c>
      <c r="E292" s="736" t="s">
        <v>4367</v>
      </c>
      <c r="F292" s="736" t="s">
        <v>4368</v>
      </c>
    </row>
    <row r="293">
      <c r="A293" s="737" t="s">
        <v>1500</v>
      </c>
      <c r="B293" s="737" t="s">
        <v>3642</v>
      </c>
      <c r="E293" s="736" t="s">
        <v>4369</v>
      </c>
      <c r="F293" s="736" t="s">
        <v>4370</v>
      </c>
    </row>
    <row r="294">
      <c r="A294" s="737" t="s">
        <v>1043</v>
      </c>
      <c r="B294" s="737" t="s">
        <v>2587</v>
      </c>
      <c r="E294" s="736" t="s">
        <v>4371</v>
      </c>
      <c r="F294" s="736" t="s">
        <v>4372</v>
      </c>
    </row>
    <row r="295">
      <c r="A295" s="737" t="s">
        <v>4114</v>
      </c>
      <c r="B295" s="737" t="s">
        <v>3642</v>
      </c>
      <c r="E295" s="736" t="s">
        <v>4373</v>
      </c>
      <c r="F295" s="736" t="s">
        <v>4374</v>
      </c>
    </row>
    <row r="296">
      <c r="A296" s="737" t="s">
        <v>3715</v>
      </c>
      <c r="B296" s="737" t="s">
        <v>3643</v>
      </c>
      <c r="E296" s="736" t="s">
        <v>4375</v>
      </c>
      <c r="F296" s="739"/>
    </row>
    <row r="297">
      <c r="A297" s="737" t="s">
        <v>4376</v>
      </c>
      <c r="B297" s="737" t="s">
        <v>534</v>
      </c>
      <c r="E297" s="736" t="s">
        <v>4377</v>
      </c>
      <c r="F297" s="736" t="s">
        <v>4378</v>
      </c>
    </row>
    <row r="298">
      <c r="A298" s="737" t="s">
        <v>4379</v>
      </c>
      <c r="B298" s="737" t="s">
        <v>3644</v>
      </c>
      <c r="E298" s="736" t="s">
        <v>4380</v>
      </c>
      <c r="F298" s="736" t="s">
        <v>4381</v>
      </c>
    </row>
    <row r="299">
      <c r="A299" s="737" t="s">
        <v>3751</v>
      </c>
      <c r="B299" s="737" t="s">
        <v>3643</v>
      </c>
      <c r="E299" s="736" t="s">
        <v>4382</v>
      </c>
      <c r="F299" s="736" t="s">
        <v>4383</v>
      </c>
    </row>
    <row r="300">
      <c r="A300" s="737" t="s">
        <v>4384</v>
      </c>
      <c r="B300" s="737" t="s">
        <v>534</v>
      </c>
      <c r="E300" s="736" t="s">
        <v>4385</v>
      </c>
      <c r="F300" s="736" t="s">
        <v>4386</v>
      </c>
    </row>
    <row r="301">
      <c r="A301" s="737" t="s">
        <v>4387</v>
      </c>
      <c r="B301" s="737" t="s">
        <v>335</v>
      </c>
      <c r="E301" s="736" t="s">
        <v>4388</v>
      </c>
      <c r="F301" s="736" t="s">
        <v>4389</v>
      </c>
    </row>
    <row r="302">
      <c r="A302" s="737" t="s">
        <v>3684</v>
      </c>
      <c r="B302" s="737" t="s">
        <v>3644</v>
      </c>
      <c r="E302" s="736" t="s">
        <v>4390</v>
      </c>
      <c r="F302" s="736" t="s">
        <v>4391</v>
      </c>
    </row>
    <row r="303">
      <c r="A303" s="737" t="s">
        <v>4159</v>
      </c>
      <c r="B303" s="737" t="s">
        <v>534</v>
      </c>
      <c r="E303" s="736" t="s">
        <v>4392</v>
      </c>
      <c r="F303" s="736" t="s">
        <v>4393</v>
      </c>
    </row>
    <row r="304">
      <c r="A304" s="737" t="s">
        <v>3867</v>
      </c>
      <c r="B304" s="737" t="s">
        <v>534</v>
      </c>
      <c r="E304" s="736" t="s">
        <v>4394</v>
      </c>
      <c r="F304" s="736" t="s">
        <v>4395</v>
      </c>
    </row>
    <row r="305">
      <c r="A305" s="737" t="s">
        <v>304</v>
      </c>
      <c r="B305" s="737" t="s">
        <v>3644</v>
      </c>
      <c r="E305" s="736" t="s">
        <v>4396</v>
      </c>
      <c r="F305" s="736" t="s">
        <v>4397</v>
      </c>
    </row>
    <row r="306">
      <c r="A306" s="737" t="s">
        <v>3921</v>
      </c>
      <c r="B306" s="737" t="s">
        <v>3643</v>
      </c>
      <c r="E306" s="736" t="s">
        <v>4398</v>
      </c>
      <c r="F306" s="736" t="s">
        <v>4399</v>
      </c>
    </row>
    <row r="307">
      <c r="A307" s="737" t="s">
        <v>3979</v>
      </c>
      <c r="B307" s="737" t="s">
        <v>3644</v>
      </c>
      <c r="E307" s="736" t="s">
        <v>4400</v>
      </c>
      <c r="F307" s="736" t="s">
        <v>4401</v>
      </c>
    </row>
    <row r="308">
      <c r="A308" s="737" t="s">
        <v>4379</v>
      </c>
      <c r="B308" s="737" t="s">
        <v>3644</v>
      </c>
      <c r="E308" s="736" t="s">
        <v>4402</v>
      </c>
      <c r="F308" s="736" t="s">
        <v>4403</v>
      </c>
    </row>
    <row r="309">
      <c r="A309" s="737" t="s">
        <v>3882</v>
      </c>
      <c r="B309" s="737" t="s">
        <v>3644</v>
      </c>
      <c r="E309" s="736" t="s">
        <v>4404</v>
      </c>
      <c r="F309" s="736" t="s">
        <v>4405</v>
      </c>
    </row>
    <row r="310">
      <c r="A310" s="737" t="s">
        <v>4406</v>
      </c>
      <c r="B310" s="737" t="s">
        <v>335</v>
      </c>
      <c r="E310" s="736" t="s">
        <v>4407</v>
      </c>
      <c r="F310" s="736" t="s">
        <v>4408</v>
      </c>
    </row>
    <row r="311">
      <c r="A311" s="737" t="s">
        <v>4240</v>
      </c>
      <c r="B311" s="737" t="s">
        <v>335</v>
      </c>
      <c r="E311" s="736" t="s">
        <v>4409</v>
      </c>
      <c r="F311" s="736" t="s">
        <v>4410</v>
      </c>
    </row>
    <row r="312">
      <c r="A312" s="737" t="s">
        <v>1342</v>
      </c>
      <c r="B312" s="737" t="s">
        <v>3642</v>
      </c>
      <c r="E312" s="736" t="s">
        <v>4411</v>
      </c>
      <c r="F312" s="736" t="s">
        <v>4412</v>
      </c>
    </row>
    <row r="313">
      <c r="A313" s="737" t="s">
        <v>3757</v>
      </c>
      <c r="B313" s="737" t="s">
        <v>534</v>
      </c>
      <c r="E313" s="736" t="s">
        <v>4413</v>
      </c>
      <c r="F313" s="736" t="s">
        <v>4414</v>
      </c>
    </row>
    <row r="314">
      <c r="A314" s="737" t="s">
        <v>4122</v>
      </c>
      <c r="B314" s="737" t="s">
        <v>3642</v>
      </c>
      <c r="E314" s="736" t="s">
        <v>4415</v>
      </c>
      <c r="F314" s="736" t="s">
        <v>4416</v>
      </c>
    </row>
    <row r="315">
      <c r="A315" s="737" t="s">
        <v>3751</v>
      </c>
      <c r="B315" s="737" t="s">
        <v>3643</v>
      </c>
      <c r="E315" s="736" t="s">
        <v>4417</v>
      </c>
      <c r="F315" s="736" t="s">
        <v>4418</v>
      </c>
    </row>
    <row r="316">
      <c r="A316" s="737" t="s">
        <v>4419</v>
      </c>
      <c r="B316" s="737" t="s">
        <v>534</v>
      </c>
      <c r="E316" s="736" t="s">
        <v>4420</v>
      </c>
      <c r="F316" s="736" t="s">
        <v>4421</v>
      </c>
    </row>
    <row r="317">
      <c r="A317" s="737" t="s">
        <v>184</v>
      </c>
      <c r="B317" s="737" t="s">
        <v>534</v>
      </c>
      <c r="E317" s="736" t="s">
        <v>4422</v>
      </c>
      <c r="F317" s="736" t="s">
        <v>4423</v>
      </c>
    </row>
    <row r="318">
      <c r="A318" s="737" t="s">
        <v>4424</v>
      </c>
      <c r="B318" s="737" t="s">
        <v>3642</v>
      </c>
      <c r="E318" s="736" t="s">
        <v>4425</v>
      </c>
      <c r="F318" s="736" t="s">
        <v>3753</v>
      </c>
    </row>
    <row r="319">
      <c r="A319" s="737" t="s">
        <v>2512</v>
      </c>
      <c r="B319" s="737" t="s">
        <v>3643</v>
      </c>
      <c r="E319" s="736" t="s">
        <v>4426</v>
      </c>
      <c r="F319" s="736" t="s">
        <v>4427</v>
      </c>
    </row>
    <row r="320">
      <c r="A320" s="737" t="s">
        <v>3944</v>
      </c>
      <c r="B320" s="737" t="s">
        <v>534</v>
      </c>
      <c r="E320" s="736" t="s">
        <v>4428</v>
      </c>
      <c r="F320" s="736" t="s">
        <v>4429</v>
      </c>
    </row>
    <row r="321">
      <c r="A321" s="737" t="s">
        <v>4430</v>
      </c>
      <c r="B321" s="737" t="s">
        <v>3642</v>
      </c>
      <c r="E321" s="736" t="s">
        <v>4431</v>
      </c>
      <c r="F321" s="736" t="s">
        <v>4432</v>
      </c>
    </row>
    <row r="322">
      <c r="A322" s="737" t="s">
        <v>4433</v>
      </c>
      <c r="B322" s="737" t="s">
        <v>335</v>
      </c>
      <c r="E322" s="736" t="s">
        <v>4434</v>
      </c>
      <c r="F322" s="736" t="s">
        <v>4435</v>
      </c>
    </row>
    <row r="323">
      <c r="A323" s="737" t="s">
        <v>4436</v>
      </c>
      <c r="B323" s="737" t="s">
        <v>3644</v>
      </c>
      <c r="E323" s="736" t="s">
        <v>4437</v>
      </c>
      <c r="F323" s="736" t="s">
        <v>4438</v>
      </c>
    </row>
    <row r="324">
      <c r="A324" s="737" t="s">
        <v>4439</v>
      </c>
      <c r="B324" s="737" t="s">
        <v>3642</v>
      </c>
      <c r="E324" s="736" t="s">
        <v>4440</v>
      </c>
      <c r="F324" s="736" t="s">
        <v>4441</v>
      </c>
    </row>
    <row r="325">
      <c r="A325" s="737" t="s">
        <v>4442</v>
      </c>
      <c r="B325" s="737" t="s">
        <v>534</v>
      </c>
      <c r="E325" s="736" t="s">
        <v>4443</v>
      </c>
      <c r="F325" s="736" t="s">
        <v>4444</v>
      </c>
    </row>
    <row r="326">
      <c r="A326" s="737" t="s">
        <v>3876</v>
      </c>
      <c r="B326" s="737" t="s">
        <v>3643</v>
      </c>
      <c r="E326" s="736" t="s">
        <v>4445</v>
      </c>
      <c r="F326" s="736" t="s">
        <v>4446</v>
      </c>
    </row>
    <row r="327">
      <c r="A327" s="737" t="s">
        <v>4156</v>
      </c>
      <c r="B327" s="737" t="s">
        <v>3643</v>
      </c>
      <c r="E327" s="736" t="s">
        <v>4447</v>
      </c>
      <c r="F327" s="736" t="s">
        <v>4448</v>
      </c>
    </row>
    <row r="328">
      <c r="A328" s="737" t="s">
        <v>4449</v>
      </c>
      <c r="B328" s="737" t="s">
        <v>534</v>
      </c>
      <c r="E328" s="736" t="s">
        <v>4450</v>
      </c>
      <c r="F328" s="736" t="s">
        <v>4451</v>
      </c>
    </row>
    <row r="329">
      <c r="A329" s="737" t="s">
        <v>2423</v>
      </c>
      <c r="B329" s="737" t="s">
        <v>3644</v>
      </c>
      <c r="E329" s="736" t="s">
        <v>4452</v>
      </c>
      <c r="F329" s="736" t="s">
        <v>4453</v>
      </c>
    </row>
    <row r="330">
      <c r="A330" s="737" t="s">
        <v>3806</v>
      </c>
      <c r="B330" s="737" t="s">
        <v>335</v>
      </c>
      <c r="E330" s="736" t="s">
        <v>4454</v>
      </c>
      <c r="F330" s="736" t="s">
        <v>4455</v>
      </c>
    </row>
    <row r="331">
      <c r="A331" s="737" t="s">
        <v>2284</v>
      </c>
      <c r="B331" s="737" t="s">
        <v>2587</v>
      </c>
      <c r="E331" s="736" t="s">
        <v>4456</v>
      </c>
      <c r="F331" s="736" t="s">
        <v>4457</v>
      </c>
    </row>
    <row r="332">
      <c r="A332" s="737" t="s">
        <v>4458</v>
      </c>
      <c r="B332" s="737" t="s">
        <v>3642</v>
      </c>
      <c r="E332" s="736" t="s">
        <v>4459</v>
      </c>
      <c r="F332" s="736" t="s">
        <v>4460</v>
      </c>
    </row>
    <row r="333">
      <c r="A333" s="737" t="s">
        <v>4066</v>
      </c>
      <c r="B333" s="737" t="s">
        <v>3644</v>
      </c>
      <c r="E333" s="736" t="s">
        <v>4461</v>
      </c>
      <c r="F333" s="736" t="s">
        <v>4462</v>
      </c>
    </row>
    <row r="334">
      <c r="A334" s="737" t="s">
        <v>4463</v>
      </c>
      <c r="B334" s="737" t="s">
        <v>335</v>
      </c>
      <c r="E334" s="736" t="s">
        <v>4464</v>
      </c>
      <c r="F334" s="736" t="s">
        <v>4465</v>
      </c>
    </row>
    <row r="335">
      <c r="A335" s="737" t="s">
        <v>3778</v>
      </c>
      <c r="B335" s="737" t="s">
        <v>534</v>
      </c>
      <c r="E335" s="736" t="s">
        <v>4466</v>
      </c>
      <c r="F335" s="736" t="s">
        <v>4467</v>
      </c>
    </row>
    <row r="336">
      <c r="A336" s="737" t="s">
        <v>4004</v>
      </c>
      <c r="B336" s="737" t="s">
        <v>335</v>
      </c>
      <c r="E336" s="736" t="s">
        <v>4468</v>
      </c>
      <c r="F336" s="736" t="s">
        <v>4469</v>
      </c>
    </row>
    <row r="337">
      <c r="A337" s="737" t="s">
        <v>4470</v>
      </c>
      <c r="B337" s="737" t="s">
        <v>534</v>
      </c>
      <c r="E337" s="736" t="s">
        <v>4471</v>
      </c>
      <c r="F337" s="736" t="s">
        <v>4472</v>
      </c>
    </row>
    <row r="338">
      <c r="A338" s="737" t="s">
        <v>3951</v>
      </c>
      <c r="B338" s="737" t="s">
        <v>3642</v>
      </c>
      <c r="E338" s="736" t="s">
        <v>4473</v>
      </c>
      <c r="F338" s="736" t="s">
        <v>4474</v>
      </c>
    </row>
    <row r="339">
      <c r="A339" s="737" t="s">
        <v>4017</v>
      </c>
      <c r="B339" s="737" t="s">
        <v>534</v>
      </c>
      <c r="E339" s="736" t="s">
        <v>4475</v>
      </c>
      <c r="F339" s="736" t="s">
        <v>4476</v>
      </c>
    </row>
    <row r="340">
      <c r="A340" s="737" t="s">
        <v>4477</v>
      </c>
      <c r="B340" s="737" t="s">
        <v>3644</v>
      </c>
      <c r="E340" s="736" t="s">
        <v>4478</v>
      </c>
      <c r="F340" s="736" t="s">
        <v>4479</v>
      </c>
    </row>
    <row r="341">
      <c r="A341" s="737" t="s">
        <v>4480</v>
      </c>
      <c r="B341" s="737" t="s">
        <v>3642</v>
      </c>
      <c r="E341" s="736" t="s">
        <v>4481</v>
      </c>
      <c r="F341" s="736" t="s">
        <v>4482</v>
      </c>
    </row>
    <row r="342">
      <c r="A342" s="737" t="s">
        <v>4483</v>
      </c>
      <c r="B342" s="737" t="s">
        <v>534</v>
      </c>
      <c r="E342" s="736" t="s">
        <v>4484</v>
      </c>
      <c r="F342" s="736" t="s">
        <v>4485</v>
      </c>
    </row>
    <row r="343">
      <c r="A343" s="737" t="s">
        <v>4486</v>
      </c>
      <c r="B343" s="737" t="s">
        <v>335</v>
      </c>
      <c r="E343" s="736" t="s">
        <v>4487</v>
      </c>
      <c r="F343" s="736" t="s">
        <v>280</v>
      </c>
    </row>
    <row r="344">
      <c r="A344" s="737" t="s">
        <v>3835</v>
      </c>
      <c r="B344" s="737" t="s">
        <v>2587</v>
      </c>
      <c r="E344" s="736" t="s">
        <v>4488</v>
      </c>
      <c r="F344" s="736" t="s">
        <v>4489</v>
      </c>
    </row>
    <row r="345">
      <c r="A345" s="737" t="s">
        <v>532</v>
      </c>
      <c r="B345" s="737" t="s">
        <v>534</v>
      </c>
      <c r="E345" s="736" t="s">
        <v>4490</v>
      </c>
      <c r="F345" s="736" t="s">
        <v>4491</v>
      </c>
    </row>
    <row r="346">
      <c r="A346" s="737" t="s">
        <v>4492</v>
      </c>
      <c r="B346" s="737" t="s">
        <v>3643</v>
      </c>
      <c r="E346" s="736" t="s">
        <v>4493</v>
      </c>
      <c r="F346" s="736" t="s">
        <v>4494</v>
      </c>
    </row>
    <row r="347">
      <c r="A347" s="737" t="s">
        <v>4495</v>
      </c>
      <c r="B347" s="737" t="s">
        <v>3642</v>
      </c>
      <c r="E347" s="736" t="s">
        <v>4496</v>
      </c>
      <c r="F347" s="736" t="s">
        <v>4497</v>
      </c>
    </row>
    <row r="348">
      <c r="A348" s="737" t="s">
        <v>1517</v>
      </c>
      <c r="B348" s="737" t="s">
        <v>335</v>
      </c>
      <c r="E348" s="736" t="s">
        <v>4498</v>
      </c>
      <c r="F348" s="736" t="s">
        <v>4499</v>
      </c>
    </row>
    <row r="349">
      <c r="A349" s="737" t="s">
        <v>4500</v>
      </c>
      <c r="B349" s="737" t="s">
        <v>534</v>
      </c>
      <c r="E349" s="736" t="s">
        <v>4501</v>
      </c>
      <c r="F349" s="736" t="s">
        <v>3956</v>
      </c>
    </row>
    <row r="350">
      <c r="A350" s="737" t="s">
        <v>4430</v>
      </c>
      <c r="B350" s="737" t="s">
        <v>3642</v>
      </c>
      <c r="E350" s="736" t="s">
        <v>4502</v>
      </c>
      <c r="F350" s="736" t="s">
        <v>4503</v>
      </c>
    </row>
    <row r="351">
      <c r="A351" s="737" t="s">
        <v>4114</v>
      </c>
      <c r="B351" s="737" t="s">
        <v>3642</v>
      </c>
      <c r="E351" s="736" t="s">
        <v>4504</v>
      </c>
      <c r="F351" s="736" t="s">
        <v>4505</v>
      </c>
    </row>
    <row r="352">
      <c r="A352" s="737" t="s">
        <v>4506</v>
      </c>
      <c r="B352" s="737" t="s">
        <v>335</v>
      </c>
      <c r="E352" s="736" t="s">
        <v>4507</v>
      </c>
      <c r="F352" s="736" t="s">
        <v>4508</v>
      </c>
    </row>
    <row r="353">
      <c r="A353" s="737" t="s">
        <v>4087</v>
      </c>
      <c r="B353" s="737" t="s">
        <v>534</v>
      </c>
      <c r="E353" s="736" t="s">
        <v>4509</v>
      </c>
      <c r="F353" s="736" t="s">
        <v>4510</v>
      </c>
    </row>
    <row r="354">
      <c r="A354" s="737" t="s">
        <v>4511</v>
      </c>
      <c r="B354" s="737" t="s">
        <v>534</v>
      </c>
      <c r="E354" s="736" t="s">
        <v>4512</v>
      </c>
      <c r="F354" s="736" t="s">
        <v>4513</v>
      </c>
    </row>
    <row r="355">
      <c r="A355" s="737" t="s">
        <v>3789</v>
      </c>
      <c r="B355" s="737" t="s">
        <v>3643</v>
      </c>
      <c r="E355" s="736" t="s">
        <v>4514</v>
      </c>
      <c r="F355" s="736" t="s">
        <v>4515</v>
      </c>
    </row>
    <row r="356">
      <c r="A356" s="737" t="s">
        <v>4093</v>
      </c>
      <c r="B356" s="737" t="s">
        <v>3642</v>
      </c>
      <c r="E356" s="736" t="s">
        <v>4516</v>
      </c>
      <c r="F356" s="736" t="s">
        <v>4517</v>
      </c>
    </row>
    <row r="357">
      <c r="A357" s="737" t="s">
        <v>4162</v>
      </c>
      <c r="B357" s="737" t="s">
        <v>3642</v>
      </c>
      <c r="E357" s="736" t="s">
        <v>4518</v>
      </c>
      <c r="F357" s="736" t="s">
        <v>4519</v>
      </c>
    </row>
    <row r="358">
      <c r="A358" s="737" t="s">
        <v>4520</v>
      </c>
      <c r="B358" s="737" t="s">
        <v>335</v>
      </c>
      <c r="E358" s="736" t="s">
        <v>4521</v>
      </c>
      <c r="F358" s="736" t="s">
        <v>4522</v>
      </c>
    </row>
    <row r="359">
      <c r="A359" s="737" t="s">
        <v>3751</v>
      </c>
      <c r="B359" s="737" t="s">
        <v>3643</v>
      </c>
      <c r="E359" s="736" t="s">
        <v>4523</v>
      </c>
      <c r="F359" s="736" t="s">
        <v>4524</v>
      </c>
    </row>
    <row r="360">
      <c r="A360" s="737" t="s">
        <v>4254</v>
      </c>
      <c r="B360" s="737" t="s">
        <v>534</v>
      </c>
      <c r="E360" s="736" t="s">
        <v>4525</v>
      </c>
      <c r="F360" s="736" t="s">
        <v>4526</v>
      </c>
    </row>
    <row r="361">
      <c r="A361" s="737" t="s">
        <v>4527</v>
      </c>
      <c r="B361" s="737" t="s">
        <v>335</v>
      </c>
      <c r="E361" s="736" t="s">
        <v>4528</v>
      </c>
      <c r="F361" s="736" t="s">
        <v>4529</v>
      </c>
    </row>
    <row r="362">
      <c r="A362" s="737" t="s">
        <v>4530</v>
      </c>
      <c r="B362" s="737" t="s">
        <v>3644</v>
      </c>
      <c r="E362" s="736" t="s">
        <v>4531</v>
      </c>
      <c r="F362" s="736" t="s">
        <v>4532</v>
      </c>
    </row>
    <row r="363">
      <c r="A363" s="737" t="s">
        <v>3919</v>
      </c>
      <c r="B363" s="737" t="s">
        <v>3642</v>
      </c>
      <c r="E363" s="736" t="s">
        <v>4533</v>
      </c>
      <c r="F363" s="736" t="s">
        <v>4534</v>
      </c>
    </row>
    <row r="364">
      <c r="A364" s="737" t="s">
        <v>4424</v>
      </c>
      <c r="B364" s="737" t="s">
        <v>2587</v>
      </c>
      <c r="E364" s="736" t="s">
        <v>4535</v>
      </c>
      <c r="F364" s="736" t="s">
        <v>4536</v>
      </c>
    </row>
    <row r="365">
      <c r="A365" s="737" t="s">
        <v>4537</v>
      </c>
      <c r="B365" s="737" t="s">
        <v>335</v>
      </c>
      <c r="E365" s="736" t="s">
        <v>4538</v>
      </c>
      <c r="F365" s="736" t="s">
        <v>4539</v>
      </c>
    </row>
    <row r="366">
      <c r="A366" s="737" t="s">
        <v>344</v>
      </c>
      <c r="B366" s="737" t="s">
        <v>335</v>
      </c>
      <c r="E366" s="736" t="s">
        <v>4540</v>
      </c>
      <c r="F366" s="736" t="s">
        <v>4541</v>
      </c>
    </row>
    <row r="367">
      <c r="A367" s="737" t="s">
        <v>4477</v>
      </c>
      <c r="B367" s="737" t="s">
        <v>3644</v>
      </c>
      <c r="E367" s="736" t="s">
        <v>4542</v>
      </c>
      <c r="F367" s="736" t="s">
        <v>4543</v>
      </c>
    </row>
    <row r="368">
      <c r="A368" s="737" t="s">
        <v>4544</v>
      </c>
      <c r="B368" s="737" t="s">
        <v>534</v>
      </c>
      <c r="E368" s="736" t="s">
        <v>4545</v>
      </c>
      <c r="F368" s="736" t="s">
        <v>485</v>
      </c>
    </row>
    <row r="369">
      <c r="A369" s="737" t="s">
        <v>3956</v>
      </c>
      <c r="B369" s="737" t="s">
        <v>3643</v>
      </c>
      <c r="E369" s="736" t="s">
        <v>4546</v>
      </c>
      <c r="F369" s="739"/>
    </row>
    <row r="370">
      <c r="A370" s="737" t="s">
        <v>3870</v>
      </c>
      <c r="B370" s="737" t="s">
        <v>335</v>
      </c>
      <c r="E370" s="736" t="s">
        <v>4547</v>
      </c>
      <c r="F370" s="736" t="s">
        <v>4548</v>
      </c>
    </row>
    <row r="371">
      <c r="A371" s="737" t="s">
        <v>4023</v>
      </c>
      <c r="B371" s="737" t="s">
        <v>3644</v>
      </c>
      <c r="E371" s="736" t="s">
        <v>4549</v>
      </c>
      <c r="F371" s="739"/>
    </row>
    <row r="372">
      <c r="A372" s="737" t="s">
        <v>3930</v>
      </c>
      <c r="B372" s="737" t="s">
        <v>2587</v>
      </c>
      <c r="E372" s="736" t="s">
        <v>4550</v>
      </c>
      <c r="F372" s="736" t="s">
        <v>4551</v>
      </c>
    </row>
    <row r="373">
      <c r="A373" s="737" t="s">
        <v>3746</v>
      </c>
      <c r="B373" s="737" t="s">
        <v>534</v>
      </c>
      <c r="E373" s="736" t="s">
        <v>4552</v>
      </c>
      <c r="F373" s="736" t="s">
        <v>4553</v>
      </c>
    </row>
    <row r="374">
      <c r="A374" s="737" t="s">
        <v>3678</v>
      </c>
      <c r="B374" s="737" t="s">
        <v>335</v>
      </c>
      <c r="E374" s="736" t="s">
        <v>4554</v>
      </c>
      <c r="F374" s="736" t="s">
        <v>4555</v>
      </c>
    </row>
    <row r="375">
      <c r="A375" s="737" t="s">
        <v>1816</v>
      </c>
      <c r="B375" s="737" t="s">
        <v>3643</v>
      </c>
      <c r="E375" s="736" t="s">
        <v>4556</v>
      </c>
      <c r="F375" s="736" t="s">
        <v>4557</v>
      </c>
    </row>
    <row r="376">
      <c r="A376" s="737" t="s">
        <v>4193</v>
      </c>
      <c r="B376" s="737" t="s">
        <v>534</v>
      </c>
      <c r="E376" s="736" t="s">
        <v>4558</v>
      </c>
      <c r="F376" s="736" t="s">
        <v>4559</v>
      </c>
    </row>
    <row r="377">
      <c r="A377" s="737" t="s">
        <v>3896</v>
      </c>
      <c r="B377" s="737" t="s">
        <v>3642</v>
      </c>
      <c r="E377" s="736" t="s">
        <v>4560</v>
      </c>
      <c r="F377" s="736" t="s">
        <v>4561</v>
      </c>
    </row>
    <row r="378">
      <c r="A378" s="737" t="s">
        <v>4562</v>
      </c>
      <c r="B378" s="737" t="s">
        <v>335</v>
      </c>
      <c r="E378" s="736" t="s">
        <v>4563</v>
      </c>
      <c r="F378" s="736" t="s">
        <v>4564</v>
      </c>
    </row>
    <row r="379">
      <c r="A379" s="737" t="s">
        <v>1775</v>
      </c>
      <c r="B379" s="737" t="s">
        <v>3644</v>
      </c>
      <c r="E379" s="736" t="s">
        <v>4565</v>
      </c>
      <c r="F379" s="736" t="s">
        <v>4566</v>
      </c>
    </row>
    <row r="380">
      <c r="A380" s="737" t="s">
        <v>3902</v>
      </c>
      <c r="B380" s="737" t="s">
        <v>3642</v>
      </c>
      <c r="E380" s="736" t="s">
        <v>4567</v>
      </c>
      <c r="F380" s="736" t="s">
        <v>4568</v>
      </c>
    </row>
    <row r="381">
      <c r="A381" s="737" t="s">
        <v>4569</v>
      </c>
      <c r="B381" s="737" t="s">
        <v>3644</v>
      </c>
      <c r="E381" s="736" t="s">
        <v>4570</v>
      </c>
      <c r="F381" s="736" t="s">
        <v>4571</v>
      </c>
    </row>
    <row r="382">
      <c r="A382" s="737" t="s">
        <v>4572</v>
      </c>
      <c r="B382" s="737" t="s">
        <v>534</v>
      </c>
      <c r="E382" s="736" t="s">
        <v>4573</v>
      </c>
      <c r="F382" s="736" t="s">
        <v>4574</v>
      </c>
    </row>
    <row r="383">
      <c r="A383" s="737" t="s">
        <v>3729</v>
      </c>
      <c r="B383" s="737" t="s">
        <v>335</v>
      </c>
      <c r="E383" s="736" t="s">
        <v>4575</v>
      </c>
      <c r="F383" s="736" t="s">
        <v>4576</v>
      </c>
    </row>
    <row r="384">
      <c r="A384" s="737" t="s">
        <v>3856</v>
      </c>
      <c r="B384" s="737" t="s">
        <v>534</v>
      </c>
      <c r="E384" s="736" t="s">
        <v>4577</v>
      </c>
      <c r="F384" s="736" t="s">
        <v>4578</v>
      </c>
    </row>
    <row r="385">
      <c r="A385" s="737" t="s">
        <v>3841</v>
      </c>
      <c r="B385" s="737" t="s">
        <v>335</v>
      </c>
      <c r="E385" s="736" t="s">
        <v>4579</v>
      </c>
      <c r="F385" s="736" t="s">
        <v>4580</v>
      </c>
    </row>
    <row r="386">
      <c r="A386" s="737" t="s">
        <v>2369</v>
      </c>
      <c r="B386" s="737" t="s">
        <v>3643</v>
      </c>
      <c r="E386" s="736" t="s">
        <v>4581</v>
      </c>
      <c r="F386" s="736" t="s">
        <v>4582</v>
      </c>
    </row>
    <row r="387">
      <c r="A387" s="737" t="s">
        <v>3684</v>
      </c>
      <c r="B387" s="737" t="s">
        <v>3644</v>
      </c>
      <c r="E387" s="736" t="s">
        <v>4583</v>
      </c>
      <c r="F387" s="736" t="s">
        <v>4584</v>
      </c>
    </row>
    <row r="388">
      <c r="A388" s="737" t="s">
        <v>4585</v>
      </c>
      <c r="B388" s="737" t="s">
        <v>3642</v>
      </c>
      <c r="E388" s="736" t="s">
        <v>4586</v>
      </c>
      <c r="F388" s="736" t="s">
        <v>4587</v>
      </c>
    </row>
    <row r="389">
      <c r="A389" s="737" t="s">
        <v>4066</v>
      </c>
      <c r="B389" s="737" t="s">
        <v>3644</v>
      </c>
      <c r="E389" s="736" t="s">
        <v>4588</v>
      </c>
      <c r="F389" s="736" t="s">
        <v>4589</v>
      </c>
    </row>
    <row r="390">
      <c r="A390" s="737" t="s">
        <v>3976</v>
      </c>
      <c r="B390" s="737" t="s">
        <v>335</v>
      </c>
      <c r="E390" s="736" t="s">
        <v>4590</v>
      </c>
      <c r="F390" s="736" t="s">
        <v>4591</v>
      </c>
    </row>
    <row r="391">
      <c r="A391" s="737" t="s">
        <v>308</v>
      </c>
      <c r="B391" s="737" t="s">
        <v>534</v>
      </c>
      <c r="E391" s="736" t="s">
        <v>4592</v>
      </c>
      <c r="F391" s="736" t="s">
        <v>4593</v>
      </c>
    </row>
    <row r="392">
      <c r="A392" s="737" t="s">
        <v>4594</v>
      </c>
      <c r="B392" s="737" t="s">
        <v>3642</v>
      </c>
      <c r="E392" s="736" t="s">
        <v>4595</v>
      </c>
      <c r="F392" s="736" t="s">
        <v>4596</v>
      </c>
    </row>
    <row r="393">
      <c r="A393" s="737" t="s">
        <v>4449</v>
      </c>
      <c r="B393" s="737" t="s">
        <v>534</v>
      </c>
      <c r="E393" s="736" t="s">
        <v>4597</v>
      </c>
      <c r="F393" s="736" t="s">
        <v>4598</v>
      </c>
    </row>
    <row r="394">
      <c r="A394" s="737" t="s">
        <v>4599</v>
      </c>
      <c r="B394" s="737" t="s">
        <v>3642</v>
      </c>
      <c r="E394" s="736" t="s">
        <v>4600</v>
      </c>
      <c r="F394" s="736" t="s">
        <v>4601</v>
      </c>
    </row>
    <row r="395">
      <c r="A395" s="737" t="s">
        <v>3856</v>
      </c>
      <c r="B395" s="737" t="s">
        <v>534</v>
      </c>
      <c r="E395" s="736" t="s">
        <v>4602</v>
      </c>
      <c r="F395" s="736" t="s">
        <v>4603</v>
      </c>
    </row>
    <row r="396">
      <c r="A396" s="737" t="s">
        <v>4604</v>
      </c>
      <c r="B396" s="737" t="s">
        <v>335</v>
      </c>
      <c r="E396" s="736" t="s">
        <v>4605</v>
      </c>
      <c r="F396" s="736" t="s">
        <v>4606</v>
      </c>
    </row>
    <row r="397">
      <c r="A397" s="737" t="s">
        <v>1053</v>
      </c>
      <c r="B397" s="737" t="s">
        <v>3643</v>
      </c>
      <c r="E397" s="736" t="s">
        <v>4607</v>
      </c>
      <c r="F397" s="736" t="s">
        <v>4608</v>
      </c>
    </row>
    <row r="398">
      <c r="A398" s="737" t="s">
        <v>1053</v>
      </c>
      <c r="B398" s="737" t="s">
        <v>2587</v>
      </c>
      <c r="E398" s="736" t="s">
        <v>4609</v>
      </c>
      <c r="F398" s="736" t="s">
        <v>4610</v>
      </c>
    </row>
    <row r="399">
      <c r="A399" s="737" t="s">
        <v>184</v>
      </c>
      <c r="B399" s="737" t="s">
        <v>534</v>
      </c>
      <c r="E399" s="736" t="s">
        <v>4611</v>
      </c>
      <c r="F399" s="736" t="s">
        <v>4612</v>
      </c>
    </row>
    <row r="400">
      <c r="A400" s="737" t="s">
        <v>3806</v>
      </c>
      <c r="B400" s="737" t="s">
        <v>335</v>
      </c>
      <c r="E400" s="736" t="s">
        <v>4613</v>
      </c>
      <c r="F400" s="736" t="s">
        <v>4614</v>
      </c>
    </row>
    <row r="401">
      <c r="A401" s="737" t="s">
        <v>4122</v>
      </c>
      <c r="B401" s="737" t="s">
        <v>3642</v>
      </c>
      <c r="E401" s="736" t="s">
        <v>4615</v>
      </c>
      <c r="F401" s="736" t="s">
        <v>4616</v>
      </c>
    </row>
    <row r="402">
      <c r="A402" s="737" t="s">
        <v>4150</v>
      </c>
      <c r="B402" s="737" t="s">
        <v>335</v>
      </c>
      <c r="E402" s="736" t="s">
        <v>4617</v>
      </c>
      <c r="F402" s="736" t="s">
        <v>4618</v>
      </c>
    </row>
    <row r="403">
      <c r="A403" s="737" t="s">
        <v>4017</v>
      </c>
      <c r="B403" s="737" t="s">
        <v>534</v>
      </c>
      <c r="E403" s="736" t="s">
        <v>4619</v>
      </c>
      <c r="F403" s="736" t="s">
        <v>4620</v>
      </c>
    </row>
    <row r="404">
      <c r="A404" s="737" t="s">
        <v>4216</v>
      </c>
      <c r="B404" s="737" t="s">
        <v>335</v>
      </c>
      <c r="E404" s="736" t="s">
        <v>4621</v>
      </c>
      <c r="F404" s="736" t="s">
        <v>4622</v>
      </c>
    </row>
    <row r="405">
      <c r="A405" s="737" t="s">
        <v>3847</v>
      </c>
      <c r="B405" s="737" t="s">
        <v>2587</v>
      </c>
      <c r="E405" s="736" t="s">
        <v>4623</v>
      </c>
      <c r="F405" s="736" t="s">
        <v>4624</v>
      </c>
    </row>
    <row r="406">
      <c r="A406" s="737" t="s">
        <v>2161</v>
      </c>
      <c r="B406" s="737" t="s">
        <v>3643</v>
      </c>
      <c r="E406" s="736" t="s">
        <v>4625</v>
      </c>
      <c r="F406" s="736" t="s">
        <v>4626</v>
      </c>
    </row>
    <row r="407">
      <c r="A407" s="737" t="s">
        <v>1816</v>
      </c>
      <c r="B407" s="737" t="s">
        <v>3642</v>
      </c>
      <c r="E407" s="738" t="s">
        <v>4627</v>
      </c>
      <c r="F407" s="736" t="s">
        <v>4628</v>
      </c>
    </row>
    <row r="408">
      <c r="A408" s="737" t="s">
        <v>4222</v>
      </c>
      <c r="B408" s="737" t="s">
        <v>3642</v>
      </c>
      <c r="E408" s="736" t="s">
        <v>4629</v>
      </c>
      <c r="F408" s="736" t="s">
        <v>4630</v>
      </c>
    </row>
    <row r="409">
      <c r="A409" s="737" t="s">
        <v>168</v>
      </c>
      <c r="B409" s="737" t="s">
        <v>335</v>
      </c>
      <c r="E409" s="736" t="s">
        <v>4631</v>
      </c>
      <c r="F409" s="736" t="s">
        <v>4632</v>
      </c>
    </row>
    <row r="410">
      <c r="A410" s="737" t="s">
        <v>4633</v>
      </c>
      <c r="B410" s="737" t="s">
        <v>3642</v>
      </c>
      <c r="E410" s="736" t="s">
        <v>4634</v>
      </c>
      <c r="F410" s="736" t="s">
        <v>4635</v>
      </c>
    </row>
    <row r="411">
      <c r="A411" s="737" t="s">
        <v>4636</v>
      </c>
      <c r="B411" s="737" t="s">
        <v>335</v>
      </c>
      <c r="E411" s="738" t="s">
        <v>4637</v>
      </c>
      <c r="F411" s="736" t="s">
        <v>4638</v>
      </c>
    </row>
    <row r="412">
      <c r="A412" s="737" t="s">
        <v>3778</v>
      </c>
      <c r="B412" s="737" t="s">
        <v>534</v>
      </c>
      <c r="E412" s="736" t="s">
        <v>4639</v>
      </c>
      <c r="F412" s="736" t="s">
        <v>4640</v>
      </c>
    </row>
    <row r="413">
      <c r="A413" s="737" t="s">
        <v>3927</v>
      </c>
      <c r="B413" s="737" t="s">
        <v>3642</v>
      </c>
      <c r="E413" s="736" t="s">
        <v>4641</v>
      </c>
      <c r="F413" s="736" t="s">
        <v>4642</v>
      </c>
    </row>
    <row r="414">
      <c r="A414" s="737" t="s">
        <v>4643</v>
      </c>
      <c r="B414" s="737" t="s">
        <v>335</v>
      </c>
      <c r="E414" s="736" t="s">
        <v>4644</v>
      </c>
      <c r="F414" s="736" t="s">
        <v>4645</v>
      </c>
    </row>
    <row r="415">
      <c r="A415" s="737" t="s">
        <v>4316</v>
      </c>
      <c r="B415" s="737" t="s">
        <v>335</v>
      </c>
      <c r="E415" s="736" t="s">
        <v>4646</v>
      </c>
      <c r="F415" s="736" t="s">
        <v>4647</v>
      </c>
    </row>
    <row r="416">
      <c r="A416" s="737" t="s">
        <v>4648</v>
      </c>
      <c r="B416" s="737" t="s">
        <v>534</v>
      </c>
      <c r="E416" s="736" t="s">
        <v>4649</v>
      </c>
      <c r="F416" s="736" t="s">
        <v>4650</v>
      </c>
    </row>
    <row r="417">
      <c r="A417" s="737" t="s">
        <v>4364</v>
      </c>
      <c r="B417" s="737" t="s">
        <v>3643</v>
      </c>
      <c r="E417" s="736" t="s">
        <v>4651</v>
      </c>
      <c r="F417" s="736" t="s">
        <v>4652</v>
      </c>
    </row>
    <row r="418">
      <c r="A418" s="737" t="s">
        <v>1043</v>
      </c>
      <c r="B418" s="737" t="s">
        <v>2587</v>
      </c>
      <c r="E418" s="736" t="s">
        <v>4653</v>
      </c>
      <c r="F418" s="736" t="s">
        <v>4654</v>
      </c>
    </row>
    <row r="419">
      <c r="A419" s="737" t="s">
        <v>4073</v>
      </c>
      <c r="B419" s="737" t="s">
        <v>3642</v>
      </c>
      <c r="E419" s="736" t="s">
        <v>4655</v>
      </c>
      <c r="F419" s="736" t="s">
        <v>4656</v>
      </c>
    </row>
    <row r="420">
      <c r="A420" s="737" t="s">
        <v>4286</v>
      </c>
      <c r="B420" s="737" t="s">
        <v>534</v>
      </c>
      <c r="E420" s="736" t="s">
        <v>4657</v>
      </c>
      <c r="F420" s="736" t="s">
        <v>4658</v>
      </c>
    </row>
    <row r="421">
      <c r="A421" s="737" t="s">
        <v>3944</v>
      </c>
      <c r="B421" s="737" t="s">
        <v>534</v>
      </c>
      <c r="E421" s="736" t="s">
        <v>4659</v>
      </c>
      <c r="F421" s="736" t="s">
        <v>4660</v>
      </c>
    </row>
    <row r="422">
      <c r="A422" s="737" t="s">
        <v>4661</v>
      </c>
      <c r="B422" s="737" t="s">
        <v>3642</v>
      </c>
      <c r="E422" s="736" t="s">
        <v>4662</v>
      </c>
      <c r="F422" s="736" t="s">
        <v>4663</v>
      </c>
    </row>
    <row r="423">
      <c r="A423" s="737" t="s">
        <v>4219</v>
      </c>
      <c r="B423" s="737" t="s">
        <v>534</v>
      </c>
      <c r="E423" s="736" t="s">
        <v>4664</v>
      </c>
      <c r="F423" s="736" t="s">
        <v>4665</v>
      </c>
    </row>
    <row r="424">
      <c r="A424" s="737" t="s">
        <v>4666</v>
      </c>
      <c r="B424" s="737" t="s">
        <v>335</v>
      </c>
      <c r="E424" s="738" t="s">
        <v>4667</v>
      </c>
      <c r="F424" s="736" t="s">
        <v>4668</v>
      </c>
    </row>
    <row r="425">
      <c r="E425" s="736" t="s">
        <v>4669</v>
      </c>
      <c r="F425" s="736" t="s">
        <v>4670</v>
      </c>
    </row>
    <row r="426">
      <c r="E426" s="736" t="s">
        <v>4671</v>
      </c>
      <c r="F426" s="739"/>
    </row>
    <row r="427">
      <c r="E427" s="736" t="s">
        <v>4672</v>
      </c>
      <c r="F427" s="736" t="s">
        <v>4673</v>
      </c>
    </row>
    <row r="428">
      <c r="E428" s="738" t="s">
        <v>4674</v>
      </c>
      <c r="F428" s="736" t="s">
        <v>4675</v>
      </c>
    </row>
    <row r="429">
      <c r="E429" s="736" t="s">
        <v>4676</v>
      </c>
      <c r="F429" s="736" t="s">
        <v>4677</v>
      </c>
    </row>
    <row r="430">
      <c r="E430" s="736" t="s">
        <v>4678</v>
      </c>
      <c r="F430" s="736" t="s">
        <v>4679</v>
      </c>
    </row>
    <row r="431">
      <c r="E431" s="736" t="s">
        <v>4680</v>
      </c>
      <c r="F431" s="736" t="s">
        <v>4681</v>
      </c>
    </row>
    <row r="432">
      <c r="E432" s="736" t="s">
        <v>4682</v>
      </c>
      <c r="F432" s="736" t="s">
        <v>4683</v>
      </c>
    </row>
    <row r="433">
      <c r="E433" s="736" t="s">
        <v>4684</v>
      </c>
      <c r="F433" s="736" t="s">
        <v>4685</v>
      </c>
    </row>
    <row r="434">
      <c r="E434" s="736" t="s">
        <v>4686</v>
      </c>
      <c r="F434" s="736" t="s">
        <v>4687</v>
      </c>
    </row>
    <row r="435">
      <c r="E435" s="736" t="s">
        <v>4688</v>
      </c>
      <c r="F435" s="736" t="s">
        <v>4689</v>
      </c>
    </row>
    <row r="436">
      <c r="E436" s="736" t="s">
        <v>4690</v>
      </c>
      <c r="F436" s="736" t="s">
        <v>4691</v>
      </c>
    </row>
    <row r="437">
      <c r="E437" s="736" t="s">
        <v>4692</v>
      </c>
      <c r="F437" s="736" t="s">
        <v>4693</v>
      </c>
    </row>
    <row r="438">
      <c r="E438" s="736" t="s">
        <v>4694</v>
      </c>
      <c r="F438" s="736" t="s">
        <v>4695</v>
      </c>
    </row>
    <row r="439">
      <c r="E439" s="736" t="s">
        <v>4696</v>
      </c>
      <c r="F439" s="736" t="s">
        <v>4697</v>
      </c>
    </row>
    <row r="440">
      <c r="E440" s="736" t="s">
        <v>4698</v>
      </c>
      <c r="F440" s="736" t="s">
        <v>4699</v>
      </c>
    </row>
    <row r="441">
      <c r="E441" s="736" t="s">
        <v>4700</v>
      </c>
      <c r="F441" s="736" t="s">
        <v>4701</v>
      </c>
    </row>
    <row r="442">
      <c r="E442" s="736" t="s">
        <v>4702</v>
      </c>
      <c r="F442" s="736" t="s">
        <v>4703</v>
      </c>
    </row>
    <row r="443">
      <c r="E443" s="736" t="s">
        <v>4704</v>
      </c>
      <c r="F443" s="736" t="s">
        <v>4705</v>
      </c>
    </row>
    <row r="444">
      <c r="E444" s="736" t="s">
        <v>4706</v>
      </c>
      <c r="F444" s="736" t="s">
        <v>4707</v>
      </c>
    </row>
    <row r="445">
      <c r="E445" s="736" t="s">
        <v>4708</v>
      </c>
      <c r="F445" s="736" t="s">
        <v>4709</v>
      </c>
    </row>
    <row r="446">
      <c r="E446" s="736" t="s">
        <v>4710</v>
      </c>
      <c r="F446" s="736" t="s">
        <v>4711</v>
      </c>
    </row>
    <row r="447">
      <c r="E447" s="736" t="s">
        <v>4712</v>
      </c>
      <c r="F447" s="736" t="s">
        <v>4713</v>
      </c>
    </row>
    <row r="448">
      <c r="E448" s="736" t="s">
        <v>4714</v>
      </c>
      <c r="F448" s="736" t="s">
        <v>4715</v>
      </c>
    </row>
    <row r="449">
      <c r="E449" s="736" t="s">
        <v>4716</v>
      </c>
      <c r="F449" s="736" t="s">
        <v>4717</v>
      </c>
    </row>
    <row r="450">
      <c r="E450" s="736" t="s">
        <v>4718</v>
      </c>
      <c r="F450" s="736" t="s">
        <v>4719</v>
      </c>
    </row>
    <row r="451">
      <c r="E451" s="736" t="s">
        <v>4720</v>
      </c>
      <c r="F451" s="736" t="s">
        <v>4721</v>
      </c>
    </row>
    <row r="452">
      <c r="E452" s="736" t="s">
        <v>4722</v>
      </c>
      <c r="F452" s="736" t="s">
        <v>4723</v>
      </c>
    </row>
    <row r="453">
      <c r="E453" s="736" t="s">
        <v>4724</v>
      </c>
      <c r="F453" s="736" t="s">
        <v>4725</v>
      </c>
    </row>
    <row r="454">
      <c r="E454" s="736" t="s">
        <v>4726</v>
      </c>
      <c r="F454" s="736" t="s">
        <v>4727</v>
      </c>
    </row>
    <row r="455">
      <c r="E455" s="736" t="s">
        <v>4728</v>
      </c>
      <c r="F455" s="736" t="s">
        <v>4729</v>
      </c>
    </row>
    <row r="456">
      <c r="E456" s="736" t="s">
        <v>4730</v>
      </c>
      <c r="F456" s="736" t="s">
        <v>4731</v>
      </c>
    </row>
    <row r="457">
      <c r="E457" s="736" t="s">
        <v>4732</v>
      </c>
      <c r="F457" s="736" t="s">
        <v>4733</v>
      </c>
    </row>
    <row r="458">
      <c r="E458" s="736" t="s">
        <v>4734</v>
      </c>
      <c r="F458" s="736" t="s">
        <v>4735</v>
      </c>
    </row>
    <row r="459">
      <c r="E459" s="736" t="s">
        <v>4736</v>
      </c>
      <c r="F459" s="736" t="s">
        <v>4737</v>
      </c>
    </row>
    <row r="460">
      <c r="E460" s="736" t="s">
        <v>4738</v>
      </c>
      <c r="F460" s="736" t="s">
        <v>4739</v>
      </c>
    </row>
    <row r="461">
      <c r="E461" s="736" t="s">
        <v>4740</v>
      </c>
      <c r="F461" s="736" t="s">
        <v>4741</v>
      </c>
    </row>
    <row r="462">
      <c r="E462" s="736" t="s">
        <v>4742</v>
      </c>
      <c r="F462" s="736" t="s">
        <v>4743</v>
      </c>
    </row>
    <row r="463">
      <c r="E463" s="736" t="s">
        <v>4744</v>
      </c>
      <c r="F463" s="736" t="s">
        <v>4745</v>
      </c>
    </row>
    <row r="464">
      <c r="E464" s="736" t="s">
        <v>4746</v>
      </c>
      <c r="F464" s="736" t="s">
        <v>4747</v>
      </c>
    </row>
    <row r="465">
      <c r="E465" s="736" t="s">
        <v>4748</v>
      </c>
      <c r="F465" s="736" t="s">
        <v>4749</v>
      </c>
    </row>
    <row r="466">
      <c r="E466" s="736" t="s">
        <v>4750</v>
      </c>
      <c r="F466" s="736" t="s">
        <v>4751</v>
      </c>
    </row>
    <row r="467">
      <c r="E467" s="736" t="s">
        <v>4752</v>
      </c>
      <c r="F467" s="736" t="s">
        <v>4753</v>
      </c>
    </row>
  </sheetData>
  <mergeCells count="3">
    <mergeCell ref="E114:F114"/>
    <mergeCell ref="E168:F168"/>
    <mergeCell ref="E229:F229"/>
  </mergeCells>
  <hyperlinks>
    <hyperlink r:id="rId2" ref="E34"/>
    <hyperlink r:id="rId3" ref="E40"/>
    <hyperlink r:id="rId4" ref="E65"/>
    <hyperlink r:id="rId5" ref="E68"/>
    <hyperlink r:id="rId6" ref="E83"/>
    <hyperlink r:id="rId7" ref="E89"/>
    <hyperlink r:id="rId8" ref="E104"/>
    <hyperlink r:id="rId9" ref="E144"/>
    <hyperlink r:id="rId10" ref="E407"/>
    <hyperlink r:id="rId11" ref="E411"/>
    <hyperlink r:id="rId12" ref="E424"/>
    <hyperlink r:id="rId13" ref="E428"/>
  </hyperlinks>
  <drawing r:id="rId14"/>
  <legacyDrawing r:id="rId1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8888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
    <col customWidth="1" min="2" max="2" width="20.13"/>
    <col customWidth="1" min="3" max="3" width="52.63"/>
  </cols>
  <sheetData>
    <row r="1" ht="27.0" customHeight="1">
      <c r="B1" s="730" t="s">
        <v>4754</v>
      </c>
    </row>
    <row r="3" ht="19.5" customHeight="1">
      <c r="B3" s="740" t="s">
        <v>4755</v>
      </c>
    </row>
    <row r="4" ht="15.0" customHeight="1">
      <c r="B4" s="741" t="s">
        <v>4756</v>
      </c>
      <c r="C4" s="742" t="s">
        <v>4757</v>
      </c>
    </row>
    <row r="5" ht="15.0" customHeight="1">
      <c r="B5" s="741" t="s">
        <v>4758</v>
      </c>
      <c r="C5" s="742" t="s">
        <v>4759</v>
      </c>
    </row>
    <row r="6" ht="15.0" customHeight="1">
      <c r="B6" s="741" t="s">
        <v>4760</v>
      </c>
      <c r="C6" s="742" t="s">
        <v>4761</v>
      </c>
    </row>
    <row r="7" ht="15.0" customHeight="1">
      <c r="B7" s="741" t="s">
        <v>4762</v>
      </c>
      <c r="C7" s="742" t="s">
        <v>4763</v>
      </c>
    </row>
    <row r="8" ht="15.0" customHeight="1">
      <c r="B8" s="741" t="s">
        <v>4764</v>
      </c>
      <c r="C8" s="742" t="s">
        <v>4765</v>
      </c>
    </row>
    <row r="10" ht="19.5" customHeight="1">
      <c r="B10" s="740" t="s">
        <v>4766</v>
      </c>
    </row>
    <row r="11" ht="15.0" customHeight="1">
      <c r="B11" s="741" t="s">
        <v>15</v>
      </c>
      <c r="C11" s="742" t="s">
        <v>4767</v>
      </c>
    </row>
    <row r="12" ht="15.0" customHeight="1">
      <c r="B12" s="741" t="s">
        <v>16</v>
      </c>
      <c r="C12" s="742" t="s">
        <v>4768</v>
      </c>
    </row>
    <row r="13" ht="15.0" customHeight="1">
      <c r="B13" s="741" t="s">
        <v>18</v>
      </c>
      <c r="C13" s="742" t="s">
        <v>4769</v>
      </c>
    </row>
    <row r="14" ht="15.0" customHeight="1">
      <c r="B14" s="741" t="s">
        <v>20</v>
      </c>
      <c r="C14" s="742" t="s">
        <v>4770</v>
      </c>
    </row>
    <row r="15" ht="15.0" customHeight="1">
      <c r="B15" s="741" t="s">
        <v>21</v>
      </c>
      <c r="C15" s="742" t="s">
        <v>4771</v>
      </c>
    </row>
    <row r="16" ht="15.0" customHeight="1">
      <c r="B16" s="741" t="s">
        <v>23</v>
      </c>
      <c r="C16" s="742" t="s">
        <v>4772</v>
      </c>
    </row>
    <row r="17" ht="15.0" customHeight="1">
      <c r="B17" s="741" t="s">
        <v>24</v>
      </c>
      <c r="C17" s="742" t="s">
        <v>4773</v>
      </c>
    </row>
    <row r="18" ht="15.0" customHeight="1">
      <c r="B18" s="741" t="s">
        <v>25</v>
      </c>
      <c r="C18" s="742" t="s">
        <v>4774</v>
      </c>
    </row>
    <row r="20" ht="19.5" customHeight="1">
      <c r="B20" s="740" t="s">
        <v>4775</v>
      </c>
    </row>
    <row r="21" ht="15.0" customHeight="1">
      <c r="B21" s="741" t="s">
        <v>4776</v>
      </c>
      <c r="C21" s="742" t="s">
        <v>4777</v>
      </c>
      <c r="D21" s="681" t="s">
        <v>4778</v>
      </c>
    </row>
    <row r="22" ht="15.0" customHeight="1">
      <c r="B22" s="741" t="s">
        <v>4779</v>
      </c>
      <c r="C22" s="742" t="s">
        <v>4780</v>
      </c>
      <c r="D22" s="681" t="s">
        <v>4781</v>
      </c>
    </row>
    <row r="23" ht="15.0" customHeight="1">
      <c r="B23" s="741" t="s">
        <v>4782</v>
      </c>
      <c r="C23" s="742" t="s">
        <v>4783</v>
      </c>
      <c r="D23" s="681" t="s">
        <v>4784</v>
      </c>
    </row>
    <row r="24" ht="15.0" customHeight="1">
      <c r="B24" s="741" t="s">
        <v>4785</v>
      </c>
      <c r="C24" s="742" t="s">
        <v>4786</v>
      </c>
    </row>
    <row r="26" ht="19.5" customHeight="1">
      <c r="B26" s="740" t="s">
        <v>4787</v>
      </c>
    </row>
    <row r="27" ht="15.0" customHeight="1">
      <c r="B27" s="741" t="s">
        <v>4788</v>
      </c>
      <c r="C27" s="742" t="s">
        <v>4789</v>
      </c>
    </row>
    <row r="28" ht="15.0" customHeight="1">
      <c r="B28" s="741" t="s">
        <v>4790</v>
      </c>
      <c r="C28" s="742" t="s">
        <v>4791</v>
      </c>
    </row>
    <row r="29" ht="15.0" customHeight="1">
      <c r="B29" s="741" t="s">
        <v>4792</v>
      </c>
      <c r="C29" s="742" t="s">
        <v>4793</v>
      </c>
    </row>
    <row r="30" ht="15.0" customHeight="1">
      <c r="B30" s="741" t="s">
        <v>4794</v>
      </c>
      <c r="C30" s="742" t="s">
        <v>4795</v>
      </c>
    </row>
    <row r="32" ht="19.5" customHeight="1">
      <c r="B32" s="740" t="s">
        <v>4796</v>
      </c>
    </row>
    <row r="33" ht="15.0" customHeight="1">
      <c r="B33" s="741" t="s">
        <v>4797</v>
      </c>
      <c r="C33" s="742" t="s">
        <v>4798</v>
      </c>
    </row>
    <row r="34" ht="15.0" customHeight="1">
      <c r="B34" s="741" t="s">
        <v>4799</v>
      </c>
      <c r="C34" s="742" t="s">
        <v>4800</v>
      </c>
    </row>
    <row r="35" ht="15.0" customHeight="1">
      <c r="B35" s="741" t="s">
        <v>4801</v>
      </c>
      <c r="C35" s="742" t="s">
        <v>4802</v>
      </c>
    </row>
    <row r="37" ht="19.5" customHeight="1">
      <c r="B37" s="740" t="s">
        <v>4803</v>
      </c>
    </row>
    <row r="38" ht="15.0" customHeight="1">
      <c r="B38" s="741" t="s">
        <v>4804</v>
      </c>
      <c r="C38" s="742" t="s">
        <v>4805</v>
      </c>
    </row>
    <row r="39" ht="15.0" customHeight="1">
      <c r="B39" s="741" t="s">
        <v>4806</v>
      </c>
      <c r="C39" s="742" t="s">
        <v>4807</v>
      </c>
    </row>
    <row r="40" ht="15.0" customHeight="1">
      <c r="B40" s="741" t="s">
        <v>4808</v>
      </c>
      <c r="C40" s="742" t="s">
        <v>4809</v>
      </c>
    </row>
    <row r="41" ht="15.0" customHeight="1">
      <c r="B41" s="741" t="s">
        <v>4810</v>
      </c>
      <c r="C41" s="742" t="s">
        <v>4811</v>
      </c>
    </row>
  </sheetData>
  <mergeCells count="9">
    <mergeCell ref="B32:C32"/>
    <mergeCell ref="B37:C37"/>
    <mergeCell ref="B3:C3"/>
    <mergeCell ref="B10:C10"/>
    <mergeCell ref="B20:C20"/>
    <mergeCell ref="D21:H21"/>
    <mergeCell ref="D22:H22"/>
    <mergeCell ref="D23:H23"/>
    <mergeCell ref="B26:C2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346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38"/>
    <col customWidth="1" min="2" max="3" width="9.25"/>
    <col customWidth="1" min="4" max="4" width="15.88"/>
    <col customWidth="1" min="5" max="5" width="14.13"/>
    <col customWidth="1" min="6" max="6" width="9.88"/>
    <col customWidth="1" min="7" max="7" width="13.25"/>
    <col customWidth="1" min="8" max="8" width="27.88"/>
    <col customWidth="1" min="9" max="9" width="23.0"/>
    <col customWidth="1" min="10" max="10" width="25.75"/>
    <col customWidth="1" min="11" max="11" width="21.63"/>
    <col customWidth="1" min="14" max="14" width="12.63"/>
  </cols>
  <sheetData>
    <row r="1" ht="24.0" customHeight="1">
      <c r="A1" s="743"/>
      <c r="B1" s="743" t="s">
        <v>4812</v>
      </c>
    </row>
    <row r="2" ht="21.0" customHeight="1">
      <c r="A2" s="744"/>
      <c r="B2" s="744" t="s">
        <v>4813</v>
      </c>
    </row>
    <row r="4" ht="32.25" customHeight="1">
      <c r="A4" s="745" t="s">
        <v>4814</v>
      </c>
      <c r="B4" s="746" t="s">
        <v>4815</v>
      </c>
      <c r="C4" s="746" t="s">
        <v>4816</v>
      </c>
      <c r="D4" s="746" t="s">
        <v>4817</v>
      </c>
      <c r="E4" s="746" t="s">
        <v>4818</v>
      </c>
      <c r="F4" s="746" t="s">
        <v>4819</v>
      </c>
      <c r="G4" s="747" t="s">
        <v>4820</v>
      </c>
      <c r="H4" s="747" t="s">
        <v>4821</v>
      </c>
      <c r="I4" s="747" t="s">
        <v>4822</v>
      </c>
      <c r="J4" s="747" t="s">
        <v>4823</v>
      </c>
      <c r="K4" s="747" t="s">
        <v>4824</v>
      </c>
      <c r="L4" s="747" t="s">
        <v>4825</v>
      </c>
      <c r="M4" s="747" t="s">
        <v>4826</v>
      </c>
      <c r="N4" s="748" t="s">
        <v>4827</v>
      </c>
      <c r="O4" s="75"/>
      <c r="P4" s="75"/>
      <c r="Q4" s="75"/>
      <c r="R4" s="75"/>
      <c r="S4" s="75"/>
      <c r="T4" s="75"/>
      <c r="U4" s="75"/>
      <c r="V4" s="75"/>
      <c r="W4" s="75"/>
      <c r="X4" s="75"/>
      <c r="Y4" s="75"/>
      <c r="Z4" s="75"/>
      <c r="AA4" s="75"/>
    </row>
    <row r="5" hidden="1">
      <c r="A5" s="745" t="s">
        <v>4814</v>
      </c>
      <c r="B5" s="746" t="str">
        <f>IFERROR(__xludf.DUMMYFUNCTION("IMPORTRANGE(""https://docs.google.com/spreadsheets/d/1P6ZfKUnSFljb74LQnmtpD7ds-xKx-Mb9LdnpZNRIdeM"",""설문지 응답 시트1!A:l"")"),"#REF!")</f>
        <v>#REF!</v>
      </c>
      <c r="C5" s="746"/>
      <c r="D5" s="746"/>
      <c r="E5" s="746"/>
      <c r="F5" s="746"/>
      <c r="G5" s="747"/>
      <c r="H5" s="747"/>
      <c r="I5" s="747"/>
      <c r="J5" s="747"/>
      <c r="K5" s="747"/>
      <c r="L5" s="747"/>
      <c r="M5" s="747"/>
      <c r="N5" s="748" t="s">
        <v>4828</v>
      </c>
      <c r="O5" s="88"/>
      <c r="P5" s="88"/>
      <c r="Q5" s="88"/>
      <c r="R5" s="88"/>
      <c r="S5" s="88"/>
      <c r="T5" s="88"/>
      <c r="U5" s="88"/>
      <c r="V5" s="88"/>
      <c r="W5" s="88"/>
      <c r="X5" s="88"/>
      <c r="Y5" s="88"/>
      <c r="Z5" s="88"/>
      <c r="AA5" s="88"/>
    </row>
    <row r="6">
      <c r="A6" s="749" t="str">
        <f t="array" ref="A6:A1001">IF(B6:B1001&lt;&gt;"", ROW(B6:B1001)-5, "")</f>
        <v/>
      </c>
      <c r="B6" s="686"/>
      <c r="C6" s="686"/>
      <c r="D6" s="574"/>
      <c r="E6" s="574"/>
      <c r="F6" s="574"/>
      <c r="G6" s="692"/>
      <c r="H6" s="750"/>
      <c r="I6" s="750"/>
      <c r="J6" s="750"/>
      <c r="K6" s="750"/>
      <c r="L6" s="574"/>
      <c r="M6" s="574"/>
      <c r="N6" s="681" t="s">
        <v>29</v>
      </c>
    </row>
    <row r="7">
      <c r="A7" s="749" t="s">
        <v>3511</v>
      </c>
      <c r="B7" s="574"/>
      <c r="C7" s="686"/>
      <c r="D7" s="574"/>
      <c r="E7" s="574"/>
      <c r="F7" s="574"/>
      <c r="G7" s="692"/>
      <c r="H7" s="750"/>
      <c r="I7" s="750"/>
      <c r="J7" s="750"/>
      <c r="K7" s="750"/>
      <c r="L7" s="574"/>
      <c r="M7" s="574"/>
      <c r="N7" s="681" t="s">
        <v>29</v>
      </c>
    </row>
    <row r="8">
      <c r="A8" s="749" t="s">
        <v>3511</v>
      </c>
      <c r="B8" s="574"/>
      <c r="C8" s="574"/>
      <c r="D8" s="574"/>
      <c r="E8" s="574"/>
      <c r="F8" s="574"/>
      <c r="G8" s="692"/>
      <c r="H8" s="750"/>
      <c r="I8" s="750"/>
      <c r="J8" s="750"/>
      <c r="K8" s="750"/>
      <c r="L8" s="574"/>
      <c r="M8" s="574"/>
      <c r="N8" s="681" t="s">
        <v>29</v>
      </c>
    </row>
    <row r="9">
      <c r="A9" s="749" t="s">
        <v>3511</v>
      </c>
      <c r="B9" s="574"/>
      <c r="C9" s="574"/>
      <c r="D9" s="574"/>
      <c r="E9" s="574"/>
      <c r="F9" s="574"/>
      <c r="G9" s="692"/>
      <c r="H9" s="750"/>
      <c r="I9" s="750"/>
      <c r="J9" s="750"/>
      <c r="K9" s="750"/>
      <c r="L9" s="574"/>
      <c r="M9" s="574"/>
      <c r="N9" s="681" t="s">
        <v>29</v>
      </c>
    </row>
    <row r="10">
      <c r="A10" s="749" t="s">
        <v>3511</v>
      </c>
      <c r="B10" s="574"/>
      <c r="C10" s="574"/>
      <c r="D10" s="574"/>
      <c r="E10" s="574"/>
      <c r="F10" s="574"/>
      <c r="G10" s="692"/>
      <c r="H10" s="750"/>
      <c r="I10" s="750"/>
      <c r="J10" s="750"/>
      <c r="K10" s="750"/>
      <c r="L10" s="574"/>
      <c r="M10" s="574"/>
      <c r="N10" s="681" t="s">
        <v>29</v>
      </c>
    </row>
    <row r="11">
      <c r="A11" s="749" t="s">
        <v>3511</v>
      </c>
      <c r="B11" s="574"/>
      <c r="C11" s="574"/>
      <c r="D11" s="574"/>
      <c r="E11" s="574"/>
      <c r="F11" s="574"/>
      <c r="G11" s="692"/>
      <c r="H11" s="750"/>
      <c r="I11" s="750"/>
      <c r="J11" s="750"/>
      <c r="K11" s="750"/>
      <c r="L11" s="574"/>
      <c r="M11" s="574"/>
      <c r="N11" s="681" t="s">
        <v>29</v>
      </c>
    </row>
    <row r="12">
      <c r="A12" s="749" t="s">
        <v>3511</v>
      </c>
      <c r="B12" s="574"/>
      <c r="C12" s="574"/>
      <c r="D12" s="574"/>
      <c r="E12" s="574"/>
      <c r="F12" s="574"/>
      <c r="G12" s="692"/>
      <c r="H12" s="750"/>
      <c r="I12" s="750"/>
      <c r="J12" s="750"/>
      <c r="K12" s="750"/>
      <c r="L12" s="574"/>
      <c r="M12" s="574"/>
      <c r="N12" s="681" t="s">
        <v>29</v>
      </c>
    </row>
    <row r="13">
      <c r="A13" s="749" t="s">
        <v>3511</v>
      </c>
      <c r="B13" s="574"/>
      <c r="C13" s="574"/>
      <c r="D13" s="574"/>
      <c r="E13" s="574"/>
      <c r="F13" s="574"/>
      <c r="G13" s="692"/>
      <c r="H13" s="750"/>
      <c r="I13" s="750"/>
      <c r="J13" s="750"/>
      <c r="K13" s="750"/>
      <c r="L13" s="574"/>
      <c r="M13" s="574"/>
      <c r="N13" s="681" t="s">
        <v>29</v>
      </c>
    </row>
    <row r="14">
      <c r="A14" s="749" t="s">
        <v>3511</v>
      </c>
      <c r="B14" s="574"/>
      <c r="C14" s="574"/>
      <c r="D14" s="574"/>
      <c r="E14" s="574"/>
      <c r="F14" s="574"/>
      <c r="G14" s="692"/>
      <c r="H14" s="750"/>
      <c r="I14" s="750"/>
      <c r="J14" s="750"/>
      <c r="K14" s="750"/>
      <c r="L14" s="574"/>
      <c r="M14" s="574"/>
      <c r="N14" s="681" t="s">
        <v>29</v>
      </c>
    </row>
    <row r="15">
      <c r="A15" s="749" t="s">
        <v>3511</v>
      </c>
      <c r="B15" s="574"/>
      <c r="C15" s="574"/>
      <c r="D15" s="574"/>
      <c r="E15" s="574"/>
      <c r="F15" s="574"/>
      <c r="G15" s="692"/>
      <c r="H15" s="750"/>
      <c r="I15" s="750"/>
      <c r="J15" s="750"/>
      <c r="K15" s="750"/>
      <c r="L15" s="574"/>
      <c r="M15" s="574"/>
      <c r="N15" s="681" t="s">
        <v>29</v>
      </c>
    </row>
    <row r="16">
      <c r="A16" s="749" t="s">
        <v>3511</v>
      </c>
      <c r="B16" s="574"/>
      <c r="C16" s="574"/>
      <c r="D16" s="574"/>
      <c r="E16" s="574"/>
      <c r="F16" s="574"/>
      <c r="G16" s="692"/>
      <c r="H16" s="750"/>
      <c r="I16" s="750"/>
      <c r="J16" s="750"/>
      <c r="K16" s="750"/>
      <c r="L16" s="574"/>
      <c r="M16" s="574"/>
      <c r="N16" s="681" t="s">
        <v>29</v>
      </c>
    </row>
    <row r="17">
      <c r="A17" s="749" t="s">
        <v>3511</v>
      </c>
      <c r="B17" s="574"/>
      <c r="C17" s="574"/>
      <c r="D17" s="574"/>
      <c r="E17" s="574"/>
      <c r="F17" s="574"/>
      <c r="G17" s="692"/>
      <c r="H17" s="750"/>
      <c r="I17" s="750"/>
      <c r="J17" s="750"/>
      <c r="K17" s="750"/>
      <c r="L17" s="574"/>
      <c r="M17" s="574"/>
      <c r="N17" s="681" t="s">
        <v>29</v>
      </c>
    </row>
    <row r="18">
      <c r="A18" s="749" t="s">
        <v>3511</v>
      </c>
      <c r="B18" s="574"/>
      <c r="C18" s="574"/>
      <c r="D18" s="574"/>
      <c r="E18" s="574"/>
      <c r="F18" s="574"/>
      <c r="G18" s="692"/>
      <c r="H18" s="750"/>
      <c r="I18" s="750"/>
      <c r="J18" s="750"/>
      <c r="K18" s="750"/>
      <c r="L18" s="574"/>
      <c r="M18" s="574"/>
      <c r="N18" s="681" t="s">
        <v>29</v>
      </c>
    </row>
    <row r="19">
      <c r="A19" s="749" t="s">
        <v>3511</v>
      </c>
      <c r="B19" s="574"/>
      <c r="C19" s="574"/>
      <c r="D19" s="574"/>
      <c r="E19" s="574"/>
      <c r="F19" s="574"/>
      <c r="G19" s="692"/>
      <c r="H19" s="750"/>
      <c r="I19" s="750"/>
      <c r="J19" s="750"/>
      <c r="K19" s="750"/>
      <c r="L19" s="574"/>
      <c r="M19" s="574"/>
      <c r="N19" s="681" t="s">
        <v>29</v>
      </c>
    </row>
    <row r="20">
      <c r="A20" s="749" t="s">
        <v>3511</v>
      </c>
      <c r="B20" s="574"/>
      <c r="C20" s="574"/>
      <c r="D20" s="574"/>
      <c r="E20" s="574"/>
      <c r="F20" s="574"/>
      <c r="G20" s="692"/>
      <c r="H20" s="750"/>
      <c r="I20" s="750"/>
      <c r="J20" s="750"/>
      <c r="K20" s="750"/>
      <c r="L20" s="574"/>
      <c r="M20" s="574"/>
      <c r="N20" s="681" t="s">
        <v>29</v>
      </c>
    </row>
    <row r="21">
      <c r="A21" s="749" t="s">
        <v>3511</v>
      </c>
      <c r="B21" s="574"/>
      <c r="C21" s="574"/>
      <c r="D21" s="574"/>
      <c r="E21" s="574"/>
      <c r="F21" s="574"/>
      <c r="G21" s="692"/>
      <c r="H21" s="750"/>
      <c r="I21" s="750"/>
      <c r="J21" s="750"/>
      <c r="K21" s="750"/>
      <c r="L21" s="574"/>
      <c r="M21" s="574"/>
      <c r="N21" s="681" t="s">
        <v>29</v>
      </c>
    </row>
    <row r="22">
      <c r="A22" s="749" t="s">
        <v>3511</v>
      </c>
      <c r="B22" s="574"/>
      <c r="C22" s="574"/>
      <c r="D22" s="574"/>
      <c r="E22" s="574"/>
      <c r="F22" s="574"/>
      <c r="G22" s="692"/>
      <c r="H22" s="750"/>
      <c r="I22" s="750"/>
      <c r="J22" s="750"/>
      <c r="K22" s="750"/>
      <c r="L22" s="574"/>
      <c r="M22" s="574"/>
      <c r="N22" s="681" t="s">
        <v>29</v>
      </c>
    </row>
    <row r="23">
      <c r="A23" s="749" t="s">
        <v>3511</v>
      </c>
      <c r="B23" s="574"/>
      <c r="C23" s="574"/>
      <c r="D23" s="574"/>
      <c r="E23" s="574"/>
      <c r="F23" s="574"/>
      <c r="G23" s="692"/>
      <c r="H23" s="750"/>
      <c r="I23" s="750"/>
      <c r="J23" s="750"/>
      <c r="K23" s="750"/>
      <c r="L23" s="574"/>
      <c r="M23" s="574"/>
      <c r="N23" s="681" t="s">
        <v>29</v>
      </c>
    </row>
    <row r="24">
      <c r="A24" s="749" t="s">
        <v>3511</v>
      </c>
      <c r="B24" s="574"/>
      <c r="C24" s="574"/>
      <c r="D24" s="574"/>
      <c r="E24" s="574"/>
      <c r="F24" s="574"/>
      <c r="G24" s="574"/>
      <c r="H24" s="750"/>
      <c r="I24" s="750"/>
      <c r="J24" s="750"/>
      <c r="K24" s="750"/>
      <c r="L24" s="574"/>
      <c r="M24" s="574"/>
      <c r="N24" s="681" t="s">
        <v>29</v>
      </c>
    </row>
    <row r="25">
      <c r="A25" s="749" t="s">
        <v>3511</v>
      </c>
      <c r="B25" s="574"/>
      <c r="C25" s="574"/>
      <c r="D25" s="574"/>
      <c r="E25" s="574"/>
      <c r="F25" s="574"/>
      <c r="G25" s="574"/>
      <c r="H25" s="750"/>
      <c r="I25" s="750"/>
      <c r="J25" s="750"/>
      <c r="K25" s="750"/>
      <c r="L25" s="574"/>
      <c r="M25" s="574"/>
      <c r="N25" s="681" t="s">
        <v>29</v>
      </c>
    </row>
    <row r="26">
      <c r="A26" s="749" t="s">
        <v>3511</v>
      </c>
      <c r="B26" s="574"/>
      <c r="C26" s="574"/>
      <c r="D26" s="574"/>
      <c r="E26" s="574"/>
      <c r="F26" s="574"/>
      <c r="G26" s="574"/>
      <c r="H26" s="750"/>
      <c r="I26" s="750"/>
      <c r="J26" s="750"/>
      <c r="K26" s="750"/>
      <c r="L26" s="574"/>
      <c r="M26" s="574"/>
      <c r="N26" s="681" t="s">
        <v>29</v>
      </c>
    </row>
    <row r="27">
      <c r="A27" s="749" t="s">
        <v>3511</v>
      </c>
      <c r="B27" s="574"/>
      <c r="C27" s="574"/>
      <c r="D27" s="574"/>
      <c r="E27" s="574"/>
      <c r="F27" s="574"/>
      <c r="G27" s="574"/>
      <c r="H27" s="750"/>
      <c r="I27" s="750"/>
      <c r="J27" s="750"/>
      <c r="K27" s="750"/>
      <c r="L27" s="574"/>
      <c r="M27" s="574"/>
      <c r="N27" s="681" t="s">
        <v>29</v>
      </c>
    </row>
    <row r="28">
      <c r="A28" s="749" t="s">
        <v>3511</v>
      </c>
      <c r="B28" s="574"/>
      <c r="C28" s="574"/>
      <c r="D28" s="574"/>
      <c r="E28" s="574"/>
      <c r="F28" s="574"/>
      <c r="G28" s="574"/>
      <c r="H28" s="750"/>
      <c r="I28" s="750"/>
      <c r="J28" s="750"/>
      <c r="K28" s="750"/>
      <c r="L28" s="574"/>
      <c r="M28" s="574"/>
      <c r="N28" s="681" t="s">
        <v>29</v>
      </c>
    </row>
    <row r="29">
      <c r="A29" s="749" t="s">
        <v>3511</v>
      </c>
      <c r="B29" s="574"/>
      <c r="C29" s="574"/>
      <c r="D29" s="574"/>
      <c r="E29" s="574"/>
      <c r="F29" s="574"/>
      <c r="G29" s="574"/>
      <c r="H29" s="750"/>
      <c r="I29" s="750"/>
      <c r="J29" s="750"/>
      <c r="K29" s="750"/>
      <c r="L29" s="574"/>
      <c r="M29" s="574"/>
      <c r="N29" s="681" t="s">
        <v>29</v>
      </c>
    </row>
    <row r="30">
      <c r="A30" s="749" t="s">
        <v>3511</v>
      </c>
      <c r="B30" s="574"/>
      <c r="C30" s="574"/>
      <c r="D30" s="574"/>
      <c r="E30" s="574"/>
      <c r="F30" s="574"/>
      <c r="G30" s="574"/>
      <c r="H30" s="750"/>
      <c r="I30" s="750"/>
      <c r="J30" s="750"/>
      <c r="K30" s="750"/>
      <c r="L30" s="574"/>
      <c r="M30" s="574"/>
      <c r="N30" s="681" t="s">
        <v>29</v>
      </c>
    </row>
    <row r="31">
      <c r="A31" s="749" t="s">
        <v>3511</v>
      </c>
      <c r="B31" s="574"/>
      <c r="C31" s="574"/>
      <c r="D31" s="574"/>
      <c r="E31" s="574"/>
      <c r="F31" s="574"/>
      <c r="G31" s="574"/>
      <c r="H31" s="750"/>
      <c r="I31" s="750"/>
      <c r="J31" s="750"/>
      <c r="K31" s="750"/>
      <c r="L31" s="574"/>
      <c r="M31" s="574"/>
      <c r="N31" s="681" t="s">
        <v>29</v>
      </c>
    </row>
    <row r="32">
      <c r="A32" s="749" t="s">
        <v>3511</v>
      </c>
      <c r="B32" s="574"/>
      <c r="C32" s="574"/>
      <c r="D32" s="574"/>
      <c r="E32" s="574"/>
      <c r="F32" s="574"/>
      <c r="G32" s="574"/>
      <c r="H32" s="750"/>
      <c r="I32" s="750"/>
      <c r="J32" s="750"/>
      <c r="K32" s="750"/>
      <c r="L32" s="574"/>
      <c r="M32" s="574"/>
      <c r="N32" s="681" t="s">
        <v>29</v>
      </c>
    </row>
    <row r="33">
      <c r="A33" s="749" t="s">
        <v>3511</v>
      </c>
      <c r="B33" s="574"/>
      <c r="C33" s="574"/>
      <c r="D33" s="574"/>
      <c r="E33" s="574"/>
      <c r="F33" s="574"/>
      <c r="G33" s="574"/>
      <c r="H33" s="750"/>
      <c r="I33" s="750"/>
      <c r="J33" s="750"/>
      <c r="K33" s="750"/>
      <c r="L33" s="574"/>
      <c r="M33" s="574"/>
      <c r="N33" s="681" t="s">
        <v>29</v>
      </c>
    </row>
    <row r="34">
      <c r="A34" s="749" t="s">
        <v>3511</v>
      </c>
      <c r="B34" s="574"/>
      <c r="C34" s="574"/>
      <c r="D34" s="574"/>
      <c r="E34" s="574"/>
      <c r="F34" s="574"/>
      <c r="G34" s="574"/>
      <c r="H34" s="750"/>
      <c r="I34" s="750"/>
      <c r="J34" s="750"/>
      <c r="K34" s="750"/>
      <c r="L34" s="574"/>
      <c r="M34" s="574"/>
      <c r="N34" s="681" t="s">
        <v>29</v>
      </c>
    </row>
    <row r="35">
      <c r="A35" s="749" t="s">
        <v>3511</v>
      </c>
      <c r="B35" s="574"/>
      <c r="C35" s="574"/>
      <c r="D35" s="574"/>
      <c r="E35" s="574"/>
      <c r="F35" s="574"/>
      <c r="G35" s="574"/>
      <c r="H35" s="750"/>
      <c r="I35" s="750"/>
      <c r="J35" s="750"/>
      <c r="K35" s="750"/>
      <c r="L35" s="574"/>
      <c r="M35" s="574"/>
      <c r="N35" s="681" t="s">
        <v>29</v>
      </c>
    </row>
    <row r="36">
      <c r="A36" s="749" t="s">
        <v>3511</v>
      </c>
      <c r="B36" s="574"/>
      <c r="C36" s="574"/>
      <c r="D36" s="574"/>
      <c r="E36" s="574"/>
      <c r="F36" s="574"/>
      <c r="G36" s="574"/>
      <c r="H36" s="750"/>
      <c r="I36" s="750"/>
      <c r="J36" s="750"/>
      <c r="K36" s="750"/>
      <c r="L36" s="574"/>
      <c r="M36" s="574"/>
      <c r="N36" s="681" t="s">
        <v>29</v>
      </c>
    </row>
    <row r="37">
      <c r="A37" s="749" t="s">
        <v>3511</v>
      </c>
      <c r="B37" s="574"/>
      <c r="C37" s="574"/>
      <c r="D37" s="574"/>
      <c r="E37" s="574"/>
      <c r="F37" s="574"/>
      <c r="G37" s="574"/>
      <c r="H37" s="750"/>
      <c r="I37" s="750"/>
      <c r="J37" s="750"/>
      <c r="K37" s="750"/>
      <c r="L37" s="574"/>
      <c r="M37" s="574"/>
      <c r="N37" s="681" t="s">
        <v>29</v>
      </c>
    </row>
    <row r="38">
      <c r="A38" s="749" t="s">
        <v>3511</v>
      </c>
      <c r="B38" s="574"/>
      <c r="C38" s="574"/>
      <c r="D38" s="574"/>
      <c r="E38" s="574"/>
      <c r="F38" s="574"/>
      <c r="G38" s="574"/>
      <c r="H38" s="750"/>
      <c r="I38" s="750"/>
      <c r="J38" s="750"/>
      <c r="K38" s="750"/>
      <c r="L38" s="574"/>
      <c r="M38" s="574"/>
      <c r="N38" s="681" t="s">
        <v>29</v>
      </c>
    </row>
    <row r="39">
      <c r="A39" s="749" t="s">
        <v>3511</v>
      </c>
      <c r="B39" s="574"/>
      <c r="C39" s="574"/>
      <c r="D39" s="574"/>
      <c r="E39" s="574"/>
      <c r="F39" s="574"/>
      <c r="G39" s="574"/>
      <c r="H39" s="750"/>
      <c r="I39" s="750"/>
      <c r="J39" s="750"/>
      <c r="K39" s="750"/>
      <c r="L39" s="574"/>
      <c r="M39" s="574"/>
      <c r="N39" s="681" t="s">
        <v>29</v>
      </c>
    </row>
    <row r="40">
      <c r="A40" s="749" t="s">
        <v>3511</v>
      </c>
      <c r="B40" s="574"/>
      <c r="C40" s="574"/>
      <c r="D40" s="574"/>
      <c r="E40" s="574"/>
      <c r="F40" s="574"/>
      <c r="G40" s="574"/>
      <c r="H40" s="750"/>
      <c r="I40" s="750"/>
      <c r="J40" s="750"/>
      <c r="K40" s="750"/>
      <c r="L40" s="574"/>
      <c r="M40" s="574"/>
      <c r="N40" s="681" t="s">
        <v>29</v>
      </c>
    </row>
    <row r="41">
      <c r="A41" s="749" t="s">
        <v>3511</v>
      </c>
      <c r="B41" s="574"/>
      <c r="C41" s="574"/>
      <c r="D41" s="574"/>
      <c r="E41" s="574"/>
      <c r="F41" s="574"/>
      <c r="G41" s="574"/>
      <c r="H41" s="750"/>
      <c r="I41" s="750"/>
      <c r="J41" s="750"/>
      <c r="K41" s="750"/>
      <c r="L41" s="574"/>
      <c r="M41" s="574"/>
      <c r="N41" s="681" t="s">
        <v>29</v>
      </c>
    </row>
    <row r="42">
      <c r="A42" s="749" t="s">
        <v>3511</v>
      </c>
      <c r="B42" s="574"/>
      <c r="C42" s="574"/>
      <c r="D42" s="574"/>
      <c r="E42" s="574"/>
      <c r="F42" s="574"/>
      <c r="G42" s="574"/>
      <c r="H42" s="750"/>
      <c r="I42" s="750"/>
      <c r="J42" s="750"/>
      <c r="K42" s="750"/>
      <c r="L42" s="574"/>
      <c r="M42" s="574"/>
      <c r="N42" s="681" t="s">
        <v>29</v>
      </c>
    </row>
    <row r="43">
      <c r="A43" s="749" t="s">
        <v>3511</v>
      </c>
      <c r="B43" s="574"/>
      <c r="C43" s="574"/>
      <c r="D43" s="574"/>
      <c r="E43" s="574"/>
      <c r="F43" s="574"/>
      <c r="G43" s="574"/>
      <c r="H43" s="750"/>
      <c r="I43" s="750"/>
      <c r="J43" s="750"/>
      <c r="K43" s="750"/>
      <c r="L43" s="574"/>
      <c r="M43" s="574"/>
      <c r="N43" s="681" t="s">
        <v>29</v>
      </c>
    </row>
    <row r="44">
      <c r="A44" s="749" t="s">
        <v>3511</v>
      </c>
      <c r="B44" s="574"/>
      <c r="C44" s="574"/>
      <c r="D44" s="574"/>
      <c r="E44" s="574"/>
      <c r="F44" s="574"/>
      <c r="G44" s="574"/>
      <c r="H44" s="750"/>
      <c r="I44" s="750"/>
      <c r="J44" s="750"/>
      <c r="K44" s="750"/>
      <c r="L44" s="574"/>
      <c r="M44" s="574"/>
      <c r="N44" s="681" t="s">
        <v>29</v>
      </c>
    </row>
    <row r="45">
      <c r="A45" s="749" t="s">
        <v>3511</v>
      </c>
      <c r="B45" s="574"/>
      <c r="C45" s="574"/>
      <c r="D45" s="574"/>
      <c r="E45" s="574"/>
      <c r="F45" s="574"/>
      <c r="G45" s="574"/>
      <c r="H45" s="750"/>
      <c r="I45" s="750"/>
      <c r="J45" s="750"/>
      <c r="K45" s="750"/>
      <c r="L45" s="574"/>
      <c r="M45" s="574"/>
      <c r="N45" s="681" t="s">
        <v>29</v>
      </c>
    </row>
    <row r="46">
      <c r="A46" s="749" t="s">
        <v>3511</v>
      </c>
      <c r="B46" s="574"/>
      <c r="C46" s="574"/>
      <c r="D46" s="574"/>
      <c r="E46" s="574"/>
      <c r="F46" s="574"/>
      <c r="G46" s="574"/>
      <c r="H46" s="750"/>
      <c r="I46" s="750"/>
      <c r="J46" s="750"/>
      <c r="K46" s="750"/>
      <c r="L46" s="574"/>
      <c r="M46" s="574"/>
      <c r="N46" s="681" t="s">
        <v>29</v>
      </c>
    </row>
    <row r="47">
      <c r="A47" s="749" t="s">
        <v>3511</v>
      </c>
      <c r="B47" s="574"/>
      <c r="C47" s="574"/>
      <c r="D47" s="574"/>
      <c r="E47" s="574"/>
      <c r="F47" s="574"/>
      <c r="G47" s="574"/>
      <c r="H47" s="750"/>
      <c r="I47" s="750"/>
      <c r="J47" s="750"/>
      <c r="K47" s="750"/>
      <c r="L47" s="574"/>
      <c r="M47" s="574"/>
      <c r="N47" s="681" t="s">
        <v>29</v>
      </c>
    </row>
    <row r="48">
      <c r="A48" s="749" t="s">
        <v>3511</v>
      </c>
      <c r="B48" s="574"/>
      <c r="C48" s="574"/>
      <c r="D48" s="574"/>
      <c r="E48" s="574"/>
      <c r="F48" s="574"/>
      <c r="G48" s="574"/>
      <c r="H48" s="750"/>
      <c r="I48" s="750"/>
      <c r="J48" s="750"/>
      <c r="K48" s="750"/>
      <c r="L48" s="574"/>
      <c r="M48" s="574"/>
      <c r="N48" s="681" t="s">
        <v>29</v>
      </c>
    </row>
    <row r="49">
      <c r="A49" s="749" t="s">
        <v>3511</v>
      </c>
      <c r="B49" s="574"/>
      <c r="C49" s="574"/>
      <c r="D49" s="574"/>
      <c r="E49" s="574"/>
      <c r="F49" s="574"/>
      <c r="G49" s="574"/>
      <c r="H49" s="750"/>
      <c r="I49" s="750"/>
      <c r="J49" s="750"/>
      <c r="K49" s="750"/>
      <c r="L49" s="574"/>
      <c r="M49" s="574"/>
      <c r="N49" s="681" t="s">
        <v>29</v>
      </c>
    </row>
    <row r="50">
      <c r="A50" s="749" t="s">
        <v>3511</v>
      </c>
      <c r="B50" s="574"/>
      <c r="C50" s="574"/>
      <c r="D50" s="574"/>
      <c r="E50" s="574"/>
      <c r="F50" s="574"/>
      <c r="G50" s="574"/>
      <c r="H50" s="750"/>
      <c r="I50" s="750"/>
      <c r="J50" s="750"/>
      <c r="K50" s="750"/>
      <c r="L50" s="574"/>
      <c r="M50" s="574"/>
      <c r="N50" s="681" t="s">
        <v>29</v>
      </c>
    </row>
    <row r="51">
      <c r="A51" s="749" t="s">
        <v>3511</v>
      </c>
      <c r="B51" s="574"/>
      <c r="C51" s="574"/>
      <c r="D51" s="574"/>
      <c r="E51" s="574"/>
      <c r="F51" s="574"/>
      <c r="G51" s="574"/>
      <c r="H51" s="750"/>
      <c r="I51" s="750"/>
      <c r="J51" s="750"/>
      <c r="K51" s="750"/>
      <c r="L51" s="574"/>
      <c r="M51" s="574"/>
      <c r="N51" s="681" t="s">
        <v>29</v>
      </c>
    </row>
    <row r="52">
      <c r="A52" s="749" t="s">
        <v>3511</v>
      </c>
      <c r="B52" s="574"/>
      <c r="C52" s="574"/>
      <c r="D52" s="574"/>
      <c r="E52" s="574"/>
      <c r="F52" s="574"/>
      <c r="G52" s="574"/>
      <c r="H52" s="750"/>
      <c r="I52" s="750"/>
      <c r="J52" s="750"/>
      <c r="K52" s="750"/>
      <c r="L52" s="574"/>
      <c r="M52" s="574"/>
      <c r="N52" s="681" t="s">
        <v>29</v>
      </c>
    </row>
    <row r="53">
      <c r="A53" s="749" t="s">
        <v>3511</v>
      </c>
      <c r="B53" s="574"/>
      <c r="C53" s="574"/>
      <c r="D53" s="574"/>
      <c r="E53" s="574"/>
      <c r="F53" s="574"/>
      <c r="G53" s="574"/>
      <c r="H53" s="750"/>
      <c r="I53" s="750"/>
      <c r="J53" s="750"/>
      <c r="K53" s="750"/>
      <c r="L53" s="574"/>
      <c r="M53" s="574"/>
      <c r="N53" s="681" t="s">
        <v>29</v>
      </c>
    </row>
    <row r="54">
      <c r="A54" s="749" t="s">
        <v>3511</v>
      </c>
      <c r="B54" s="574"/>
      <c r="C54" s="574"/>
      <c r="D54" s="574"/>
      <c r="E54" s="574"/>
      <c r="F54" s="574"/>
      <c r="G54" s="574"/>
      <c r="H54" s="750"/>
      <c r="I54" s="750"/>
      <c r="J54" s="750"/>
      <c r="K54" s="750"/>
      <c r="L54" s="574"/>
      <c r="M54" s="574"/>
      <c r="N54" s="681" t="s">
        <v>29</v>
      </c>
    </row>
    <row r="55">
      <c r="A55" s="749" t="s">
        <v>3511</v>
      </c>
      <c r="B55" s="574"/>
      <c r="C55" s="574"/>
      <c r="D55" s="574"/>
      <c r="E55" s="574"/>
      <c r="F55" s="574"/>
      <c r="G55" s="574"/>
      <c r="H55" s="750"/>
      <c r="I55" s="750"/>
      <c r="J55" s="750"/>
      <c r="K55" s="750"/>
      <c r="L55" s="574"/>
      <c r="M55" s="574"/>
      <c r="N55" s="681" t="s">
        <v>29</v>
      </c>
    </row>
    <row r="56">
      <c r="A56" s="749" t="s">
        <v>3511</v>
      </c>
      <c r="B56" s="574"/>
      <c r="C56" s="574"/>
      <c r="D56" s="574"/>
      <c r="E56" s="574"/>
      <c r="F56" s="574"/>
      <c r="G56" s="574"/>
      <c r="H56" s="750"/>
      <c r="I56" s="750"/>
      <c r="J56" s="750"/>
      <c r="K56" s="750"/>
      <c r="L56" s="574"/>
      <c r="M56" s="574"/>
      <c r="N56" s="681" t="s">
        <v>29</v>
      </c>
    </row>
    <row r="57">
      <c r="A57" s="749" t="s">
        <v>3511</v>
      </c>
      <c r="B57" s="574"/>
      <c r="C57" s="574"/>
      <c r="D57" s="574"/>
      <c r="E57" s="574"/>
      <c r="F57" s="574"/>
      <c r="G57" s="574"/>
      <c r="H57" s="750"/>
      <c r="I57" s="750"/>
      <c r="J57" s="750"/>
      <c r="K57" s="750"/>
      <c r="L57" s="574"/>
      <c r="M57" s="574"/>
      <c r="N57" s="681" t="s">
        <v>29</v>
      </c>
    </row>
    <row r="58">
      <c r="A58" s="749" t="s">
        <v>3511</v>
      </c>
      <c r="B58" s="574"/>
      <c r="C58" s="574"/>
      <c r="D58" s="574"/>
      <c r="E58" s="574"/>
      <c r="F58" s="574"/>
      <c r="G58" s="574"/>
      <c r="H58" s="750"/>
      <c r="I58" s="750"/>
      <c r="J58" s="750"/>
      <c r="K58" s="750"/>
      <c r="L58" s="574"/>
      <c r="M58" s="574"/>
      <c r="N58" s="681" t="s">
        <v>29</v>
      </c>
    </row>
    <row r="59">
      <c r="A59" s="749" t="s">
        <v>3511</v>
      </c>
      <c r="B59" s="574"/>
      <c r="C59" s="574"/>
      <c r="D59" s="574"/>
      <c r="E59" s="574"/>
      <c r="F59" s="574"/>
      <c r="G59" s="574"/>
      <c r="H59" s="750"/>
      <c r="I59" s="750"/>
      <c r="J59" s="750"/>
      <c r="K59" s="750"/>
      <c r="L59" s="574"/>
      <c r="M59" s="574"/>
      <c r="N59" s="681" t="s">
        <v>29</v>
      </c>
    </row>
    <row r="60">
      <c r="A60" s="749" t="s">
        <v>3511</v>
      </c>
      <c r="B60" s="574"/>
      <c r="C60" s="574"/>
      <c r="D60" s="574"/>
      <c r="E60" s="574"/>
      <c r="F60" s="574"/>
      <c r="G60" s="574"/>
      <c r="H60" s="750"/>
      <c r="I60" s="750"/>
      <c r="J60" s="750"/>
      <c r="K60" s="750"/>
      <c r="L60" s="574"/>
      <c r="M60" s="574"/>
      <c r="N60" s="681" t="s">
        <v>29</v>
      </c>
    </row>
    <row r="61">
      <c r="A61" s="749" t="s">
        <v>3511</v>
      </c>
      <c r="B61" s="574"/>
      <c r="C61" s="574"/>
      <c r="D61" s="574"/>
      <c r="E61" s="574"/>
      <c r="F61" s="574"/>
      <c r="G61" s="574"/>
      <c r="H61" s="750"/>
      <c r="I61" s="750"/>
      <c r="J61" s="750"/>
      <c r="K61" s="750"/>
      <c r="L61" s="574"/>
      <c r="M61" s="574"/>
      <c r="N61" s="681" t="s">
        <v>29</v>
      </c>
    </row>
    <row r="62">
      <c r="A62" s="749" t="s">
        <v>3511</v>
      </c>
      <c r="B62" s="574"/>
      <c r="C62" s="574"/>
      <c r="D62" s="574"/>
      <c r="E62" s="574"/>
      <c r="F62" s="574"/>
      <c r="G62" s="574"/>
      <c r="H62" s="750"/>
      <c r="I62" s="750"/>
      <c r="J62" s="750"/>
      <c r="K62" s="750"/>
      <c r="L62" s="574"/>
      <c r="M62" s="574"/>
      <c r="N62" s="681" t="s">
        <v>29</v>
      </c>
    </row>
    <row r="63">
      <c r="A63" s="749" t="s">
        <v>3511</v>
      </c>
      <c r="B63" s="574"/>
      <c r="C63" s="574"/>
      <c r="D63" s="574"/>
      <c r="E63" s="574"/>
      <c r="F63" s="574"/>
      <c r="G63" s="574"/>
      <c r="H63" s="750"/>
      <c r="I63" s="750"/>
      <c r="J63" s="750"/>
      <c r="K63" s="750"/>
      <c r="L63" s="574"/>
      <c r="M63" s="574"/>
      <c r="N63" s="681" t="s">
        <v>29</v>
      </c>
    </row>
    <row r="64">
      <c r="A64" s="749" t="s">
        <v>3511</v>
      </c>
      <c r="B64" s="574"/>
      <c r="C64" s="574"/>
      <c r="D64" s="574"/>
      <c r="E64" s="574"/>
      <c r="F64" s="574"/>
      <c r="G64" s="574"/>
      <c r="H64" s="750"/>
      <c r="I64" s="750"/>
      <c r="J64" s="750"/>
      <c r="K64" s="750"/>
      <c r="L64" s="574"/>
      <c r="M64" s="574"/>
      <c r="N64" s="681" t="s">
        <v>29</v>
      </c>
    </row>
    <row r="65">
      <c r="A65" s="749" t="s">
        <v>3511</v>
      </c>
      <c r="B65" s="574"/>
      <c r="C65" s="574"/>
      <c r="D65" s="574"/>
      <c r="E65" s="574"/>
      <c r="F65" s="574"/>
      <c r="G65" s="574"/>
      <c r="H65" s="750"/>
      <c r="I65" s="750"/>
      <c r="J65" s="750"/>
      <c r="K65" s="750"/>
      <c r="L65" s="574"/>
      <c r="M65" s="574"/>
      <c r="N65" s="681" t="s">
        <v>29</v>
      </c>
    </row>
    <row r="66">
      <c r="A66" s="749" t="s">
        <v>3511</v>
      </c>
      <c r="B66" s="574"/>
      <c r="C66" s="574"/>
      <c r="D66" s="574"/>
      <c r="E66" s="574"/>
      <c r="F66" s="574"/>
      <c r="G66" s="574"/>
      <c r="H66" s="750"/>
      <c r="I66" s="750"/>
      <c r="J66" s="750"/>
      <c r="K66" s="750"/>
      <c r="L66" s="574"/>
      <c r="M66" s="574"/>
      <c r="N66" s="681" t="s">
        <v>29</v>
      </c>
    </row>
    <row r="67">
      <c r="A67" s="749" t="s">
        <v>3511</v>
      </c>
      <c r="B67" s="574"/>
      <c r="C67" s="574"/>
      <c r="D67" s="574"/>
      <c r="E67" s="574"/>
      <c r="F67" s="574"/>
      <c r="G67" s="574"/>
      <c r="H67" s="750"/>
      <c r="I67" s="750"/>
      <c r="J67" s="750"/>
      <c r="K67" s="750"/>
      <c r="L67" s="574"/>
      <c r="M67" s="574"/>
      <c r="N67" s="681" t="s">
        <v>29</v>
      </c>
    </row>
    <row r="68">
      <c r="A68" s="749" t="s">
        <v>3511</v>
      </c>
      <c r="B68" s="574"/>
      <c r="C68" s="574"/>
      <c r="D68" s="574"/>
      <c r="E68" s="574"/>
      <c r="F68" s="574"/>
      <c r="G68" s="574"/>
      <c r="H68" s="750"/>
      <c r="I68" s="750"/>
      <c r="J68" s="750"/>
      <c r="K68" s="750"/>
      <c r="L68" s="574"/>
      <c r="M68" s="574"/>
      <c r="N68" s="681" t="s">
        <v>29</v>
      </c>
    </row>
    <row r="69">
      <c r="A69" s="749" t="s">
        <v>3511</v>
      </c>
      <c r="B69" s="574"/>
      <c r="C69" s="574"/>
      <c r="D69" s="574"/>
      <c r="E69" s="574"/>
      <c r="F69" s="574"/>
      <c r="G69" s="574"/>
      <c r="H69" s="750"/>
      <c r="I69" s="750"/>
      <c r="J69" s="750"/>
      <c r="K69" s="750"/>
      <c r="L69" s="574"/>
      <c r="M69" s="574"/>
      <c r="N69" s="681" t="s">
        <v>29</v>
      </c>
    </row>
    <row r="70">
      <c r="A70" s="749" t="s">
        <v>3511</v>
      </c>
      <c r="B70" s="574"/>
      <c r="C70" s="574"/>
      <c r="D70" s="574"/>
      <c r="E70" s="574"/>
      <c r="F70" s="574"/>
      <c r="G70" s="574"/>
      <c r="H70" s="750"/>
      <c r="I70" s="750"/>
      <c r="J70" s="750"/>
      <c r="K70" s="750"/>
      <c r="L70" s="574"/>
      <c r="M70" s="574"/>
      <c r="N70" s="681" t="s">
        <v>29</v>
      </c>
    </row>
    <row r="71">
      <c r="A71" s="749" t="s">
        <v>3511</v>
      </c>
      <c r="B71" s="574"/>
      <c r="C71" s="574"/>
      <c r="D71" s="574"/>
      <c r="E71" s="574"/>
      <c r="F71" s="574"/>
      <c r="G71" s="574"/>
      <c r="H71" s="750"/>
      <c r="I71" s="750"/>
      <c r="J71" s="750"/>
      <c r="K71" s="750"/>
      <c r="L71" s="574"/>
      <c r="M71" s="574"/>
      <c r="N71" s="681" t="s">
        <v>29</v>
      </c>
    </row>
    <row r="72">
      <c r="A72" s="749" t="s">
        <v>3511</v>
      </c>
      <c r="B72" s="574"/>
      <c r="C72" s="574"/>
      <c r="D72" s="574"/>
      <c r="E72" s="574"/>
      <c r="F72" s="574"/>
      <c r="G72" s="574"/>
      <c r="H72" s="750"/>
      <c r="I72" s="750"/>
      <c r="J72" s="750"/>
      <c r="K72" s="750"/>
      <c r="L72" s="574"/>
      <c r="M72" s="574"/>
      <c r="N72" s="681" t="s">
        <v>29</v>
      </c>
    </row>
    <row r="73">
      <c r="A73" s="749" t="s">
        <v>3511</v>
      </c>
      <c r="B73" s="574"/>
      <c r="C73" s="574"/>
      <c r="D73" s="574"/>
      <c r="E73" s="574"/>
      <c r="F73" s="574"/>
      <c r="G73" s="574"/>
      <c r="H73" s="750"/>
      <c r="I73" s="750"/>
      <c r="J73" s="750"/>
      <c r="K73" s="750"/>
      <c r="L73" s="574"/>
      <c r="M73" s="574"/>
      <c r="N73" s="681" t="s">
        <v>29</v>
      </c>
    </row>
    <row r="74">
      <c r="A74" s="749" t="s">
        <v>3511</v>
      </c>
      <c r="B74" s="574"/>
      <c r="C74" s="574"/>
      <c r="D74" s="574"/>
      <c r="E74" s="574"/>
      <c r="F74" s="574"/>
      <c r="G74" s="574"/>
      <c r="H74" s="750"/>
      <c r="I74" s="750"/>
      <c r="J74" s="750"/>
      <c r="K74" s="750"/>
      <c r="L74" s="574"/>
      <c r="M74" s="574"/>
      <c r="N74" s="681" t="s">
        <v>29</v>
      </c>
    </row>
    <row r="75">
      <c r="A75" s="749" t="s">
        <v>3511</v>
      </c>
      <c r="B75" s="574"/>
      <c r="C75" s="574"/>
      <c r="D75" s="574"/>
      <c r="E75" s="574"/>
      <c r="F75" s="574"/>
      <c r="G75" s="574"/>
      <c r="H75" s="750"/>
      <c r="I75" s="750"/>
      <c r="J75" s="750"/>
      <c r="K75" s="750"/>
      <c r="L75" s="574"/>
      <c r="M75" s="574"/>
      <c r="N75" s="681" t="s">
        <v>29</v>
      </c>
    </row>
    <row r="76">
      <c r="A76" s="749" t="s">
        <v>3511</v>
      </c>
      <c r="B76" s="574"/>
      <c r="C76" s="574"/>
      <c r="D76" s="574"/>
      <c r="E76" s="574"/>
      <c r="F76" s="574"/>
      <c r="G76" s="574"/>
      <c r="H76" s="750"/>
      <c r="I76" s="750"/>
      <c r="J76" s="750"/>
      <c r="K76" s="750"/>
      <c r="L76" s="574"/>
      <c r="M76" s="574"/>
      <c r="N76" s="681" t="s">
        <v>29</v>
      </c>
    </row>
    <row r="77">
      <c r="A77" s="749" t="s">
        <v>3511</v>
      </c>
      <c r="B77" s="574"/>
      <c r="C77" s="574"/>
      <c r="D77" s="574"/>
      <c r="E77" s="574"/>
      <c r="F77" s="574"/>
      <c r="G77" s="574"/>
      <c r="H77" s="750"/>
      <c r="I77" s="750"/>
      <c r="J77" s="750"/>
      <c r="K77" s="750"/>
      <c r="L77" s="574"/>
      <c r="M77" s="574"/>
      <c r="N77" s="681" t="s">
        <v>29</v>
      </c>
    </row>
    <row r="78">
      <c r="A78" s="749" t="s">
        <v>3511</v>
      </c>
      <c r="B78" s="574"/>
      <c r="C78" s="574"/>
      <c r="D78" s="574"/>
      <c r="E78" s="574"/>
      <c r="F78" s="574"/>
      <c r="G78" s="574"/>
      <c r="H78" s="750"/>
      <c r="I78" s="750"/>
      <c r="J78" s="750"/>
      <c r="K78" s="750"/>
      <c r="L78" s="574"/>
      <c r="M78" s="574"/>
      <c r="N78" s="681" t="s">
        <v>29</v>
      </c>
    </row>
    <row r="79">
      <c r="A79" s="749" t="s">
        <v>3511</v>
      </c>
      <c r="B79" s="574"/>
      <c r="C79" s="574"/>
      <c r="D79" s="574"/>
      <c r="E79" s="574"/>
      <c r="F79" s="574"/>
      <c r="G79" s="574"/>
      <c r="H79" s="750"/>
      <c r="I79" s="750"/>
      <c r="J79" s="750"/>
      <c r="K79" s="750"/>
      <c r="L79" s="574"/>
      <c r="M79" s="574"/>
      <c r="N79" s="681" t="s">
        <v>29</v>
      </c>
    </row>
    <row r="80">
      <c r="A80" s="749" t="s">
        <v>3511</v>
      </c>
      <c r="B80" s="574"/>
      <c r="C80" s="574"/>
      <c r="D80" s="574"/>
      <c r="E80" s="574"/>
      <c r="F80" s="574"/>
      <c r="G80" s="574"/>
      <c r="H80" s="750"/>
      <c r="I80" s="750"/>
      <c r="J80" s="750"/>
      <c r="K80" s="750"/>
      <c r="L80" s="574"/>
      <c r="M80" s="574"/>
      <c r="N80" s="681" t="s">
        <v>29</v>
      </c>
    </row>
    <row r="81">
      <c r="A81" s="749" t="s">
        <v>3511</v>
      </c>
      <c r="B81" s="574"/>
      <c r="C81" s="574"/>
      <c r="D81" s="574"/>
      <c r="E81" s="574"/>
      <c r="F81" s="574"/>
      <c r="G81" s="574"/>
      <c r="H81" s="750"/>
      <c r="I81" s="750"/>
      <c r="J81" s="750"/>
      <c r="K81" s="750"/>
      <c r="L81" s="574"/>
      <c r="M81" s="574"/>
      <c r="N81" s="681" t="s">
        <v>29</v>
      </c>
    </row>
    <row r="82">
      <c r="A82" s="749" t="s">
        <v>3511</v>
      </c>
      <c r="B82" s="574"/>
      <c r="C82" s="574"/>
      <c r="D82" s="574"/>
      <c r="E82" s="574"/>
      <c r="F82" s="574"/>
      <c r="G82" s="574"/>
      <c r="H82" s="750"/>
      <c r="I82" s="750"/>
      <c r="J82" s="750"/>
      <c r="K82" s="750"/>
      <c r="L82" s="574"/>
      <c r="M82" s="574"/>
      <c r="N82" s="681" t="s">
        <v>29</v>
      </c>
    </row>
    <row r="83">
      <c r="A83" s="749" t="s">
        <v>3511</v>
      </c>
      <c r="B83" s="574"/>
      <c r="C83" s="574"/>
      <c r="D83" s="574"/>
      <c r="E83" s="574"/>
      <c r="F83" s="574"/>
      <c r="G83" s="574"/>
      <c r="H83" s="750"/>
      <c r="I83" s="750"/>
      <c r="J83" s="750"/>
      <c r="K83" s="750"/>
      <c r="L83" s="574"/>
      <c r="M83" s="574"/>
      <c r="N83" s="681" t="s">
        <v>29</v>
      </c>
    </row>
    <row r="84">
      <c r="A84" s="749" t="s">
        <v>3511</v>
      </c>
      <c r="B84" s="574"/>
      <c r="C84" s="574"/>
      <c r="D84" s="574"/>
      <c r="E84" s="574"/>
      <c r="F84" s="574"/>
      <c r="G84" s="574"/>
      <c r="H84" s="750"/>
      <c r="I84" s="750"/>
      <c r="J84" s="750"/>
      <c r="K84" s="750"/>
      <c r="L84" s="574"/>
      <c r="M84" s="574"/>
      <c r="N84" s="681" t="s">
        <v>29</v>
      </c>
    </row>
    <row r="85">
      <c r="A85" s="749" t="s">
        <v>3511</v>
      </c>
      <c r="B85" s="574"/>
      <c r="C85" s="574"/>
      <c r="D85" s="574"/>
      <c r="E85" s="574"/>
      <c r="F85" s="574"/>
      <c r="G85" s="574"/>
      <c r="H85" s="750"/>
      <c r="I85" s="750"/>
      <c r="J85" s="750"/>
      <c r="K85" s="750"/>
      <c r="L85" s="574"/>
      <c r="M85" s="574"/>
      <c r="N85" s="681" t="s">
        <v>29</v>
      </c>
    </row>
    <row r="86">
      <c r="A86" s="749" t="s">
        <v>3511</v>
      </c>
      <c r="B86" s="574"/>
      <c r="C86" s="574"/>
      <c r="D86" s="574"/>
      <c r="E86" s="574"/>
      <c r="F86" s="574"/>
      <c r="G86" s="574"/>
      <c r="H86" s="750"/>
      <c r="I86" s="750"/>
      <c r="J86" s="750"/>
      <c r="K86" s="750"/>
      <c r="L86" s="574"/>
      <c r="M86" s="574"/>
      <c r="N86" s="681" t="s">
        <v>29</v>
      </c>
    </row>
    <row r="87">
      <c r="A87" s="749" t="s">
        <v>3511</v>
      </c>
      <c r="B87" s="574"/>
      <c r="C87" s="574"/>
      <c r="D87" s="574"/>
      <c r="E87" s="574"/>
      <c r="F87" s="574"/>
      <c r="G87" s="574"/>
      <c r="H87" s="750"/>
      <c r="I87" s="750"/>
      <c r="J87" s="750"/>
      <c r="K87" s="750"/>
      <c r="L87" s="574"/>
      <c r="M87" s="574"/>
      <c r="N87" s="681" t="s">
        <v>29</v>
      </c>
    </row>
    <row r="88">
      <c r="A88" s="749" t="s">
        <v>3511</v>
      </c>
      <c r="B88" s="574"/>
      <c r="C88" s="574"/>
      <c r="D88" s="574"/>
      <c r="E88" s="574"/>
      <c r="F88" s="574"/>
      <c r="G88" s="574"/>
      <c r="H88" s="750"/>
      <c r="I88" s="750"/>
      <c r="J88" s="750"/>
      <c r="K88" s="750"/>
      <c r="L88" s="574"/>
      <c r="M88" s="574"/>
      <c r="N88" s="681" t="s">
        <v>29</v>
      </c>
    </row>
    <row r="89">
      <c r="A89" s="122" t="s">
        <v>3511</v>
      </c>
      <c r="H89" s="751"/>
      <c r="I89" s="751"/>
      <c r="J89" s="751"/>
      <c r="K89" s="751"/>
      <c r="N89" s="325"/>
    </row>
    <row r="90">
      <c r="A90" s="122" t="s">
        <v>3511</v>
      </c>
      <c r="H90" s="751"/>
      <c r="I90" s="751"/>
      <c r="J90" s="751"/>
      <c r="K90" s="751"/>
      <c r="N90" s="325"/>
    </row>
    <row r="91">
      <c r="A91" s="122" t="s">
        <v>3511</v>
      </c>
      <c r="H91" s="751"/>
      <c r="I91" s="751"/>
      <c r="J91" s="751"/>
      <c r="K91" s="751"/>
      <c r="N91" s="325"/>
    </row>
    <row r="92">
      <c r="A92" s="122" t="s">
        <v>3511</v>
      </c>
      <c r="H92" s="751"/>
      <c r="I92" s="751"/>
      <c r="J92" s="751"/>
      <c r="K92" s="751"/>
      <c r="N92" s="325"/>
    </row>
    <row r="93">
      <c r="A93" s="122" t="s">
        <v>3511</v>
      </c>
      <c r="H93" s="751"/>
      <c r="I93" s="751"/>
      <c r="J93" s="751"/>
      <c r="K93" s="751"/>
      <c r="N93" s="325"/>
    </row>
    <row r="94">
      <c r="A94" s="122" t="s">
        <v>3511</v>
      </c>
      <c r="H94" s="751"/>
      <c r="I94" s="751"/>
      <c r="J94" s="751"/>
      <c r="K94" s="751"/>
      <c r="N94" s="325"/>
    </row>
    <row r="95">
      <c r="A95" s="122" t="s">
        <v>3511</v>
      </c>
      <c r="H95" s="751"/>
      <c r="I95" s="751"/>
      <c r="J95" s="751"/>
      <c r="K95" s="751"/>
      <c r="N95" s="325"/>
    </row>
    <row r="96">
      <c r="A96" s="122" t="s">
        <v>3511</v>
      </c>
      <c r="H96" s="751"/>
      <c r="I96" s="751"/>
      <c r="J96" s="751"/>
      <c r="K96" s="751"/>
      <c r="N96" s="325"/>
    </row>
    <row r="97">
      <c r="A97" s="122" t="s">
        <v>3511</v>
      </c>
      <c r="H97" s="751"/>
      <c r="I97" s="751"/>
      <c r="J97" s="751"/>
      <c r="K97" s="751"/>
      <c r="N97" s="325"/>
    </row>
    <row r="98">
      <c r="A98" s="122" t="s">
        <v>3511</v>
      </c>
      <c r="H98" s="751"/>
      <c r="I98" s="751"/>
      <c r="J98" s="751"/>
      <c r="K98" s="751"/>
      <c r="N98" s="325"/>
    </row>
    <row r="99">
      <c r="A99" s="122" t="s">
        <v>3511</v>
      </c>
      <c r="H99" s="751"/>
      <c r="I99" s="751"/>
      <c r="J99" s="751"/>
      <c r="K99" s="751"/>
      <c r="N99" s="325"/>
    </row>
    <row r="100">
      <c r="A100" s="122" t="s">
        <v>3511</v>
      </c>
      <c r="H100" s="751"/>
      <c r="I100" s="751"/>
      <c r="J100" s="751"/>
      <c r="K100" s="751"/>
      <c r="N100" s="325"/>
    </row>
    <row r="101">
      <c r="A101" s="122" t="s">
        <v>3511</v>
      </c>
      <c r="H101" s="751"/>
      <c r="I101" s="751"/>
      <c r="J101" s="751"/>
      <c r="K101" s="751"/>
      <c r="N101" s="325"/>
    </row>
    <row r="102">
      <c r="A102" s="122" t="s">
        <v>3511</v>
      </c>
      <c r="H102" s="751"/>
      <c r="I102" s="751"/>
      <c r="J102" s="751"/>
      <c r="K102" s="751"/>
      <c r="N102" s="325"/>
    </row>
    <row r="103">
      <c r="A103" s="122" t="s">
        <v>3511</v>
      </c>
      <c r="H103" s="751"/>
      <c r="I103" s="751"/>
      <c r="J103" s="751"/>
      <c r="K103" s="751"/>
      <c r="N103" s="325"/>
    </row>
    <row r="104">
      <c r="A104" s="122" t="s">
        <v>3511</v>
      </c>
      <c r="H104" s="751"/>
      <c r="I104" s="751"/>
      <c r="J104" s="751"/>
      <c r="K104" s="751"/>
      <c r="N104" s="325"/>
    </row>
    <row r="105">
      <c r="A105" s="122" t="s">
        <v>3511</v>
      </c>
      <c r="H105" s="751"/>
      <c r="I105" s="751"/>
      <c r="J105" s="751"/>
      <c r="K105" s="751"/>
      <c r="N105" s="325"/>
    </row>
    <row r="106">
      <c r="A106" s="122" t="s">
        <v>3511</v>
      </c>
      <c r="H106" s="751"/>
      <c r="I106" s="751"/>
      <c r="J106" s="751"/>
      <c r="K106" s="751"/>
      <c r="N106" s="325"/>
    </row>
    <row r="107">
      <c r="A107" s="122" t="s">
        <v>3511</v>
      </c>
      <c r="H107" s="751"/>
      <c r="I107" s="751"/>
      <c r="J107" s="751"/>
      <c r="K107" s="751"/>
      <c r="N107" s="325"/>
    </row>
    <row r="108">
      <c r="A108" s="122" t="s">
        <v>3511</v>
      </c>
      <c r="H108" s="751"/>
      <c r="I108" s="751"/>
      <c r="J108" s="751"/>
      <c r="K108" s="751"/>
      <c r="N108" s="325"/>
    </row>
    <row r="109">
      <c r="A109" s="122" t="s">
        <v>3511</v>
      </c>
      <c r="H109" s="751"/>
      <c r="I109" s="751"/>
      <c r="J109" s="751"/>
      <c r="K109" s="751"/>
      <c r="N109" s="325"/>
    </row>
    <row r="110">
      <c r="A110" s="122" t="s">
        <v>3511</v>
      </c>
      <c r="H110" s="751"/>
      <c r="I110" s="751"/>
      <c r="J110" s="751"/>
      <c r="K110" s="751"/>
      <c r="N110" s="325"/>
    </row>
    <row r="111">
      <c r="A111" s="122" t="s">
        <v>3511</v>
      </c>
      <c r="H111" s="751"/>
      <c r="I111" s="751"/>
      <c r="J111" s="751"/>
      <c r="K111" s="751"/>
      <c r="N111" s="325"/>
    </row>
    <row r="112">
      <c r="A112" s="122" t="s">
        <v>3511</v>
      </c>
      <c r="H112" s="751"/>
      <c r="I112" s="751"/>
      <c r="J112" s="751"/>
      <c r="K112" s="751"/>
      <c r="N112" s="325"/>
    </row>
    <row r="113">
      <c r="A113" s="122" t="s">
        <v>3511</v>
      </c>
      <c r="H113" s="751"/>
      <c r="I113" s="751"/>
      <c r="J113" s="751"/>
      <c r="K113" s="751"/>
      <c r="N113" s="325"/>
    </row>
    <row r="114">
      <c r="A114" s="122" t="s">
        <v>3511</v>
      </c>
      <c r="H114" s="751"/>
      <c r="I114" s="751"/>
      <c r="J114" s="751"/>
      <c r="K114" s="751"/>
      <c r="N114" s="325"/>
    </row>
    <row r="115">
      <c r="A115" s="122" t="s">
        <v>3511</v>
      </c>
      <c r="H115" s="751"/>
      <c r="I115" s="751"/>
      <c r="J115" s="751"/>
      <c r="K115" s="751"/>
      <c r="N115" s="325"/>
    </row>
    <row r="116">
      <c r="A116" s="122" t="s">
        <v>3511</v>
      </c>
      <c r="H116" s="751"/>
      <c r="I116" s="751"/>
      <c r="J116" s="751"/>
      <c r="K116" s="751"/>
      <c r="N116" s="325"/>
    </row>
    <row r="117">
      <c r="A117" s="122" t="s">
        <v>3511</v>
      </c>
      <c r="H117" s="751"/>
      <c r="I117" s="751"/>
      <c r="J117" s="751"/>
      <c r="K117" s="751"/>
      <c r="N117" s="325"/>
    </row>
    <row r="118">
      <c r="A118" s="122" t="s">
        <v>3511</v>
      </c>
      <c r="H118" s="751"/>
      <c r="I118" s="751"/>
      <c r="J118" s="751"/>
      <c r="K118" s="751"/>
      <c r="N118" s="325"/>
    </row>
    <row r="119">
      <c r="A119" s="122" t="s">
        <v>3511</v>
      </c>
      <c r="H119" s="751"/>
      <c r="I119" s="751"/>
      <c r="J119" s="751"/>
      <c r="K119" s="751"/>
      <c r="N119" s="325"/>
    </row>
    <row r="120">
      <c r="A120" s="122" t="s">
        <v>3511</v>
      </c>
      <c r="H120" s="751"/>
      <c r="I120" s="751"/>
      <c r="J120" s="751"/>
      <c r="K120" s="751"/>
      <c r="N120" s="325"/>
    </row>
    <row r="121">
      <c r="A121" s="122" t="s">
        <v>3511</v>
      </c>
      <c r="H121" s="751"/>
      <c r="I121" s="751"/>
      <c r="J121" s="751"/>
      <c r="K121" s="751"/>
      <c r="N121" s="325"/>
    </row>
    <row r="122">
      <c r="A122" s="122" t="s">
        <v>3511</v>
      </c>
      <c r="H122" s="751"/>
      <c r="I122" s="751"/>
      <c r="J122" s="751"/>
      <c r="K122" s="751"/>
      <c r="N122" s="325"/>
    </row>
    <row r="123">
      <c r="A123" s="122" t="s">
        <v>3511</v>
      </c>
      <c r="H123" s="751"/>
      <c r="I123" s="751"/>
      <c r="J123" s="751"/>
      <c r="K123" s="751"/>
      <c r="N123" s="325"/>
    </row>
    <row r="124">
      <c r="A124" s="122" t="s">
        <v>3511</v>
      </c>
      <c r="H124" s="751"/>
      <c r="I124" s="751"/>
      <c r="J124" s="751"/>
      <c r="K124" s="751"/>
      <c r="N124" s="325"/>
    </row>
    <row r="125">
      <c r="A125" s="122" t="s">
        <v>3511</v>
      </c>
      <c r="H125" s="751"/>
      <c r="I125" s="751"/>
      <c r="J125" s="751"/>
      <c r="K125" s="751"/>
      <c r="N125" s="325"/>
    </row>
    <row r="126">
      <c r="A126" s="122" t="s">
        <v>3511</v>
      </c>
      <c r="H126" s="751"/>
      <c r="I126" s="751"/>
      <c r="J126" s="751"/>
      <c r="K126" s="751"/>
      <c r="N126" s="325"/>
    </row>
    <row r="127">
      <c r="A127" s="122" t="s">
        <v>3511</v>
      </c>
      <c r="H127" s="751"/>
      <c r="I127" s="751"/>
      <c r="J127" s="751"/>
      <c r="K127" s="751"/>
      <c r="N127" s="325"/>
    </row>
    <row r="128">
      <c r="A128" s="122" t="s">
        <v>3511</v>
      </c>
      <c r="H128" s="751"/>
      <c r="I128" s="751"/>
      <c r="J128" s="751"/>
      <c r="K128" s="751"/>
      <c r="N128" s="325"/>
    </row>
    <row r="129">
      <c r="A129" s="122" t="s">
        <v>3511</v>
      </c>
      <c r="H129" s="751"/>
      <c r="I129" s="751"/>
      <c r="J129" s="751"/>
      <c r="K129" s="751"/>
      <c r="N129" s="325"/>
    </row>
    <row r="130">
      <c r="A130" s="122" t="s">
        <v>3511</v>
      </c>
      <c r="H130" s="751"/>
      <c r="I130" s="751"/>
      <c r="J130" s="751"/>
      <c r="K130" s="751"/>
      <c r="N130" s="325"/>
    </row>
    <row r="131">
      <c r="A131" s="122" t="s">
        <v>3511</v>
      </c>
      <c r="H131" s="751"/>
      <c r="I131" s="751"/>
      <c r="J131" s="751"/>
      <c r="K131" s="751"/>
      <c r="N131" s="325"/>
    </row>
    <row r="132">
      <c r="A132" s="122" t="s">
        <v>3511</v>
      </c>
      <c r="H132" s="751"/>
      <c r="I132" s="751"/>
      <c r="J132" s="751"/>
      <c r="K132" s="751"/>
      <c r="N132" s="325"/>
    </row>
    <row r="133">
      <c r="A133" s="122" t="s">
        <v>3511</v>
      </c>
      <c r="H133" s="751"/>
      <c r="I133" s="751"/>
      <c r="J133" s="751"/>
      <c r="K133" s="751"/>
      <c r="N133" s="325"/>
    </row>
    <row r="134">
      <c r="A134" s="122" t="s">
        <v>3511</v>
      </c>
      <c r="H134" s="751"/>
      <c r="I134" s="751"/>
      <c r="J134" s="751"/>
      <c r="K134" s="751"/>
      <c r="N134" s="325"/>
    </row>
    <row r="135">
      <c r="A135" s="122" t="s">
        <v>3511</v>
      </c>
      <c r="H135" s="751"/>
      <c r="I135" s="751"/>
      <c r="J135" s="751"/>
      <c r="K135" s="751"/>
      <c r="N135" s="325"/>
    </row>
    <row r="136">
      <c r="A136" s="122" t="s">
        <v>3511</v>
      </c>
      <c r="H136" s="751"/>
      <c r="I136" s="751"/>
      <c r="J136" s="751"/>
      <c r="K136" s="751"/>
      <c r="N136" s="325"/>
    </row>
    <row r="137">
      <c r="A137" s="122" t="s">
        <v>3511</v>
      </c>
      <c r="H137" s="751"/>
      <c r="I137" s="751"/>
      <c r="J137" s="751"/>
      <c r="K137" s="751"/>
      <c r="N137" s="325"/>
    </row>
    <row r="138">
      <c r="A138" s="122" t="s">
        <v>3511</v>
      </c>
      <c r="H138" s="751"/>
      <c r="I138" s="751"/>
      <c r="J138" s="751"/>
      <c r="K138" s="751"/>
      <c r="N138" s="325"/>
    </row>
    <row r="139">
      <c r="A139" s="122" t="s">
        <v>3511</v>
      </c>
      <c r="H139" s="751"/>
      <c r="I139" s="751"/>
      <c r="J139" s="751"/>
      <c r="K139" s="751"/>
      <c r="N139" s="325"/>
    </row>
    <row r="140">
      <c r="A140" s="122" t="s">
        <v>3511</v>
      </c>
      <c r="H140" s="751"/>
      <c r="I140" s="751"/>
      <c r="J140" s="751"/>
      <c r="K140" s="751"/>
      <c r="N140" s="325"/>
    </row>
    <row r="141">
      <c r="A141" s="122" t="s">
        <v>3511</v>
      </c>
      <c r="H141" s="751"/>
      <c r="I141" s="751"/>
      <c r="J141" s="751"/>
      <c r="K141" s="751"/>
      <c r="N141" s="325"/>
    </row>
    <row r="142">
      <c r="A142" s="122" t="s">
        <v>3511</v>
      </c>
      <c r="H142" s="751"/>
      <c r="I142" s="751"/>
      <c r="J142" s="751"/>
      <c r="K142" s="751"/>
      <c r="N142" s="325"/>
    </row>
    <row r="143">
      <c r="A143" s="122" t="s">
        <v>3511</v>
      </c>
      <c r="H143" s="751"/>
      <c r="I143" s="751"/>
      <c r="J143" s="751"/>
      <c r="K143" s="751"/>
      <c r="N143" s="325"/>
    </row>
    <row r="144">
      <c r="A144" s="122" t="s">
        <v>3511</v>
      </c>
      <c r="H144" s="751"/>
      <c r="I144" s="751"/>
      <c r="J144" s="751"/>
      <c r="K144" s="751"/>
      <c r="N144" s="325"/>
    </row>
    <row r="145">
      <c r="A145" s="122" t="s">
        <v>3511</v>
      </c>
      <c r="H145" s="751"/>
      <c r="I145" s="751"/>
      <c r="J145" s="751"/>
      <c r="K145" s="751"/>
      <c r="N145" s="325"/>
    </row>
    <row r="146">
      <c r="A146" s="122" t="s">
        <v>3511</v>
      </c>
      <c r="H146" s="751"/>
      <c r="I146" s="751"/>
      <c r="J146" s="751"/>
      <c r="K146" s="751"/>
      <c r="N146" s="325"/>
    </row>
    <row r="147">
      <c r="A147" s="122" t="s">
        <v>3511</v>
      </c>
      <c r="H147" s="751"/>
      <c r="I147" s="751"/>
      <c r="J147" s="751"/>
      <c r="K147" s="751"/>
      <c r="N147" s="325"/>
    </row>
    <row r="148">
      <c r="A148" s="122" t="s">
        <v>3511</v>
      </c>
      <c r="H148" s="751"/>
      <c r="I148" s="751"/>
      <c r="J148" s="751"/>
      <c r="K148" s="751"/>
      <c r="N148" s="325"/>
    </row>
    <row r="149">
      <c r="A149" s="122" t="s">
        <v>3511</v>
      </c>
      <c r="H149" s="751"/>
      <c r="I149" s="751"/>
      <c r="J149" s="751"/>
      <c r="K149" s="751"/>
      <c r="N149" s="325"/>
    </row>
    <row r="150">
      <c r="A150" s="122" t="s">
        <v>3511</v>
      </c>
      <c r="H150" s="751"/>
      <c r="I150" s="751"/>
      <c r="J150" s="751"/>
      <c r="K150" s="751"/>
      <c r="N150" s="325"/>
    </row>
    <row r="151">
      <c r="A151" s="122" t="s">
        <v>3511</v>
      </c>
      <c r="H151" s="751"/>
      <c r="I151" s="751"/>
      <c r="J151" s="751"/>
      <c r="K151" s="751"/>
      <c r="N151" s="325"/>
    </row>
    <row r="152">
      <c r="A152" s="122" t="s">
        <v>3511</v>
      </c>
      <c r="H152" s="751"/>
      <c r="I152" s="751"/>
      <c r="J152" s="751"/>
      <c r="K152" s="751"/>
      <c r="N152" s="325"/>
    </row>
    <row r="153">
      <c r="A153" s="122" t="s">
        <v>3511</v>
      </c>
      <c r="H153" s="751"/>
      <c r="I153" s="751"/>
      <c r="J153" s="751"/>
      <c r="K153" s="751"/>
      <c r="N153" s="325"/>
    </row>
    <row r="154">
      <c r="A154" s="122" t="s">
        <v>3511</v>
      </c>
      <c r="H154" s="751"/>
      <c r="I154" s="751"/>
      <c r="J154" s="751"/>
      <c r="K154" s="751"/>
      <c r="N154" s="325"/>
    </row>
    <row r="155">
      <c r="A155" s="122" t="s">
        <v>3511</v>
      </c>
      <c r="H155" s="751"/>
      <c r="I155" s="751"/>
      <c r="J155" s="751"/>
      <c r="K155" s="751"/>
      <c r="N155" s="325"/>
    </row>
    <row r="156">
      <c r="A156" s="122" t="s">
        <v>3511</v>
      </c>
      <c r="H156" s="751"/>
      <c r="I156" s="751"/>
      <c r="J156" s="751"/>
      <c r="K156" s="751"/>
      <c r="N156" s="325"/>
    </row>
    <row r="157">
      <c r="A157" s="122" t="s">
        <v>3511</v>
      </c>
      <c r="H157" s="751"/>
      <c r="I157" s="751"/>
      <c r="J157" s="751"/>
      <c r="K157" s="751"/>
      <c r="N157" s="325"/>
    </row>
    <row r="158">
      <c r="A158" s="122" t="s">
        <v>3511</v>
      </c>
      <c r="H158" s="751"/>
      <c r="I158" s="751"/>
      <c r="J158" s="751"/>
      <c r="K158" s="751"/>
      <c r="N158" s="325"/>
    </row>
    <row r="159">
      <c r="A159" s="122" t="s">
        <v>3511</v>
      </c>
      <c r="H159" s="751"/>
      <c r="I159" s="751"/>
      <c r="J159" s="751"/>
      <c r="K159" s="751"/>
      <c r="N159" s="325"/>
    </row>
    <row r="160">
      <c r="A160" s="122" t="s">
        <v>3511</v>
      </c>
      <c r="H160" s="751"/>
      <c r="I160" s="751"/>
      <c r="J160" s="751"/>
      <c r="K160" s="751"/>
      <c r="N160" s="325"/>
    </row>
    <row r="161">
      <c r="A161" s="122" t="s">
        <v>3511</v>
      </c>
      <c r="H161" s="751"/>
      <c r="I161" s="751"/>
      <c r="J161" s="751"/>
      <c r="K161" s="751"/>
      <c r="N161" s="325"/>
    </row>
    <row r="162">
      <c r="A162" s="122" t="s">
        <v>3511</v>
      </c>
      <c r="H162" s="751"/>
      <c r="I162" s="751"/>
      <c r="J162" s="751"/>
      <c r="K162" s="751"/>
      <c r="N162" s="325"/>
    </row>
    <row r="163">
      <c r="A163" s="122" t="s">
        <v>3511</v>
      </c>
      <c r="H163" s="751"/>
      <c r="I163" s="751"/>
      <c r="J163" s="751"/>
      <c r="K163" s="751"/>
      <c r="N163" s="325"/>
    </row>
    <row r="164">
      <c r="A164" s="122" t="s">
        <v>3511</v>
      </c>
      <c r="H164" s="751"/>
      <c r="I164" s="751"/>
      <c r="J164" s="751"/>
      <c r="K164" s="751"/>
      <c r="N164" s="325"/>
    </row>
    <row r="165">
      <c r="A165" s="122" t="s">
        <v>3511</v>
      </c>
      <c r="H165" s="751"/>
      <c r="I165" s="751"/>
      <c r="J165" s="751"/>
      <c r="K165" s="751"/>
      <c r="N165" s="325"/>
    </row>
    <row r="166">
      <c r="A166" s="122" t="s">
        <v>3511</v>
      </c>
      <c r="H166" s="751"/>
      <c r="I166" s="751"/>
      <c r="J166" s="751"/>
      <c r="K166" s="751"/>
      <c r="N166" s="325"/>
    </row>
    <row r="167">
      <c r="A167" s="122" t="s">
        <v>3511</v>
      </c>
      <c r="H167" s="751"/>
      <c r="I167" s="751"/>
      <c r="J167" s="751"/>
      <c r="K167" s="751"/>
      <c r="N167" s="325"/>
    </row>
    <row r="168">
      <c r="A168" s="122" t="s">
        <v>3511</v>
      </c>
      <c r="H168" s="751"/>
      <c r="I168" s="751"/>
      <c r="J168" s="751"/>
      <c r="K168" s="751"/>
      <c r="N168" s="325"/>
    </row>
    <row r="169">
      <c r="A169" s="122" t="s">
        <v>3511</v>
      </c>
      <c r="H169" s="751"/>
      <c r="I169" s="751"/>
      <c r="J169" s="751"/>
      <c r="K169" s="751"/>
      <c r="N169" s="325"/>
    </row>
    <row r="170">
      <c r="A170" s="122" t="s">
        <v>3511</v>
      </c>
      <c r="H170" s="751"/>
      <c r="I170" s="751"/>
      <c r="J170" s="751"/>
      <c r="K170" s="751"/>
      <c r="N170" s="325"/>
    </row>
    <row r="171">
      <c r="A171" s="122" t="s">
        <v>3511</v>
      </c>
      <c r="H171" s="751"/>
      <c r="I171" s="751"/>
      <c r="J171" s="751"/>
      <c r="K171" s="751"/>
      <c r="N171" s="325"/>
    </row>
    <row r="172">
      <c r="A172" s="122" t="s">
        <v>3511</v>
      </c>
      <c r="H172" s="751"/>
      <c r="I172" s="751"/>
      <c r="J172" s="751"/>
      <c r="K172" s="751"/>
      <c r="N172" s="325"/>
    </row>
    <row r="173">
      <c r="A173" s="122" t="s">
        <v>3511</v>
      </c>
      <c r="H173" s="751"/>
      <c r="I173" s="751"/>
      <c r="J173" s="751"/>
      <c r="K173" s="751"/>
      <c r="N173" s="325"/>
    </row>
    <row r="174">
      <c r="A174" s="122" t="s">
        <v>3511</v>
      </c>
      <c r="H174" s="751"/>
      <c r="I174" s="751"/>
      <c r="J174" s="751"/>
      <c r="K174" s="751"/>
      <c r="N174" s="325"/>
    </row>
    <row r="175">
      <c r="A175" s="122" t="s">
        <v>3511</v>
      </c>
      <c r="H175" s="751"/>
      <c r="I175" s="751"/>
      <c r="J175" s="751"/>
      <c r="K175" s="751"/>
      <c r="N175" s="325"/>
    </row>
    <row r="176">
      <c r="A176" s="122" t="s">
        <v>3511</v>
      </c>
      <c r="H176" s="751"/>
      <c r="I176" s="751"/>
      <c r="J176" s="751"/>
      <c r="K176" s="751"/>
      <c r="N176" s="325"/>
    </row>
    <row r="177">
      <c r="A177" s="122" t="s">
        <v>3511</v>
      </c>
      <c r="H177" s="751"/>
      <c r="I177" s="751"/>
      <c r="J177" s="751"/>
      <c r="K177" s="751"/>
      <c r="N177" s="325"/>
    </row>
    <row r="178">
      <c r="A178" s="122" t="s">
        <v>3511</v>
      </c>
      <c r="H178" s="751"/>
      <c r="I178" s="751"/>
      <c r="J178" s="751"/>
      <c r="K178" s="751"/>
      <c r="N178" s="325"/>
    </row>
    <row r="179">
      <c r="A179" s="122" t="s">
        <v>3511</v>
      </c>
      <c r="H179" s="751"/>
      <c r="I179" s="751"/>
      <c r="J179" s="751"/>
      <c r="K179" s="751"/>
      <c r="N179" s="325"/>
    </row>
    <row r="180">
      <c r="A180" s="122" t="s">
        <v>3511</v>
      </c>
      <c r="H180" s="751"/>
      <c r="I180" s="751"/>
      <c r="J180" s="751"/>
      <c r="K180" s="751"/>
      <c r="N180" s="325"/>
    </row>
    <row r="181">
      <c r="A181" s="122" t="s">
        <v>3511</v>
      </c>
      <c r="H181" s="751"/>
      <c r="I181" s="751"/>
      <c r="J181" s="751"/>
      <c r="K181" s="751"/>
      <c r="N181" s="325"/>
    </row>
    <row r="182">
      <c r="A182" s="122" t="s">
        <v>3511</v>
      </c>
      <c r="H182" s="751"/>
      <c r="I182" s="751"/>
      <c r="J182" s="751"/>
      <c r="K182" s="751"/>
      <c r="N182" s="325"/>
    </row>
    <row r="183">
      <c r="A183" s="122" t="s">
        <v>3511</v>
      </c>
      <c r="H183" s="751"/>
      <c r="I183" s="751"/>
      <c r="J183" s="751"/>
      <c r="K183" s="751"/>
      <c r="N183" s="325"/>
    </row>
    <row r="184">
      <c r="A184" s="122" t="s">
        <v>3511</v>
      </c>
      <c r="H184" s="751"/>
      <c r="I184" s="751"/>
      <c r="J184" s="751"/>
      <c r="K184" s="751"/>
      <c r="N184" s="325"/>
    </row>
    <row r="185">
      <c r="A185" s="122" t="s">
        <v>3511</v>
      </c>
      <c r="H185" s="751"/>
      <c r="I185" s="751"/>
      <c r="J185" s="751"/>
      <c r="K185" s="751"/>
      <c r="N185" s="325"/>
    </row>
    <row r="186">
      <c r="A186" s="122" t="s">
        <v>3511</v>
      </c>
      <c r="H186" s="751"/>
      <c r="I186" s="751"/>
      <c r="J186" s="751"/>
      <c r="K186" s="751"/>
      <c r="N186" s="325"/>
    </row>
    <row r="187">
      <c r="A187" s="122" t="s">
        <v>3511</v>
      </c>
      <c r="H187" s="751"/>
      <c r="I187" s="751"/>
      <c r="J187" s="751"/>
      <c r="K187" s="751"/>
      <c r="N187" s="325"/>
    </row>
    <row r="188">
      <c r="A188" s="122" t="s">
        <v>3511</v>
      </c>
      <c r="H188" s="751"/>
      <c r="I188" s="751"/>
      <c r="J188" s="751"/>
      <c r="K188" s="751"/>
      <c r="N188" s="325"/>
    </row>
    <row r="189">
      <c r="A189" s="122" t="s">
        <v>3511</v>
      </c>
      <c r="H189" s="751"/>
      <c r="I189" s="751"/>
      <c r="J189" s="751"/>
      <c r="K189" s="751"/>
      <c r="N189" s="325"/>
    </row>
    <row r="190">
      <c r="A190" s="122" t="s">
        <v>3511</v>
      </c>
      <c r="H190" s="751"/>
      <c r="I190" s="751"/>
      <c r="J190" s="751"/>
      <c r="K190" s="751"/>
      <c r="N190" s="325"/>
    </row>
    <row r="191">
      <c r="A191" s="122" t="s">
        <v>3511</v>
      </c>
      <c r="H191" s="751"/>
      <c r="I191" s="751"/>
      <c r="J191" s="751"/>
      <c r="K191" s="751"/>
      <c r="N191" s="325"/>
    </row>
    <row r="192">
      <c r="A192" s="122" t="s">
        <v>3511</v>
      </c>
      <c r="H192" s="751"/>
      <c r="I192" s="751"/>
      <c r="J192" s="751"/>
      <c r="K192" s="751"/>
      <c r="N192" s="325"/>
    </row>
    <row r="193">
      <c r="A193" s="122" t="s">
        <v>3511</v>
      </c>
      <c r="H193" s="751"/>
      <c r="I193" s="751"/>
      <c r="J193" s="751"/>
      <c r="K193" s="751"/>
      <c r="N193" s="325"/>
    </row>
    <row r="194">
      <c r="A194" s="122" t="s">
        <v>3511</v>
      </c>
      <c r="H194" s="751"/>
      <c r="I194" s="751"/>
      <c r="J194" s="751"/>
      <c r="K194" s="751"/>
      <c r="N194" s="325"/>
    </row>
    <row r="195">
      <c r="A195" s="122" t="s">
        <v>3511</v>
      </c>
      <c r="H195" s="751"/>
      <c r="I195" s="751"/>
      <c r="J195" s="751"/>
      <c r="K195" s="751"/>
      <c r="N195" s="325"/>
    </row>
    <row r="196">
      <c r="A196" s="122" t="s">
        <v>3511</v>
      </c>
      <c r="H196" s="751"/>
      <c r="I196" s="751"/>
      <c r="J196" s="751"/>
      <c r="K196" s="751"/>
      <c r="N196" s="325"/>
    </row>
    <row r="197">
      <c r="A197" s="122" t="s">
        <v>3511</v>
      </c>
      <c r="H197" s="751"/>
      <c r="I197" s="751"/>
      <c r="J197" s="751"/>
      <c r="K197" s="751"/>
      <c r="N197" s="325"/>
    </row>
    <row r="198">
      <c r="A198" s="122" t="s">
        <v>3511</v>
      </c>
      <c r="H198" s="751"/>
      <c r="I198" s="751"/>
      <c r="J198" s="751"/>
      <c r="K198" s="751"/>
      <c r="N198" s="325"/>
    </row>
    <row r="199">
      <c r="A199" s="122" t="s">
        <v>3511</v>
      </c>
      <c r="H199" s="751"/>
      <c r="I199" s="751"/>
      <c r="J199" s="751"/>
      <c r="K199" s="751"/>
      <c r="N199" s="325"/>
    </row>
    <row r="200">
      <c r="A200" s="122" t="s">
        <v>3511</v>
      </c>
      <c r="H200" s="751"/>
      <c r="I200" s="751"/>
      <c r="J200" s="751"/>
      <c r="K200" s="751"/>
      <c r="N200" s="325"/>
    </row>
    <row r="201">
      <c r="A201" s="122" t="s">
        <v>3511</v>
      </c>
      <c r="H201" s="751"/>
      <c r="I201" s="751"/>
      <c r="J201" s="751"/>
      <c r="K201" s="751"/>
      <c r="N201" s="325"/>
    </row>
    <row r="202">
      <c r="A202" s="122" t="s">
        <v>3511</v>
      </c>
      <c r="H202" s="751"/>
      <c r="I202" s="751"/>
      <c r="J202" s="751"/>
      <c r="K202" s="751"/>
      <c r="N202" s="325"/>
    </row>
    <row r="203">
      <c r="A203" s="122" t="s">
        <v>3511</v>
      </c>
      <c r="H203" s="751"/>
      <c r="I203" s="751"/>
      <c r="J203" s="751"/>
      <c r="K203" s="751"/>
      <c r="N203" s="325"/>
    </row>
    <row r="204">
      <c r="A204" s="122" t="s">
        <v>3511</v>
      </c>
      <c r="H204" s="751"/>
      <c r="I204" s="751"/>
      <c r="J204" s="751"/>
      <c r="K204" s="751"/>
      <c r="N204" s="325"/>
    </row>
    <row r="205">
      <c r="A205" s="122" t="s">
        <v>3511</v>
      </c>
      <c r="H205" s="751"/>
      <c r="I205" s="751"/>
      <c r="J205" s="751"/>
      <c r="K205" s="751"/>
      <c r="N205" s="325"/>
    </row>
    <row r="206">
      <c r="A206" s="122" t="s">
        <v>3511</v>
      </c>
      <c r="H206" s="751"/>
      <c r="I206" s="751"/>
      <c r="J206" s="751"/>
      <c r="K206" s="751"/>
      <c r="N206" s="325"/>
    </row>
    <row r="207">
      <c r="A207" s="122" t="s">
        <v>3511</v>
      </c>
      <c r="H207" s="751"/>
      <c r="I207" s="751"/>
      <c r="J207" s="751"/>
      <c r="K207" s="751"/>
      <c r="N207" s="325"/>
    </row>
    <row r="208">
      <c r="A208" s="122" t="s">
        <v>3511</v>
      </c>
      <c r="H208" s="751"/>
      <c r="I208" s="751"/>
      <c r="J208" s="751"/>
      <c r="K208" s="751"/>
      <c r="N208" s="325"/>
    </row>
    <row r="209">
      <c r="A209" s="122" t="s">
        <v>3511</v>
      </c>
      <c r="H209" s="751"/>
      <c r="I209" s="751"/>
      <c r="J209" s="751"/>
      <c r="K209" s="751"/>
      <c r="N209" s="325"/>
    </row>
    <row r="210">
      <c r="A210" s="122" t="s">
        <v>3511</v>
      </c>
      <c r="H210" s="751"/>
      <c r="I210" s="751"/>
      <c r="J210" s="751"/>
      <c r="K210" s="751"/>
      <c r="N210" s="325"/>
    </row>
    <row r="211">
      <c r="A211" s="122" t="s">
        <v>3511</v>
      </c>
      <c r="H211" s="751"/>
      <c r="I211" s="751"/>
      <c r="J211" s="751"/>
      <c r="K211" s="751"/>
      <c r="N211" s="325"/>
    </row>
    <row r="212">
      <c r="A212" s="122" t="s">
        <v>3511</v>
      </c>
      <c r="H212" s="751"/>
      <c r="I212" s="751"/>
      <c r="J212" s="751"/>
      <c r="K212" s="751"/>
      <c r="N212" s="325"/>
    </row>
    <row r="213">
      <c r="A213" s="122" t="s">
        <v>3511</v>
      </c>
      <c r="H213" s="751"/>
      <c r="I213" s="751"/>
      <c r="J213" s="751"/>
      <c r="K213" s="751"/>
      <c r="N213" s="325"/>
    </row>
    <row r="214">
      <c r="A214" s="122" t="s">
        <v>3511</v>
      </c>
      <c r="H214" s="751"/>
      <c r="I214" s="751"/>
      <c r="J214" s="751"/>
      <c r="K214" s="751"/>
      <c r="N214" s="325"/>
    </row>
    <row r="215">
      <c r="A215" s="122" t="s">
        <v>3511</v>
      </c>
      <c r="H215" s="751"/>
      <c r="I215" s="751"/>
      <c r="J215" s="751"/>
      <c r="K215" s="751"/>
      <c r="N215" s="325"/>
    </row>
    <row r="216">
      <c r="A216" s="122" t="s">
        <v>3511</v>
      </c>
      <c r="H216" s="751"/>
      <c r="I216" s="751"/>
      <c r="J216" s="751"/>
      <c r="K216" s="751"/>
      <c r="N216" s="325"/>
    </row>
    <row r="217">
      <c r="A217" s="122" t="s">
        <v>3511</v>
      </c>
      <c r="H217" s="751"/>
      <c r="I217" s="751"/>
      <c r="J217" s="751"/>
      <c r="K217" s="751"/>
      <c r="N217" s="325"/>
    </row>
    <row r="218">
      <c r="A218" s="122" t="s">
        <v>3511</v>
      </c>
      <c r="H218" s="751"/>
      <c r="I218" s="751"/>
      <c r="J218" s="751"/>
      <c r="K218" s="751"/>
      <c r="N218" s="325"/>
    </row>
    <row r="219">
      <c r="A219" s="122" t="s">
        <v>3511</v>
      </c>
      <c r="H219" s="751"/>
      <c r="I219" s="751"/>
      <c r="J219" s="751"/>
      <c r="K219" s="751"/>
      <c r="N219" s="325"/>
    </row>
    <row r="220">
      <c r="A220" s="122" t="s">
        <v>3511</v>
      </c>
      <c r="H220" s="751"/>
      <c r="I220" s="751"/>
      <c r="J220" s="751"/>
      <c r="K220" s="751"/>
      <c r="N220" s="325"/>
    </row>
    <row r="221">
      <c r="A221" s="122" t="s">
        <v>3511</v>
      </c>
      <c r="H221" s="751"/>
      <c r="I221" s="751"/>
      <c r="J221" s="751"/>
      <c r="K221" s="751"/>
      <c r="N221" s="325"/>
    </row>
    <row r="222">
      <c r="A222" s="122" t="s">
        <v>3511</v>
      </c>
      <c r="H222" s="751"/>
      <c r="I222" s="751"/>
      <c r="J222" s="751"/>
      <c r="K222" s="751"/>
      <c r="N222" s="325"/>
    </row>
    <row r="223">
      <c r="A223" s="122" t="s">
        <v>3511</v>
      </c>
      <c r="H223" s="751"/>
      <c r="I223" s="751"/>
      <c r="J223" s="751"/>
      <c r="K223" s="751"/>
      <c r="N223" s="325"/>
    </row>
    <row r="224">
      <c r="A224" s="122" t="s">
        <v>3511</v>
      </c>
      <c r="H224" s="751"/>
      <c r="I224" s="751"/>
      <c r="J224" s="751"/>
      <c r="K224" s="751"/>
      <c r="N224" s="325"/>
    </row>
    <row r="225">
      <c r="A225" s="122" t="s">
        <v>3511</v>
      </c>
      <c r="H225" s="751"/>
      <c r="I225" s="751"/>
      <c r="J225" s="751"/>
      <c r="K225" s="751"/>
      <c r="N225" s="325"/>
    </row>
    <row r="226">
      <c r="A226" s="122" t="s">
        <v>3511</v>
      </c>
      <c r="H226" s="751"/>
      <c r="I226" s="751"/>
      <c r="J226" s="751"/>
      <c r="K226" s="751"/>
      <c r="N226" s="325"/>
    </row>
    <row r="227">
      <c r="A227" s="122" t="s">
        <v>3511</v>
      </c>
      <c r="H227" s="751"/>
      <c r="I227" s="751"/>
      <c r="J227" s="751"/>
      <c r="K227" s="751"/>
      <c r="N227" s="325"/>
    </row>
    <row r="228">
      <c r="A228" s="122" t="s">
        <v>3511</v>
      </c>
      <c r="H228" s="751"/>
      <c r="I228" s="751"/>
      <c r="J228" s="751"/>
      <c r="K228" s="751"/>
      <c r="N228" s="325"/>
    </row>
    <row r="229">
      <c r="A229" s="122" t="s">
        <v>3511</v>
      </c>
      <c r="H229" s="751"/>
      <c r="I229" s="751"/>
      <c r="J229" s="751"/>
      <c r="K229" s="751"/>
      <c r="N229" s="325"/>
    </row>
    <row r="230">
      <c r="A230" s="122" t="s">
        <v>3511</v>
      </c>
      <c r="H230" s="751"/>
      <c r="I230" s="751"/>
      <c r="J230" s="751"/>
      <c r="K230" s="751"/>
      <c r="N230" s="325"/>
    </row>
    <row r="231">
      <c r="A231" s="122" t="s">
        <v>3511</v>
      </c>
      <c r="H231" s="751"/>
      <c r="I231" s="751"/>
      <c r="J231" s="751"/>
      <c r="K231" s="751"/>
      <c r="N231" s="325"/>
    </row>
    <row r="232">
      <c r="A232" s="122" t="s">
        <v>3511</v>
      </c>
      <c r="H232" s="751"/>
      <c r="I232" s="751"/>
      <c r="J232" s="751"/>
      <c r="K232" s="751"/>
      <c r="N232" s="325"/>
    </row>
    <row r="233">
      <c r="A233" s="122" t="s">
        <v>3511</v>
      </c>
      <c r="H233" s="751"/>
      <c r="I233" s="751"/>
      <c r="J233" s="751"/>
      <c r="K233" s="751"/>
      <c r="N233" s="325"/>
    </row>
    <row r="234">
      <c r="A234" s="122" t="s">
        <v>3511</v>
      </c>
      <c r="H234" s="751"/>
      <c r="I234" s="751"/>
      <c r="J234" s="751"/>
      <c r="K234" s="751"/>
      <c r="N234" s="325"/>
    </row>
    <row r="235">
      <c r="A235" s="122" t="s">
        <v>3511</v>
      </c>
      <c r="H235" s="751"/>
      <c r="I235" s="751"/>
      <c r="J235" s="751"/>
      <c r="K235" s="751"/>
      <c r="N235" s="325"/>
    </row>
    <row r="236">
      <c r="A236" s="122" t="s">
        <v>3511</v>
      </c>
      <c r="H236" s="751"/>
      <c r="I236" s="751"/>
      <c r="J236" s="751"/>
      <c r="K236" s="751"/>
      <c r="N236" s="325"/>
    </row>
    <row r="237">
      <c r="A237" s="122" t="s">
        <v>3511</v>
      </c>
      <c r="H237" s="751"/>
      <c r="I237" s="751"/>
      <c r="J237" s="751"/>
      <c r="K237" s="751"/>
      <c r="N237" s="325"/>
    </row>
    <row r="238">
      <c r="A238" s="122" t="s">
        <v>3511</v>
      </c>
      <c r="H238" s="751"/>
      <c r="I238" s="751"/>
      <c r="J238" s="751"/>
      <c r="K238" s="751"/>
      <c r="N238" s="325"/>
    </row>
    <row r="239">
      <c r="A239" s="122" t="s">
        <v>3511</v>
      </c>
      <c r="H239" s="751"/>
      <c r="I239" s="751"/>
      <c r="J239" s="751"/>
      <c r="K239" s="751"/>
      <c r="N239" s="325"/>
    </row>
    <row r="240">
      <c r="A240" s="122" t="s">
        <v>3511</v>
      </c>
      <c r="H240" s="751"/>
      <c r="I240" s="751"/>
      <c r="J240" s="751"/>
      <c r="K240" s="751"/>
      <c r="N240" s="325"/>
    </row>
    <row r="241">
      <c r="A241" s="122" t="s">
        <v>3511</v>
      </c>
      <c r="H241" s="751"/>
      <c r="I241" s="751"/>
      <c r="J241" s="751"/>
      <c r="K241" s="751"/>
      <c r="N241" s="325"/>
    </row>
    <row r="242">
      <c r="A242" s="122" t="s">
        <v>3511</v>
      </c>
      <c r="H242" s="751"/>
      <c r="I242" s="751"/>
      <c r="J242" s="751"/>
      <c r="K242" s="751"/>
      <c r="N242" s="325"/>
    </row>
    <row r="243">
      <c r="A243" s="122" t="s">
        <v>3511</v>
      </c>
      <c r="H243" s="751"/>
      <c r="I243" s="751"/>
      <c r="J243" s="751"/>
      <c r="K243" s="751"/>
      <c r="N243" s="325"/>
    </row>
    <row r="244">
      <c r="A244" s="122" t="s">
        <v>3511</v>
      </c>
      <c r="H244" s="751"/>
      <c r="I244" s="751"/>
      <c r="J244" s="751"/>
      <c r="K244" s="751"/>
      <c r="N244" s="325"/>
    </row>
    <row r="245">
      <c r="A245" s="122" t="s">
        <v>3511</v>
      </c>
      <c r="H245" s="751"/>
      <c r="I245" s="751"/>
      <c r="J245" s="751"/>
      <c r="K245" s="751"/>
      <c r="N245" s="325"/>
    </row>
    <row r="246">
      <c r="A246" s="122" t="s">
        <v>3511</v>
      </c>
      <c r="H246" s="751"/>
      <c r="I246" s="751"/>
      <c r="J246" s="751"/>
      <c r="K246" s="751"/>
      <c r="N246" s="325"/>
    </row>
    <row r="247">
      <c r="A247" s="122" t="s">
        <v>3511</v>
      </c>
      <c r="H247" s="751"/>
      <c r="I247" s="751"/>
      <c r="J247" s="751"/>
      <c r="K247" s="751"/>
      <c r="N247" s="325"/>
    </row>
    <row r="248">
      <c r="A248" s="122" t="s">
        <v>3511</v>
      </c>
      <c r="H248" s="751"/>
      <c r="I248" s="751"/>
      <c r="J248" s="751"/>
      <c r="K248" s="751"/>
      <c r="N248" s="325"/>
    </row>
    <row r="249">
      <c r="A249" s="122" t="s">
        <v>3511</v>
      </c>
      <c r="H249" s="751"/>
      <c r="I249" s="751"/>
      <c r="J249" s="751"/>
      <c r="K249" s="751"/>
      <c r="N249" s="325"/>
    </row>
    <row r="250">
      <c r="A250" s="122" t="s">
        <v>3511</v>
      </c>
      <c r="H250" s="751"/>
      <c r="I250" s="751"/>
      <c r="J250" s="751"/>
      <c r="K250" s="751"/>
      <c r="N250" s="325"/>
    </row>
    <row r="251">
      <c r="A251" s="122" t="s">
        <v>3511</v>
      </c>
      <c r="H251" s="751"/>
      <c r="I251" s="751"/>
      <c r="J251" s="751"/>
      <c r="K251" s="751"/>
      <c r="N251" s="325"/>
    </row>
    <row r="252">
      <c r="A252" s="122" t="s">
        <v>3511</v>
      </c>
      <c r="H252" s="751"/>
      <c r="I252" s="751"/>
      <c r="J252" s="751"/>
      <c r="K252" s="751"/>
      <c r="N252" s="325"/>
    </row>
    <row r="253">
      <c r="A253" s="122" t="s">
        <v>3511</v>
      </c>
      <c r="H253" s="751"/>
      <c r="I253" s="751"/>
      <c r="J253" s="751"/>
      <c r="K253" s="751"/>
      <c r="N253" s="325"/>
    </row>
    <row r="254">
      <c r="A254" s="122" t="s">
        <v>3511</v>
      </c>
      <c r="H254" s="751"/>
      <c r="I254" s="751"/>
      <c r="J254" s="751"/>
      <c r="K254" s="751"/>
      <c r="N254" s="325"/>
    </row>
    <row r="255">
      <c r="A255" s="122" t="s">
        <v>3511</v>
      </c>
      <c r="H255" s="751"/>
      <c r="I255" s="751"/>
      <c r="J255" s="751"/>
      <c r="K255" s="751"/>
      <c r="N255" s="325"/>
    </row>
    <row r="256">
      <c r="A256" s="122" t="s">
        <v>3511</v>
      </c>
      <c r="H256" s="751"/>
      <c r="I256" s="751"/>
      <c r="J256" s="751"/>
      <c r="K256" s="751"/>
      <c r="N256" s="325"/>
    </row>
    <row r="257">
      <c r="A257" s="122" t="s">
        <v>3511</v>
      </c>
      <c r="H257" s="751"/>
      <c r="I257" s="751"/>
      <c r="J257" s="751"/>
      <c r="K257" s="751"/>
      <c r="N257" s="325"/>
    </row>
    <row r="258">
      <c r="A258" s="122" t="s">
        <v>3511</v>
      </c>
      <c r="H258" s="751"/>
      <c r="I258" s="751"/>
      <c r="J258" s="751"/>
      <c r="K258" s="751"/>
      <c r="N258" s="325"/>
    </row>
    <row r="259">
      <c r="A259" s="122" t="s">
        <v>3511</v>
      </c>
      <c r="H259" s="751"/>
      <c r="I259" s="751"/>
      <c r="J259" s="751"/>
      <c r="K259" s="751"/>
      <c r="N259" s="325"/>
    </row>
    <row r="260">
      <c r="A260" s="122" t="s">
        <v>3511</v>
      </c>
      <c r="H260" s="751"/>
      <c r="I260" s="751"/>
      <c r="J260" s="751"/>
      <c r="K260" s="751"/>
      <c r="N260" s="325"/>
    </row>
    <row r="261">
      <c r="A261" s="122" t="s">
        <v>3511</v>
      </c>
      <c r="H261" s="751"/>
      <c r="I261" s="751"/>
      <c r="J261" s="751"/>
      <c r="K261" s="751"/>
      <c r="N261" s="325"/>
    </row>
    <row r="262">
      <c r="A262" s="122" t="s">
        <v>3511</v>
      </c>
      <c r="H262" s="751"/>
      <c r="I262" s="751"/>
      <c r="J262" s="751"/>
      <c r="K262" s="751"/>
      <c r="N262" s="325"/>
    </row>
    <row r="263">
      <c r="A263" s="122" t="s">
        <v>3511</v>
      </c>
      <c r="H263" s="751"/>
      <c r="I263" s="751"/>
      <c r="J263" s="751"/>
      <c r="K263" s="751"/>
      <c r="N263" s="325"/>
    </row>
    <row r="264">
      <c r="A264" s="122" t="s">
        <v>3511</v>
      </c>
      <c r="H264" s="751"/>
      <c r="I264" s="751"/>
      <c r="J264" s="751"/>
      <c r="K264" s="751"/>
      <c r="N264" s="325"/>
    </row>
    <row r="265">
      <c r="A265" s="122" t="s">
        <v>3511</v>
      </c>
      <c r="H265" s="751"/>
      <c r="I265" s="751"/>
      <c r="J265" s="751"/>
      <c r="K265" s="751"/>
      <c r="N265" s="325"/>
    </row>
    <row r="266">
      <c r="A266" s="122" t="s">
        <v>3511</v>
      </c>
      <c r="H266" s="751"/>
      <c r="I266" s="751"/>
      <c r="J266" s="751"/>
      <c r="K266" s="751"/>
      <c r="N266" s="325"/>
    </row>
    <row r="267">
      <c r="A267" s="122" t="s">
        <v>3511</v>
      </c>
      <c r="H267" s="751"/>
      <c r="I267" s="751"/>
      <c r="J267" s="751"/>
      <c r="K267" s="751"/>
      <c r="N267" s="325"/>
    </row>
    <row r="268">
      <c r="A268" s="122" t="s">
        <v>3511</v>
      </c>
      <c r="H268" s="751"/>
      <c r="I268" s="751"/>
      <c r="J268" s="751"/>
      <c r="K268" s="751"/>
      <c r="N268" s="325"/>
    </row>
    <row r="269">
      <c r="A269" s="122" t="s">
        <v>3511</v>
      </c>
      <c r="H269" s="751"/>
      <c r="I269" s="751"/>
      <c r="J269" s="751"/>
      <c r="K269" s="751"/>
      <c r="N269" s="325"/>
    </row>
    <row r="270">
      <c r="A270" s="122" t="s">
        <v>3511</v>
      </c>
      <c r="H270" s="751"/>
      <c r="I270" s="751"/>
      <c r="J270" s="751"/>
      <c r="K270" s="751"/>
      <c r="N270" s="325"/>
    </row>
    <row r="271">
      <c r="A271" s="122" t="s">
        <v>3511</v>
      </c>
      <c r="H271" s="751"/>
      <c r="I271" s="751"/>
      <c r="J271" s="751"/>
      <c r="K271" s="751"/>
      <c r="N271" s="325"/>
    </row>
    <row r="272">
      <c r="A272" s="122" t="s">
        <v>3511</v>
      </c>
      <c r="H272" s="751"/>
      <c r="I272" s="751"/>
      <c r="J272" s="751"/>
      <c r="K272" s="751"/>
      <c r="N272" s="325"/>
    </row>
    <row r="273">
      <c r="A273" s="122" t="s">
        <v>3511</v>
      </c>
      <c r="H273" s="751"/>
      <c r="I273" s="751"/>
      <c r="J273" s="751"/>
      <c r="K273" s="751"/>
      <c r="N273" s="325"/>
    </row>
    <row r="274">
      <c r="A274" s="122" t="s">
        <v>3511</v>
      </c>
      <c r="H274" s="751"/>
      <c r="I274" s="751"/>
      <c r="J274" s="751"/>
      <c r="K274" s="751"/>
      <c r="N274" s="325"/>
    </row>
    <row r="275">
      <c r="A275" s="122" t="s">
        <v>3511</v>
      </c>
      <c r="H275" s="751"/>
      <c r="I275" s="751"/>
      <c r="J275" s="751"/>
      <c r="K275" s="751"/>
      <c r="N275" s="325"/>
    </row>
    <row r="276">
      <c r="A276" s="122" t="s">
        <v>3511</v>
      </c>
      <c r="H276" s="751"/>
      <c r="I276" s="751"/>
      <c r="J276" s="751"/>
      <c r="K276" s="751"/>
      <c r="N276" s="325"/>
    </row>
    <row r="277">
      <c r="A277" s="122" t="s">
        <v>3511</v>
      </c>
      <c r="H277" s="751"/>
      <c r="I277" s="751"/>
      <c r="J277" s="751"/>
      <c r="K277" s="751"/>
      <c r="N277" s="325"/>
    </row>
    <row r="278">
      <c r="A278" s="122" t="s">
        <v>3511</v>
      </c>
      <c r="H278" s="751"/>
      <c r="I278" s="751"/>
      <c r="J278" s="751"/>
      <c r="K278" s="751"/>
      <c r="N278" s="325"/>
    </row>
    <row r="279">
      <c r="A279" s="122" t="s">
        <v>3511</v>
      </c>
      <c r="H279" s="751"/>
      <c r="I279" s="751"/>
      <c r="J279" s="751"/>
      <c r="K279" s="751"/>
      <c r="N279" s="325"/>
    </row>
    <row r="280">
      <c r="A280" s="122" t="s">
        <v>3511</v>
      </c>
      <c r="H280" s="751"/>
      <c r="I280" s="751"/>
      <c r="J280" s="751"/>
      <c r="K280" s="751"/>
      <c r="N280" s="325"/>
    </row>
    <row r="281">
      <c r="A281" s="122" t="s">
        <v>3511</v>
      </c>
      <c r="H281" s="751"/>
      <c r="I281" s="751"/>
      <c r="J281" s="751"/>
      <c r="K281" s="751"/>
      <c r="N281" s="325"/>
    </row>
    <row r="282">
      <c r="A282" s="122" t="s">
        <v>3511</v>
      </c>
      <c r="H282" s="751"/>
      <c r="I282" s="751"/>
      <c r="J282" s="751"/>
      <c r="K282" s="751"/>
      <c r="N282" s="325"/>
    </row>
    <row r="283">
      <c r="A283" s="122" t="s">
        <v>3511</v>
      </c>
      <c r="H283" s="751"/>
      <c r="I283" s="751"/>
      <c r="J283" s="751"/>
      <c r="K283" s="751"/>
      <c r="N283" s="325"/>
    </row>
    <row r="284">
      <c r="A284" s="122" t="s">
        <v>3511</v>
      </c>
      <c r="H284" s="751"/>
      <c r="I284" s="751"/>
      <c r="J284" s="751"/>
      <c r="K284" s="751"/>
      <c r="N284" s="325"/>
    </row>
    <row r="285">
      <c r="A285" s="122" t="s">
        <v>3511</v>
      </c>
      <c r="H285" s="751"/>
      <c r="I285" s="751"/>
      <c r="J285" s="751"/>
      <c r="K285" s="751"/>
      <c r="N285" s="325"/>
    </row>
    <row r="286">
      <c r="A286" s="122" t="s">
        <v>3511</v>
      </c>
      <c r="H286" s="751"/>
      <c r="I286" s="751"/>
      <c r="J286" s="751"/>
      <c r="K286" s="751"/>
      <c r="N286" s="325"/>
    </row>
    <row r="287">
      <c r="A287" s="122" t="s">
        <v>3511</v>
      </c>
      <c r="H287" s="751"/>
      <c r="I287" s="751"/>
      <c r="J287" s="751"/>
      <c r="K287" s="751"/>
      <c r="N287" s="325"/>
    </row>
    <row r="288">
      <c r="A288" s="122" t="s">
        <v>3511</v>
      </c>
      <c r="H288" s="751"/>
      <c r="I288" s="751"/>
      <c r="J288" s="751"/>
      <c r="K288" s="751"/>
      <c r="N288" s="325"/>
    </row>
    <row r="289">
      <c r="A289" s="122" t="s">
        <v>3511</v>
      </c>
      <c r="H289" s="751"/>
      <c r="I289" s="751"/>
      <c r="J289" s="751"/>
      <c r="K289" s="751"/>
      <c r="N289" s="325"/>
    </row>
    <row r="290">
      <c r="A290" s="122" t="s">
        <v>3511</v>
      </c>
      <c r="H290" s="751"/>
      <c r="I290" s="751"/>
      <c r="J290" s="751"/>
      <c r="K290" s="751"/>
      <c r="N290" s="325"/>
    </row>
    <row r="291">
      <c r="A291" s="122" t="s">
        <v>3511</v>
      </c>
      <c r="H291" s="751"/>
      <c r="I291" s="751"/>
      <c r="J291" s="751"/>
      <c r="K291" s="751"/>
      <c r="N291" s="325"/>
    </row>
    <row r="292">
      <c r="A292" s="122" t="s">
        <v>3511</v>
      </c>
      <c r="H292" s="751"/>
      <c r="I292" s="751"/>
      <c r="J292" s="751"/>
      <c r="K292" s="751"/>
      <c r="N292" s="325"/>
    </row>
    <row r="293">
      <c r="A293" s="122" t="s">
        <v>3511</v>
      </c>
      <c r="H293" s="751"/>
      <c r="I293" s="751"/>
      <c r="J293" s="751"/>
      <c r="K293" s="751"/>
      <c r="N293" s="325"/>
    </row>
    <row r="294">
      <c r="A294" s="122" t="s">
        <v>3511</v>
      </c>
      <c r="H294" s="751"/>
      <c r="I294" s="751"/>
      <c r="J294" s="751"/>
      <c r="K294" s="751"/>
      <c r="N294" s="325"/>
    </row>
    <row r="295">
      <c r="A295" s="122" t="s">
        <v>3511</v>
      </c>
      <c r="H295" s="751"/>
      <c r="I295" s="751"/>
      <c r="J295" s="751"/>
      <c r="K295" s="751"/>
      <c r="N295" s="325"/>
    </row>
    <row r="296">
      <c r="A296" s="122" t="s">
        <v>3511</v>
      </c>
      <c r="H296" s="751"/>
      <c r="I296" s="751"/>
      <c r="J296" s="751"/>
      <c r="K296" s="751"/>
      <c r="N296" s="325"/>
    </row>
    <row r="297">
      <c r="A297" s="122" t="s">
        <v>3511</v>
      </c>
      <c r="H297" s="751"/>
      <c r="I297" s="751"/>
      <c r="J297" s="751"/>
      <c r="K297" s="751"/>
      <c r="N297" s="325"/>
    </row>
    <row r="298">
      <c r="A298" s="122" t="s">
        <v>3511</v>
      </c>
      <c r="H298" s="751"/>
      <c r="I298" s="751"/>
      <c r="J298" s="751"/>
      <c r="K298" s="751"/>
      <c r="N298" s="325"/>
    </row>
    <row r="299">
      <c r="A299" s="122" t="s">
        <v>3511</v>
      </c>
      <c r="H299" s="751"/>
      <c r="I299" s="751"/>
      <c r="J299" s="751"/>
      <c r="K299" s="751"/>
      <c r="N299" s="325"/>
    </row>
    <row r="300">
      <c r="A300" s="122" t="s">
        <v>3511</v>
      </c>
      <c r="H300" s="751"/>
      <c r="I300" s="751"/>
      <c r="J300" s="751"/>
      <c r="K300" s="751"/>
      <c r="N300" s="325"/>
    </row>
    <row r="301">
      <c r="A301" s="122" t="s">
        <v>3511</v>
      </c>
      <c r="H301" s="751"/>
      <c r="I301" s="751"/>
      <c r="J301" s="751"/>
      <c r="K301" s="751"/>
      <c r="N301" s="325"/>
    </row>
    <row r="302">
      <c r="A302" s="122" t="s">
        <v>3511</v>
      </c>
      <c r="H302" s="751"/>
      <c r="I302" s="751"/>
      <c r="J302" s="751"/>
      <c r="K302" s="751"/>
      <c r="N302" s="325"/>
    </row>
    <row r="303">
      <c r="A303" s="122" t="s">
        <v>3511</v>
      </c>
      <c r="H303" s="751"/>
      <c r="I303" s="751"/>
      <c r="J303" s="751"/>
      <c r="K303" s="751"/>
      <c r="N303" s="325"/>
    </row>
    <row r="304">
      <c r="A304" s="122" t="s">
        <v>3511</v>
      </c>
      <c r="H304" s="751"/>
      <c r="I304" s="751"/>
      <c r="J304" s="751"/>
      <c r="K304" s="751"/>
      <c r="N304" s="325"/>
    </row>
    <row r="305">
      <c r="A305" s="122" t="s">
        <v>3511</v>
      </c>
      <c r="H305" s="751"/>
      <c r="I305" s="751"/>
      <c r="J305" s="751"/>
      <c r="K305" s="751"/>
      <c r="N305" s="325"/>
    </row>
    <row r="306">
      <c r="A306" s="122" t="s">
        <v>3511</v>
      </c>
      <c r="H306" s="751"/>
      <c r="I306" s="751"/>
      <c r="J306" s="751"/>
      <c r="K306" s="751"/>
      <c r="N306" s="325"/>
    </row>
    <row r="307">
      <c r="A307" s="122" t="s">
        <v>3511</v>
      </c>
      <c r="H307" s="751"/>
      <c r="I307" s="751"/>
      <c r="J307" s="751"/>
      <c r="K307" s="751"/>
      <c r="N307" s="325"/>
    </row>
    <row r="308">
      <c r="A308" s="122" t="s">
        <v>3511</v>
      </c>
      <c r="H308" s="751"/>
      <c r="I308" s="751"/>
      <c r="J308" s="751"/>
      <c r="K308" s="751"/>
      <c r="N308" s="325"/>
    </row>
    <row r="309">
      <c r="A309" s="122" t="s">
        <v>3511</v>
      </c>
      <c r="H309" s="751"/>
      <c r="I309" s="751"/>
      <c r="J309" s="751"/>
      <c r="K309" s="751"/>
      <c r="N309" s="325"/>
    </row>
    <row r="310">
      <c r="A310" s="122" t="s">
        <v>3511</v>
      </c>
      <c r="H310" s="751"/>
      <c r="I310" s="751"/>
      <c r="J310" s="751"/>
      <c r="K310" s="751"/>
      <c r="N310" s="325"/>
    </row>
    <row r="311">
      <c r="A311" s="122" t="s">
        <v>3511</v>
      </c>
      <c r="H311" s="751"/>
      <c r="I311" s="751"/>
      <c r="J311" s="751"/>
      <c r="K311" s="751"/>
      <c r="N311" s="325"/>
    </row>
    <row r="312">
      <c r="A312" s="122" t="s">
        <v>3511</v>
      </c>
      <c r="H312" s="751"/>
      <c r="I312" s="751"/>
      <c r="J312" s="751"/>
      <c r="K312" s="751"/>
      <c r="N312" s="325"/>
    </row>
    <row r="313">
      <c r="A313" s="122" t="s">
        <v>3511</v>
      </c>
      <c r="H313" s="751"/>
      <c r="I313" s="751"/>
      <c r="J313" s="751"/>
      <c r="K313" s="751"/>
      <c r="N313" s="325"/>
    </row>
    <row r="314">
      <c r="A314" s="122" t="s">
        <v>3511</v>
      </c>
      <c r="H314" s="751"/>
      <c r="I314" s="751"/>
      <c r="J314" s="751"/>
      <c r="K314" s="751"/>
      <c r="N314" s="325"/>
    </row>
    <row r="315">
      <c r="A315" s="122" t="s">
        <v>3511</v>
      </c>
      <c r="H315" s="751"/>
      <c r="I315" s="751"/>
      <c r="J315" s="751"/>
      <c r="K315" s="751"/>
      <c r="N315" s="325"/>
    </row>
    <row r="316">
      <c r="A316" s="122" t="s">
        <v>3511</v>
      </c>
      <c r="H316" s="751"/>
      <c r="I316" s="751"/>
      <c r="J316" s="751"/>
      <c r="K316" s="751"/>
      <c r="N316" s="325"/>
    </row>
    <row r="317">
      <c r="A317" s="122" t="s">
        <v>3511</v>
      </c>
      <c r="H317" s="751"/>
      <c r="I317" s="751"/>
      <c r="J317" s="751"/>
      <c r="K317" s="751"/>
      <c r="N317" s="325"/>
    </row>
    <row r="318">
      <c r="A318" s="122" t="s">
        <v>3511</v>
      </c>
      <c r="H318" s="751"/>
      <c r="I318" s="751"/>
      <c r="J318" s="751"/>
      <c r="K318" s="751"/>
      <c r="N318" s="325"/>
    </row>
    <row r="319">
      <c r="A319" s="122" t="s">
        <v>3511</v>
      </c>
      <c r="H319" s="751"/>
      <c r="I319" s="751"/>
      <c r="J319" s="751"/>
      <c r="K319" s="751"/>
      <c r="N319" s="325"/>
    </row>
    <row r="320">
      <c r="A320" s="122" t="s">
        <v>3511</v>
      </c>
      <c r="H320" s="751"/>
      <c r="I320" s="751"/>
      <c r="J320" s="751"/>
      <c r="K320" s="751"/>
      <c r="N320" s="325"/>
    </row>
    <row r="321">
      <c r="A321" s="122" t="s">
        <v>3511</v>
      </c>
      <c r="H321" s="751"/>
      <c r="I321" s="751"/>
      <c r="J321" s="751"/>
      <c r="K321" s="751"/>
      <c r="N321" s="325"/>
    </row>
    <row r="322">
      <c r="A322" s="122" t="s">
        <v>3511</v>
      </c>
      <c r="H322" s="751"/>
      <c r="I322" s="751"/>
      <c r="J322" s="751"/>
      <c r="K322" s="751"/>
      <c r="N322" s="325"/>
    </row>
    <row r="323">
      <c r="A323" s="122" t="s">
        <v>3511</v>
      </c>
      <c r="H323" s="751"/>
      <c r="I323" s="751"/>
      <c r="J323" s="751"/>
      <c r="K323" s="751"/>
      <c r="N323" s="325"/>
    </row>
    <row r="324">
      <c r="A324" s="122" t="s">
        <v>3511</v>
      </c>
      <c r="H324" s="751"/>
      <c r="I324" s="751"/>
      <c r="J324" s="751"/>
      <c r="K324" s="751"/>
      <c r="N324" s="325"/>
    </row>
    <row r="325">
      <c r="A325" s="122" t="s">
        <v>3511</v>
      </c>
      <c r="H325" s="751"/>
      <c r="I325" s="751"/>
      <c r="J325" s="751"/>
      <c r="K325" s="751"/>
      <c r="N325" s="325"/>
    </row>
    <row r="326">
      <c r="A326" s="122" t="s">
        <v>3511</v>
      </c>
      <c r="H326" s="751"/>
      <c r="I326" s="751"/>
      <c r="J326" s="751"/>
      <c r="K326" s="751"/>
      <c r="N326" s="325"/>
    </row>
    <row r="327">
      <c r="A327" s="122" t="s">
        <v>3511</v>
      </c>
      <c r="H327" s="751"/>
      <c r="I327" s="751"/>
      <c r="J327" s="751"/>
      <c r="K327" s="751"/>
      <c r="N327" s="325"/>
    </row>
    <row r="328">
      <c r="A328" s="122" t="s">
        <v>3511</v>
      </c>
      <c r="H328" s="751"/>
      <c r="I328" s="751"/>
      <c r="J328" s="751"/>
      <c r="K328" s="751"/>
      <c r="N328" s="325"/>
    </row>
    <row r="329">
      <c r="A329" s="122" t="s">
        <v>3511</v>
      </c>
      <c r="H329" s="751"/>
      <c r="I329" s="751"/>
      <c r="J329" s="751"/>
      <c r="K329" s="751"/>
      <c r="N329" s="325"/>
    </row>
    <row r="330">
      <c r="A330" s="122" t="s">
        <v>3511</v>
      </c>
      <c r="H330" s="751"/>
      <c r="I330" s="751"/>
      <c r="J330" s="751"/>
      <c r="K330" s="751"/>
      <c r="N330" s="325"/>
    </row>
    <row r="331">
      <c r="A331" s="122" t="s">
        <v>3511</v>
      </c>
      <c r="H331" s="751"/>
      <c r="I331" s="751"/>
      <c r="J331" s="751"/>
      <c r="K331" s="751"/>
      <c r="N331" s="325"/>
    </row>
    <row r="332">
      <c r="A332" s="122" t="s">
        <v>3511</v>
      </c>
      <c r="H332" s="751"/>
      <c r="I332" s="751"/>
      <c r="J332" s="751"/>
      <c r="K332" s="751"/>
      <c r="N332" s="325"/>
    </row>
    <row r="333">
      <c r="A333" s="122" t="s">
        <v>3511</v>
      </c>
      <c r="H333" s="751"/>
      <c r="I333" s="751"/>
      <c r="J333" s="751"/>
      <c r="K333" s="751"/>
      <c r="N333" s="325"/>
    </row>
    <row r="334">
      <c r="A334" s="122" t="s">
        <v>3511</v>
      </c>
      <c r="H334" s="751"/>
      <c r="I334" s="751"/>
      <c r="J334" s="751"/>
      <c r="K334" s="751"/>
      <c r="N334" s="325"/>
    </row>
    <row r="335">
      <c r="A335" s="122" t="s">
        <v>3511</v>
      </c>
      <c r="H335" s="751"/>
      <c r="I335" s="751"/>
      <c r="J335" s="751"/>
      <c r="K335" s="751"/>
      <c r="N335" s="325"/>
    </row>
    <row r="336">
      <c r="A336" s="122" t="s">
        <v>3511</v>
      </c>
      <c r="H336" s="751"/>
      <c r="I336" s="751"/>
      <c r="J336" s="751"/>
      <c r="K336" s="751"/>
      <c r="N336" s="325"/>
    </row>
    <row r="337">
      <c r="A337" s="122" t="s">
        <v>3511</v>
      </c>
      <c r="H337" s="751"/>
      <c r="I337" s="751"/>
      <c r="J337" s="751"/>
      <c r="K337" s="751"/>
      <c r="N337" s="325"/>
    </row>
    <row r="338">
      <c r="A338" s="122" t="s">
        <v>3511</v>
      </c>
      <c r="H338" s="751"/>
      <c r="I338" s="751"/>
      <c r="J338" s="751"/>
      <c r="K338" s="751"/>
      <c r="N338" s="325"/>
    </row>
    <row r="339">
      <c r="A339" s="122" t="s">
        <v>3511</v>
      </c>
      <c r="H339" s="751"/>
      <c r="I339" s="751"/>
      <c r="J339" s="751"/>
      <c r="K339" s="751"/>
      <c r="N339" s="325"/>
    </row>
    <row r="340">
      <c r="A340" s="122" t="s">
        <v>3511</v>
      </c>
      <c r="H340" s="751"/>
      <c r="I340" s="751"/>
      <c r="J340" s="751"/>
      <c r="K340" s="751"/>
      <c r="N340" s="325"/>
    </row>
    <row r="341">
      <c r="A341" s="122" t="s">
        <v>3511</v>
      </c>
      <c r="H341" s="751"/>
      <c r="I341" s="751"/>
      <c r="J341" s="751"/>
      <c r="K341" s="751"/>
      <c r="N341" s="325"/>
    </row>
    <row r="342">
      <c r="A342" s="122" t="s">
        <v>3511</v>
      </c>
      <c r="H342" s="751"/>
      <c r="I342" s="751"/>
      <c r="J342" s="751"/>
      <c r="K342" s="751"/>
      <c r="N342" s="325"/>
    </row>
    <row r="343">
      <c r="A343" s="122" t="s">
        <v>3511</v>
      </c>
      <c r="H343" s="751"/>
      <c r="I343" s="751"/>
      <c r="J343" s="751"/>
      <c r="K343" s="751"/>
      <c r="N343" s="325"/>
    </row>
    <row r="344">
      <c r="A344" s="122" t="s">
        <v>3511</v>
      </c>
      <c r="H344" s="751"/>
      <c r="I344" s="751"/>
      <c r="J344" s="751"/>
      <c r="K344" s="751"/>
      <c r="N344" s="325"/>
    </row>
    <row r="345">
      <c r="A345" s="122" t="s">
        <v>3511</v>
      </c>
      <c r="H345" s="751"/>
      <c r="I345" s="751"/>
      <c r="J345" s="751"/>
      <c r="K345" s="751"/>
      <c r="N345" s="325"/>
    </row>
    <row r="346">
      <c r="A346" s="122" t="s">
        <v>3511</v>
      </c>
      <c r="H346" s="751"/>
      <c r="I346" s="751"/>
      <c r="J346" s="751"/>
      <c r="K346" s="751"/>
      <c r="N346" s="325"/>
    </row>
    <row r="347">
      <c r="A347" s="122" t="s">
        <v>3511</v>
      </c>
      <c r="H347" s="751"/>
      <c r="I347" s="751"/>
      <c r="J347" s="751"/>
      <c r="K347" s="751"/>
      <c r="N347" s="325"/>
    </row>
    <row r="348">
      <c r="A348" s="122" t="s">
        <v>3511</v>
      </c>
      <c r="H348" s="751"/>
      <c r="I348" s="751"/>
      <c r="J348" s="751"/>
      <c r="K348" s="751"/>
      <c r="N348" s="325"/>
    </row>
    <row r="349">
      <c r="A349" s="122" t="s">
        <v>3511</v>
      </c>
      <c r="H349" s="751"/>
      <c r="I349" s="751"/>
      <c r="J349" s="751"/>
      <c r="K349" s="751"/>
      <c r="N349" s="325"/>
    </row>
    <row r="350">
      <c r="A350" s="122" t="s">
        <v>3511</v>
      </c>
      <c r="H350" s="751"/>
      <c r="I350" s="751"/>
      <c r="J350" s="751"/>
      <c r="K350" s="751"/>
      <c r="N350" s="325"/>
    </row>
    <row r="351">
      <c r="A351" s="122" t="s">
        <v>3511</v>
      </c>
      <c r="H351" s="751"/>
      <c r="I351" s="751"/>
      <c r="J351" s="751"/>
      <c r="K351" s="751"/>
      <c r="N351" s="325"/>
    </row>
    <row r="352">
      <c r="A352" s="122" t="s">
        <v>3511</v>
      </c>
      <c r="H352" s="751"/>
      <c r="I352" s="751"/>
      <c r="J352" s="751"/>
      <c r="K352" s="751"/>
      <c r="N352" s="325"/>
    </row>
    <row r="353">
      <c r="A353" s="122" t="s">
        <v>3511</v>
      </c>
      <c r="H353" s="751"/>
      <c r="I353" s="751"/>
      <c r="J353" s="751"/>
      <c r="K353" s="751"/>
      <c r="N353" s="325"/>
    </row>
    <row r="354">
      <c r="A354" s="122" t="s">
        <v>3511</v>
      </c>
      <c r="H354" s="751"/>
      <c r="I354" s="751"/>
      <c r="J354" s="751"/>
      <c r="K354" s="751"/>
      <c r="N354" s="325"/>
    </row>
    <row r="355">
      <c r="A355" s="122" t="s">
        <v>3511</v>
      </c>
      <c r="H355" s="751"/>
      <c r="I355" s="751"/>
      <c r="J355" s="751"/>
      <c r="K355" s="751"/>
      <c r="N355" s="325"/>
    </row>
    <row r="356">
      <c r="A356" s="122" t="s">
        <v>3511</v>
      </c>
      <c r="H356" s="751"/>
      <c r="I356" s="751"/>
      <c r="J356" s="751"/>
      <c r="K356" s="751"/>
      <c r="N356" s="325"/>
    </row>
    <row r="357">
      <c r="A357" s="122" t="s">
        <v>3511</v>
      </c>
      <c r="H357" s="751"/>
      <c r="I357" s="751"/>
      <c r="J357" s="751"/>
      <c r="K357" s="751"/>
      <c r="N357" s="325"/>
    </row>
    <row r="358">
      <c r="A358" s="122" t="s">
        <v>3511</v>
      </c>
      <c r="H358" s="751"/>
      <c r="I358" s="751"/>
      <c r="J358" s="751"/>
      <c r="K358" s="751"/>
      <c r="N358" s="325"/>
    </row>
    <row r="359">
      <c r="A359" s="122" t="s">
        <v>3511</v>
      </c>
      <c r="H359" s="751"/>
      <c r="I359" s="751"/>
      <c r="J359" s="751"/>
      <c r="K359" s="751"/>
      <c r="N359" s="325"/>
    </row>
    <row r="360">
      <c r="A360" s="122" t="s">
        <v>3511</v>
      </c>
      <c r="H360" s="751"/>
      <c r="I360" s="751"/>
      <c r="J360" s="751"/>
      <c r="K360" s="751"/>
      <c r="N360" s="325"/>
    </row>
    <row r="361">
      <c r="A361" s="122" t="s">
        <v>3511</v>
      </c>
      <c r="H361" s="751"/>
      <c r="I361" s="751"/>
      <c r="J361" s="751"/>
      <c r="K361" s="751"/>
      <c r="N361" s="325"/>
    </row>
    <row r="362">
      <c r="A362" s="122" t="s">
        <v>3511</v>
      </c>
      <c r="H362" s="751"/>
      <c r="I362" s="751"/>
      <c r="J362" s="751"/>
      <c r="K362" s="751"/>
      <c r="N362" s="325"/>
    </row>
    <row r="363">
      <c r="A363" s="122" t="s">
        <v>3511</v>
      </c>
      <c r="H363" s="751"/>
      <c r="I363" s="751"/>
      <c r="J363" s="751"/>
      <c r="K363" s="751"/>
      <c r="N363" s="325"/>
    </row>
    <row r="364">
      <c r="A364" s="122" t="s">
        <v>3511</v>
      </c>
      <c r="H364" s="751"/>
      <c r="I364" s="751"/>
      <c r="J364" s="751"/>
      <c r="K364" s="751"/>
      <c r="N364" s="325"/>
    </row>
    <row r="365">
      <c r="A365" s="122" t="s">
        <v>3511</v>
      </c>
      <c r="H365" s="751"/>
      <c r="I365" s="751"/>
      <c r="J365" s="751"/>
      <c r="K365" s="751"/>
      <c r="N365" s="325"/>
    </row>
    <row r="366">
      <c r="A366" s="122" t="s">
        <v>3511</v>
      </c>
      <c r="H366" s="751"/>
      <c r="I366" s="751"/>
      <c r="J366" s="751"/>
      <c r="K366" s="751"/>
      <c r="N366" s="325"/>
    </row>
    <row r="367">
      <c r="A367" s="122" t="s">
        <v>3511</v>
      </c>
      <c r="H367" s="751"/>
      <c r="I367" s="751"/>
      <c r="J367" s="751"/>
      <c r="K367" s="751"/>
      <c r="N367" s="325"/>
    </row>
    <row r="368">
      <c r="A368" s="122" t="s">
        <v>3511</v>
      </c>
      <c r="H368" s="751"/>
      <c r="I368" s="751"/>
      <c r="J368" s="751"/>
      <c r="K368" s="751"/>
      <c r="N368" s="325"/>
    </row>
    <row r="369">
      <c r="A369" s="122" t="s">
        <v>3511</v>
      </c>
      <c r="H369" s="751"/>
      <c r="I369" s="751"/>
      <c r="J369" s="751"/>
      <c r="K369" s="751"/>
      <c r="N369" s="325"/>
    </row>
    <row r="370">
      <c r="A370" s="122" t="s">
        <v>3511</v>
      </c>
      <c r="H370" s="751"/>
      <c r="I370" s="751"/>
      <c r="J370" s="751"/>
      <c r="K370" s="751"/>
      <c r="N370" s="325"/>
    </row>
    <row r="371">
      <c r="A371" s="122" t="s">
        <v>3511</v>
      </c>
      <c r="H371" s="751"/>
      <c r="I371" s="751"/>
      <c r="J371" s="751"/>
      <c r="K371" s="751"/>
      <c r="N371" s="325"/>
    </row>
    <row r="372">
      <c r="A372" s="122" t="s">
        <v>3511</v>
      </c>
      <c r="H372" s="751"/>
      <c r="I372" s="751"/>
      <c r="J372" s="751"/>
      <c r="K372" s="751"/>
      <c r="N372" s="325"/>
    </row>
    <row r="373">
      <c r="A373" s="122" t="s">
        <v>3511</v>
      </c>
      <c r="H373" s="751"/>
      <c r="I373" s="751"/>
      <c r="J373" s="751"/>
      <c r="K373" s="751"/>
      <c r="N373" s="325"/>
    </row>
    <row r="374">
      <c r="A374" s="122" t="s">
        <v>3511</v>
      </c>
      <c r="H374" s="751"/>
      <c r="I374" s="751"/>
      <c r="J374" s="751"/>
      <c r="K374" s="751"/>
      <c r="N374" s="325"/>
    </row>
    <row r="375">
      <c r="A375" s="122" t="s">
        <v>3511</v>
      </c>
      <c r="H375" s="751"/>
      <c r="I375" s="751"/>
      <c r="J375" s="751"/>
      <c r="K375" s="751"/>
      <c r="N375" s="325"/>
    </row>
    <row r="376">
      <c r="A376" s="122" t="s">
        <v>3511</v>
      </c>
      <c r="H376" s="751"/>
      <c r="I376" s="751"/>
      <c r="J376" s="751"/>
      <c r="K376" s="751"/>
      <c r="N376" s="325"/>
    </row>
    <row r="377">
      <c r="A377" s="122" t="s">
        <v>3511</v>
      </c>
      <c r="H377" s="751"/>
      <c r="I377" s="751"/>
      <c r="J377" s="751"/>
      <c r="K377" s="751"/>
      <c r="N377" s="325"/>
    </row>
    <row r="378">
      <c r="A378" s="122" t="s">
        <v>3511</v>
      </c>
      <c r="H378" s="751"/>
      <c r="I378" s="751"/>
      <c r="J378" s="751"/>
      <c r="K378" s="751"/>
      <c r="N378" s="325"/>
    </row>
    <row r="379">
      <c r="A379" s="122" t="s">
        <v>3511</v>
      </c>
      <c r="H379" s="751"/>
      <c r="I379" s="751"/>
      <c r="J379" s="751"/>
      <c r="K379" s="751"/>
      <c r="N379" s="325"/>
    </row>
    <row r="380">
      <c r="A380" s="122" t="s">
        <v>3511</v>
      </c>
      <c r="H380" s="751"/>
      <c r="I380" s="751"/>
      <c r="J380" s="751"/>
      <c r="K380" s="751"/>
      <c r="N380" s="325"/>
    </row>
    <row r="381">
      <c r="A381" s="122" t="s">
        <v>3511</v>
      </c>
      <c r="H381" s="751"/>
      <c r="I381" s="751"/>
      <c r="J381" s="751"/>
      <c r="K381" s="751"/>
      <c r="N381" s="325"/>
    </row>
    <row r="382">
      <c r="A382" s="122" t="s">
        <v>3511</v>
      </c>
      <c r="H382" s="751"/>
      <c r="I382" s="751"/>
      <c r="J382" s="751"/>
      <c r="K382" s="751"/>
      <c r="N382" s="325"/>
    </row>
    <row r="383">
      <c r="A383" s="122" t="s">
        <v>3511</v>
      </c>
      <c r="H383" s="751"/>
      <c r="I383" s="751"/>
      <c r="J383" s="751"/>
      <c r="K383" s="751"/>
      <c r="N383" s="325"/>
    </row>
    <row r="384">
      <c r="A384" s="122" t="s">
        <v>3511</v>
      </c>
      <c r="H384" s="751"/>
      <c r="I384" s="751"/>
      <c r="J384" s="751"/>
      <c r="K384" s="751"/>
      <c r="N384" s="325"/>
    </row>
    <row r="385">
      <c r="A385" s="122" t="s">
        <v>3511</v>
      </c>
      <c r="H385" s="751"/>
      <c r="I385" s="751"/>
      <c r="J385" s="751"/>
      <c r="K385" s="751"/>
      <c r="N385" s="325"/>
    </row>
    <row r="386">
      <c r="A386" s="122" t="s">
        <v>3511</v>
      </c>
      <c r="H386" s="751"/>
      <c r="I386" s="751"/>
      <c r="J386" s="751"/>
      <c r="K386" s="751"/>
      <c r="N386" s="325"/>
    </row>
    <row r="387">
      <c r="A387" s="122" t="s">
        <v>3511</v>
      </c>
      <c r="H387" s="751"/>
      <c r="I387" s="751"/>
      <c r="J387" s="751"/>
      <c r="K387" s="751"/>
      <c r="N387" s="325"/>
    </row>
    <row r="388">
      <c r="A388" s="122" t="s">
        <v>3511</v>
      </c>
      <c r="H388" s="751"/>
      <c r="I388" s="751"/>
      <c r="J388" s="751"/>
      <c r="K388" s="751"/>
      <c r="N388" s="325"/>
    </row>
    <row r="389">
      <c r="A389" s="122" t="s">
        <v>3511</v>
      </c>
      <c r="H389" s="751"/>
      <c r="I389" s="751"/>
      <c r="J389" s="751"/>
      <c r="K389" s="751"/>
      <c r="N389" s="325"/>
    </row>
    <row r="390">
      <c r="A390" s="122" t="s">
        <v>3511</v>
      </c>
      <c r="H390" s="751"/>
      <c r="I390" s="751"/>
      <c r="J390" s="751"/>
      <c r="K390" s="751"/>
      <c r="N390" s="325"/>
    </row>
    <row r="391">
      <c r="A391" s="122" t="s">
        <v>3511</v>
      </c>
      <c r="H391" s="751"/>
      <c r="I391" s="751"/>
      <c r="J391" s="751"/>
      <c r="K391" s="751"/>
      <c r="N391" s="325"/>
    </row>
    <row r="392">
      <c r="A392" s="122" t="s">
        <v>3511</v>
      </c>
      <c r="H392" s="751"/>
      <c r="I392" s="751"/>
      <c r="J392" s="751"/>
      <c r="K392" s="751"/>
      <c r="N392" s="325"/>
    </row>
    <row r="393">
      <c r="A393" s="122" t="s">
        <v>3511</v>
      </c>
      <c r="H393" s="751"/>
      <c r="I393" s="751"/>
      <c r="J393" s="751"/>
      <c r="K393" s="751"/>
      <c r="N393" s="325"/>
    </row>
    <row r="394">
      <c r="A394" s="122" t="s">
        <v>3511</v>
      </c>
      <c r="H394" s="751"/>
      <c r="I394" s="751"/>
      <c r="J394" s="751"/>
      <c r="K394" s="751"/>
      <c r="N394" s="325"/>
    </row>
    <row r="395">
      <c r="A395" s="122" t="s">
        <v>3511</v>
      </c>
      <c r="H395" s="751"/>
      <c r="I395" s="751"/>
      <c r="J395" s="751"/>
      <c r="K395" s="751"/>
      <c r="N395" s="325"/>
    </row>
    <row r="396">
      <c r="A396" s="122" t="s">
        <v>3511</v>
      </c>
      <c r="H396" s="751"/>
      <c r="I396" s="751"/>
      <c r="J396" s="751"/>
      <c r="K396" s="751"/>
      <c r="N396" s="325"/>
    </row>
    <row r="397">
      <c r="A397" s="122" t="s">
        <v>3511</v>
      </c>
      <c r="H397" s="751"/>
      <c r="I397" s="751"/>
      <c r="J397" s="751"/>
      <c r="K397" s="751"/>
      <c r="N397" s="325"/>
    </row>
    <row r="398">
      <c r="A398" s="122" t="s">
        <v>3511</v>
      </c>
      <c r="H398" s="751"/>
      <c r="I398" s="751"/>
      <c r="J398" s="751"/>
      <c r="K398" s="751"/>
      <c r="N398" s="325"/>
    </row>
    <row r="399">
      <c r="A399" s="122" t="s">
        <v>3511</v>
      </c>
      <c r="H399" s="751"/>
      <c r="I399" s="751"/>
      <c r="J399" s="751"/>
      <c r="K399" s="751"/>
      <c r="N399" s="325"/>
    </row>
    <row r="400">
      <c r="A400" s="122" t="s">
        <v>3511</v>
      </c>
      <c r="H400" s="751"/>
      <c r="I400" s="751"/>
      <c r="J400" s="751"/>
      <c r="K400" s="751"/>
      <c r="N400" s="325"/>
    </row>
    <row r="401">
      <c r="A401" s="122" t="s">
        <v>3511</v>
      </c>
      <c r="H401" s="751"/>
      <c r="I401" s="751"/>
      <c r="J401" s="751"/>
      <c r="K401" s="751"/>
      <c r="N401" s="325"/>
    </row>
    <row r="402">
      <c r="A402" s="122" t="s">
        <v>3511</v>
      </c>
      <c r="H402" s="751"/>
      <c r="I402" s="751"/>
      <c r="J402" s="751"/>
      <c r="K402" s="751"/>
      <c r="N402" s="325"/>
    </row>
    <row r="403">
      <c r="A403" s="122" t="s">
        <v>3511</v>
      </c>
      <c r="H403" s="751"/>
      <c r="I403" s="751"/>
      <c r="J403" s="751"/>
      <c r="K403" s="751"/>
      <c r="N403" s="325"/>
    </row>
    <row r="404">
      <c r="A404" s="122" t="s">
        <v>3511</v>
      </c>
      <c r="H404" s="751"/>
      <c r="I404" s="751"/>
      <c r="J404" s="751"/>
      <c r="K404" s="751"/>
      <c r="N404" s="325"/>
    </row>
    <row r="405">
      <c r="A405" s="122" t="s">
        <v>3511</v>
      </c>
      <c r="H405" s="751"/>
      <c r="I405" s="751"/>
      <c r="J405" s="751"/>
      <c r="K405" s="751"/>
      <c r="N405" s="325"/>
    </row>
    <row r="406">
      <c r="A406" s="122" t="s">
        <v>3511</v>
      </c>
      <c r="H406" s="751"/>
      <c r="I406" s="751"/>
      <c r="J406" s="751"/>
      <c r="K406" s="751"/>
      <c r="N406" s="325"/>
    </row>
    <row r="407">
      <c r="A407" s="122" t="s">
        <v>3511</v>
      </c>
      <c r="H407" s="751"/>
      <c r="I407" s="751"/>
      <c r="J407" s="751"/>
      <c r="K407" s="751"/>
      <c r="N407" s="325"/>
    </row>
    <row r="408">
      <c r="A408" s="122" t="s">
        <v>3511</v>
      </c>
      <c r="H408" s="751"/>
      <c r="I408" s="751"/>
      <c r="J408" s="751"/>
      <c r="K408" s="751"/>
      <c r="N408" s="325"/>
    </row>
    <row r="409">
      <c r="A409" s="122" t="s">
        <v>3511</v>
      </c>
      <c r="H409" s="751"/>
      <c r="I409" s="751"/>
      <c r="J409" s="751"/>
      <c r="K409" s="751"/>
      <c r="N409" s="325"/>
    </row>
    <row r="410">
      <c r="A410" s="122" t="s">
        <v>3511</v>
      </c>
      <c r="H410" s="751"/>
      <c r="I410" s="751"/>
      <c r="J410" s="751"/>
      <c r="K410" s="751"/>
      <c r="N410" s="325"/>
    </row>
    <row r="411">
      <c r="A411" s="122" t="s">
        <v>3511</v>
      </c>
      <c r="H411" s="751"/>
      <c r="I411" s="751"/>
      <c r="J411" s="751"/>
      <c r="K411" s="751"/>
      <c r="N411" s="325"/>
    </row>
    <row r="412">
      <c r="A412" s="122" t="s">
        <v>3511</v>
      </c>
      <c r="H412" s="751"/>
      <c r="I412" s="751"/>
      <c r="J412" s="751"/>
      <c r="K412" s="751"/>
      <c r="N412" s="325"/>
    </row>
    <row r="413">
      <c r="A413" s="122" t="s">
        <v>3511</v>
      </c>
      <c r="H413" s="751"/>
      <c r="I413" s="751"/>
      <c r="J413" s="751"/>
      <c r="K413" s="751"/>
      <c r="N413" s="325"/>
    </row>
    <row r="414">
      <c r="A414" s="122" t="s">
        <v>3511</v>
      </c>
      <c r="H414" s="751"/>
      <c r="I414" s="751"/>
      <c r="J414" s="751"/>
      <c r="K414" s="751"/>
      <c r="N414" s="325"/>
    </row>
    <row r="415">
      <c r="A415" s="122" t="s">
        <v>3511</v>
      </c>
      <c r="H415" s="751"/>
      <c r="I415" s="751"/>
      <c r="J415" s="751"/>
      <c r="K415" s="751"/>
      <c r="N415" s="325"/>
    </row>
    <row r="416">
      <c r="A416" s="122" t="s">
        <v>3511</v>
      </c>
      <c r="H416" s="751"/>
      <c r="I416" s="751"/>
      <c r="J416" s="751"/>
      <c r="K416" s="751"/>
      <c r="N416" s="325"/>
    </row>
    <row r="417">
      <c r="A417" s="122" t="s">
        <v>3511</v>
      </c>
      <c r="H417" s="751"/>
      <c r="I417" s="751"/>
      <c r="J417" s="751"/>
      <c r="K417" s="751"/>
      <c r="N417" s="325"/>
    </row>
    <row r="418">
      <c r="A418" s="122" t="s">
        <v>3511</v>
      </c>
      <c r="H418" s="751"/>
      <c r="I418" s="751"/>
      <c r="J418" s="751"/>
      <c r="K418" s="751"/>
      <c r="N418" s="325"/>
    </row>
    <row r="419">
      <c r="A419" s="122" t="s">
        <v>3511</v>
      </c>
      <c r="H419" s="751"/>
      <c r="I419" s="751"/>
      <c r="J419" s="751"/>
      <c r="K419" s="751"/>
      <c r="N419" s="325"/>
    </row>
    <row r="420">
      <c r="A420" s="122" t="s">
        <v>3511</v>
      </c>
      <c r="H420" s="751"/>
      <c r="I420" s="751"/>
      <c r="J420" s="751"/>
      <c r="K420" s="751"/>
      <c r="N420" s="325"/>
    </row>
    <row r="421">
      <c r="A421" s="122" t="s">
        <v>3511</v>
      </c>
      <c r="H421" s="751"/>
      <c r="I421" s="751"/>
      <c r="J421" s="751"/>
      <c r="K421" s="751"/>
      <c r="N421" s="325"/>
    </row>
    <row r="422">
      <c r="A422" s="122" t="s">
        <v>3511</v>
      </c>
      <c r="H422" s="751"/>
      <c r="I422" s="751"/>
      <c r="J422" s="751"/>
      <c r="K422" s="751"/>
      <c r="N422" s="325"/>
    </row>
    <row r="423">
      <c r="A423" s="122" t="s">
        <v>3511</v>
      </c>
      <c r="H423" s="751"/>
      <c r="I423" s="751"/>
      <c r="J423" s="751"/>
      <c r="K423" s="751"/>
      <c r="N423" s="325"/>
    </row>
    <row r="424">
      <c r="A424" s="122" t="s">
        <v>3511</v>
      </c>
      <c r="H424" s="751"/>
      <c r="I424" s="751"/>
      <c r="J424" s="751"/>
      <c r="K424" s="751"/>
      <c r="N424" s="325"/>
    </row>
    <row r="425">
      <c r="A425" s="122" t="s">
        <v>3511</v>
      </c>
      <c r="H425" s="751"/>
      <c r="I425" s="751"/>
      <c r="J425" s="751"/>
      <c r="K425" s="751"/>
      <c r="N425" s="325"/>
    </row>
    <row r="426">
      <c r="A426" s="122" t="s">
        <v>3511</v>
      </c>
      <c r="H426" s="751"/>
      <c r="I426" s="751"/>
      <c r="J426" s="751"/>
      <c r="K426" s="751"/>
      <c r="N426" s="325"/>
    </row>
    <row r="427">
      <c r="A427" s="122" t="s">
        <v>3511</v>
      </c>
      <c r="H427" s="751"/>
      <c r="I427" s="751"/>
      <c r="J427" s="751"/>
      <c r="K427" s="751"/>
      <c r="N427" s="325"/>
    </row>
    <row r="428">
      <c r="A428" s="122" t="s">
        <v>3511</v>
      </c>
      <c r="H428" s="751"/>
      <c r="I428" s="751"/>
      <c r="J428" s="751"/>
      <c r="K428" s="751"/>
      <c r="N428" s="325"/>
    </row>
    <row r="429">
      <c r="A429" s="122" t="s">
        <v>3511</v>
      </c>
      <c r="H429" s="751"/>
      <c r="I429" s="751"/>
      <c r="J429" s="751"/>
      <c r="K429" s="751"/>
      <c r="N429" s="325"/>
    </row>
    <row r="430">
      <c r="A430" s="122" t="s">
        <v>3511</v>
      </c>
      <c r="H430" s="751"/>
      <c r="I430" s="751"/>
      <c r="J430" s="751"/>
      <c r="K430" s="751"/>
      <c r="N430" s="325"/>
    </row>
    <row r="431">
      <c r="A431" s="122" t="s">
        <v>3511</v>
      </c>
      <c r="H431" s="751"/>
      <c r="I431" s="751"/>
      <c r="J431" s="751"/>
      <c r="K431" s="751"/>
      <c r="N431" s="325"/>
    </row>
    <row r="432">
      <c r="A432" s="122" t="s">
        <v>3511</v>
      </c>
      <c r="H432" s="751"/>
      <c r="I432" s="751"/>
      <c r="J432" s="751"/>
      <c r="K432" s="751"/>
      <c r="N432" s="325"/>
    </row>
    <row r="433">
      <c r="A433" s="122" t="s">
        <v>3511</v>
      </c>
      <c r="H433" s="751"/>
      <c r="I433" s="751"/>
      <c r="J433" s="751"/>
      <c r="K433" s="751"/>
      <c r="N433" s="325"/>
    </row>
    <row r="434">
      <c r="A434" s="122" t="s">
        <v>3511</v>
      </c>
      <c r="H434" s="751"/>
      <c r="I434" s="751"/>
      <c r="J434" s="751"/>
      <c r="K434" s="751"/>
      <c r="N434" s="325"/>
    </row>
    <row r="435">
      <c r="A435" s="122" t="s">
        <v>3511</v>
      </c>
      <c r="H435" s="751"/>
      <c r="I435" s="751"/>
      <c r="J435" s="751"/>
      <c r="K435" s="751"/>
      <c r="N435" s="325"/>
    </row>
    <row r="436">
      <c r="A436" s="122" t="s">
        <v>3511</v>
      </c>
      <c r="H436" s="751"/>
      <c r="I436" s="751"/>
      <c r="J436" s="751"/>
      <c r="K436" s="751"/>
      <c r="N436" s="325"/>
    </row>
    <row r="437">
      <c r="A437" s="122" t="s">
        <v>3511</v>
      </c>
      <c r="H437" s="751"/>
      <c r="I437" s="751"/>
      <c r="J437" s="751"/>
      <c r="K437" s="751"/>
      <c r="N437" s="325"/>
    </row>
    <row r="438">
      <c r="A438" s="122" t="s">
        <v>3511</v>
      </c>
      <c r="H438" s="751"/>
      <c r="I438" s="751"/>
      <c r="J438" s="751"/>
      <c r="K438" s="751"/>
      <c r="N438" s="325"/>
    </row>
    <row r="439">
      <c r="A439" s="122" t="s">
        <v>3511</v>
      </c>
      <c r="H439" s="751"/>
      <c r="I439" s="751"/>
      <c r="J439" s="751"/>
      <c r="K439" s="751"/>
      <c r="N439" s="325"/>
    </row>
    <row r="440">
      <c r="A440" s="122" t="s">
        <v>3511</v>
      </c>
      <c r="H440" s="751"/>
      <c r="I440" s="751"/>
      <c r="J440" s="751"/>
      <c r="K440" s="751"/>
      <c r="N440" s="325"/>
    </row>
    <row r="441">
      <c r="A441" s="122" t="s">
        <v>3511</v>
      </c>
      <c r="H441" s="751"/>
      <c r="I441" s="751"/>
      <c r="J441" s="751"/>
      <c r="K441" s="751"/>
      <c r="N441" s="325"/>
    </row>
    <row r="442">
      <c r="A442" s="122" t="s">
        <v>3511</v>
      </c>
      <c r="H442" s="751"/>
      <c r="I442" s="751"/>
      <c r="J442" s="751"/>
      <c r="K442" s="751"/>
      <c r="N442" s="325"/>
    </row>
    <row r="443">
      <c r="A443" s="122" t="s">
        <v>3511</v>
      </c>
      <c r="H443" s="751"/>
      <c r="I443" s="751"/>
      <c r="J443" s="751"/>
      <c r="K443" s="751"/>
      <c r="N443" s="325"/>
    </row>
    <row r="444">
      <c r="A444" s="122" t="s">
        <v>3511</v>
      </c>
      <c r="H444" s="751"/>
      <c r="I444" s="751"/>
      <c r="J444" s="751"/>
      <c r="K444" s="751"/>
      <c r="N444" s="325"/>
    </row>
    <row r="445">
      <c r="A445" s="122" t="s">
        <v>3511</v>
      </c>
      <c r="H445" s="751"/>
      <c r="I445" s="751"/>
      <c r="J445" s="751"/>
      <c r="K445" s="751"/>
      <c r="N445" s="325"/>
    </row>
    <row r="446">
      <c r="A446" s="122" t="s">
        <v>3511</v>
      </c>
      <c r="H446" s="751"/>
      <c r="I446" s="751"/>
      <c r="J446" s="751"/>
      <c r="K446" s="751"/>
      <c r="N446" s="325"/>
    </row>
    <row r="447">
      <c r="A447" s="122" t="s">
        <v>3511</v>
      </c>
      <c r="H447" s="751"/>
      <c r="I447" s="751"/>
      <c r="J447" s="751"/>
      <c r="K447" s="751"/>
      <c r="N447" s="325"/>
    </row>
    <row r="448">
      <c r="A448" s="122" t="s">
        <v>3511</v>
      </c>
      <c r="H448" s="751"/>
      <c r="I448" s="751"/>
      <c r="J448" s="751"/>
      <c r="K448" s="751"/>
      <c r="N448" s="325"/>
    </row>
    <row r="449">
      <c r="A449" s="122" t="s">
        <v>3511</v>
      </c>
      <c r="H449" s="751"/>
      <c r="I449" s="751"/>
      <c r="J449" s="751"/>
      <c r="K449" s="751"/>
      <c r="N449" s="325"/>
    </row>
    <row r="450">
      <c r="A450" s="122" t="s">
        <v>3511</v>
      </c>
      <c r="H450" s="751"/>
      <c r="I450" s="751"/>
      <c r="J450" s="751"/>
      <c r="K450" s="751"/>
      <c r="N450" s="325"/>
    </row>
    <row r="451">
      <c r="A451" s="122" t="s">
        <v>3511</v>
      </c>
      <c r="H451" s="751"/>
      <c r="I451" s="751"/>
      <c r="J451" s="751"/>
      <c r="K451" s="751"/>
      <c r="N451" s="325"/>
    </row>
    <row r="452">
      <c r="A452" s="122" t="s">
        <v>3511</v>
      </c>
      <c r="H452" s="751"/>
      <c r="I452" s="751"/>
      <c r="J452" s="751"/>
      <c r="K452" s="751"/>
      <c r="N452" s="325"/>
    </row>
    <row r="453">
      <c r="A453" s="122" t="s">
        <v>3511</v>
      </c>
      <c r="H453" s="751"/>
      <c r="I453" s="751"/>
      <c r="J453" s="751"/>
      <c r="K453" s="751"/>
      <c r="N453" s="325"/>
    </row>
    <row r="454">
      <c r="A454" s="122" t="s">
        <v>3511</v>
      </c>
      <c r="H454" s="751"/>
      <c r="I454" s="751"/>
      <c r="J454" s="751"/>
      <c r="K454" s="751"/>
      <c r="N454" s="325"/>
    </row>
    <row r="455">
      <c r="A455" s="122" t="s">
        <v>3511</v>
      </c>
      <c r="H455" s="751"/>
      <c r="I455" s="751"/>
      <c r="J455" s="751"/>
      <c r="K455" s="751"/>
      <c r="N455" s="325"/>
    </row>
    <row r="456">
      <c r="A456" s="122" t="s">
        <v>3511</v>
      </c>
      <c r="H456" s="751"/>
      <c r="I456" s="751"/>
      <c r="J456" s="751"/>
      <c r="K456" s="751"/>
      <c r="N456" s="325"/>
    </row>
    <row r="457">
      <c r="A457" s="122" t="s">
        <v>3511</v>
      </c>
      <c r="H457" s="751"/>
      <c r="I457" s="751"/>
      <c r="J457" s="751"/>
      <c r="K457" s="751"/>
      <c r="N457" s="325"/>
    </row>
    <row r="458">
      <c r="A458" s="122" t="s">
        <v>3511</v>
      </c>
      <c r="H458" s="751"/>
      <c r="I458" s="751"/>
      <c r="J458" s="751"/>
      <c r="K458" s="751"/>
      <c r="N458" s="325"/>
    </row>
    <row r="459">
      <c r="A459" s="122" t="s">
        <v>3511</v>
      </c>
      <c r="H459" s="751"/>
      <c r="I459" s="751"/>
      <c r="J459" s="751"/>
      <c r="K459" s="751"/>
      <c r="N459" s="325"/>
    </row>
    <row r="460">
      <c r="A460" s="122" t="s">
        <v>3511</v>
      </c>
      <c r="H460" s="751"/>
      <c r="I460" s="751"/>
      <c r="J460" s="751"/>
      <c r="K460" s="751"/>
      <c r="N460" s="325"/>
    </row>
    <row r="461">
      <c r="A461" s="122" t="s">
        <v>3511</v>
      </c>
      <c r="H461" s="751"/>
      <c r="I461" s="751"/>
      <c r="J461" s="751"/>
      <c r="K461" s="751"/>
      <c r="N461" s="325"/>
    </row>
    <row r="462">
      <c r="A462" s="122" t="s">
        <v>3511</v>
      </c>
      <c r="H462" s="751"/>
      <c r="I462" s="751"/>
      <c r="J462" s="751"/>
      <c r="K462" s="751"/>
      <c r="N462" s="325"/>
    </row>
    <row r="463">
      <c r="A463" s="122" t="s">
        <v>3511</v>
      </c>
      <c r="H463" s="751"/>
      <c r="I463" s="751"/>
      <c r="J463" s="751"/>
      <c r="K463" s="751"/>
      <c r="N463" s="325"/>
    </row>
    <row r="464">
      <c r="A464" s="122" t="s">
        <v>3511</v>
      </c>
      <c r="H464" s="751"/>
      <c r="I464" s="751"/>
      <c r="J464" s="751"/>
      <c r="K464" s="751"/>
      <c r="N464" s="325"/>
    </row>
    <row r="465">
      <c r="A465" s="122" t="s">
        <v>3511</v>
      </c>
      <c r="H465" s="751"/>
      <c r="I465" s="751"/>
      <c r="J465" s="751"/>
      <c r="K465" s="751"/>
      <c r="N465" s="325"/>
    </row>
    <row r="466">
      <c r="A466" s="122" t="s">
        <v>3511</v>
      </c>
      <c r="H466" s="751"/>
      <c r="I466" s="751"/>
      <c r="J466" s="751"/>
      <c r="K466" s="751"/>
      <c r="N466" s="325"/>
    </row>
    <row r="467">
      <c r="A467" s="122" t="s">
        <v>3511</v>
      </c>
      <c r="H467" s="751"/>
      <c r="I467" s="751"/>
      <c r="J467" s="751"/>
      <c r="K467" s="751"/>
      <c r="N467" s="325"/>
    </row>
    <row r="468">
      <c r="A468" s="122" t="s">
        <v>3511</v>
      </c>
      <c r="H468" s="751"/>
      <c r="I468" s="751"/>
      <c r="J468" s="751"/>
      <c r="K468" s="751"/>
      <c r="N468" s="325"/>
    </row>
    <row r="469">
      <c r="A469" s="122" t="s">
        <v>3511</v>
      </c>
      <c r="H469" s="751"/>
      <c r="I469" s="751"/>
      <c r="J469" s="751"/>
      <c r="K469" s="751"/>
      <c r="N469" s="325"/>
    </row>
    <row r="470">
      <c r="A470" s="122" t="s">
        <v>3511</v>
      </c>
      <c r="H470" s="751"/>
      <c r="I470" s="751"/>
      <c r="J470" s="751"/>
      <c r="K470" s="751"/>
      <c r="N470" s="325"/>
    </row>
    <row r="471">
      <c r="A471" s="122" t="s">
        <v>3511</v>
      </c>
      <c r="H471" s="751"/>
      <c r="I471" s="751"/>
      <c r="J471" s="751"/>
      <c r="K471" s="751"/>
      <c r="N471" s="325"/>
    </row>
    <row r="472">
      <c r="A472" s="122" t="s">
        <v>3511</v>
      </c>
      <c r="H472" s="751"/>
      <c r="I472" s="751"/>
      <c r="J472" s="751"/>
      <c r="K472" s="751"/>
      <c r="N472" s="325"/>
    </row>
    <row r="473">
      <c r="A473" s="122" t="s">
        <v>3511</v>
      </c>
      <c r="H473" s="751"/>
      <c r="I473" s="751"/>
      <c r="J473" s="751"/>
      <c r="K473" s="751"/>
      <c r="N473" s="325"/>
    </row>
    <row r="474">
      <c r="A474" s="122" t="s">
        <v>3511</v>
      </c>
      <c r="H474" s="751"/>
      <c r="I474" s="751"/>
      <c r="J474" s="751"/>
      <c r="K474" s="751"/>
      <c r="N474" s="325"/>
    </row>
    <row r="475">
      <c r="A475" s="122" t="s">
        <v>3511</v>
      </c>
      <c r="H475" s="751"/>
      <c r="I475" s="751"/>
      <c r="J475" s="751"/>
      <c r="K475" s="751"/>
      <c r="N475" s="325"/>
    </row>
    <row r="476">
      <c r="A476" s="122" t="s">
        <v>3511</v>
      </c>
      <c r="H476" s="751"/>
      <c r="I476" s="751"/>
      <c r="J476" s="751"/>
      <c r="K476" s="751"/>
      <c r="N476" s="325"/>
    </row>
    <row r="477">
      <c r="A477" s="122" t="s">
        <v>3511</v>
      </c>
      <c r="H477" s="751"/>
      <c r="I477" s="751"/>
      <c r="J477" s="751"/>
      <c r="K477" s="751"/>
      <c r="N477" s="325"/>
    </row>
    <row r="478">
      <c r="A478" s="122" t="s">
        <v>3511</v>
      </c>
      <c r="H478" s="751"/>
      <c r="I478" s="751"/>
      <c r="J478" s="751"/>
      <c r="K478" s="751"/>
      <c r="N478" s="325"/>
    </row>
    <row r="479">
      <c r="A479" s="122" t="s">
        <v>3511</v>
      </c>
      <c r="H479" s="751"/>
      <c r="I479" s="751"/>
      <c r="J479" s="751"/>
      <c r="K479" s="751"/>
      <c r="N479" s="325"/>
    </row>
    <row r="480">
      <c r="A480" s="122" t="s">
        <v>3511</v>
      </c>
      <c r="H480" s="751"/>
      <c r="I480" s="751"/>
      <c r="J480" s="751"/>
      <c r="K480" s="751"/>
      <c r="N480" s="325"/>
    </row>
    <row r="481">
      <c r="A481" s="122" t="s">
        <v>3511</v>
      </c>
      <c r="H481" s="751"/>
      <c r="I481" s="751"/>
      <c r="J481" s="751"/>
      <c r="K481" s="751"/>
      <c r="N481" s="325"/>
    </row>
    <row r="482">
      <c r="A482" s="122" t="s">
        <v>3511</v>
      </c>
      <c r="H482" s="751"/>
      <c r="I482" s="751"/>
      <c r="J482" s="751"/>
      <c r="K482" s="751"/>
      <c r="N482" s="325"/>
    </row>
    <row r="483">
      <c r="A483" s="122" t="s">
        <v>3511</v>
      </c>
      <c r="H483" s="751"/>
      <c r="I483" s="751"/>
      <c r="J483" s="751"/>
      <c r="K483" s="751"/>
      <c r="N483" s="325"/>
    </row>
    <row r="484">
      <c r="A484" s="122" t="s">
        <v>3511</v>
      </c>
      <c r="H484" s="751"/>
      <c r="I484" s="751"/>
      <c r="J484" s="751"/>
      <c r="K484" s="751"/>
      <c r="N484" s="325"/>
    </row>
    <row r="485">
      <c r="A485" s="122" t="s">
        <v>3511</v>
      </c>
      <c r="H485" s="751"/>
      <c r="I485" s="751"/>
      <c r="J485" s="751"/>
      <c r="K485" s="751"/>
      <c r="N485" s="325"/>
    </row>
    <row r="486">
      <c r="A486" s="122" t="s">
        <v>3511</v>
      </c>
      <c r="H486" s="751"/>
      <c r="I486" s="751"/>
      <c r="J486" s="751"/>
      <c r="K486" s="751"/>
      <c r="N486" s="325"/>
    </row>
    <row r="487">
      <c r="A487" s="122" t="s">
        <v>3511</v>
      </c>
      <c r="H487" s="751"/>
      <c r="I487" s="751"/>
      <c r="J487" s="751"/>
      <c r="K487" s="751"/>
      <c r="N487" s="325"/>
    </row>
    <row r="488">
      <c r="A488" s="122" t="s">
        <v>3511</v>
      </c>
      <c r="H488" s="751"/>
      <c r="I488" s="751"/>
      <c r="J488" s="751"/>
      <c r="K488" s="751"/>
      <c r="N488" s="325"/>
    </row>
    <row r="489">
      <c r="A489" s="122" t="s">
        <v>3511</v>
      </c>
      <c r="H489" s="751"/>
      <c r="I489" s="751"/>
      <c r="J489" s="751"/>
      <c r="K489" s="751"/>
      <c r="N489" s="325"/>
    </row>
    <row r="490">
      <c r="A490" s="122" t="s">
        <v>3511</v>
      </c>
      <c r="H490" s="751"/>
      <c r="I490" s="751"/>
      <c r="J490" s="751"/>
      <c r="K490" s="751"/>
      <c r="N490" s="325"/>
    </row>
    <row r="491">
      <c r="A491" s="122" t="s">
        <v>3511</v>
      </c>
      <c r="H491" s="751"/>
      <c r="I491" s="751"/>
      <c r="J491" s="751"/>
      <c r="K491" s="751"/>
      <c r="N491" s="325"/>
    </row>
    <row r="492">
      <c r="A492" s="122" t="s">
        <v>3511</v>
      </c>
      <c r="H492" s="751"/>
      <c r="I492" s="751"/>
      <c r="J492" s="751"/>
      <c r="K492" s="751"/>
      <c r="N492" s="325"/>
    </row>
    <row r="493">
      <c r="A493" s="122" t="s">
        <v>3511</v>
      </c>
      <c r="H493" s="751"/>
      <c r="I493" s="751"/>
      <c r="J493" s="751"/>
      <c r="K493" s="751"/>
      <c r="N493" s="325"/>
    </row>
    <row r="494">
      <c r="A494" s="122" t="s">
        <v>3511</v>
      </c>
      <c r="H494" s="751"/>
      <c r="I494" s="751"/>
      <c r="J494" s="751"/>
      <c r="K494" s="751"/>
      <c r="N494" s="325"/>
    </row>
    <row r="495">
      <c r="A495" s="122" t="s">
        <v>3511</v>
      </c>
      <c r="H495" s="751"/>
      <c r="I495" s="751"/>
      <c r="J495" s="751"/>
      <c r="K495" s="751"/>
      <c r="N495" s="325"/>
    </row>
    <row r="496">
      <c r="A496" s="122" t="s">
        <v>3511</v>
      </c>
      <c r="H496" s="751"/>
      <c r="I496" s="751"/>
      <c r="J496" s="751"/>
      <c r="K496" s="751"/>
      <c r="N496" s="325"/>
    </row>
    <row r="497">
      <c r="A497" s="122" t="s">
        <v>3511</v>
      </c>
      <c r="H497" s="751"/>
      <c r="I497" s="751"/>
      <c r="J497" s="751"/>
      <c r="K497" s="751"/>
      <c r="N497" s="325"/>
    </row>
    <row r="498">
      <c r="A498" s="122" t="s">
        <v>3511</v>
      </c>
      <c r="H498" s="751"/>
      <c r="I498" s="751"/>
      <c r="J498" s="751"/>
      <c r="K498" s="751"/>
      <c r="N498" s="325"/>
    </row>
    <row r="499">
      <c r="A499" s="122" t="s">
        <v>3511</v>
      </c>
      <c r="H499" s="751"/>
      <c r="I499" s="751"/>
      <c r="J499" s="751"/>
      <c r="K499" s="751"/>
      <c r="N499" s="325"/>
    </row>
    <row r="500">
      <c r="A500" s="122" t="s">
        <v>3511</v>
      </c>
      <c r="H500" s="751"/>
      <c r="I500" s="751"/>
      <c r="J500" s="751"/>
      <c r="K500" s="751"/>
      <c r="N500" s="325"/>
    </row>
    <row r="501">
      <c r="A501" s="122" t="s">
        <v>3511</v>
      </c>
      <c r="H501" s="751"/>
      <c r="I501" s="751"/>
      <c r="J501" s="751"/>
      <c r="K501" s="751"/>
      <c r="N501" s="325"/>
    </row>
    <row r="502">
      <c r="A502" s="122" t="s">
        <v>3511</v>
      </c>
      <c r="H502" s="751"/>
      <c r="I502" s="751"/>
      <c r="J502" s="751"/>
      <c r="K502" s="751"/>
    </row>
    <row r="503">
      <c r="A503" s="122" t="s">
        <v>3511</v>
      </c>
      <c r="H503" s="751"/>
      <c r="I503" s="751"/>
      <c r="J503" s="751"/>
      <c r="K503" s="751"/>
    </row>
    <row r="504">
      <c r="A504" s="122" t="s">
        <v>3511</v>
      </c>
      <c r="H504" s="751"/>
      <c r="I504" s="751"/>
      <c r="J504" s="751"/>
      <c r="K504" s="751"/>
    </row>
    <row r="505">
      <c r="A505" s="122" t="s">
        <v>3511</v>
      </c>
      <c r="H505" s="751"/>
      <c r="I505" s="751"/>
      <c r="J505" s="751"/>
      <c r="K505" s="751"/>
    </row>
    <row r="506">
      <c r="A506" s="122" t="s">
        <v>3511</v>
      </c>
      <c r="H506" s="751"/>
      <c r="I506" s="751"/>
      <c r="J506" s="751"/>
      <c r="K506" s="751"/>
    </row>
    <row r="507">
      <c r="A507" s="122" t="s">
        <v>3511</v>
      </c>
      <c r="H507" s="751"/>
      <c r="I507" s="751"/>
      <c r="J507" s="751"/>
      <c r="K507" s="751"/>
    </row>
    <row r="508">
      <c r="A508" s="122" t="s">
        <v>3511</v>
      </c>
      <c r="H508" s="751"/>
      <c r="I508" s="751"/>
      <c r="J508" s="751"/>
      <c r="K508" s="751"/>
    </row>
    <row r="509">
      <c r="A509" s="122" t="s">
        <v>3511</v>
      </c>
      <c r="H509" s="751"/>
      <c r="I509" s="751"/>
      <c r="J509" s="751"/>
      <c r="K509" s="751"/>
    </row>
    <row r="510">
      <c r="A510" s="122" t="s">
        <v>3511</v>
      </c>
      <c r="H510" s="751"/>
      <c r="I510" s="751"/>
      <c r="J510" s="751"/>
      <c r="K510" s="751"/>
    </row>
    <row r="511">
      <c r="A511" s="122" t="s">
        <v>3511</v>
      </c>
      <c r="H511" s="751"/>
      <c r="I511" s="751"/>
      <c r="J511" s="751"/>
      <c r="K511" s="751"/>
    </row>
    <row r="512">
      <c r="A512" s="122" t="s">
        <v>3511</v>
      </c>
      <c r="H512" s="751"/>
      <c r="I512" s="751"/>
      <c r="J512" s="751"/>
      <c r="K512" s="751"/>
    </row>
    <row r="513">
      <c r="A513" s="122" t="s">
        <v>3511</v>
      </c>
      <c r="H513" s="751"/>
      <c r="I513" s="751"/>
      <c r="J513" s="751"/>
      <c r="K513" s="751"/>
    </row>
    <row r="514">
      <c r="A514" s="122" t="s">
        <v>3511</v>
      </c>
      <c r="H514" s="751"/>
      <c r="I514" s="751"/>
      <c r="J514" s="751"/>
      <c r="K514" s="751"/>
    </row>
    <row r="515">
      <c r="A515" s="122" t="s">
        <v>3511</v>
      </c>
      <c r="H515" s="751"/>
      <c r="I515" s="751"/>
      <c r="J515" s="751"/>
      <c r="K515" s="751"/>
    </row>
    <row r="516">
      <c r="A516" s="122" t="s">
        <v>3511</v>
      </c>
      <c r="H516" s="751"/>
      <c r="I516" s="751"/>
      <c r="J516" s="751"/>
      <c r="K516" s="751"/>
    </row>
    <row r="517">
      <c r="A517" s="122" t="s">
        <v>3511</v>
      </c>
      <c r="H517" s="751"/>
      <c r="I517" s="751"/>
      <c r="J517" s="751"/>
      <c r="K517" s="751"/>
    </row>
    <row r="518">
      <c r="A518" s="122" t="s">
        <v>3511</v>
      </c>
      <c r="H518" s="751"/>
      <c r="I518" s="751"/>
      <c r="J518" s="751"/>
      <c r="K518" s="751"/>
    </row>
    <row r="519">
      <c r="A519" s="122" t="s">
        <v>3511</v>
      </c>
      <c r="H519" s="751"/>
      <c r="I519" s="751"/>
      <c r="J519" s="751"/>
      <c r="K519" s="751"/>
    </row>
    <row r="520">
      <c r="A520" s="122" t="s">
        <v>3511</v>
      </c>
      <c r="H520" s="751"/>
      <c r="I520" s="751"/>
      <c r="J520" s="751"/>
      <c r="K520" s="751"/>
    </row>
    <row r="521">
      <c r="A521" s="122" t="s">
        <v>3511</v>
      </c>
      <c r="H521" s="751"/>
      <c r="I521" s="751"/>
      <c r="J521" s="751"/>
      <c r="K521" s="751"/>
    </row>
    <row r="522">
      <c r="A522" s="122" t="s">
        <v>3511</v>
      </c>
      <c r="H522" s="751"/>
      <c r="I522" s="751"/>
      <c r="J522" s="751"/>
      <c r="K522" s="751"/>
    </row>
    <row r="523">
      <c r="A523" s="122" t="s">
        <v>3511</v>
      </c>
      <c r="H523" s="751"/>
      <c r="I523" s="751"/>
      <c r="J523" s="751"/>
      <c r="K523" s="751"/>
    </row>
    <row r="524">
      <c r="A524" s="122" t="s">
        <v>3511</v>
      </c>
      <c r="H524" s="751"/>
      <c r="I524" s="751"/>
      <c r="J524" s="751"/>
      <c r="K524" s="751"/>
    </row>
    <row r="525">
      <c r="A525" s="122" t="s">
        <v>3511</v>
      </c>
      <c r="H525" s="751"/>
      <c r="I525" s="751"/>
      <c r="J525" s="751"/>
      <c r="K525" s="751"/>
    </row>
    <row r="526">
      <c r="A526" s="122" t="s">
        <v>3511</v>
      </c>
      <c r="H526" s="751"/>
      <c r="I526" s="751"/>
      <c r="J526" s="751"/>
      <c r="K526" s="751"/>
    </row>
    <row r="527">
      <c r="A527" s="122" t="s">
        <v>3511</v>
      </c>
      <c r="H527" s="751"/>
      <c r="I527" s="751"/>
      <c r="J527" s="751"/>
      <c r="K527" s="751"/>
    </row>
    <row r="528">
      <c r="A528" s="122" t="s">
        <v>3511</v>
      </c>
      <c r="H528" s="751"/>
      <c r="I528" s="751"/>
      <c r="J528" s="751"/>
      <c r="K528" s="751"/>
    </row>
    <row r="529">
      <c r="A529" s="122" t="s">
        <v>3511</v>
      </c>
      <c r="H529" s="751"/>
      <c r="I529" s="751"/>
      <c r="J529" s="751"/>
      <c r="K529" s="751"/>
    </row>
    <row r="530">
      <c r="A530" s="122" t="s">
        <v>3511</v>
      </c>
      <c r="H530" s="751"/>
      <c r="I530" s="751"/>
      <c r="J530" s="751"/>
      <c r="K530" s="751"/>
    </row>
    <row r="531">
      <c r="A531" s="122" t="s">
        <v>3511</v>
      </c>
      <c r="H531" s="751"/>
      <c r="I531" s="751"/>
      <c r="J531" s="751"/>
      <c r="K531" s="751"/>
    </row>
    <row r="532">
      <c r="A532" s="122" t="s">
        <v>3511</v>
      </c>
      <c r="H532" s="751"/>
      <c r="I532" s="751"/>
      <c r="J532" s="751"/>
      <c r="K532" s="751"/>
    </row>
    <row r="533">
      <c r="A533" s="122" t="s">
        <v>3511</v>
      </c>
      <c r="H533" s="751"/>
      <c r="I533" s="751"/>
      <c r="J533" s="751"/>
      <c r="K533" s="751"/>
    </row>
    <row r="534">
      <c r="A534" s="122" t="s">
        <v>3511</v>
      </c>
      <c r="H534" s="751"/>
      <c r="I534" s="751"/>
      <c r="J534" s="751"/>
      <c r="K534" s="751"/>
    </row>
    <row r="535">
      <c r="A535" s="122" t="s">
        <v>3511</v>
      </c>
      <c r="H535" s="751"/>
      <c r="I535" s="751"/>
      <c r="J535" s="751"/>
      <c r="K535" s="751"/>
    </row>
    <row r="536">
      <c r="A536" s="122" t="s">
        <v>3511</v>
      </c>
      <c r="H536" s="751"/>
      <c r="I536" s="751"/>
      <c r="J536" s="751"/>
      <c r="K536" s="751"/>
    </row>
    <row r="537">
      <c r="A537" s="122" t="s">
        <v>3511</v>
      </c>
      <c r="H537" s="751"/>
      <c r="I537" s="751"/>
      <c r="J537" s="751"/>
      <c r="K537" s="751"/>
    </row>
    <row r="538">
      <c r="A538" s="122" t="s">
        <v>3511</v>
      </c>
      <c r="H538" s="751"/>
      <c r="I538" s="751"/>
      <c r="J538" s="751"/>
      <c r="K538" s="751"/>
    </row>
    <row r="539">
      <c r="A539" s="122" t="s">
        <v>3511</v>
      </c>
      <c r="H539" s="751"/>
      <c r="I539" s="751"/>
      <c r="J539" s="751"/>
      <c r="K539" s="751"/>
    </row>
    <row r="540">
      <c r="A540" s="122" t="s">
        <v>3511</v>
      </c>
      <c r="H540" s="751"/>
      <c r="I540" s="751"/>
      <c r="J540" s="751"/>
      <c r="K540" s="751"/>
    </row>
    <row r="541">
      <c r="A541" s="122" t="s">
        <v>3511</v>
      </c>
      <c r="H541" s="751"/>
      <c r="I541" s="751"/>
      <c r="J541" s="751"/>
      <c r="K541" s="751"/>
    </row>
    <row r="542">
      <c r="A542" s="122" t="s">
        <v>3511</v>
      </c>
      <c r="H542" s="751"/>
      <c r="I542" s="751"/>
      <c r="J542" s="751"/>
      <c r="K542" s="751"/>
    </row>
    <row r="543">
      <c r="A543" s="122" t="s">
        <v>3511</v>
      </c>
      <c r="H543" s="751"/>
      <c r="I543" s="751"/>
      <c r="J543" s="751"/>
      <c r="K543" s="751"/>
    </row>
    <row r="544">
      <c r="A544" s="122" t="s">
        <v>3511</v>
      </c>
      <c r="H544" s="751"/>
      <c r="I544" s="751"/>
      <c r="J544" s="751"/>
      <c r="K544" s="751"/>
    </row>
    <row r="545">
      <c r="A545" s="122" t="s">
        <v>3511</v>
      </c>
      <c r="H545" s="751"/>
      <c r="I545" s="751"/>
      <c r="J545" s="751"/>
      <c r="K545" s="751"/>
    </row>
    <row r="546">
      <c r="A546" s="122" t="s">
        <v>3511</v>
      </c>
      <c r="H546" s="751"/>
      <c r="I546" s="751"/>
      <c r="J546" s="751"/>
      <c r="K546" s="751"/>
    </row>
    <row r="547">
      <c r="A547" s="122" t="s">
        <v>3511</v>
      </c>
      <c r="H547" s="751"/>
      <c r="I547" s="751"/>
      <c r="J547" s="751"/>
      <c r="K547" s="751"/>
    </row>
    <row r="548">
      <c r="A548" s="122" t="s">
        <v>3511</v>
      </c>
      <c r="H548" s="751"/>
      <c r="I548" s="751"/>
      <c r="J548" s="751"/>
      <c r="K548" s="751"/>
    </row>
    <row r="549">
      <c r="A549" s="122" t="s">
        <v>3511</v>
      </c>
      <c r="H549" s="751"/>
      <c r="I549" s="751"/>
      <c r="J549" s="751"/>
      <c r="K549" s="751"/>
    </row>
    <row r="550">
      <c r="A550" s="122" t="s">
        <v>3511</v>
      </c>
      <c r="H550" s="751"/>
      <c r="I550" s="751"/>
      <c r="J550" s="751"/>
      <c r="K550" s="751"/>
    </row>
    <row r="551">
      <c r="A551" s="122" t="s">
        <v>3511</v>
      </c>
      <c r="H551" s="751"/>
      <c r="I551" s="751"/>
      <c r="J551" s="751"/>
      <c r="K551" s="751"/>
    </row>
    <row r="552">
      <c r="A552" s="122" t="s">
        <v>3511</v>
      </c>
      <c r="H552" s="751"/>
      <c r="I552" s="751"/>
      <c r="J552" s="751"/>
      <c r="K552" s="751"/>
    </row>
    <row r="553">
      <c r="A553" s="122" t="s">
        <v>3511</v>
      </c>
      <c r="H553" s="751"/>
      <c r="I553" s="751"/>
      <c r="J553" s="751"/>
      <c r="K553" s="751"/>
    </row>
    <row r="554">
      <c r="A554" s="122" t="s">
        <v>3511</v>
      </c>
      <c r="H554" s="751"/>
      <c r="I554" s="751"/>
      <c r="J554" s="751"/>
      <c r="K554" s="751"/>
    </row>
    <row r="555">
      <c r="A555" s="122" t="s">
        <v>3511</v>
      </c>
      <c r="H555" s="751"/>
      <c r="I555" s="751"/>
      <c r="J555" s="751"/>
      <c r="K555" s="751"/>
    </row>
    <row r="556">
      <c r="A556" s="122" t="s">
        <v>3511</v>
      </c>
      <c r="H556" s="751"/>
      <c r="I556" s="751"/>
      <c r="J556" s="751"/>
      <c r="K556" s="751"/>
    </row>
    <row r="557">
      <c r="A557" s="122" t="s">
        <v>3511</v>
      </c>
      <c r="H557" s="751"/>
      <c r="I557" s="751"/>
      <c r="J557" s="751"/>
      <c r="K557" s="751"/>
    </row>
    <row r="558">
      <c r="A558" s="122" t="s">
        <v>3511</v>
      </c>
      <c r="H558" s="751"/>
      <c r="I558" s="751"/>
      <c r="J558" s="751"/>
      <c r="K558" s="751"/>
    </row>
    <row r="559">
      <c r="A559" s="122" t="s">
        <v>3511</v>
      </c>
      <c r="H559" s="751"/>
      <c r="I559" s="751"/>
      <c r="J559" s="751"/>
      <c r="K559" s="751"/>
    </row>
    <row r="560">
      <c r="A560" s="122" t="s">
        <v>3511</v>
      </c>
      <c r="H560" s="751"/>
      <c r="I560" s="751"/>
      <c r="J560" s="751"/>
      <c r="K560" s="751"/>
    </row>
    <row r="561">
      <c r="A561" s="122" t="s">
        <v>3511</v>
      </c>
      <c r="H561" s="751"/>
      <c r="I561" s="751"/>
      <c r="J561" s="751"/>
      <c r="K561" s="751"/>
    </row>
    <row r="562">
      <c r="A562" s="122" t="s">
        <v>3511</v>
      </c>
      <c r="H562" s="751"/>
      <c r="I562" s="751"/>
      <c r="J562" s="751"/>
      <c r="K562" s="751"/>
    </row>
    <row r="563">
      <c r="A563" s="122" t="s">
        <v>3511</v>
      </c>
      <c r="H563" s="751"/>
      <c r="I563" s="751"/>
      <c r="J563" s="751"/>
      <c r="K563" s="751"/>
    </row>
    <row r="564">
      <c r="A564" s="122" t="s">
        <v>3511</v>
      </c>
      <c r="H564" s="751"/>
      <c r="I564" s="751"/>
      <c r="J564" s="751"/>
      <c r="K564" s="751"/>
    </row>
    <row r="565">
      <c r="A565" s="122" t="s">
        <v>3511</v>
      </c>
      <c r="H565" s="751"/>
      <c r="I565" s="751"/>
      <c r="J565" s="751"/>
      <c r="K565" s="751"/>
    </row>
    <row r="566">
      <c r="A566" s="122" t="s">
        <v>3511</v>
      </c>
      <c r="H566" s="751"/>
      <c r="I566" s="751"/>
      <c r="J566" s="751"/>
      <c r="K566" s="751"/>
    </row>
    <row r="567">
      <c r="A567" s="122" t="s">
        <v>3511</v>
      </c>
      <c r="H567" s="751"/>
      <c r="I567" s="751"/>
      <c r="J567" s="751"/>
      <c r="K567" s="751"/>
    </row>
    <row r="568">
      <c r="A568" s="122" t="s">
        <v>3511</v>
      </c>
      <c r="H568" s="751"/>
      <c r="I568" s="751"/>
      <c r="J568" s="751"/>
      <c r="K568" s="751"/>
    </row>
    <row r="569">
      <c r="A569" s="122" t="s">
        <v>3511</v>
      </c>
      <c r="H569" s="751"/>
      <c r="I569" s="751"/>
      <c r="J569" s="751"/>
      <c r="K569" s="751"/>
    </row>
    <row r="570">
      <c r="A570" s="122" t="s">
        <v>3511</v>
      </c>
      <c r="H570" s="751"/>
      <c r="I570" s="751"/>
      <c r="J570" s="751"/>
      <c r="K570" s="751"/>
    </row>
    <row r="571">
      <c r="A571" s="122" t="s">
        <v>3511</v>
      </c>
      <c r="H571" s="751"/>
      <c r="I571" s="751"/>
      <c r="J571" s="751"/>
      <c r="K571" s="751"/>
    </row>
    <row r="572">
      <c r="A572" s="122" t="s">
        <v>3511</v>
      </c>
      <c r="H572" s="751"/>
      <c r="I572" s="751"/>
      <c r="J572" s="751"/>
      <c r="K572" s="751"/>
    </row>
    <row r="573">
      <c r="A573" s="122" t="s">
        <v>3511</v>
      </c>
      <c r="H573" s="751"/>
      <c r="I573" s="751"/>
      <c r="J573" s="751"/>
      <c r="K573" s="751"/>
    </row>
    <row r="574">
      <c r="A574" s="122" t="s">
        <v>3511</v>
      </c>
      <c r="H574" s="751"/>
      <c r="I574" s="751"/>
      <c r="J574" s="751"/>
      <c r="K574" s="751"/>
    </row>
    <row r="575">
      <c r="A575" s="122" t="s">
        <v>3511</v>
      </c>
      <c r="H575" s="751"/>
      <c r="I575" s="751"/>
      <c r="J575" s="751"/>
      <c r="K575" s="751"/>
    </row>
    <row r="576">
      <c r="A576" s="122" t="s">
        <v>3511</v>
      </c>
      <c r="H576" s="751"/>
      <c r="I576" s="751"/>
      <c r="J576" s="751"/>
      <c r="K576" s="751"/>
    </row>
    <row r="577">
      <c r="A577" s="122" t="s">
        <v>3511</v>
      </c>
      <c r="H577" s="751"/>
      <c r="I577" s="751"/>
      <c r="J577" s="751"/>
      <c r="K577" s="751"/>
    </row>
    <row r="578">
      <c r="A578" s="122" t="s">
        <v>3511</v>
      </c>
      <c r="H578" s="751"/>
      <c r="I578" s="751"/>
      <c r="J578" s="751"/>
      <c r="K578" s="751"/>
    </row>
    <row r="579">
      <c r="A579" s="122" t="s">
        <v>3511</v>
      </c>
      <c r="H579" s="751"/>
      <c r="I579" s="751"/>
      <c r="J579" s="751"/>
      <c r="K579" s="751"/>
    </row>
    <row r="580">
      <c r="A580" s="122" t="s">
        <v>3511</v>
      </c>
      <c r="H580" s="751"/>
      <c r="I580" s="751"/>
      <c r="J580" s="751"/>
      <c r="K580" s="751"/>
    </row>
    <row r="581">
      <c r="A581" s="122" t="s">
        <v>3511</v>
      </c>
      <c r="H581" s="751"/>
      <c r="I581" s="751"/>
      <c r="J581" s="751"/>
      <c r="K581" s="751"/>
    </row>
    <row r="582">
      <c r="A582" s="122" t="s">
        <v>3511</v>
      </c>
      <c r="H582" s="751"/>
      <c r="I582" s="751"/>
      <c r="J582" s="751"/>
      <c r="K582" s="751"/>
    </row>
    <row r="583">
      <c r="A583" s="122" t="s">
        <v>3511</v>
      </c>
      <c r="H583" s="751"/>
      <c r="I583" s="751"/>
      <c r="J583" s="751"/>
      <c r="K583" s="751"/>
    </row>
    <row r="584">
      <c r="A584" s="122" t="s">
        <v>3511</v>
      </c>
      <c r="H584" s="751"/>
      <c r="I584" s="751"/>
      <c r="J584" s="751"/>
      <c r="K584" s="751"/>
    </row>
    <row r="585">
      <c r="A585" s="122" t="s">
        <v>3511</v>
      </c>
      <c r="H585" s="751"/>
      <c r="I585" s="751"/>
      <c r="J585" s="751"/>
      <c r="K585" s="751"/>
    </row>
    <row r="586">
      <c r="A586" s="122" t="s">
        <v>3511</v>
      </c>
      <c r="H586" s="751"/>
      <c r="I586" s="751"/>
      <c r="J586" s="751"/>
      <c r="K586" s="751"/>
    </row>
    <row r="587">
      <c r="A587" s="122" t="s">
        <v>3511</v>
      </c>
      <c r="H587" s="751"/>
      <c r="I587" s="751"/>
      <c r="J587" s="751"/>
      <c r="K587" s="751"/>
    </row>
    <row r="588">
      <c r="A588" s="122" t="s">
        <v>3511</v>
      </c>
      <c r="H588" s="751"/>
      <c r="I588" s="751"/>
      <c r="J588" s="751"/>
      <c r="K588" s="751"/>
    </row>
    <row r="589">
      <c r="A589" s="122" t="s">
        <v>3511</v>
      </c>
      <c r="H589" s="751"/>
      <c r="I589" s="751"/>
      <c r="J589" s="751"/>
      <c r="K589" s="751"/>
    </row>
    <row r="590">
      <c r="A590" s="122" t="s">
        <v>3511</v>
      </c>
      <c r="H590" s="751"/>
      <c r="I590" s="751"/>
      <c r="J590" s="751"/>
      <c r="K590" s="751"/>
    </row>
    <row r="591">
      <c r="A591" s="122" t="s">
        <v>3511</v>
      </c>
      <c r="H591" s="751"/>
      <c r="I591" s="751"/>
      <c r="J591" s="751"/>
      <c r="K591" s="751"/>
    </row>
    <row r="592">
      <c r="A592" s="122" t="s">
        <v>3511</v>
      </c>
      <c r="H592" s="751"/>
      <c r="I592" s="751"/>
      <c r="J592" s="751"/>
      <c r="K592" s="751"/>
    </row>
    <row r="593">
      <c r="A593" s="122" t="s">
        <v>3511</v>
      </c>
      <c r="H593" s="751"/>
      <c r="I593" s="751"/>
      <c r="J593" s="751"/>
      <c r="K593" s="751"/>
    </row>
    <row r="594">
      <c r="A594" s="122" t="s">
        <v>3511</v>
      </c>
      <c r="H594" s="751"/>
      <c r="I594" s="751"/>
      <c r="J594" s="751"/>
      <c r="K594" s="751"/>
    </row>
    <row r="595">
      <c r="A595" s="122" t="s">
        <v>3511</v>
      </c>
      <c r="H595" s="751"/>
      <c r="I595" s="751"/>
      <c r="J595" s="751"/>
      <c r="K595" s="751"/>
    </row>
    <row r="596">
      <c r="A596" s="122" t="s">
        <v>3511</v>
      </c>
      <c r="H596" s="751"/>
      <c r="I596" s="751"/>
      <c r="J596" s="751"/>
      <c r="K596" s="751"/>
    </row>
    <row r="597">
      <c r="A597" s="122" t="s">
        <v>3511</v>
      </c>
      <c r="H597" s="751"/>
      <c r="I597" s="751"/>
      <c r="J597" s="751"/>
      <c r="K597" s="751"/>
    </row>
    <row r="598">
      <c r="A598" s="122" t="s">
        <v>3511</v>
      </c>
      <c r="H598" s="751"/>
      <c r="I598" s="751"/>
      <c r="J598" s="751"/>
      <c r="K598" s="751"/>
    </row>
    <row r="599">
      <c r="A599" s="122" t="s">
        <v>3511</v>
      </c>
      <c r="H599" s="751"/>
      <c r="I599" s="751"/>
      <c r="J599" s="751"/>
      <c r="K599" s="751"/>
    </row>
    <row r="600">
      <c r="A600" s="122" t="s">
        <v>3511</v>
      </c>
      <c r="H600" s="751"/>
      <c r="I600" s="751"/>
      <c r="J600" s="751"/>
      <c r="K600" s="751"/>
    </row>
    <row r="601">
      <c r="A601" s="122" t="s">
        <v>3511</v>
      </c>
      <c r="H601" s="751"/>
      <c r="I601" s="751"/>
      <c r="J601" s="751"/>
      <c r="K601" s="751"/>
    </row>
    <row r="602">
      <c r="A602" s="122" t="s">
        <v>3511</v>
      </c>
      <c r="H602" s="751"/>
      <c r="I602" s="751"/>
      <c r="J602" s="751"/>
      <c r="K602" s="751"/>
    </row>
    <row r="603">
      <c r="A603" s="122" t="s">
        <v>3511</v>
      </c>
      <c r="H603" s="751"/>
      <c r="I603" s="751"/>
      <c r="J603" s="751"/>
      <c r="K603" s="751"/>
    </row>
    <row r="604">
      <c r="A604" s="122" t="s">
        <v>3511</v>
      </c>
      <c r="H604" s="751"/>
      <c r="I604" s="751"/>
      <c r="J604" s="751"/>
      <c r="K604" s="751"/>
    </row>
    <row r="605">
      <c r="A605" s="122" t="s">
        <v>3511</v>
      </c>
      <c r="H605" s="751"/>
      <c r="I605" s="751"/>
      <c r="J605" s="751"/>
      <c r="K605" s="751"/>
    </row>
    <row r="606">
      <c r="A606" s="122" t="s">
        <v>3511</v>
      </c>
      <c r="H606" s="751"/>
      <c r="I606" s="751"/>
      <c r="J606" s="751"/>
      <c r="K606" s="751"/>
    </row>
    <row r="607">
      <c r="A607" s="122" t="s">
        <v>3511</v>
      </c>
      <c r="H607" s="751"/>
      <c r="I607" s="751"/>
      <c r="J607" s="751"/>
      <c r="K607" s="751"/>
    </row>
    <row r="608">
      <c r="A608" s="122" t="s">
        <v>3511</v>
      </c>
      <c r="H608" s="751"/>
      <c r="I608" s="751"/>
      <c r="J608" s="751"/>
      <c r="K608" s="751"/>
    </row>
    <row r="609">
      <c r="A609" s="122" t="s">
        <v>3511</v>
      </c>
      <c r="H609" s="751"/>
      <c r="I609" s="751"/>
      <c r="J609" s="751"/>
      <c r="K609" s="751"/>
    </row>
    <row r="610">
      <c r="A610" s="122" t="s">
        <v>3511</v>
      </c>
      <c r="H610" s="751"/>
      <c r="I610" s="751"/>
      <c r="J610" s="751"/>
      <c r="K610" s="751"/>
    </row>
    <row r="611">
      <c r="A611" s="122" t="s">
        <v>3511</v>
      </c>
      <c r="H611" s="751"/>
      <c r="I611" s="751"/>
      <c r="J611" s="751"/>
      <c r="K611" s="751"/>
    </row>
    <row r="612">
      <c r="A612" s="122" t="s">
        <v>3511</v>
      </c>
      <c r="H612" s="751"/>
      <c r="I612" s="751"/>
      <c r="J612" s="751"/>
      <c r="K612" s="751"/>
    </row>
    <row r="613">
      <c r="A613" s="122" t="s">
        <v>3511</v>
      </c>
      <c r="H613" s="751"/>
      <c r="I613" s="751"/>
      <c r="J613" s="751"/>
      <c r="K613" s="751"/>
    </row>
    <row r="614">
      <c r="A614" s="122" t="s">
        <v>3511</v>
      </c>
      <c r="H614" s="751"/>
      <c r="I614" s="751"/>
      <c r="J614" s="751"/>
      <c r="K614" s="751"/>
    </row>
    <row r="615">
      <c r="A615" s="122" t="s">
        <v>3511</v>
      </c>
      <c r="H615" s="751"/>
      <c r="I615" s="751"/>
      <c r="J615" s="751"/>
      <c r="K615" s="751"/>
    </row>
    <row r="616">
      <c r="A616" s="122" t="s">
        <v>3511</v>
      </c>
      <c r="H616" s="751"/>
      <c r="I616" s="751"/>
      <c r="J616" s="751"/>
      <c r="K616" s="751"/>
    </row>
    <row r="617">
      <c r="A617" s="122" t="s">
        <v>3511</v>
      </c>
      <c r="H617" s="751"/>
      <c r="I617" s="751"/>
      <c r="J617" s="751"/>
      <c r="K617" s="751"/>
    </row>
    <row r="618">
      <c r="A618" s="122" t="s">
        <v>3511</v>
      </c>
      <c r="H618" s="751"/>
      <c r="I618" s="751"/>
      <c r="J618" s="751"/>
      <c r="K618" s="751"/>
    </row>
    <row r="619">
      <c r="A619" s="122" t="s">
        <v>3511</v>
      </c>
      <c r="H619" s="751"/>
      <c r="I619" s="751"/>
      <c r="J619" s="751"/>
      <c r="K619" s="751"/>
    </row>
    <row r="620">
      <c r="A620" s="122" t="s">
        <v>3511</v>
      </c>
      <c r="H620" s="751"/>
      <c r="I620" s="751"/>
      <c r="J620" s="751"/>
      <c r="K620" s="751"/>
    </row>
    <row r="621">
      <c r="A621" s="122" t="s">
        <v>3511</v>
      </c>
      <c r="H621" s="751"/>
      <c r="I621" s="751"/>
      <c r="J621" s="751"/>
      <c r="K621" s="751"/>
    </row>
    <row r="622">
      <c r="A622" s="122" t="s">
        <v>3511</v>
      </c>
      <c r="H622" s="751"/>
      <c r="I622" s="751"/>
      <c r="J622" s="751"/>
      <c r="K622" s="751"/>
    </row>
    <row r="623">
      <c r="A623" s="122" t="s">
        <v>3511</v>
      </c>
      <c r="H623" s="751"/>
      <c r="I623" s="751"/>
      <c r="J623" s="751"/>
      <c r="K623" s="751"/>
    </row>
    <row r="624">
      <c r="A624" s="122" t="s">
        <v>3511</v>
      </c>
      <c r="H624" s="751"/>
      <c r="I624" s="751"/>
      <c r="J624" s="751"/>
      <c r="K624" s="751"/>
    </row>
    <row r="625">
      <c r="A625" s="122" t="s">
        <v>3511</v>
      </c>
      <c r="H625" s="751"/>
      <c r="I625" s="751"/>
      <c r="J625" s="751"/>
      <c r="K625" s="751"/>
    </row>
    <row r="626">
      <c r="A626" s="122" t="s">
        <v>3511</v>
      </c>
      <c r="H626" s="751"/>
      <c r="I626" s="751"/>
      <c r="J626" s="751"/>
      <c r="K626" s="751"/>
    </row>
    <row r="627">
      <c r="A627" s="122" t="s">
        <v>3511</v>
      </c>
      <c r="H627" s="751"/>
      <c r="I627" s="751"/>
      <c r="J627" s="751"/>
      <c r="K627" s="751"/>
    </row>
    <row r="628">
      <c r="A628" s="122" t="s">
        <v>3511</v>
      </c>
      <c r="H628" s="751"/>
      <c r="I628" s="751"/>
      <c r="J628" s="751"/>
      <c r="K628" s="751"/>
    </row>
    <row r="629">
      <c r="A629" s="122" t="s">
        <v>3511</v>
      </c>
      <c r="H629" s="751"/>
      <c r="I629" s="751"/>
      <c r="J629" s="751"/>
      <c r="K629" s="751"/>
    </row>
    <row r="630">
      <c r="A630" s="122" t="s">
        <v>3511</v>
      </c>
      <c r="H630" s="751"/>
      <c r="I630" s="751"/>
      <c r="J630" s="751"/>
      <c r="K630" s="751"/>
    </row>
    <row r="631">
      <c r="A631" s="122" t="s">
        <v>3511</v>
      </c>
      <c r="H631" s="751"/>
      <c r="I631" s="751"/>
      <c r="J631" s="751"/>
      <c r="K631" s="751"/>
    </row>
    <row r="632">
      <c r="A632" s="122" t="s">
        <v>3511</v>
      </c>
      <c r="H632" s="751"/>
      <c r="I632" s="751"/>
      <c r="J632" s="751"/>
      <c r="K632" s="751"/>
    </row>
    <row r="633">
      <c r="A633" s="122" t="s">
        <v>3511</v>
      </c>
      <c r="H633" s="751"/>
      <c r="I633" s="751"/>
      <c r="J633" s="751"/>
      <c r="K633" s="751"/>
    </row>
    <row r="634">
      <c r="A634" s="122" t="s">
        <v>3511</v>
      </c>
      <c r="H634" s="751"/>
      <c r="I634" s="751"/>
      <c r="J634" s="751"/>
      <c r="K634" s="751"/>
    </row>
    <row r="635">
      <c r="A635" s="122" t="s">
        <v>3511</v>
      </c>
      <c r="H635" s="751"/>
      <c r="I635" s="751"/>
      <c r="J635" s="751"/>
      <c r="K635" s="751"/>
    </row>
    <row r="636">
      <c r="A636" s="122" t="s">
        <v>3511</v>
      </c>
      <c r="H636" s="751"/>
      <c r="I636" s="751"/>
      <c r="J636" s="751"/>
      <c r="K636" s="751"/>
    </row>
    <row r="637">
      <c r="A637" s="122" t="s">
        <v>3511</v>
      </c>
      <c r="H637" s="751"/>
      <c r="I637" s="751"/>
      <c r="J637" s="751"/>
      <c r="K637" s="751"/>
    </row>
    <row r="638">
      <c r="A638" s="122" t="s">
        <v>3511</v>
      </c>
      <c r="H638" s="751"/>
      <c r="I638" s="751"/>
      <c r="J638" s="751"/>
      <c r="K638" s="751"/>
    </row>
    <row r="639">
      <c r="A639" s="122" t="s">
        <v>3511</v>
      </c>
      <c r="H639" s="751"/>
      <c r="I639" s="751"/>
      <c r="J639" s="751"/>
      <c r="K639" s="751"/>
    </row>
    <row r="640">
      <c r="A640" s="122" t="s">
        <v>3511</v>
      </c>
      <c r="H640" s="751"/>
      <c r="I640" s="751"/>
      <c r="J640" s="751"/>
      <c r="K640" s="751"/>
    </row>
    <row r="641">
      <c r="A641" s="122" t="s">
        <v>3511</v>
      </c>
      <c r="H641" s="751"/>
      <c r="I641" s="751"/>
      <c r="J641" s="751"/>
      <c r="K641" s="751"/>
    </row>
    <row r="642">
      <c r="A642" s="122" t="s">
        <v>3511</v>
      </c>
      <c r="H642" s="751"/>
      <c r="I642" s="751"/>
      <c r="J642" s="751"/>
      <c r="K642" s="751"/>
    </row>
    <row r="643">
      <c r="A643" s="122" t="s">
        <v>3511</v>
      </c>
      <c r="H643" s="751"/>
      <c r="I643" s="751"/>
      <c r="J643" s="751"/>
      <c r="K643" s="751"/>
    </row>
    <row r="644">
      <c r="A644" s="122" t="s">
        <v>3511</v>
      </c>
      <c r="H644" s="751"/>
      <c r="I644" s="751"/>
      <c r="J644" s="751"/>
      <c r="K644" s="751"/>
    </row>
    <row r="645">
      <c r="A645" s="122" t="s">
        <v>3511</v>
      </c>
      <c r="H645" s="751"/>
      <c r="I645" s="751"/>
      <c r="J645" s="751"/>
      <c r="K645" s="751"/>
    </row>
    <row r="646">
      <c r="A646" s="122" t="s">
        <v>3511</v>
      </c>
      <c r="H646" s="751"/>
      <c r="I646" s="751"/>
      <c r="J646" s="751"/>
      <c r="K646" s="751"/>
    </row>
    <row r="647">
      <c r="A647" s="122" t="s">
        <v>3511</v>
      </c>
      <c r="H647" s="751"/>
      <c r="I647" s="751"/>
      <c r="J647" s="751"/>
      <c r="K647" s="751"/>
    </row>
    <row r="648">
      <c r="A648" s="122" t="s">
        <v>3511</v>
      </c>
      <c r="H648" s="751"/>
      <c r="I648" s="751"/>
      <c r="J648" s="751"/>
      <c r="K648" s="751"/>
    </row>
    <row r="649">
      <c r="A649" s="122" t="s">
        <v>3511</v>
      </c>
      <c r="H649" s="751"/>
      <c r="I649" s="751"/>
      <c r="J649" s="751"/>
      <c r="K649" s="751"/>
    </row>
    <row r="650">
      <c r="A650" s="122" t="s">
        <v>3511</v>
      </c>
      <c r="H650" s="751"/>
      <c r="I650" s="751"/>
      <c r="J650" s="751"/>
      <c r="K650" s="751"/>
    </row>
    <row r="651">
      <c r="A651" s="122" t="s">
        <v>3511</v>
      </c>
      <c r="H651" s="751"/>
      <c r="I651" s="751"/>
      <c r="J651" s="751"/>
      <c r="K651" s="751"/>
    </row>
    <row r="652">
      <c r="A652" s="122" t="s">
        <v>3511</v>
      </c>
      <c r="H652" s="751"/>
      <c r="I652" s="751"/>
      <c r="J652" s="751"/>
      <c r="K652" s="751"/>
    </row>
    <row r="653">
      <c r="A653" s="122" t="s">
        <v>3511</v>
      </c>
      <c r="H653" s="751"/>
      <c r="I653" s="751"/>
      <c r="J653" s="751"/>
      <c r="K653" s="751"/>
    </row>
    <row r="654">
      <c r="A654" s="122" t="s">
        <v>3511</v>
      </c>
      <c r="H654" s="751"/>
      <c r="I654" s="751"/>
      <c r="J654" s="751"/>
      <c r="K654" s="751"/>
    </row>
    <row r="655">
      <c r="A655" s="122" t="s">
        <v>3511</v>
      </c>
      <c r="H655" s="751"/>
      <c r="I655" s="751"/>
      <c r="J655" s="751"/>
      <c r="K655" s="751"/>
    </row>
    <row r="656">
      <c r="A656" s="122" t="s">
        <v>3511</v>
      </c>
      <c r="H656" s="751"/>
      <c r="I656" s="751"/>
      <c r="J656" s="751"/>
      <c r="K656" s="751"/>
    </row>
    <row r="657">
      <c r="A657" s="122" t="s">
        <v>3511</v>
      </c>
      <c r="H657" s="751"/>
      <c r="I657" s="751"/>
      <c r="J657" s="751"/>
      <c r="K657" s="751"/>
    </row>
    <row r="658">
      <c r="A658" s="122" t="s">
        <v>3511</v>
      </c>
      <c r="H658" s="751"/>
      <c r="I658" s="751"/>
      <c r="J658" s="751"/>
      <c r="K658" s="751"/>
    </row>
    <row r="659">
      <c r="A659" s="122" t="s">
        <v>3511</v>
      </c>
      <c r="H659" s="751"/>
      <c r="I659" s="751"/>
      <c r="J659" s="751"/>
      <c r="K659" s="751"/>
    </row>
    <row r="660">
      <c r="A660" s="122" t="s">
        <v>3511</v>
      </c>
      <c r="H660" s="751"/>
      <c r="I660" s="751"/>
      <c r="J660" s="751"/>
      <c r="K660" s="751"/>
    </row>
    <row r="661">
      <c r="A661" s="122" t="s">
        <v>3511</v>
      </c>
      <c r="H661" s="751"/>
      <c r="I661" s="751"/>
      <c r="J661" s="751"/>
      <c r="K661" s="751"/>
    </row>
    <row r="662">
      <c r="A662" s="122" t="s">
        <v>3511</v>
      </c>
      <c r="H662" s="751"/>
      <c r="I662" s="751"/>
      <c r="J662" s="751"/>
      <c r="K662" s="751"/>
    </row>
    <row r="663">
      <c r="A663" s="122" t="s">
        <v>3511</v>
      </c>
      <c r="H663" s="751"/>
      <c r="I663" s="751"/>
      <c r="J663" s="751"/>
      <c r="K663" s="751"/>
    </row>
    <row r="664">
      <c r="A664" s="122" t="s">
        <v>3511</v>
      </c>
      <c r="H664" s="751"/>
      <c r="I664" s="751"/>
      <c r="J664" s="751"/>
      <c r="K664" s="751"/>
    </row>
    <row r="665">
      <c r="A665" s="122" t="s">
        <v>3511</v>
      </c>
      <c r="H665" s="751"/>
      <c r="I665" s="751"/>
      <c r="J665" s="751"/>
      <c r="K665" s="751"/>
    </row>
    <row r="666">
      <c r="A666" s="122" t="s">
        <v>3511</v>
      </c>
      <c r="H666" s="751"/>
      <c r="I666" s="751"/>
      <c r="J666" s="751"/>
      <c r="K666" s="751"/>
    </row>
    <row r="667">
      <c r="A667" s="122" t="s">
        <v>3511</v>
      </c>
      <c r="H667" s="751"/>
      <c r="I667" s="751"/>
      <c r="J667" s="751"/>
      <c r="K667" s="751"/>
    </row>
    <row r="668">
      <c r="A668" s="122" t="s">
        <v>3511</v>
      </c>
      <c r="H668" s="751"/>
      <c r="I668" s="751"/>
      <c r="J668" s="751"/>
      <c r="K668" s="751"/>
    </row>
    <row r="669">
      <c r="A669" s="122" t="s">
        <v>3511</v>
      </c>
      <c r="H669" s="751"/>
      <c r="I669" s="751"/>
      <c r="J669" s="751"/>
      <c r="K669" s="751"/>
    </row>
    <row r="670">
      <c r="A670" s="122" t="s">
        <v>3511</v>
      </c>
      <c r="H670" s="751"/>
      <c r="I670" s="751"/>
      <c r="J670" s="751"/>
      <c r="K670" s="751"/>
    </row>
    <row r="671">
      <c r="A671" s="122" t="s">
        <v>3511</v>
      </c>
      <c r="H671" s="751"/>
      <c r="I671" s="751"/>
      <c r="J671" s="751"/>
      <c r="K671" s="751"/>
    </row>
    <row r="672">
      <c r="A672" s="122" t="s">
        <v>3511</v>
      </c>
      <c r="H672" s="751"/>
      <c r="I672" s="751"/>
      <c r="J672" s="751"/>
      <c r="K672" s="751"/>
    </row>
    <row r="673">
      <c r="A673" s="122" t="s">
        <v>3511</v>
      </c>
      <c r="H673" s="751"/>
      <c r="I673" s="751"/>
      <c r="J673" s="751"/>
      <c r="K673" s="751"/>
    </row>
    <row r="674">
      <c r="A674" s="122" t="s">
        <v>3511</v>
      </c>
      <c r="H674" s="751"/>
      <c r="I674" s="751"/>
      <c r="J674" s="751"/>
      <c r="K674" s="751"/>
    </row>
    <row r="675">
      <c r="A675" s="122" t="s">
        <v>3511</v>
      </c>
      <c r="H675" s="751"/>
      <c r="I675" s="751"/>
      <c r="J675" s="751"/>
      <c r="K675" s="751"/>
    </row>
    <row r="676">
      <c r="A676" s="122" t="s">
        <v>3511</v>
      </c>
      <c r="H676" s="751"/>
      <c r="I676" s="751"/>
      <c r="J676" s="751"/>
      <c r="K676" s="751"/>
    </row>
    <row r="677">
      <c r="A677" s="122" t="s">
        <v>3511</v>
      </c>
      <c r="H677" s="751"/>
      <c r="I677" s="751"/>
      <c r="J677" s="751"/>
      <c r="K677" s="751"/>
    </row>
    <row r="678">
      <c r="A678" s="122" t="s">
        <v>3511</v>
      </c>
      <c r="H678" s="751"/>
      <c r="I678" s="751"/>
      <c r="J678" s="751"/>
      <c r="K678" s="751"/>
    </row>
    <row r="679">
      <c r="A679" s="122" t="s">
        <v>3511</v>
      </c>
      <c r="H679" s="751"/>
      <c r="I679" s="751"/>
      <c r="J679" s="751"/>
      <c r="K679" s="751"/>
    </row>
    <row r="680">
      <c r="A680" s="122" t="s">
        <v>3511</v>
      </c>
      <c r="H680" s="751"/>
      <c r="I680" s="751"/>
      <c r="J680" s="751"/>
      <c r="K680" s="751"/>
    </row>
    <row r="681">
      <c r="A681" s="122" t="s">
        <v>3511</v>
      </c>
      <c r="H681" s="751"/>
      <c r="I681" s="751"/>
      <c r="J681" s="751"/>
      <c r="K681" s="751"/>
    </row>
    <row r="682">
      <c r="A682" s="122" t="s">
        <v>3511</v>
      </c>
      <c r="H682" s="751"/>
      <c r="I682" s="751"/>
      <c r="J682" s="751"/>
      <c r="K682" s="751"/>
    </row>
    <row r="683">
      <c r="A683" s="122" t="s">
        <v>3511</v>
      </c>
      <c r="H683" s="751"/>
      <c r="I683" s="751"/>
      <c r="J683" s="751"/>
      <c r="K683" s="751"/>
    </row>
    <row r="684">
      <c r="A684" s="122" t="s">
        <v>3511</v>
      </c>
      <c r="H684" s="751"/>
      <c r="I684" s="751"/>
      <c r="J684" s="751"/>
      <c r="K684" s="751"/>
    </row>
    <row r="685">
      <c r="A685" s="122" t="s">
        <v>3511</v>
      </c>
      <c r="H685" s="751"/>
      <c r="I685" s="751"/>
      <c r="J685" s="751"/>
      <c r="K685" s="751"/>
    </row>
    <row r="686">
      <c r="A686" s="122" t="s">
        <v>3511</v>
      </c>
      <c r="H686" s="751"/>
      <c r="I686" s="751"/>
      <c r="J686" s="751"/>
      <c r="K686" s="751"/>
    </row>
    <row r="687">
      <c r="A687" s="122" t="s">
        <v>3511</v>
      </c>
      <c r="H687" s="751"/>
      <c r="I687" s="751"/>
      <c r="J687" s="751"/>
      <c r="K687" s="751"/>
    </row>
    <row r="688">
      <c r="A688" s="122" t="s">
        <v>3511</v>
      </c>
      <c r="H688" s="751"/>
      <c r="I688" s="751"/>
      <c r="J688" s="751"/>
      <c r="K688" s="751"/>
    </row>
    <row r="689">
      <c r="A689" s="122" t="s">
        <v>3511</v>
      </c>
      <c r="H689" s="751"/>
      <c r="I689" s="751"/>
      <c r="J689" s="751"/>
      <c r="K689" s="751"/>
    </row>
    <row r="690">
      <c r="A690" s="122" t="s">
        <v>3511</v>
      </c>
      <c r="H690" s="751"/>
      <c r="I690" s="751"/>
      <c r="J690" s="751"/>
      <c r="K690" s="751"/>
    </row>
    <row r="691">
      <c r="A691" s="122" t="s">
        <v>3511</v>
      </c>
      <c r="H691" s="751"/>
      <c r="I691" s="751"/>
      <c r="J691" s="751"/>
      <c r="K691" s="751"/>
    </row>
    <row r="692">
      <c r="A692" s="122" t="s">
        <v>3511</v>
      </c>
      <c r="H692" s="751"/>
      <c r="I692" s="751"/>
      <c r="J692" s="751"/>
      <c r="K692" s="751"/>
    </row>
    <row r="693">
      <c r="A693" s="122" t="s">
        <v>3511</v>
      </c>
      <c r="H693" s="751"/>
      <c r="I693" s="751"/>
      <c r="J693" s="751"/>
      <c r="K693" s="751"/>
    </row>
    <row r="694">
      <c r="A694" s="122" t="s">
        <v>3511</v>
      </c>
      <c r="H694" s="751"/>
      <c r="I694" s="751"/>
      <c r="J694" s="751"/>
      <c r="K694" s="751"/>
    </row>
    <row r="695">
      <c r="A695" s="122" t="s">
        <v>3511</v>
      </c>
      <c r="H695" s="751"/>
      <c r="I695" s="751"/>
      <c r="J695" s="751"/>
      <c r="K695" s="751"/>
    </row>
    <row r="696">
      <c r="A696" s="122" t="s">
        <v>3511</v>
      </c>
      <c r="H696" s="751"/>
      <c r="I696" s="751"/>
      <c r="J696" s="751"/>
      <c r="K696" s="751"/>
    </row>
    <row r="697">
      <c r="A697" s="122" t="s">
        <v>3511</v>
      </c>
      <c r="H697" s="751"/>
      <c r="I697" s="751"/>
      <c r="J697" s="751"/>
      <c r="K697" s="751"/>
    </row>
    <row r="698">
      <c r="A698" s="122" t="s">
        <v>3511</v>
      </c>
      <c r="H698" s="751"/>
      <c r="I698" s="751"/>
      <c r="J698" s="751"/>
      <c r="K698" s="751"/>
    </row>
    <row r="699">
      <c r="A699" s="122" t="s">
        <v>3511</v>
      </c>
      <c r="H699" s="751"/>
      <c r="I699" s="751"/>
      <c r="J699" s="751"/>
      <c r="K699" s="751"/>
    </row>
    <row r="700">
      <c r="A700" s="122" t="s">
        <v>3511</v>
      </c>
      <c r="H700" s="751"/>
      <c r="I700" s="751"/>
      <c r="J700" s="751"/>
      <c r="K700" s="751"/>
    </row>
    <row r="701">
      <c r="A701" s="122" t="s">
        <v>3511</v>
      </c>
      <c r="H701" s="751"/>
      <c r="I701" s="751"/>
      <c r="J701" s="751"/>
      <c r="K701" s="751"/>
    </row>
    <row r="702">
      <c r="A702" s="122" t="s">
        <v>3511</v>
      </c>
      <c r="H702" s="751"/>
      <c r="I702" s="751"/>
      <c r="J702" s="751"/>
      <c r="K702" s="751"/>
    </row>
    <row r="703">
      <c r="A703" s="122" t="s">
        <v>3511</v>
      </c>
      <c r="H703" s="751"/>
      <c r="I703" s="751"/>
      <c r="J703" s="751"/>
      <c r="K703" s="751"/>
    </row>
    <row r="704">
      <c r="A704" s="122" t="s">
        <v>3511</v>
      </c>
      <c r="H704" s="751"/>
      <c r="I704" s="751"/>
      <c r="J704" s="751"/>
      <c r="K704" s="751"/>
    </row>
    <row r="705">
      <c r="A705" s="122" t="s">
        <v>3511</v>
      </c>
      <c r="H705" s="751"/>
      <c r="I705" s="751"/>
      <c r="J705" s="751"/>
      <c r="K705" s="751"/>
    </row>
    <row r="706">
      <c r="A706" s="122" t="s">
        <v>3511</v>
      </c>
      <c r="H706" s="751"/>
      <c r="I706" s="751"/>
      <c r="J706" s="751"/>
      <c r="K706" s="751"/>
    </row>
    <row r="707">
      <c r="A707" s="122" t="s">
        <v>3511</v>
      </c>
      <c r="H707" s="751"/>
      <c r="I707" s="751"/>
      <c r="J707" s="751"/>
      <c r="K707" s="751"/>
    </row>
    <row r="708">
      <c r="A708" s="122" t="s">
        <v>3511</v>
      </c>
      <c r="H708" s="751"/>
      <c r="I708" s="751"/>
      <c r="J708" s="751"/>
      <c r="K708" s="751"/>
    </row>
    <row r="709">
      <c r="A709" s="122" t="s">
        <v>3511</v>
      </c>
      <c r="H709" s="751"/>
      <c r="I709" s="751"/>
      <c r="J709" s="751"/>
      <c r="K709" s="751"/>
    </row>
    <row r="710">
      <c r="A710" s="122" t="s">
        <v>3511</v>
      </c>
      <c r="H710" s="751"/>
      <c r="I710" s="751"/>
      <c r="J710" s="751"/>
      <c r="K710" s="751"/>
    </row>
    <row r="711">
      <c r="A711" s="122" t="s">
        <v>3511</v>
      </c>
      <c r="H711" s="751"/>
      <c r="I711" s="751"/>
      <c r="J711" s="751"/>
      <c r="K711" s="751"/>
    </row>
    <row r="712">
      <c r="A712" s="122" t="s">
        <v>3511</v>
      </c>
      <c r="H712" s="751"/>
      <c r="I712" s="751"/>
      <c r="J712" s="751"/>
      <c r="K712" s="751"/>
    </row>
    <row r="713">
      <c r="A713" s="122" t="s">
        <v>3511</v>
      </c>
      <c r="H713" s="751"/>
      <c r="I713" s="751"/>
      <c r="J713" s="751"/>
      <c r="K713" s="751"/>
    </row>
    <row r="714">
      <c r="A714" s="122" t="s">
        <v>3511</v>
      </c>
      <c r="H714" s="751"/>
      <c r="I714" s="751"/>
      <c r="J714" s="751"/>
      <c r="K714" s="751"/>
    </row>
    <row r="715">
      <c r="A715" s="122" t="s">
        <v>3511</v>
      </c>
      <c r="H715" s="751"/>
      <c r="I715" s="751"/>
      <c r="J715" s="751"/>
      <c r="K715" s="751"/>
    </row>
    <row r="716">
      <c r="A716" s="122" t="s">
        <v>3511</v>
      </c>
      <c r="H716" s="751"/>
      <c r="I716" s="751"/>
      <c r="J716" s="751"/>
      <c r="K716" s="751"/>
    </row>
    <row r="717">
      <c r="A717" s="122" t="s">
        <v>3511</v>
      </c>
      <c r="H717" s="751"/>
      <c r="I717" s="751"/>
      <c r="J717" s="751"/>
      <c r="K717" s="751"/>
    </row>
    <row r="718">
      <c r="A718" s="122" t="s">
        <v>3511</v>
      </c>
      <c r="H718" s="751"/>
      <c r="I718" s="751"/>
      <c r="J718" s="751"/>
      <c r="K718" s="751"/>
    </row>
    <row r="719">
      <c r="A719" s="122" t="s">
        <v>3511</v>
      </c>
      <c r="H719" s="751"/>
      <c r="I719" s="751"/>
      <c r="J719" s="751"/>
      <c r="K719" s="751"/>
    </row>
    <row r="720">
      <c r="A720" s="122" t="s">
        <v>3511</v>
      </c>
      <c r="H720" s="751"/>
      <c r="I720" s="751"/>
      <c r="J720" s="751"/>
      <c r="K720" s="751"/>
    </row>
    <row r="721">
      <c r="A721" s="122" t="s">
        <v>3511</v>
      </c>
      <c r="H721" s="751"/>
      <c r="I721" s="751"/>
      <c r="J721" s="751"/>
      <c r="K721" s="751"/>
    </row>
    <row r="722">
      <c r="A722" s="122" t="s">
        <v>3511</v>
      </c>
      <c r="H722" s="751"/>
      <c r="I722" s="751"/>
      <c r="J722" s="751"/>
      <c r="K722" s="751"/>
    </row>
    <row r="723">
      <c r="A723" s="122" t="s">
        <v>3511</v>
      </c>
      <c r="H723" s="751"/>
      <c r="I723" s="751"/>
      <c r="J723" s="751"/>
      <c r="K723" s="751"/>
    </row>
    <row r="724">
      <c r="A724" s="122" t="s">
        <v>3511</v>
      </c>
      <c r="H724" s="751"/>
      <c r="I724" s="751"/>
      <c r="J724" s="751"/>
      <c r="K724" s="751"/>
    </row>
    <row r="725">
      <c r="A725" s="122" t="s">
        <v>3511</v>
      </c>
      <c r="H725" s="751"/>
      <c r="I725" s="751"/>
      <c r="J725" s="751"/>
      <c r="K725" s="751"/>
    </row>
    <row r="726">
      <c r="A726" s="122" t="s">
        <v>3511</v>
      </c>
      <c r="H726" s="751"/>
      <c r="I726" s="751"/>
      <c r="J726" s="751"/>
      <c r="K726" s="751"/>
    </row>
    <row r="727">
      <c r="A727" s="122" t="s">
        <v>3511</v>
      </c>
      <c r="H727" s="751"/>
      <c r="I727" s="751"/>
      <c r="J727" s="751"/>
      <c r="K727" s="751"/>
    </row>
    <row r="728">
      <c r="A728" s="122" t="s">
        <v>3511</v>
      </c>
      <c r="H728" s="751"/>
      <c r="I728" s="751"/>
      <c r="J728" s="751"/>
      <c r="K728" s="751"/>
    </row>
    <row r="729">
      <c r="A729" s="122" t="s">
        <v>3511</v>
      </c>
      <c r="H729" s="751"/>
      <c r="I729" s="751"/>
      <c r="J729" s="751"/>
      <c r="K729" s="751"/>
    </row>
    <row r="730">
      <c r="A730" s="122" t="s">
        <v>3511</v>
      </c>
      <c r="H730" s="751"/>
      <c r="I730" s="751"/>
      <c r="J730" s="751"/>
      <c r="K730" s="751"/>
    </row>
    <row r="731">
      <c r="A731" s="122" t="s">
        <v>3511</v>
      </c>
      <c r="H731" s="751"/>
      <c r="I731" s="751"/>
      <c r="J731" s="751"/>
      <c r="K731" s="751"/>
    </row>
    <row r="732">
      <c r="A732" s="122" t="s">
        <v>3511</v>
      </c>
      <c r="H732" s="751"/>
      <c r="I732" s="751"/>
      <c r="J732" s="751"/>
      <c r="K732" s="751"/>
    </row>
    <row r="733">
      <c r="A733" s="122" t="s">
        <v>3511</v>
      </c>
      <c r="H733" s="751"/>
      <c r="I733" s="751"/>
      <c r="J733" s="751"/>
      <c r="K733" s="751"/>
    </row>
    <row r="734">
      <c r="A734" s="122" t="s">
        <v>3511</v>
      </c>
      <c r="H734" s="751"/>
      <c r="I734" s="751"/>
      <c r="J734" s="751"/>
      <c r="K734" s="751"/>
    </row>
    <row r="735">
      <c r="A735" s="122" t="s">
        <v>3511</v>
      </c>
      <c r="H735" s="751"/>
      <c r="I735" s="751"/>
      <c r="J735" s="751"/>
      <c r="K735" s="751"/>
    </row>
    <row r="736">
      <c r="A736" s="122" t="s">
        <v>3511</v>
      </c>
      <c r="H736" s="751"/>
      <c r="I736" s="751"/>
      <c r="J736" s="751"/>
      <c r="K736" s="751"/>
    </row>
    <row r="737">
      <c r="A737" s="122" t="s">
        <v>3511</v>
      </c>
      <c r="H737" s="751"/>
      <c r="I737" s="751"/>
      <c r="J737" s="751"/>
      <c r="K737" s="751"/>
    </row>
    <row r="738">
      <c r="A738" s="122" t="s">
        <v>3511</v>
      </c>
      <c r="H738" s="751"/>
      <c r="I738" s="751"/>
      <c r="J738" s="751"/>
      <c r="K738" s="751"/>
    </row>
    <row r="739">
      <c r="A739" s="122" t="s">
        <v>3511</v>
      </c>
      <c r="H739" s="751"/>
      <c r="I739" s="751"/>
      <c r="J739" s="751"/>
      <c r="K739" s="751"/>
    </row>
    <row r="740">
      <c r="A740" s="122" t="s">
        <v>3511</v>
      </c>
      <c r="H740" s="751"/>
      <c r="I740" s="751"/>
      <c r="J740" s="751"/>
      <c r="K740" s="751"/>
    </row>
    <row r="741">
      <c r="A741" s="122" t="s">
        <v>3511</v>
      </c>
      <c r="H741" s="751"/>
      <c r="I741" s="751"/>
      <c r="J741" s="751"/>
      <c r="K741" s="751"/>
    </row>
    <row r="742">
      <c r="A742" s="122" t="s">
        <v>3511</v>
      </c>
      <c r="H742" s="751"/>
      <c r="I742" s="751"/>
      <c r="J742" s="751"/>
      <c r="K742" s="751"/>
    </row>
    <row r="743">
      <c r="A743" s="122" t="s">
        <v>3511</v>
      </c>
      <c r="H743" s="751"/>
      <c r="I743" s="751"/>
      <c r="J743" s="751"/>
      <c r="K743" s="751"/>
    </row>
    <row r="744">
      <c r="A744" s="122" t="s">
        <v>3511</v>
      </c>
      <c r="H744" s="751"/>
      <c r="I744" s="751"/>
      <c r="J744" s="751"/>
      <c r="K744" s="751"/>
    </row>
    <row r="745">
      <c r="A745" s="122" t="s">
        <v>3511</v>
      </c>
      <c r="H745" s="751"/>
      <c r="I745" s="751"/>
      <c r="J745" s="751"/>
      <c r="K745" s="751"/>
    </row>
    <row r="746">
      <c r="A746" s="122" t="s">
        <v>3511</v>
      </c>
      <c r="H746" s="751"/>
      <c r="I746" s="751"/>
      <c r="J746" s="751"/>
      <c r="K746" s="751"/>
    </row>
    <row r="747">
      <c r="A747" s="122" t="s">
        <v>3511</v>
      </c>
      <c r="H747" s="751"/>
      <c r="I747" s="751"/>
      <c r="J747" s="751"/>
      <c r="K747" s="751"/>
    </row>
    <row r="748">
      <c r="A748" s="122" t="s">
        <v>3511</v>
      </c>
      <c r="H748" s="751"/>
      <c r="I748" s="751"/>
      <c r="J748" s="751"/>
      <c r="K748" s="751"/>
    </row>
    <row r="749">
      <c r="A749" s="122" t="s">
        <v>3511</v>
      </c>
      <c r="H749" s="751"/>
      <c r="I749" s="751"/>
      <c r="J749" s="751"/>
      <c r="K749" s="751"/>
    </row>
    <row r="750">
      <c r="A750" s="122" t="s">
        <v>3511</v>
      </c>
      <c r="H750" s="751"/>
      <c r="I750" s="751"/>
      <c r="J750" s="751"/>
      <c r="K750" s="751"/>
    </row>
    <row r="751">
      <c r="A751" s="122" t="s">
        <v>3511</v>
      </c>
      <c r="H751" s="751"/>
      <c r="I751" s="751"/>
      <c r="J751" s="751"/>
      <c r="K751" s="751"/>
    </row>
    <row r="752">
      <c r="A752" s="122" t="s">
        <v>3511</v>
      </c>
      <c r="H752" s="751"/>
      <c r="I752" s="751"/>
      <c r="J752" s="751"/>
      <c r="K752" s="751"/>
    </row>
    <row r="753">
      <c r="A753" s="122" t="s">
        <v>3511</v>
      </c>
      <c r="H753" s="751"/>
      <c r="I753" s="751"/>
      <c r="J753" s="751"/>
      <c r="K753" s="751"/>
    </row>
    <row r="754">
      <c r="A754" s="122" t="s">
        <v>3511</v>
      </c>
      <c r="H754" s="751"/>
      <c r="I754" s="751"/>
      <c r="J754" s="751"/>
      <c r="K754" s="751"/>
    </row>
    <row r="755">
      <c r="A755" s="122" t="s">
        <v>3511</v>
      </c>
      <c r="H755" s="751"/>
      <c r="I755" s="751"/>
      <c r="J755" s="751"/>
      <c r="K755" s="751"/>
    </row>
    <row r="756">
      <c r="A756" s="122" t="s">
        <v>3511</v>
      </c>
      <c r="H756" s="751"/>
      <c r="I756" s="751"/>
      <c r="J756" s="751"/>
      <c r="K756" s="751"/>
    </row>
    <row r="757">
      <c r="A757" s="122" t="s">
        <v>3511</v>
      </c>
      <c r="H757" s="751"/>
      <c r="I757" s="751"/>
      <c r="J757" s="751"/>
      <c r="K757" s="751"/>
    </row>
    <row r="758">
      <c r="A758" s="122" t="s">
        <v>3511</v>
      </c>
      <c r="H758" s="751"/>
      <c r="I758" s="751"/>
      <c r="J758" s="751"/>
      <c r="K758" s="751"/>
    </row>
    <row r="759">
      <c r="A759" s="122" t="s">
        <v>3511</v>
      </c>
      <c r="H759" s="751"/>
      <c r="I759" s="751"/>
      <c r="J759" s="751"/>
      <c r="K759" s="751"/>
    </row>
    <row r="760">
      <c r="A760" s="122" t="s">
        <v>3511</v>
      </c>
      <c r="H760" s="751"/>
      <c r="I760" s="751"/>
      <c r="J760" s="751"/>
      <c r="K760" s="751"/>
    </row>
    <row r="761">
      <c r="A761" s="122" t="s">
        <v>3511</v>
      </c>
      <c r="H761" s="751"/>
      <c r="I761" s="751"/>
      <c r="J761" s="751"/>
      <c r="K761" s="751"/>
    </row>
    <row r="762">
      <c r="A762" s="122" t="s">
        <v>3511</v>
      </c>
      <c r="H762" s="751"/>
      <c r="I762" s="751"/>
      <c r="J762" s="751"/>
      <c r="K762" s="751"/>
    </row>
    <row r="763">
      <c r="A763" s="122" t="s">
        <v>3511</v>
      </c>
      <c r="H763" s="751"/>
      <c r="I763" s="751"/>
      <c r="J763" s="751"/>
      <c r="K763" s="751"/>
    </row>
    <row r="764">
      <c r="A764" s="122" t="s">
        <v>3511</v>
      </c>
      <c r="H764" s="751"/>
      <c r="I764" s="751"/>
      <c r="J764" s="751"/>
      <c r="K764" s="751"/>
    </row>
    <row r="765">
      <c r="A765" s="122" t="s">
        <v>3511</v>
      </c>
      <c r="H765" s="751"/>
      <c r="I765" s="751"/>
      <c r="J765" s="751"/>
      <c r="K765" s="751"/>
    </row>
    <row r="766">
      <c r="A766" s="122" t="s">
        <v>3511</v>
      </c>
      <c r="H766" s="751"/>
      <c r="I766" s="751"/>
      <c r="J766" s="751"/>
      <c r="K766" s="751"/>
    </row>
    <row r="767">
      <c r="A767" s="122" t="s">
        <v>3511</v>
      </c>
      <c r="H767" s="751"/>
      <c r="I767" s="751"/>
      <c r="J767" s="751"/>
      <c r="K767" s="751"/>
    </row>
    <row r="768">
      <c r="A768" s="122" t="s">
        <v>3511</v>
      </c>
      <c r="H768" s="751"/>
      <c r="I768" s="751"/>
      <c r="J768" s="751"/>
      <c r="K768" s="751"/>
    </row>
    <row r="769">
      <c r="A769" s="122" t="s">
        <v>3511</v>
      </c>
      <c r="H769" s="751"/>
      <c r="I769" s="751"/>
      <c r="J769" s="751"/>
      <c r="K769" s="751"/>
    </row>
    <row r="770">
      <c r="A770" s="122" t="s">
        <v>3511</v>
      </c>
      <c r="H770" s="751"/>
      <c r="I770" s="751"/>
      <c r="J770" s="751"/>
      <c r="K770" s="751"/>
    </row>
    <row r="771">
      <c r="A771" s="122" t="s">
        <v>3511</v>
      </c>
      <c r="H771" s="751"/>
      <c r="I771" s="751"/>
      <c r="J771" s="751"/>
      <c r="K771" s="751"/>
    </row>
    <row r="772">
      <c r="A772" s="122" t="s">
        <v>3511</v>
      </c>
      <c r="H772" s="751"/>
      <c r="I772" s="751"/>
      <c r="J772" s="751"/>
      <c r="K772" s="751"/>
    </row>
    <row r="773">
      <c r="A773" s="122" t="s">
        <v>3511</v>
      </c>
      <c r="H773" s="751"/>
      <c r="I773" s="751"/>
      <c r="J773" s="751"/>
      <c r="K773" s="751"/>
    </row>
    <row r="774">
      <c r="A774" s="122" t="s">
        <v>3511</v>
      </c>
      <c r="H774" s="751"/>
      <c r="I774" s="751"/>
      <c r="J774" s="751"/>
      <c r="K774" s="751"/>
    </row>
    <row r="775">
      <c r="A775" s="122" t="s">
        <v>3511</v>
      </c>
      <c r="H775" s="751"/>
      <c r="I775" s="751"/>
      <c r="J775" s="751"/>
      <c r="K775" s="751"/>
    </row>
    <row r="776">
      <c r="A776" s="122" t="s">
        <v>3511</v>
      </c>
      <c r="H776" s="751"/>
      <c r="I776" s="751"/>
      <c r="J776" s="751"/>
      <c r="K776" s="751"/>
    </row>
    <row r="777">
      <c r="A777" s="122" t="s">
        <v>3511</v>
      </c>
      <c r="H777" s="751"/>
      <c r="I777" s="751"/>
      <c r="J777" s="751"/>
      <c r="K777" s="751"/>
    </row>
    <row r="778">
      <c r="A778" s="122" t="s">
        <v>3511</v>
      </c>
      <c r="H778" s="751"/>
      <c r="I778" s="751"/>
      <c r="J778" s="751"/>
      <c r="K778" s="751"/>
    </row>
    <row r="779">
      <c r="A779" s="122" t="s">
        <v>3511</v>
      </c>
      <c r="H779" s="751"/>
      <c r="I779" s="751"/>
      <c r="J779" s="751"/>
      <c r="K779" s="751"/>
    </row>
    <row r="780">
      <c r="A780" s="122" t="s">
        <v>3511</v>
      </c>
      <c r="H780" s="751"/>
      <c r="I780" s="751"/>
      <c r="J780" s="751"/>
      <c r="K780" s="751"/>
    </row>
    <row r="781">
      <c r="A781" s="122" t="s">
        <v>3511</v>
      </c>
      <c r="H781" s="751"/>
      <c r="I781" s="751"/>
      <c r="J781" s="751"/>
      <c r="K781" s="751"/>
    </row>
    <row r="782">
      <c r="A782" s="122" t="s">
        <v>3511</v>
      </c>
      <c r="H782" s="751"/>
      <c r="I782" s="751"/>
      <c r="J782" s="751"/>
      <c r="K782" s="751"/>
    </row>
    <row r="783">
      <c r="A783" s="122" t="s">
        <v>3511</v>
      </c>
      <c r="H783" s="751"/>
      <c r="I783" s="751"/>
      <c r="J783" s="751"/>
      <c r="K783" s="751"/>
    </row>
    <row r="784">
      <c r="A784" s="122" t="s">
        <v>3511</v>
      </c>
      <c r="H784" s="751"/>
      <c r="I784" s="751"/>
      <c r="J784" s="751"/>
      <c r="K784" s="751"/>
    </row>
    <row r="785">
      <c r="A785" s="122" t="s">
        <v>3511</v>
      </c>
      <c r="H785" s="751"/>
      <c r="I785" s="751"/>
      <c r="J785" s="751"/>
      <c r="K785" s="751"/>
    </row>
    <row r="786">
      <c r="A786" s="122" t="s">
        <v>3511</v>
      </c>
      <c r="H786" s="751"/>
      <c r="I786" s="751"/>
      <c r="J786" s="751"/>
      <c r="K786" s="751"/>
    </row>
    <row r="787">
      <c r="A787" s="122" t="s">
        <v>3511</v>
      </c>
      <c r="H787" s="751"/>
      <c r="I787" s="751"/>
      <c r="J787" s="751"/>
      <c r="K787" s="751"/>
    </row>
    <row r="788">
      <c r="A788" s="122" t="s">
        <v>3511</v>
      </c>
      <c r="H788" s="751"/>
      <c r="I788" s="751"/>
      <c r="J788" s="751"/>
      <c r="K788" s="751"/>
    </row>
    <row r="789">
      <c r="A789" s="122" t="s">
        <v>3511</v>
      </c>
      <c r="H789" s="751"/>
      <c r="I789" s="751"/>
      <c r="J789" s="751"/>
      <c r="K789" s="751"/>
    </row>
    <row r="790">
      <c r="A790" s="122" t="s">
        <v>3511</v>
      </c>
      <c r="H790" s="751"/>
      <c r="I790" s="751"/>
      <c r="J790" s="751"/>
      <c r="K790" s="751"/>
    </row>
    <row r="791">
      <c r="A791" s="122" t="s">
        <v>3511</v>
      </c>
      <c r="H791" s="751"/>
      <c r="I791" s="751"/>
      <c r="J791" s="751"/>
      <c r="K791" s="751"/>
    </row>
    <row r="792">
      <c r="A792" s="122" t="s">
        <v>3511</v>
      </c>
      <c r="H792" s="751"/>
      <c r="I792" s="751"/>
      <c r="J792" s="751"/>
      <c r="K792" s="751"/>
    </row>
    <row r="793">
      <c r="A793" s="122" t="s">
        <v>3511</v>
      </c>
      <c r="H793" s="751"/>
      <c r="I793" s="751"/>
      <c r="J793" s="751"/>
      <c r="K793" s="751"/>
    </row>
    <row r="794">
      <c r="A794" s="122" t="s">
        <v>3511</v>
      </c>
      <c r="H794" s="751"/>
      <c r="I794" s="751"/>
      <c r="J794" s="751"/>
      <c r="K794" s="751"/>
    </row>
    <row r="795">
      <c r="A795" s="122" t="s">
        <v>3511</v>
      </c>
      <c r="H795" s="751"/>
      <c r="I795" s="751"/>
      <c r="J795" s="751"/>
      <c r="K795" s="751"/>
    </row>
    <row r="796">
      <c r="A796" s="122" t="s">
        <v>3511</v>
      </c>
      <c r="H796" s="751"/>
      <c r="I796" s="751"/>
      <c r="J796" s="751"/>
      <c r="K796" s="751"/>
    </row>
    <row r="797">
      <c r="A797" s="122" t="s">
        <v>3511</v>
      </c>
      <c r="H797" s="751"/>
      <c r="I797" s="751"/>
      <c r="J797" s="751"/>
      <c r="K797" s="751"/>
    </row>
    <row r="798">
      <c r="A798" s="122" t="s">
        <v>3511</v>
      </c>
      <c r="H798" s="751"/>
      <c r="I798" s="751"/>
      <c r="J798" s="751"/>
      <c r="K798" s="751"/>
    </row>
    <row r="799">
      <c r="A799" s="122" t="s">
        <v>3511</v>
      </c>
      <c r="H799" s="751"/>
      <c r="I799" s="751"/>
      <c r="J799" s="751"/>
      <c r="K799" s="751"/>
    </row>
    <row r="800">
      <c r="A800" s="122" t="s">
        <v>3511</v>
      </c>
      <c r="H800" s="751"/>
      <c r="I800" s="751"/>
      <c r="J800" s="751"/>
      <c r="K800" s="751"/>
    </row>
    <row r="801">
      <c r="A801" s="122" t="s">
        <v>3511</v>
      </c>
      <c r="H801" s="751"/>
      <c r="I801" s="751"/>
      <c r="J801" s="751"/>
      <c r="K801" s="751"/>
    </row>
    <row r="802">
      <c r="A802" s="122" t="s">
        <v>3511</v>
      </c>
      <c r="H802" s="751"/>
      <c r="I802" s="751"/>
      <c r="J802" s="751"/>
      <c r="K802" s="751"/>
    </row>
    <row r="803">
      <c r="A803" s="122" t="s">
        <v>3511</v>
      </c>
      <c r="H803" s="751"/>
      <c r="I803" s="751"/>
      <c r="J803" s="751"/>
      <c r="K803" s="751"/>
    </row>
    <row r="804">
      <c r="A804" s="122" t="s">
        <v>3511</v>
      </c>
      <c r="H804" s="751"/>
      <c r="I804" s="751"/>
      <c r="J804" s="751"/>
      <c r="K804" s="751"/>
    </row>
    <row r="805">
      <c r="A805" s="122" t="s">
        <v>3511</v>
      </c>
      <c r="H805" s="751"/>
      <c r="I805" s="751"/>
      <c r="J805" s="751"/>
      <c r="K805" s="751"/>
    </row>
    <row r="806">
      <c r="A806" s="122" t="s">
        <v>3511</v>
      </c>
      <c r="H806" s="751"/>
      <c r="I806" s="751"/>
      <c r="J806" s="751"/>
      <c r="K806" s="751"/>
    </row>
    <row r="807">
      <c r="A807" s="122" t="s">
        <v>3511</v>
      </c>
      <c r="H807" s="751"/>
      <c r="I807" s="751"/>
      <c r="J807" s="751"/>
      <c r="K807" s="751"/>
    </row>
    <row r="808">
      <c r="A808" s="122" t="s">
        <v>3511</v>
      </c>
      <c r="H808" s="751"/>
      <c r="I808" s="751"/>
      <c r="J808" s="751"/>
      <c r="K808" s="751"/>
    </row>
    <row r="809">
      <c r="A809" s="122" t="s">
        <v>3511</v>
      </c>
      <c r="H809" s="751"/>
      <c r="I809" s="751"/>
      <c r="J809" s="751"/>
      <c r="K809" s="751"/>
    </row>
    <row r="810">
      <c r="A810" s="122" t="s">
        <v>3511</v>
      </c>
      <c r="H810" s="751"/>
      <c r="I810" s="751"/>
      <c r="J810" s="751"/>
      <c r="K810" s="751"/>
    </row>
    <row r="811">
      <c r="A811" s="122" t="s">
        <v>3511</v>
      </c>
      <c r="H811" s="751"/>
      <c r="I811" s="751"/>
      <c r="J811" s="751"/>
      <c r="K811" s="751"/>
    </row>
    <row r="812">
      <c r="A812" s="122" t="s">
        <v>3511</v>
      </c>
      <c r="H812" s="751"/>
      <c r="I812" s="751"/>
      <c r="J812" s="751"/>
      <c r="K812" s="751"/>
    </row>
    <row r="813">
      <c r="A813" s="122" t="s">
        <v>3511</v>
      </c>
      <c r="H813" s="751"/>
      <c r="I813" s="751"/>
      <c r="J813" s="751"/>
      <c r="K813" s="751"/>
    </row>
    <row r="814">
      <c r="A814" s="122" t="s">
        <v>3511</v>
      </c>
      <c r="H814" s="751"/>
      <c r="I814" s="751"/>
      <c r="J814" s="751"/>
      <c r="K814" s="751"/>
    </row>
    <row r="815">
      <c r="A815" s="122" t="s">
        <v>3511</v>
      </c>
      <c r="H815" s="751"/>
      <c r="I815" s="751"/>
      <c r="J815" s="751"/>
      <c r="K815" s="751"/>
    </row>
    <row r="816">
      <c r="A816" s="122" t="s">
        <v>3511</v>
      </c>
      <c r="H816" s="751"/>
      <c r="I816" s="751"/>
      <c r="J816" s="751"/>
      <c r="K816" s="751"/>
    </row>
    <row r="817">
      <c r="A817" s="122" t="s">
        <v>3511</v>
      </c>
      <c r="H817" s="751"/>
      <c r="I817" s="751"/>
      <c r="J817" s="751"/>
      <c r="K817" s="751"/>
    </row>
    <row r="818">
      <c r="A818" s="122" t="s">
        <v>3511</v>
      </c>
      <c r="H818" s="751"/>
      <c r="I818" s="751"/>
      <c r="J818" s="751"/>
      <c r="K818" s="751"/>
    </row>
    <row r="819">
      <c r="A819" s="122" t="s">
        <v>3511</v>
      </c>
      <c r="H819" s="751"/>
      <c r="I819" s="751"/>
      <c r="J819" s="751"/>
      <c r="K819" s="751"/>
    </row>
    <row r="820">
      <c r="A820" s="122" t="s">
        <v>3511</v>
      </c>
      <c r="H820" s="751"/>
      <c r="I820" s="751"/>
      <c r="J820" s="751"/>
      <c r="K820" s="751"/>
    </row>
    <row r="821">
      <c r="A821" s="122" t="s">
        <v>3511</v>
      </c>
      <c r="H821" s="751"/>
      <c r="I821" s="751"/>
      <c r="J821" s="751"/>
      <c r="K821" s="751"/>
    </row>
    <row r="822">
      <c r="A822" s="122" t="s">
        <v>3511</v>
      </c>
      <c r="H822" s="751"/>
      <c r="I822" s="751"/>
      <c r="J822" s="751"/>
      <c r="K822" s="751"/>
    </row>
    <row r="823">
      <c r="A823" s="122" t="s">
        <v>3511</v>
      </c>
      <c r="H823" s="751"/>
      <c r="I823" s="751"/>
      <c r="J823" s="751"/>
      <c r="K823" s="751"/>
    </row>
    <row r="824">
      <c r="A824" s="122" t="s">
        <v>3511</v>
      </c>
      <c r="H824" s="751"/>
      <c r="I824" s="751"/>
      <c r="J824" s="751"/>
      <c r="K824" s="751"/>
    </row>
    <row r="825">
      <c r="A825" s="122" t="s">
        <v>3511</v>
      </c>
      <c r="H825" s="751"/>
      <c r="I825" s="751"/>
      <c r="J825" s="751"/>
      <c r="K825" s="751"/>
    </row>
    <row r="826">
      <c r="A826" s="122" t="s">
        <v>3511</v>
      </c>
      <c r="H826" s="751"/>
      <c r="I826" s="751"/>
      <c r="J826" s="751"/>
      <c r="K826" s="751"/>
    </row>
    <row r="827">
      <c r="A827" s="122" t="s">
        <v>3511</v>
      </c>
      <c r="H827" s="751"/>
      <c r="I827" s="751"/>
      <c r="J827" s="751"/>
      <c r="K827" s="751"/>
    </row>
    <row r="828">
      <c r="A828" s="122" t="s">
        <v>3511</v>
      </c>
      <c r="H828" s="751"/>
      <c r="I828" s="751"/>
      <c r="J828" s="751"/>
      <c r="K828" s="751"/>
    </row>
    <row r="829">
      <c r="A829" s="122" t="s">
        <v>3511</v>
      </c>
      <c r="H829" s="751"/>
      <c r="I829" s="751"/>
      <c r="J829" s="751"/>
      <c r="K829" s="751"/>
    </row>
    <row r="830">
      <c r="A830" s="122" t="s">
        <v>3511</v>
      </c>
      <c r="H830" s="751"/>
      <c r="I830" s="751"/>
      <c r="J830" s="751"/>
      <c r="K830" s="751"/>
    </row>
    <row r="831">
      <c r="A831" s="122" t="s">
        <v>3511</v>
      </c>
      <c r="H831" s="751"/>
      <c r="I831" s="751"/>
      <c r="J831" s="751"/>
      <c r="K831" s="751"/>
    </row>
    <row r="832">
      <c r="A832" s="122" t="s">
        <v>3511</v>
      </c>
      <c r="H832" s="751"/>
      <c r="I832" s="751"/>
      <c r="J832" s="751"/>
      <c r="K832" s="751"/>
    </row>
    <row r="833">
      <c r="A833" s="122" t="s">
        <v>3511</v>
      </c>
      <c r="H833" s="751"/>
      <c r="I833" s="751"/>
      <c r="J833" s="751"/>
      <c r="K833" s="751"/>
    </row>
    <row r="834">
      <c r="A834" s="122" t="s">
        <v>3511</v>
      </c>
      <c r="H834" s="751"/>
      <c r="I834" s="751"/>
      <c r="J834" s="751"/>
      <c r="K834" s="751"/>
    </row>
    <row r="835">
      <c r="A835" s="122" t="s">
        <v>3511</v>
      </c>
      <c r="H835" s="751"/>
      <c r="I835" s="751"/>
      <c r="J835" s="751"/>
      <c r="K835" s="751"/>
    </row>
    <row r="836">
      <c r="A836" s="122" t="s">
        <v>3511</v>
      </c>
      <c r="H836" s="751"/>
      <c r="I836" s="751"/>
      <c r="J836" s="751"/>
      <c r="K836" s="751"/>
    </row>
    <row r="837">
      <c r="A837" s="122" t="s">
        <v>3511</v>
      </c>
      <c r="H837" s="751"/>
      <c r="I837" s="751"/>
      <c r="J837" s="751"/>
      <c r="K837" s="751"/>
    </row>
    <row r="838">
      <c r="A838" s="122" t="s">
        <v>3511</v>
      </c>
      <c r="H838" s="751"/>
      <c r="I838" s="751"/>
      <c r="J838" s="751"/>
      <c r="K838" s="751"/>
    </row>
    <row r="839">
      <c r="A839" s="122" t="s">
        <v>3511</v>
      </c>
      <c r="H839" s="751"/>
      <c r="I839" s="751"/>
      <c r="J839" s="751"/>
      <c r="K839" s="751"/>
    </row>
    <row r="840">
      <c r="A840" s="122" t="s">
        <v>3511</v>
      </c>
      <c r="H840" s="751"/>
      <c r="I840" s="751"/>
      <c r="J840" s="751"/>
      <c r="K840" s="751"/>
    </row>
    <row r="841">
      <c r="A841" s="122" t="s">
        <v>3511</v>
      </c>
      <c r="H841" s="751"/>
      <c r="I841" s="751"/>
      <c r="J841" s="751"/>
      <c r="K841" s="751"/>
    </row>
    <row r="842">
      <c r="A842" s="122" t="s">
        <v>3511</v>
      </c>
      <c r="H842" s="751"/>
      <c r="I842" s="751"/>
      <c r="J842" s="751"/>
      <c r="K842" s="751"/>
    </row>
    <row r="843">
      <c r="A843" s="122" t="s">
        <v>3511</v>
      </c>
      <c r="H843" s="751"/>
      <c r="I843" s="751"/>
      <c r="J843" s="751"/>
      <c r="K843" s="751"/>
    </row>
    <row r="844">
      <c r="A844" s="122" t="s">
        <v>3511</v>
      </c>
      <c r="H844" s="751"/>
      <c r="I844" s="751"/>
      <c r="J844" s="751"/>
      <c r="K844" s="751"/>
    </row>
    <row r="845">
      <c r="A845" s="122" t="s">
        <v>3511</v>
      </c>
      <c r="H845" s="751"/>
      <c r="I845" s="751"/>
      <c r="J845" s="751"/>
      <c r="K845" s="751"/>
    </row>
    <row r="846">
      <c r="A846" s="122" t="s">
        <v>3511</v>
      </c>
      <c r="H846" s="751"/>
      <c r="I846" s="751"/>
      <c r="J846" s="751"/>
      <c r="K846" s="751"/>
    </row>
    <row r="847">
      <c r="A847" s="122" t="s">
        <v>3511</v>
      </c>
      <c r="H847" s="751"/>
      <c r="I847" s="751"/>
      <c r="J847" s="751"/>
      <c r="K847" s="751"/>
    </row>
    <row r="848">
      <c r="A848" s="122" t="s">
        <v>3511</v>
      </c>
      <c r="H848" s="751"/>
      <c r="I848" s="751"/>
      <c r="J848" s="751"/>
      <c r="K848" s="751"/>
    </row>
    <row r="849">
      <c r="A849" s="122" t="s">
        <v>3511</v>
      </c>
      <c r="H849" s="751"/>
      <c r="I849" s="751"/>
      <c r="J849" s="751"/>
      <c r="K849" s="751"/>
    </row>
    <row r="850">
      <c r="A850" s="122" t="s">
        <v>3511</v>
      </c>
      <c r="H850" s="751"/>
      <c r="I850" s="751"/>
      <c r="J850" s="751"/>
      <c r="K850" s="751"/>
    </row>
    <row r="851">
      <c r="A851" s="122" t="s">
        <v>3511</v>
      </c>
      <c r="H851" s="751"/>
      <c r="I851" s="751"/>
      <c r="J851" s="751"/>
      <c r="K851" s="751"/>
    </row>
    <row r="852">
      <c r="A852" s="122" t="s">
        <v>3511</v>
      </c>
      <c r="H852" s="751"/>
      <c r="I852" s="751"/>
      <c r="J852" s="751"/>
      <c r="K852" s="751"/>
    </row>
    <row r="853">
      <c r="A853" s="122" t="s">
        <v>3511</v>
      </c>
      <c r="H853" s="751"/>
      <c r="I853" s="751"/>
      <c r="J853" s="751"/>
      <c r="K853" s="751"/>
    </row>
    <row r="854">
      <c r="A854" s="122" t="s">
        <v>3511</v>
      </c>
      <c r="H854" s="751"/>
      <c r="I854" s="751"/>
      <c r="J854" s="751"/>
      <c r="K854" s="751"/>
    </row>
    <row r="855">
      <c r="A855" s="122" t="s">
        <v>3511</v>
      </c>
      <c r="H855" s="751"/>
      <c r="I855" s="751"/>
      <c r="J855" s="751"/>
      <c r="K855" s="751"/>
    </row>
    <row r="856">
      <c r="A856" s="122" t="s">
        <v>3511</v>
      </c>
      <c r="H856" s="751"/>
      <c r="I856" s="751"/>
      <c r="J856" s="751"/>
      <c r="K856" s="751"/>
    </row>
    <row r="857">
      <c r="A857" s="122" t="s">
        <v>3511</v>
      </c>
      <c r="H857" s="751"/>
      <c r="I857" s="751"/>
      <c r="J857" s="751"/>
      <c r="K857" s="751"/>
    </row>
    <row r="858">
      <c r="A858" s="122" t="s">
        <v>3511</v>
      </c>
      <c r="H858" s="751"/>
      <c r="I858" s="751"/>
      <c r="J858" s="751"/>
      <c r="K858" s="751"/>
    </row>
    <row r="859">
      <c r="A859" s="122" t="s">
        <v>3511</v>
      </c>
      <c r="H859" s="751"/>
      <c r="I859" s="751"/>
      <c r="J859" s="751"/>
      <c r="K859" s="751"/>
    </row>
    <row r="860">
      <c r="A860" s="122" t="s">
        <v>3511</v>
      </c>
      <c r="H860" s="751"/>
      <c r="I860" s="751"/>
      <c r="J860" s="751"/>
      <c r="K860" s="751"/>
    </row>
    <row r="861">
      <c r="A861" s="122" t="s">
        <v>3511</v>
      </c>
      <c r="H861" s="751"/>
      <c r="I861" s="751"/>
      <c r="J861" s="751"/>
      <c r="K861" s="751"/>
    </row>
    <row r="862">
      <c r="A862" s="122" t="s">
        <v>3511</v>
      </c>
      <c r="H862" s="751"/>
      <c r="I862" s="751"/>
      <c r="J862" s="751"/>
      <c r="K862" s="751"/>
    </row>
    <row r="863">
      <c r="A863" s="122" t="s">
        <v>3511</v>
      </c>
      <c r="H863" s="751"/>
      <c r="I863" s="751"/>
      <c r="J863" s="751"/>
      <c r="K863" s="751"/>
    </row>
    <row r="864">
      <c r="A864" s="122" t="s">
        <v>3511</v>
      </c>
      <c r="H864" s="751"/>
      <c r="I864" s="751"/>
      <c r="J864" s="751"/>
      <c r="K864" s="751"/>
    </row>
    <row r="865">
      <c r="A865" s="122" t="s">
        <v>3511</v>
      </c>
      <c r="H865" s="751"/>
      <c r="I865" s="751"/>
      <c r="J865" s="751"/>
      <c r="K865" s="751"/>
    </row>
    <row r="866">
      <c r="A866" s="122" t="s">
        <v>3511</v>
      </c>
      <c r="H866" s="751"/>
      <c r="I866" s="751"/>
      <c r="J866" s="751"/>
      <c r="K866" s="751"/>
    </row>
    <row r="867">
      <c r="A867" s="122" t="s">
        <v>3511</v>
      </c>
      <c r="H867" s="751"/>
      <c r="I867" s="751"/>
      <c r="J867" s="751"/>
      <c r="K867" s="751"/>
    </row>
    <row r="868">
      <c r="A868" s="122" t="s">
        <v>3511</v>
      </c>
      <c r="H868" s="751"/>
      <c r="I868" s="751"/>
      <c r="J868" s="751"/>
      <c r="K868" s="751"/>
    </row>
    <row r="869">
      <c r="A869" s="122" t="s">
        <v>3511</v>
      </c>
      <c r="H869" s="751"/>
      <c r="I869" s="751"/>
      <c r="J869" s="751"/>
      <c r="K869" s="751"/>
    </row>
    <row r="870">
      <c r="A870" s="122" t="s">
        <v>3511</v>
      </c>
      <c r="H870" s="751"/>
      <c r="I870" s="751"/>
      <c r="J870" s="751"/>
      <c r="K870" s="751"/>
    </row>
    <row r="871">
      <c r="A871" s="122" t="s">
        <v>3511</v>
      </c>
      <c r="H871" s="751"/>
      <c r="I871" s="751"/>
      <c r="J871" s="751"/>
      <c r="K871" s="751"/>
    </row>
    <row r="872">
      <c r="A872" s="122" t="s">
        <v>3511</v>
      </c>
      <c r="H872" s="751"/>
      <c r="I872" s="751"/>
      <c r="J872" s="751"/>
      <c r="K872" s="751"/>
    </row>
    <row r="873">
      <c r="A873" s="122" t="s">
        <v>3511</v>
      </c>
      <c r="H873" s="751"/>
      <c r="I873" s="751"/>
      <c r="J873" s="751"/>
      <c r="K873" s="751"/>
    </row>
    <row r="874">
      <c r="A874" s="122" t="s">
        <v>3511</v>
      </c>
      <c r="H874" s="751"/>
      <c r="I874" s="751"/>
      <c r="J874" s="751"/>
      <c r="K874" s="751"/>
    </row>
    <row r="875">
      <c r="A875" s="122" t="s">
        <v>3511</v>
      </c>
      <c r="H875" s="751"/>
      <c r="I875" s="751"/>
      <c r="J875" s="751"/>
      <c r="K875" s="751"/>
    </row>
    <row r="876">
      <c r="A876" s="122" t="s">
        <v>3511</v>
      </c>
      <c r="H876" s="751"/>
      <c r="I876" s="751"/>
      <c r="J876" s="751"/>
      <c r="K876" s="751"/>
    </row>
    <row r="877">
      <c r="A877" s="122" t="s">
        <v>3511</v>
      </c>
      <c r="H877" s="751"/>
      <c r="I877" s="751"/>
      <c r="J877" s="751"/>
      <c r="K877" s="751"/>
    </row>
    <row r="878">
      <c r="A878" s="122" t="s">
        <v>3511</v>
      </c>
      <c r="H878" s="751"/>
      <c r="I878" s="751"/>
      <c r="J878" s="751"/>
      <c r="K878" s="751"/>
    </row>
    <row r="879">
      <c r="A879" s="122" t="s">
        <v>3511</v>
      </c>
      <c r="H879" s="751"/>
      <c r="I879" s="751"/>
      <c r="J879" s="751"/>
      <c r="K879" s="751"/>
    </row>
    <row r="880">
      <c r="A880" s="122" t="s">
        <v>3511</v>
      </c>
      <c r="H880" s="751"/>
      <c r="I880" s="751"/>
      <c r="J880" s="751"/>
      <c r="K880" s="751"/>
    </row>
    <row r="881">
      <c r="A881" s="122" t="s">
        <v>3511</v>
      </c>
      <c r="H881" s="751"/>
      <c r="I881" s="751"/>
      <c r="J881" s="751"/>
      <c r="K881" s="751"/>
    </row>
    <row r="882">
      <c r="A882" s="122" t="s">
        <v>3511</v>
      </c>
      <c r="H882" s="751"/>
      <c r="I882" s="751"/>
      <c r="J882" s="751"/>
      <c r="K882" s="751"/>
    </row>
    <row r="883">
      <c r="A883" s="122" t="s">
        <v>3511</v>
      </c>
      <c r="H883" s="751"/>
      <c r="I883" s="751"/>
      <c r="J883" s="751"/>
      <c r="K883" s="751"/>
    </row>
    <row r="884">
      <c r="A884" s="122" t="s">
        <v>3511</v>
      </c>
      <c r="H884" s="751"/>
      <c r="I884" s="751"/>
      <c r="J884" s="751"/>
      <c r="K884" s="751"/>
    </row>
    <row r="885">
      <c r="A885" s="122" t="s">
        <v>3511</v>
      </c>
      <c r="H885" s="751"/>
      <c r="I885" s="751"/>
      <c r="J885" s="751"/>
      <c r="K885" s="751"/>
    </row>
    <row r="886">
      <c r="A886" s="122" t="s">
        <v>3511</v>
      </c>
      <c r="H886" s="751"/>
      <c r="I886" s="751"/>
      <c r="J886" s="751"/>
      <c r="K886" s="751"/>
    </row>
    <row r="887">
      <c r="A887" s="122" t="s">
        <v>3511</v>
      </c>
      <c r="H887" s="751"/>
      <c r="I887" s="751"/>
      <c r="J887" s="751"/>
      <c r="K887" s="751"/>
    </row>
    <row r="888">
      <c r="A888" s="122" t="s">
        <v>3511</v>
      </c>
      <c r="H888" s="751"/>
      <c r="I888" s="751"/>
      <c r="J888" s="751"/>
      <c r="K888" s="751"/>
    </row>
    <row r="889">
      <c r="A889" s="122" t="s">
        <v>3511</v>
      </c>
      <c r="H889" s="751"/>
      <c r="I889" s="751"/>
      <c r="J889" s="751"/>
      <c r="K889" s="751"/>
    </row>
    <row r="890">
      <c r="A890" s="122" t="s">
        <v>3511</v>
      </c>
      <c r="H890" s="751"/>
      <c r="I890" s="751"/>
      <c r="J890" s="751"/>
      <c r="K890" s="751"/>
    </row>
    <row r="891">
      <c r="A891" s="122" t="s">
        <v>3511</v>
      </c>
      <c r="H891" s="751"/>
      <c r="I891" s="751"/>
      <c r="J891" s="751"/>
      <c r="K891" s="751"/>
    </row>
    <row r="892">
      <c r="A892" s="122" t="s">
        <v>3511</v>
      </c>
      <c r="H892" s="751"/>
      <c r="I892" s="751"/>
      <c r="J892" s="751"/>
      <c r="K892" s="751"/>
    </row>
    <row r="893">
      <c r="A893" s="122" t="s">
        <v>3511</v>
      </c>
      <c r="H893" s="751"/>
      <c r="I893" s="751"/>
      <c r="J893" s="751"/>
      <c r="K893" s="751"/>
    </row>
    <row r="894">
      <c r="A894" s="122" t="s">
        <v>3511</v>
      </c>
      <c r="H894" s="751"/>
      <c r="I894" s="751"/>
      <c r="J894" s="751"/>
      <c r="K894" s="751"/>
    </row>
    <row r="895">
      <c r="A895" s="122" t="s">
        <v>3511</v>
      </c>
      <c r="H895" s="751"/>
      <c r="I895" s="751"/>
      <c r="J895" s="751"/>
      <c r="K895" s="751"/>
    </row>
    <row r="896">
      <c r="A896" s="122" t="s">
        <v>3511</v>
      </c>
      <c r="H896" s="751"/>
      <c r="I896" s="751"/>
      <c r="J896" s="751"/>
      <c r="K896" s="751"/>
    </row>
    <row r="897">
      <c r="A897" s="122" t="s">
        <v>3511</v>
      </c>
      <c r="H897" s="751"/>
      <c r="I897" s="751"/>
      <c r="J897" s="751"/>
      <c r="K897" s="751"/>
    </row>
    <row r="898">
      <c r="A898" s="122" t="s">
        <v>3511</v>
      </c>
      <c r="H898" s="751"/>
      <c r="I898" s="751"/>
      <c r="J898" s="751"/>
      <c r="K898" s="751"/>
    </row>
    <row r="899">
      <c r="A899" s="122" t="s">
        <v>3511</v>
      </c>
      <c r="H899" s="751"/>
      <c r="I899" s="751"/>
      <c r="J899" s="751"/>
      <c r="K899" s="751"/>
    </row>
    <row r="900">
      <c r="A900" s="122" t="s">
        <v>3511</v>
      </c>
      <c r="H900" s="751"/>
      <c r="I900" s="751"/>
      <c r="J900" s="751"/>
      <c r="K900" s="751"/>
    </row>
    <row r="901">
      <c r="A901" s="122" t="s">
        <v>3511</v>
      </c>
      <c r="H901" s="751"/>
      <c r="I901" s="751"/>
      <c r="J901" s="751"/>
      <c r="K901" s="751"/>
    </row>
    <row r="902">
      <c r="A902" s="122" t="s">
        <v>3511</v>
      </c>
      <c r="H902" s="751"/>
      <c r="I902" s="751"/>
      <c r="J902" s="751"/>
      <c r="K902" s="751"/>
    </row>
    <row r="903">
      <c r="A903" s="122" t="s">
        <v>3511</v>
      </c>
      <c r="H903" s="751"/>
      <c r="I903" s="751"/>
      <c r="J903" s="751"/>
      <c r="K903" s="751"/>
    </row>
    <row r="904">
      <c r="A904" s="122" t="s">
        <v>3511</v>
      </c>
      <c r="H904" s="751"/>
      <c r="I904" s="751"/>
      <c r="J904" s="751"/>
      <c r="K904" s="751"/>
    </row>
    <row r="905">
      <c r="A905" s="122" t="s">
        <v>3511</v>
      </c>
      <c r="H905" s="751"/>
      <c r="I905" s="751"/>
      <c r="J905" s="751"/>
      <c r="K905" s="751"/>
    </row>
    <row r="906">
      <c r="A906" s="122" t="s">
        <v>3511</v>
      </c>
      <c r="H906" s="751"/>
      <c r="I906" s="751"/>
      <c r="J906" s="751"/>
      <c r="K906" s="751"/>
    </row>
    <row r="907">
      <c r="A907" s="122" t="s">
        <v>3511</v>
      </c>
      <c r="H907" s="751"/>
      <c r="I907" s="751"/>
      <c r="J907" s="751"/>
      <c r="K907" s="751"/>
    </row>
    <row r="908">
      <c r="A908" s="122" t="s">
        <v>3511</v>
      </c>
      <c r="H908" s="751"/>
      <c r="I908" s="751"/>
      <c r="J908" s="751"/>
      <c r="K908" s="751"/>
    </row>
    <row r="909">
      <c r="A909" s="122" t="s">
        <v>3511</v>
      </c>
      <c r="H909" s="751"/>
      <c r="I909" s="751"/>
      <c r="J909" s="751"/>
      <c r="K909" s="751"/>
    </row>
    <row r="910">
      <c r="A910" s="122" t="s">
        <v>3511</v>
      </c>
      <c r="H910" s="751"/>
      <c r="I910" s="751"/>
      <c r="J910" s="751"/>
      <c r="K910" s="751"/>
    </row>
    <row r="911">
      <c r="A911" s="122" t="s">
        <v>3511</v>
      </c>
      <c r="H911" s="751"/>
      <c r="I911" s="751"/>
      <c r="J911" s="751"/>
      <c r="K911" s="751"/>
    </row>
    <row r="912">
      <c r="A912" s="122" t="s">
        <v>3511</v>
      </c>
      <c r="H912" s="751"/>
      <c r="I912" s="751"/>
      <c r="J912" s="751"/>
      <c r="K912" s="751"/>
    </row>
    <row r="913">
      <c r="A913" s="122" t="s">
        <v>3511</v>
      </c>
      <c r="H913" s="751"/>
      <c r="I913" s="751"/>
      <c r="J913" s="751"/>
      <c r="K913" s="751"/>
    </row>
    <row r="914">
      <c r="A914" s="122" t="s">
        <v>3511</v>
      </c>
      <c r="H914" s="751"/>
      <c r="I914" s="751"/>
      <c r="J914" s="751"/>
      <c r="K914" s="751"/>
    </row>
    <row r="915">
      <c r="A915" s="122" t="s">
        <v>3511</v>
      </c>
      <c r="H915" s="751"/>
      <c r="I915" s="751"/>
      <c r="J915" s="751"/>
      <c r="K915" s="751"/>
    </row>
    <row r="916">
      <c r="A916" s="122" t="s">
        <v>3511</v>
      </c>
      <c r="H916" s="751"/>
      <c r="I916" s="751"/>
      <c r="J916" s="751"/>
      <c r="K916" s="751"/>
    </row>
    <row r="917">
      <c r="A917" s="122" t="s">
        <v>3511</v>
      </c>
      <c r="H917" s="751"/>
      <c r="I917" s="751"/>
      <c r="J917" s="751"/>
      <c r="K917" s="751"/>
    </row>
    <row r="918">
      <c r="A918" s="122" t="s">
        <v>3511</v>
      </c>
      <c r="H918" s="751"/>
      <c r="I918" s="751"/>
      <c r="J918" s="751"/>
      <c r="K918" s="751"/>
    </row>
    <row r="919">
      <c r="A919" s="122" t="s">
        <v>3511</v>
      </c>
      <c r="H919" s="751"/>
      <c r="I919" s="751"/>
      <c r="J919" s="751"/>
      <c r="K919" s="751"/>
    </row>
    <row r="920">
      <c r="A920" s="122" t="s">
        <v>3511</v>
      </c>
      <c r="H920" s="751"/>
      <c r="I920" s="751"/>
      <c r="J920" s="751"/>
      <c r="K920" s="751"/>
    </row>
    <row r="921">
      <c r="A921" s="122" t="s">
        <v>3511</v>
      </c>
      <c r="H921" s="751"/>
      <c r="I921" s="751"/>
      <c r="J921" s="751"/>
      <c r="K921" s="751"/>
    </row>
    <row r="922">
      <c r="A922" s="122" t="s">
        <v>3511</v>
      </c>
      <c r="H922" s="751"/>
      <c r="I922" s="751"/>
      <c r="J922" s="751"/>
      <c r="K922" s="751"/>
    </row>
    <row r="923">
      <c r="A923" s="122" t="s">
        <v>3511</v>
      </c>
      <c r="H923" s="751"/>
      <c r="I923" s="751"/>
      <c r="J923" s="751"/>
      <c r="K923" s="751"/>
    </row>
    <row r="924">
      <c r="A924" s="122" t="s">
        <v>3511</v>
      </c>
      <c r="H924" s="751"/>
      <c r="I924" s="751"/>
      <c r="J924" s="751"/>
      <c r="K924" s="751"/>
    </row>
    <row r="925">
      <c r="A925" s="122" t="s">
        <v>3511</v>
      </c>
      <c r="H925" s="751"/>
      <c r="I925" s="751"/>
      <c r="J925" s="751"/>
      <c r="K925" s="751"/>
    </row>
    <row r="926">
      <c r="A926" s="122" t="s">
        <v>3511</v>
      </c>
      <c r="H926" s="751"/>
      <c r="I926" s="751"/>
      <c r="J926" s="751"/>
      <c r="K926" s="751"/>
    </row>
    <row r="927">
      <c r="A927" s="122" t="s">
        <v>3511</v>
      </c>
      <c r="H927" s="751"/>
      <c r="I927" s="751"/>
      <c r="J927" s="751"/>
      <c r="K927" s="751"/>
    </row>
    <row r="928">
      <c r="A928" s="122" t="s">
        <v>3511</v>
      </c>
      <c r="H928" s="751"/>
      <c r="I928" s="751"/>
      <c r="J928" s="751"/>
      <c r="K928" s="751"/>
    </row>
    <row r="929">
      <c r="A929" s="122" t="s">
        <v>3511</v>
      </c>
      <c r="H929" s="751"/>
      <c r="I929" s="751"/>
      <c r="J929" s="751"/>
      <c r="K929" s="751"/>
    </row>
    <row r="930">
      <c r="A930" s="122" t="s">
        <v>3511</v>
      </c>
      <c r="H930" s="751"/>
      <c r="I930" s="751"/>
      <c r="J930" s="751"/>
      <c r="K930" s="751"/>
    </row>
    <row r="931">
      <c r="A931" s="122" t="s">
        <v>3511</v>
      </c>
      <c r="H931" s="751"/>
      <c r="I931" s="751"/>
      <c r="J931" s="751"/>
      <c r="K931" s="751"/>
    </row>
    <row r="932">
      <c r="A932" s="122" t="s">
        <v>3511</v>
      </c>
      <c r="H932" s="751"/>
      <c r="I932" s="751"/>
      <c r="J932" s="751"/>
      <c r="K932" s="751"/>
    </row>
    <row r="933">
      <c r="A933" s="122" t="s">
        <v>3511</v>
      </c>
      <c r="H933" s="751"/>
      <c r="I933" s="751"/>
      <c r="J933" s="751"/>
      <c r="K933" s="751"/>
    </row>
    <row r="934">
      <c r="A934" s="122" t="s">
        <v>3511</v>
      </c>
      <c r="H934" s="751"/>
      <c r="I934" s="751"/>
      <c r="J934" s="751"/>
      <c r="K934" s="751"/>
    </row>
    <row r="935">
      <c r="A935" s="122" t="s">
        <v>3511</v>
      </c>
      <c r="H935" s="751"/>
      <c r="I935" s="751"/>
      <c r="J935" s="751"/>
      <c r="K935" s="751"/>
    </row>
    <row r="936">
      <c r="A936" s="122" t="s">
        <v>3511</v>
      </c>
      <c r="H936" s="751"/>
      <c r="I936" s="751"/>
      <c r="J936" s="751"/>
      <c r="K936" s="751"/>
    </row>
    <row r="937">
      <c r="A937" s="122" t="s">
        <v>3511</v>
      </c>
      <c r="H937" s="751"/>
      <c r="I937" s="751"/>
      <c r="J937" s="751"/>
      <c r="K937" s="751"/>
    </row>
    <row r="938">
      <c r="A938" s="122" t="s">
        <v>3511</v>
      </c>
      <c r="H938" s="751"/>
      <c r="I938" s="751"/>
      <c r="J938" s="751"/>
      <c r="K938" s="751"/>
    </row>
    <row r="939">
      <c r="A939" s="122" t="s">
        <v>3511</v>
      </c>
      <c r="H939" s="751"/>
      <c r="I939" s="751"/>
      <c r="J939" s="751"/>
      <c r="K939" s="751"/>
    </row>
    <row r="940">
      <c r="A940" s="122" t="s">
        <v>3511</v>
      </c>
      <c r="H940" s="751"/>
      <c r="I940" s="751"/>
      <c r="J940" s="751"/>
      <c r="K940" s="751"/>
    </row>
    <row r="941">
      <c r="A941" s="122" t="s">
        <v>3511</v>
      </c>
      <c r="H941" s="751"/>
      <c r="I941" s="751"/>
      <c r="J941" s="751"/>
      <c r="K941" s="751"/>
    </row>
    <row r="942">
      <c r="A942" s="122" t="s">
        <v>3511</v>
      </c>
      <c r="H942" s="751"/>
      <c r="I942" s="751"/>
      <c r="J942" s="751"/>
      <c r="K942" s="751"/>
    </row>
    <row r="943">
      <c r="A943" s="122" t="s">
        <v>3511</v>
      </c>
      <c r="H943" s="751"/>
      <c r="I943" s="751"/>
      <c r="J943" s="751"/>
      <c r="K943" s="751"/>
    </row>
    <row r="944">
      <c r="A944" s="122" t="s">
        <v>3511</v>
      </c>
      <c r="H944" s="751"/>
      <c r="I944" s="751"/>
      <c r="J944" s="751"/>
      <c r="K944" s="751"/>
    </row>
    <row r="945">
      <c r="A945" s="122" t="s">
        <v>3511</v>
      </c>
      <c r="H945" s="751"/>
      <c r="I945" s="751"/>
      <c r="J945" s="751"/>
      <c r="K945" s="751"/>
    </row>
    <row r="946">
      <c r="A946" s="122" t="s">
        <v>3511</v>
      </c>
      <c r="H946" s="751"/>
      <c r="I946" s="751"/>
      <c r="J946" s="751"/>
      <c r="K946" s="751"/>
    </row>
    <row r="947">
      <c r="A947" s="122" t="s">
        <v>3511</v>
      </c>
      <c r="H947" s="751"/>
      <c r="I947" s="751"/>
      <c r="J947" s="751"/>
      <c r="K947" s="751"/>
    </row>
    <row r="948">
      <c r="A948" s="122" t="s">
        <v>3511</v>
      </c>
      <c r="H948" s="751"/>
      <c r="I948" s="751"/>
      <c r="J948" s="751"/>
      <c r="K948" s="751"/>
    </row>
    <row r="949">
      <c r="A949" s="122" t="s">
        <v>3511</v>
      </c>
      <c r="H949" s="751"/>
      <c r="I949" s="751"/>
      <c r="J949" s="751"/>
      <c r="K949" s="751"/>
    </row>
    <row r="950">
      <c r="A950" s="122" t="s">
        <v>3511</v>
      </c>
      <c r="H950" s="751"/>
      <c r="I950" s="751"/>
      <c r="J950" s="751"/>
      <c r="K950" s="751"/>
    </row>
    <row r="951">
      <c r="A951" s="122" t="s">
        <v>3511</v>
      </c>
      <c r="H951" s="751"/>
      <c r="I951" s="751"/>
      <c r="J951" s="751"/>
      <c r="K951" s="751"/>
    </row>
    <row r="952">
      <c r="A952" s="122" t="s">
        <v>3511</v>
      </c>
      <c r="H952" s="751"/>
      <c r="I952" s="751"/>
      <c r="J952" s="751"/>
      <c r="K952" s="751"/>
    </row>
    <row r="953">
      <c r="A953" s="122" t="s">
        <v>3511</v>
      </c>
      <c r="H953" s="751"/>
      <c r="I953" s="751"/>
      <c r="J953" s="751"/>
      <c r="K953" s="751"/>
    </row>
    <row r="954">
      <c r="A954" s="122" t="s">
        <v>3511</v>
      </c>
      <c r="H954" s="751"/>
      <c r="I954" s="751"/>
      <c r="J954" s="751"/>
      <c r="K954" s="751"/>
    </row>
    <row r="955">
      <c r="A955" s="122" t="s">
        <v>3511</v>
      </c>
      <c r="H955" s="751"/>
      <c r="I955" s="751"/>
      <c r="J955" s="751"/>
      <c r="K955" s="751"/>
    </row>
    <row r="956">
      <c r="A956" s="122" t="s">
        <v>3511</v>
      </c>
      <c r="H956" s="751"/>
      <c r="I956" s="751"/>
      <c r="J956" s="751"/>
      <c r="K956" s="751"/>
    </row>
    <row r="957">
      <c r="A957" s="122" t="s">
        <v>3511</v>
      </c>
      <c r="H957" s="751"/>
      <c r="I957" s="751"/>
      <c r="J957" s="751"/>
      <c r="K957" s="751"/>
    </row>
    <row r="958">
      <c r="A958" s="122" t="s">
        <v>3511</v>
      </c>
      <c r="H958" s="751"/>
      <c r="I958" s="751"/>
      <c r="J958" s="751"/>
      <c r="K958" s="751"/>
    </row>
    <row r="959">
      <c r="A959" s="122" t="s">
        <v>3511</v>
      </c>
      <c r="H959" s="751"/>
      <c r="I959" s="751"/>
      <c r="J959" s="751"/>
      <c r="K959" s="751"/>
    </row>
    <row r="960">
      <c r="A960" s="122" t="s">
        <v>3511</v>
      </c>
      <c r="H960" s="751"/>
      <c r="I960" s="751"/>
      <c r="J960" s="751"/>
      <c r="K960" s="751"/>
    </row>
    <row r="961">
      <c r="A961" s="122" t="s">
        <v>3511</v>
      </c>
      <c r="H961" s="751"/>
      <c r="I961" s="751"/>
      <c r="J961" s="751"/>
      <c r="K961" s="751"/>
    </row>
    <row r="962">
      <c r="A962" s="122" t="s">
        <v>3511</v>
      </c>
      <c r="H962" s="751"/>
      <c r="I962" s="751"/>
      <c r="J962" s="751"/>
      <c r="K962" s="751"/>
    </row>
    <row r="963">
      <c r="A963" s="122" t="s">
        <v>3511</v>
      </c>
      <c r="H963" s="751"/>
      <c r="I963" s="751"/>
      <c r="J963" s="751"/>
      <c r="K963" s="751"/>
    </row>
    <row r="964">
      <c r="A964" s="122" t="s">
        <v>3511</v>
      </c>
      <c r="H964" s="751"/>
      <c r="I964" s="751"/>
      <c r="J964" s="751"/>
      <c r="K964" s="751"/>
    </row>
    <row r="965">
      <c r="A965" s="122" t="s">
        <v>3511</v>
      </c>
      <c r="H965" s="751"/>
      <c r="I965" s="751"/>
      <c r="J965" s="751"/>
      <c r="K965" s="751"/>
    </row>
    <row r="966">
      <c r="A966" s="122" t="s">
        <v>3511</v>
      </c>
      <c r="H966" s="751"/>
      <c r="I966" s="751"/>
      <c r="J966" s="751"/>
      <c r="K966" s="751"/>
    </row>
    <row r="967">
      <c r="A967" s="122" t="s">
        <v>3511</v>
      </c>
      <c r="H967" s="751"/>
      <c r="I967" s="751"/>
      <c r="J967" s="751"/>
      <c r="K967" s="751"/>
    </row>
    <row r="968">
      <c r="A968" s="122" t="s">
        <v>3511</v>
      </c>
      <c r="H968" s="751"/>
      <c r="I968" s="751"/>
      <c r="J968" s="751"/>
      <c r="K968" s="751"/>
    </row>
    <row r="969">
      <c r="A969" s="122" t="s">
        <v>3511</v>
      </c>
      <c r="H969" s="751"/>
      <c r="I969" s="751"/>
      <c r="J969" s="751"/>
      <c r="K969" s="751"/>
    </row>
    <row r="970">
      <c r="A970" s="122" t="s">
        <v>3511</v>
      </c>
      <c r="H970" s="751"/>
      <c r="I970" s="751"/>
      <c r="J970" s="751"/>
      <c r="K970" s="751"/>
    </row>
    <row r="971">
      <c r="A971" s="122" t="s">
        <v>3511</v>
      </c>
      <c r="H971" s="751"/>
      <c r="I971" s="751"/>
      <c r="J971" s="751"/>
      <c r="K971" s="751"/>
    </row>
    <row r="972">
      <c r="A972" s="122" t="s">
        <v>3511</v>
      </c>
      <c r="H972" s="751"/>
      <c r="I972" s="751"/>
      <c r="J972" s="751"/>
      <c r="K972" s="751"/>
    </row>
    <row r="973">
      <c r="A973" s="122" t="s">
        <v>3511</v>
      </c>
      <c r="H973" s="751"/>
      <c r="I973" s="751"/>
      <c r="J973" s="751"/>
      <c r="K973" s="751"/>
    </row>
    <row r="974">
      <c r="A974" s="122" t="s">
        <v>3511</v>
      </c>
      <c r="H974" s="751"/>
      <c r="I974" s="751"/>
      <c r="J974" s="751"/>
      <c r="K974" s="751"/>
    </row>
    <row r="975">
      <c r="A975" s="122" t="s">
        <v>3511</v>
      </c>
      <c r="H975" s="751"/>
      <c r="I975" s="751"/>
      <c r="J975" s="751"/>
      <c r="K975" s="751"/>
    </row>
    <row r="976">
      <c r="A976" s="122" t="s">
        <v>3511</v>
      </c>
      <c r="H976" s="751"/>
      <c r="I976" s="751"/>
      <c r="J976" s="751"/>
      <c r="K976" s="751"/>
    </row>
    <row r="977">
      <c r="A977" s="122" t="s">
        <v>3511</v>
      </c>
      <c r="H977" s="751"/>
      <c r="I977" s="751"/>
      <c r="J977" s="751"/>
      <c r="K977" s="751"/>
    </row>
    <row r="978">
      <c r="A978" s="122" t="s">
        <v>3511</v>
      </c>
      <c r="H978" s="751"/>
      <c r="I978" s="751"/>
      <c r="J978" s="751"/>
      <c r="K978" s="751"/>
    </row>
    <row r="979">
      <c r="A979" s="122" t="s">
        <v>3511</v>
      </c>
      <c r="H979" s="751"/>
      <c r="I979" s="751"/>
      <c r="J979" s="751"/>
      <c r="K979" s="751"/>
    </row>
    <row r="980">
      <c r="A980" s="122" t="s">
        <v>3511</v>
      </c>
      <c r="H980" s="751"/>
      <c r="I980" s="751"/>
      <c r="J980" s="751"/>
      <c r="K980" s="751"/>
    </row>
    <row r="981">
      <c r="A981" s="122" t="s">
        <v>3511</v>
      </c>
      <c r="H981" s="751"/>
      <c r="I981" s="751"/>
      <c r="J981" s="751"/>
      <c r="K981" s="751"/>
    </row>
    <row r="982">
      <c r="A982" s="122" t="s">
        <v>3511</v>
      </c>
      <c r="H982" s="751"/>
      <c r="I982" s="751"/>
      <c r="J982" s="751"/>
      <c r="K982" s="751"/>
    </row>
    <row r="983">
      <c r="A983" s="122" t="s">
        <v>3511</v>
      </c>
      <c r="H983" s="751"/>
      <c r="I983" s="751"/>
      <c r="J983" s="751"/>
      <c r="K983" s="751"/>
    </row>
    <row r="984">
      <c r="A984" s="122" t="s">
        <v>3511</v>
      </c>
      <c r="H984" s="751"/>
      <c r="I984" s="751"/>
      <c r="J984" s="751"/>
      <c r="K984" s="751"/>
    </row>
    <row r="985">
      <c r="A985" s="122" t="s">
        <v>3511</v>
      </c>
      <c r="H985" s="751"/>
      <c r="I985" s="751"/>
      <c r="J985" s="751"/>
      <c r="K985" s="751"/>
    </row>
    <row r="986">
      <c r="A986" s="122" t="s">
        <v>3511</v>
      </c>
      <c r="H986" s="751"/>
      <c r="I986" s="751"/>
      <c r="J986" s="751"/>
      <c r="K986" s="751"/>
    </row>
    <row r="987">
      <c r="A987" s="122" t="s">
        <v>3511</v>
      </c>
      <c r="H987" s="751"/>
      <c r="I987" s="751"/>
      <c r="J987" s="751"/>
      <c r="K987" s="751"/>
    </row>
    <row r="988">
      <c r="A988" s="122" t="s">
        <v>3511</v>
      </c>
      <c r="H988" s="751"/>
      <c r="I988" s="751"/>
      <c r="J988" s="751"/>
      <c r="K988" s="751"/>
    </row>
    <row r="989">
      <c r="A989" s="122" t="s">
        <v>3511</v>
      </c>
      <c r="H989" s="751"/>
      <c r="I989" s="751"/>
      <c r="J989" s="751"/>
      <c r="K989" s="751"/>
    </row>
    <row r="990">
      <c r="A990" s="122" t="s">
        <v>3511</v>
      </c>
      <c r="H990" s="751"/>
      <c r="I990" s="751"/>
      <c r="J990" s="751"/>
      <c r="K990" s="751"/>
    </row>
    <row r="991">
      <c r="A991" s="122" t="s">
        <v>3511</v>
      </c>
      <c r="H991" s="751"/>
      <c r="I991" s="751"/>
      <c r="J991" s="751"/>
      <c r="K991" s="751"/>
    </row>
    <row r="992">
      <c r="A992" s="122" t="s">
        <v>3511</v>
      </c>
      <c r="H992" s="751"/>
      <c r="I992" s="751"/>
      <c r="J992" s="751"/>
      <c r="K992" s="751"/>
    </row>
    <row r="993">
      <c r="A993" s="122" t="s">
        <v>3511</v>
      </c>
      <c r="H993" s="751"/>
      <c r="I993" s="751"/>
      <c r="J993" s="751"/>
      <c r="K993" s="751"/>
    </row>
    <row r="994">
      <c r="A994" s="122" t="s">
        <v>3511</v>
      </c>
      <c r="H994" s="751"/>
      <c r="I994" s="751"/>
      <c r="J994" s="751"/>
      <c r="K994" s="751"/>
    </row>
    <row r="995">
      <c r="A995" s="122" t="s">
        <v>3511</v>
      </c>
      <c r="H995" s="751"/>
      <c r="I995" s="751"/>
      <c r="J995" s="751"/>
      <c r="K995" s="751"/>
    </row>
    <row r="996">
      <c r="A996" s="122" t="s">
        <v>3511</v>
      </c>
      <c r="H996" s="751"/>
      <c r="I996" s="751"/>
      <c r="J996" s="751"/>
      <c r="K996" s="751"/>
    </row>
    <row r="997">
      <c r="A997" s="122" t="s">
        <v>3511</v>
      </c>
      <c r="H997" s="751"/>
      <c r="I997" s="751"/>
      <c r="J997" s="751"/>
      <c r="K997" s="751"/>
    </row>
    <row r="998">
      <c r="A998" s="122" t="s">
        <v>3511</v>
      </c>
      <c r="H998" s="751"/>
      <c r="I998" s="751"/>
      <c r="J998" s="751"/>
      <c r="K998" s="751"/>
    </row>
    <row r="999">
      <c r="A999" s="122" t="s">
        <v>3511</v>
      </c>
      <c r="H999" s="751"/>
      <c r="I999" s="751"/>
      <c r="J999" s="751"/>
      <c r="K999" s="751"/>
    </row>
    <row r="1000">
      <c r="A1000" s="122" t="s">
        <v>3511</v>
      </c>
      <c r="H1000" s="751"/>
      <c r="I1000" s="751"/>
      <c r="J1000" s="751"/>
      <c r="K1000" s="751"/>
    </row>
    <row r="1001">
      <c r="A1001" s="122" t="s">
        <v>3511</v>
      </c>
      <c r="H1001" s="751"/>
      <c r="I1001" s="751"/>
      <c r="J1001" s="751"/>
      <c r="K1001" s="751"/>
    </row>
  </sheetData>
  <mergeCells count="2">
    <mergeCell ref="B1:N1"/>
    <mergeCell ref="B2:N2"/>
  </mergeCells>
  <conditionalFormatting sqref="N6:N501">
    <cfRule type="containsBlanks" dxfId="13" priority="1" stopIfTrue="1">
      <formula>LEN(TRIM(N6))=0</formula>
    </cfRule>
  </conditionalFormatting>
  <dataValidations>
    <dataValidation type="list" allowBlank="1" showErrorMessage="1" sqref="N6:N501">
      <formula1>"미확인,확인완료"</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346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38"/>
    <col customWidth="1" min="13" max="13" width="12.63"/>
  </cols>
  <sheetData>
    <row r="1" ht="24.0" customHeight="1">
      <c r="A1" s="752"/>
      <c r="B1" s="743" t="s">
        <v>4829</v>
      </c>
    </row>
    <row r="2" ht="21.0" customHeight="1">
      <c r="A2" s="753"/>
      <c r="B2" s="744" t="s">
        <v>4813</v>
      </c>
    </row>
    <row r="4">
      <c r="A4" s="70" t="s">
        <v>4814</v>
      </c>
      <c r="B4" s="325" t="str">
        <f>IFERROR(__xludf.DUMMYFUNCTION("IMPORTRANGE(""https://docs.google.com/spreadsheets/d/1_UYbaZNAliPpV-l5VXoC5NxYjlvMjBYA6xLj5JtvaOM"",""설문지 응답 시트1!A:K"")"),"타임스탬프")</f>
        <v>타임스탬프</v>
      </c>
      <c r="C4" s="325" t="str">
        <f>IFERROR(__xludf.DUMMYFUNCTION("""COMPUTED_VALUE"""),"이메일 주소")</f>
        <v>이메일 주소</v>
      </c>
      <c r="D4" s="325" t="str">
        <f>IFERROR(__xludf.DUMMYFUNCTION("""COMPUTED_VALUE"""),"성함을 기입해주세요")</f>
        <v>성함을 기입해주세요</v>
      </c>
      <c r="E4" s="325" t="str">
        <f>IFERROR(__xludf.DUMMYFUNCTION("""COMPUTED_VALUE"""),"활동명 및 닉네임을 기입해주세요")</f>
        <v>활동명 및 닉네임을 기입해주세요</v>
      </c>
      <c r="F4" s="325" t="str">
        <f>IFERROR(__xludf.DUMMYFUNCTION("""COMPUTED_VALUE"""),"연락처를 적어주세요")</f>
        <v>연락처를 적어주세요</v>
      </c>
      <c r="G4" s="325" t="str">
        <f>IFERROR(__xludf.DUMMYFUNCTION("""COMPUTED_VALUE"""),"다른 사이트 혹은 강의를 진행하신 경험이 있으신가요?")</f>
        <v>다른 사이트 혹은 강의를 진행하신 경험이 있으신가요?</v>
      </c>
      <c r="H4" s="325" t="str">
        <f>IFERROR(__xludf.DUMMYFUNCTION("""COMPUTED_VALUE"""),"강의하고 싶은 주제를 구체적으로 작성해주세요. 
예시
1. 구매대행과 AI를 활용한 수익화 방법
2. 부동산 경매를 통해 돈을 버는 방법")</f>
        <v>강의하고 싶은 주제를 구체적으로 작성해주세요. 
예시
1. 구매대행과 AI를 활용한 수익화 방법
2. 부동산 경매를 통해 돈을 버는 방법</v>
      </c>
      <c r="I4" s="325" t="str">
        <f>IFERROR(__xludf.DUMMYFUNCTION("""COMPUTED_VALUE"""),"핏크닉 강사로 지원하신 동기 및 계기는 무엇인가요? 본인의 장점과 함께 자유롭게 작성해주세요. ")</f>
        <v>핏크닉 강사로 지원하신 동기 및 계기는 무엇인가요? 본인의 장점과 함께 자유롭게 작성해주세요. </v>
      </c>
      <c r="J4" s="325" t="str">
        <f>IFERROR(__xludf.DUMMYFUNCTION("""COMPUTED_VALUE"""),"경력과 어떤 성과를 만드셨는지 수치적으로 작성해주세요*
예시
1. 쿠팡을 통해 연매출 20억 달성
2. 부동산 경매로 순자산 30억 ")</f>
        <v>경력과 어떤 성과를 만드셨는지 수치적으로 작성해주세요*
예시
1. 쿠팡을 통해 연매출 20억 달성
2. 부동산 경매로 순자산 30억 </v>
      </c>
      <c r="K4" s="325" t="str">
        <f>IFERROR(__xludf.DUMMYFUNCTION("""COMPUTED_VALUE"""),"해당 분야에서 수강생의 성과를 만든 경험이 있다면 적어주세요.
1. 수강생이 부업으로 시작해 월 3천만 원 매출 달성
2. 부동산 경매를 알려줘 시세보다 1천만 원 싸게 구입")</f>
        <v>해당 분야에서 수강생의 성과를 만든 경험이 있다면 적어주세요.
1. 수강생이 부업으로 시작해 월 3천만 원 매출 달성
2. 부동산 경매를 알려줘 시세보다 1천만 원 싸게 구입</v>
      </c>
      <c r="L4" s="325" t="str">
        <f>IFERROR(__xludf.DUMMYFUNCTION("""COMPUTED_VALUE"""),"해당 주제를 통해 수강생이 무엇을 얻을 수 있는지 구체적으로 작성해주세요.
예시
1. 쿠팡 부업을 통해 50만원 정도의 순이익
2. 경매를 통해, 시세보다 저렴하게 부동산 구입")</f>
        <v>해당 주제를 통해 수강생이 무엇을 얻을 수 있는지 구체적으로 작성해주세요.
예시
1. 쿠팡 부업을 통해 50만원 정도의 순이익
2. 경매를 통해, 시세보다 저렴하게 부동산 구입</v>
      </c>
      <c r="M4" s="19" t="s">
        <v>4828</v>
      </c>
    </row>
    <row r="5">
      <c r="A5" s="122">
        <f t="array" ref="A5:A1000">IF(B5:B1000&lt;&gt;"", ROW(B5:B1000)-4, "")</f>
        <v>1</v>
      </c>
      <c r="B5" s="754">
        <f>IFERROR(__xludf.DUMMYFUNCTION("""COMPUTED_VALUE"""),45718.01939190972)</f>
        <v>45718.01939</v>
      </c>
      <c r="C5" s="325" t="str">
        <f>IFERROR(__xludf.DUMMYFUNCTION("""COMPUTED_VALUE"""),"")</f>
        <v/>
      </c>
      <c r="D5" s="325" t="str">
        <f>IFERROR(__xludf.DUMMYFUNCTION("""COMPUTED_VALUE"""),"ss")</f>
        <v>ss</v>
      </c>
      <c r="E5" s="325" t="str">
        <f>IFERROR(__xludf.DUMMYFUNCTION("""COMPUTED_VALUE"""),"ss")</f>
        <v>ss</v>
      </c>
      <c r="F5" s="325"/>
      <c r="G5" s="325" t="str">
        <f>IFERROR(__xludf.DUMMYFUNCTION("""COMPUTED_VALUE"""),"없음")</f>
        <v>없음</v>
      </c>
      <c r="H5" s="325" t="str">
        <f>IFERROR(__xludf.DUMMYFUNCTION("""COMPUTED_VALUE"""),"ss")</f>
        <v>ss</v>
      </c>
      <c r="I5" s="325" t="str">
        <f>IFERROR(__xludf.DUMMYFUNCTION("""COMPUTED_VALUE"""),"ss")</f>
        <v>ss</v>
      </c>
      <c r="J5" s="325" t="str">
        <f>IFERROR(__xludf.DUMMYFUNCTION("""COMPUTED_VALUE"""),"ss")</f>
        <v>ss</v>
      </c>
      <c r="K5" s="325"/>
      <c r="L5" s="325" t="str">
        <f>IFERROR(__xludf.DUMMYFUNCTION("""COMPUTED_VALUE"""),"ss")</f>
        <v>ss</v>
      </c>
      <c r="M5" s="681" t="s">
        <v>29</v>
      </c>
    </row>
    <row r="6">
      <c r="A6" s="88">
        <v>2.0</v>
      </c>
      <c r="B6" s="754">
        <f>IFERROR(__xludf.DUMMYFUNCTION("""COMPUTED_VALUE"""),45722.021624375004)</f>
        <v>45722.02162</v>
      </c>
      <c r="C6" s="325" t="str">
        <f>IFERROR(__xludf.DUMMYFUNCTION("""COMPUTED_VALUE"""),"")</f>
        <v/>
      </c>
      <c r="D6" s="325" t="str">
        <f>IFERROR(__xludf.DUMMYFUNCTION("""COMPUTED_VALUE"""),"박은주")</f>
        <v>박은주</v>
      </c>
      <c r="E6" s="325" t="str">
        <f>IFERROR(__xludf.DUMMYFUNCTION("""COMPUTED_VALUE"""),"20년 연속 토익 990만점 강사")</f>
        <v>20년 연속 토익 990만점 강사</v>
      </c>
      <c r="F6" s="325"/>
      <c r="G6" s="325" t="str">
        <f>IFERROR(__xludf.DUMMYFUNCTION("""COMPUTED_VALUE"""),"없음")</f>
        <v>없음</v>
      </c>
      <c r="H6" s="325" t="str">
        <f>IFERROR(__xludf.DUMMYFUNCTION("""COMPUTED_VALUE"""),"토익 시험 하루 전 3시간 특강으로 300점 올리기")</f>
        <v>토익 시험 하루 전 3시간 특강으로 300점 올리기</v>
      </c>
      <c r="I6" s="325" t="str">
        <f>IFERROR(__xludf.DUMMYFUNCTION("""COMPUTED_VALUE"""),"성인대상 “부”를 증대시키는 노하우를 잘 알려주는 플랫폼으로 알고 가입을 했습니다. 성인들 중 이직이나 승진을 위해 토익 공부를 하는 사람도 많이 있으나 이들을 위한 단기 토익 / 초단기 토익 특강은 많지 않습니다. 단 하루 토익 정기 시험 전 3시간 특강을 통해 목표 점수에 도달하여 성공적인 승진 혹은 이직을 도울 수 있습니다. 제 강점은 20년 연속 토익 990만점을 받은 경력이 있으며 현재도 연세대학교 외국어학당에서 토익 수업을 하고 있는 토익 트"&amp;"렌트를 누구보다 잘 알고 있는 사람이라 자부합니다. 그 동안 모아 온 기출 문제를 통해서 짧은 시간 최소의 시간을 투자하여 최대의 효율을 이룰 수 있게 도움을 줄 수 있습니다! ")</f>
        <v>성인대상 “부”를 증대시키는 노하우를 잘 알려주는 플랫폼으로 알고 가입을 했습니다. 성인들 중 이직이나 승진을 위해 토익 공부를 하는 사람도 많이 있으나 이들을 위한 단기 토익 / 초단기 토익 특강은 많지 않습니다. 단 하루 토익 정기 시험 전 3시간 특강을 통해 목표 점수에 도달하여 성공적인 승진 혹은 이직을 도울 수 있습니다. 제 강점은 20년 연속 토익 990만점을 받은 경력이 있으며 현재도 연세대학교 외국어학당에서 토익 수업을 하고 있는 토익 트렌트를 누구보다 잘 알고 있는 사람이라 자부합니다. 그 동안 모아 온 기출 문제를 통해서 짧은 시간 최소의 시간을 투자하여 최대의 효율을 이룰 수 있게 도움을 줄 수 있습니다! </v>
      </c>
      <c r="J6" s="325" t="str">
        <f>IFERROR(__xludf.DUMMYFUNCTION("""COMPUTED_VALUE"""),"1. 영어 왕기초 학생도 1달 공부하여 500넘기기 2. 토요일 정기 토익 시험 전 특강 듣고 985/970 편입에 필요한 성적 만들기")</f>
        <v>1. 영어 왕기초 학생도 1달 공부하여 500넘기기 2. 토요일 정기 토익 시험 전 특강 듣고 985/970 편입에 필요한 성적 만들기</v>
      </c>
      <c r="K6" s="325" t="str">
        <f>IFERROR(__xludf.DUMMYFUNCTION("""COMPUTED_VALUE"""),"1. 위의 항목과 유사 (고득점 학생 다수 배출 및 정말 영어 왕기초 학생도 단기에 500 넘게 만듬)")</f>
        <v>1. 위의 항목과 유사 (고득점 학생 다수 배출 및 정말 영어 왕기초 학생도 단기에 500 넘게 만듬)</v>
      </c>
      <c r="L6" s="325" t="str">
        <f>IFERROR(__xludf.DUMMYFUNCTION("""COMPUTED_VALUE"""),"단 하루 3시간 특강으로 토익점수 300점 올리기")</f>
        <v>단 하루 3시간 특강으로 토익점수 300점 올리기</v>
      </c>
      <c r="M6" s="681" t="s">
        <v>29</v>
      </c>
    </row>
    <row r="7">
      <c r="A7" s="88">
        <v>3.0</v>
      </c>
      <c r="B7" s="754">
        <f>IFERROR(__xludf.DUMMYFUNCTION("""COMPUTED_VALUE"""),45728.67154998843)</f>
        <v>45728.67155</v>
      </c>
      <c r="C7" s="325" t="str">
        <f>IFERROR(__xludf.DUMMYFUNCTION("""COMPUTED_VALUE"""),"")</f>
        <v/>
      </c>
      <c r="D7" s="325" t="str">
        <f>IFERROR(__xludf.DUMMYFUNCTION("""COMPUTED_VALUE"""),"손태훈")</f>
        <v>손태훈</v>
      </c>
      <c r="E7" s="325" t="str">
        <f>IFERROR(__xludf.DUMMYFUNCTION("""COMPUTED_VALUE"""),"공간대여손PD")</f>
        <v>공간대여손PD</v>
      </c>
      <c r="F7" s="325"/>
      <c r="G7" s="755" t="str">
        <f>IFERROR(__xludf.DUMMYFUNCTION("""COMPUTED_VALUE"""),"https://docs.google.com/forms/d/16D_xEWHRggpGhUtjzAt-N86lFZkti8RFV5DJ7OUN1Zg/edit")</f>
        <v>https://docs.google.com/forms/d/16D_xEWHRggpGhUtjzAt-N86lFZkti8RFV5DJ7OUN1Zg/edit</v>
      </c>
      <c r="H7" s="325" t="str">
        <f>IFERROR(__xludf.DUMMYFUNCTION("""COMPUTED_VALUE"""),"가정집 공간대여를 통해 수익화 하는 방법 ")</f>
        <v>가정집 공간대여를 통해 수익화 하는 방법 </v>
      </c>
      <c r="I7" s="325" t="str">
        <f>IFERROR(__xludf.DUMMYFUNCTION("""COMPUTED_VALUE"""),"메일에 따로 후술하였습니다")</f>
        <v>메일에 따로 후술하였습니다</v>
      </c>
      <c r="J7" s="325" t="str">
        <f>IFERROR(__xludf.DUMMYFUNCTION("""COMPUTED_VALUE"""),"가정집 원룸 하나로 월 200만원 고정 수익 달성, 이후 다양한 공간대여 사업 확장 중")</f>
        <v>가정집 원룸 하나로 월 200만원 고정 수익 달성, 이후 다양한 공간대여 사업 확장 중</v>
      </c>
      <c r="K7" s="325" t="str">
        <f>IFERROR(__xludf.DUMMYFUNCTION("""COMPUTED_VALUE"""),"코칭 수강생 투자금 100만원으로 한달 10분 일하고 월 100만원 버는 부업 구조 완성 ")</f>
        <v>코칭 수강생 투자금 100만원으로 한달 10분 일하고 월 100만원 버는 부업 구조 완성 </v>
      </c>
      <c r="L7" s="325" t="str">
        <f>IFERROR(__xludf.DUMMYFUNCTION("""COMPUTED_VALUE"""),"공간대여 부업을 통해 50만원 정도의 순수익")</f>
        <v>공간대여 부업을 통해 50만원 정도의 순수익</v>
      </c>
      <c r="M7" s="681" t="s">
        <v>29</v>
      </c>
    </row>
    <row r="8">
      <c r="A8" s="88">
        <v>4.0</v>
      </c>
      <c r="B8" s="754">
        <f>IFERROR(__xludf.DUMMYFUNCTION("""COMPUTED_VALUE"""),45729.52381076389)</f>
        <v>45729.52381</v>
      </c>
      <c r="C8" s="325" t="str">
        <f>IFERROR(__xludf.DUMMYFUNCTION("""COMPUTED_VALUE"""),"")</f>
        <v/>
      </c>
      <c r="D8" s="325" t="str">
        <f>IFERROR(__xludf.DUMMYFUNCTION("""COMPUTED_VALUE"""),"조명재")</f>
        <v>조명재</v>
      </c>
      <c r="E8" s="325" t="str">
        <f>IFERROR(__xludf.DUMMYFUNCTION("""COMPUTED_VALUE"""),"셀링남")</f>
        <v>셀링남</v>
      </c>
      <c r="F8" s="325"/>
      <c r="G8" s="755" t="str">
        <f>IFERROR(__xludf.DUMMYFUNCTION("""COMPUTED_VALUE"""),"https://cyclehackers.com/product/283044/")</f>
        <v>https://cyclehackers.com/product/283044/</v>
      </c>
      <c r="H8" s="325" t="str">
        <f>IFERROR(__xludf.DUMMYFUNCTION("""COMPUTED_VALUE"""),"AI로 쉽고 편하게 월300버는 로켓그로스판매+건강기능식품위탁,제조강의")</f>
        <v>AI로 쉽고 편하게 월300버는 로켓그로스판매+건강기능식품위탁,제조강의</v>
      </c>
      <c r="I8" s="325" t="str">
        <f>IFERROR(__xludf.DUMMYFUNCTION("""COMPUTED_VALUE"""),"머니테이커 대표님과 미팅한번 해보고싶습니다 :)")</f>
        <v>머니테이커 대표님과 미팅한번 해보고싶습니다 :)</v>
      </c>
      <c r="J8" s="325" t="str">
        <f>IFERROR(__xludf.DUMMYFUNCTION("""COMPUTED_VALUE"""),"1.쿠팡플랫폼으로만 1제품으로 월2-3억 / 연매출100억")</f>
        <v>1.쿠팡플랫폼으로만 1제품으로 월2-3억 / 연매출100억</v>
      </c>
      <c r="K8" s="325" t="str">
        <f>IFERROR(__xludf.DUMMYFUNCTION("""COMPUTED_VALUE"""),"(1)수강생이 부업이나 타강의성과없다가 월 1억달성 수강생,(2)하루강의듣고 집에서 실습 바로매출발생 https://cafe.naver.com/zed1254/1418")</f>
        <v>(1)수강생이 부업이나 타강의성과없다가 월 1억달성 수강생,(2)하루강의듣고 집에서 실습 바로매출발생 https://cafe.naver.com/zed1254/1418</v>
      </c>
      <c r="L8" s="325" t="str">
        <f>IFERROR(__xludf.DUMMYFUNCTION("""COMPUTED_VALUE"""),"1.쇼핑몰 A-Z 단체교육이더라도 1:1오픈채팅방을 개설하여 강사와 밀착코칭 초/중/고급 이해단계 및 수강생 경력이 각각 다르기때문 그래서 성과가 잘나오는 케이스")</f>
        <v>1.쇼핑몰 A-Z 단체교육이더라도 1:1오픈채팅방을 개설하여 강사와 밀착코칭 초/중/고급 이해단계 및 수강생 경력이 각각 다르기때문 그래서 성과가 잘나오는 케이스</v>
      </c>
      <c r="M8" s="681" t="s">
        <v>29</v>
      </c>
    </row>
    <row r="9">
      <c r="A9" s="88">
        <v>5.0</v>
      </c>
      <c r="B9" s="754">
        <f>IFERROR(__xludf.DUMMYFUNCTION("""COMPUTED_VALUE"""),45733.89746782408)</f>
        <v>45733.89747</v>
      </c>
      <c r="C9" s="325" t="str">
        <f>IFERROR(__xludf.DUMMYFUNCTION("""COMPUTED_VALUE"""),"")</f>
        <v/>
      </c>
      <c r="D9" s="325" t="str">
        <f>IFERROR(__xludf.DUMMYFUNCTION("""COMPUTED_VALUE"""),"이아영")</f>
        <v>이아영</v>
      </c>
      <c r="E9" s="325" t="str">
        <f>IFERROR(__xludf.DUMMYFUNCTION("""COMPUTED_VALUE"""),"설하")</f>
        <v>설하</v>
      </c>
      <c r="F9" s="325"/>
      <c r="G9" s="325" t="str">
        <f>IFERROR(__xludf.DUMMYFUNCTION("""COMPUTED_VALUE"""),"중고등 대상 입시 강의, 입시 컨설팅, 입시 설명회 등의 강의")</f>
        <v>중고등 대상 입시 강의, 입시 컨설팅, 입시 설명회 등의 강의</v>
      </c>
      <c r="H9" s="325" t="str">
        <f>IFERROR(__xludf.DUMMYFUNCTION("""COMPUTED_VALUE"""),"경제 개괄, 부동산 경매 등")</f>
        <v>경제 개괄, 부동산 경매 등</v>
      </c>
      <c r="I9" s="325" t="str">
        <f>IFERROR(__xludf.DUMMYFUNCTION("""COMPUTED_VALUE"""),"무료 수업 듣고 공부 진행하다가 흥미 생겨서")</f>
        <v>무료 수업 듣고 공부 진행하다가 흥미 생겨서</v>
      </c>
      <c r="J9" s="325" t="str">
        <f>IFERROR(__xludf.DUMMYFUNCTION("""COMPUTED_VALUE"""),"아직 없습니다. 노동자산을 통한 확보만 진행했습니다..")</f>
        <v>아직 없습니다. 노동자산을 통한 확보만 진행했습니다..</v>
      </c>
      <c r="K9" s="325"/>
      <c r="L9" s="325" t="str">
        <f>IFERROR(__xludf.DUMMYFUNCTION("""COMPUTED_VALUE"""),"경제 흐름 및 기본 개념 파악, 부동산 기본 개념 파악 등")</f>
        <v>경제 흐름 및 기본 개념 파악, 부동산 기본 개념 파악 등</v>
      </c>
      <c r="M9" s="681" t="s">
        <v>29</v>
      </c>
    </row>
    <row r="10">
      <c r="A10" s="88">
        <v>6.0</v>
      </c>
      <c r="B10" s="754">
        <f>IFERROR(__xludf.DUMMYFUNCTION("""COMPUTED_VALUE"""),45748.5010234375)</f>
        <v>45748.50102</v>
      </c>
      <c r="C10" s="325" t="str">
        <f>IFERROR(__xludf.DUMMYFUNCTION("""COMPUTED_VALUE"""),"")</f>
        <v/>
      </c>
      <c r="D10" s="325" t="str">
        <f>IFERROR(__xludf.DUMMYFUNCTION("""COMPUTED_VALUE"""),"김한나")</f>
        <v>김한나</v>
      </c>
      <c r="E10" s="325" t="str">
        <f>IFERROR(__xludf.DUMMYFUNCTION("""COMPUTED_VALUE"""),"나나")</f>
        <v>나나</v>
      </c>
      <c r="F10" s="325" t="str">
        <f>IFERROR(__xludf.DUMMYFUNCTION("""COMPUTED_VALUE"""),"01053266173")</f>
        <v>01053266173</v>
      </c>
      <c r="G10" s="325" t="str">
        <f>IFERROR(__xludf.DUMMYFUNCTION("""COMPUTED_VALUE"""),"해당 강의와는 관련없으나 온라인 플랫폼 중국어강사로 현재도 강의가 해당 사이트에 판매되고 있는 중입니다당 강의와는 관련없으나 온라인 플랫폼 중국어강사로 강의 등 소개가 남아있는 상태입니다")</f>
        <v>해당 강의와는 관련없으나 온라인 플랫폼 중국어강사로 현재도 강의가 해당 사이트에 판매되고 있는 중입니다당 강의와는 관련없으나 온라인 플랫폼 중국어강사로 강의 등 소개가 남아있는 상태입니다</v>
      </c>
      <c r="H10" s="325" t="str">
        <f>IFERROR(__xludf.DUMMYFUNCTION("""COMPUTED_VALUE"""),"1. 무재고로 14억 중국인구에게 판매하는 중국 이커머스 운영비법  2. 구매대행판매자들에게 해당 중국상품을 판매하기 3. 중국사업자 및 각종 중국이커머스 입점하기 4. 중국판매자로 한국 이커머스에 유리한 조건으로 판매하는 법")</f>
        <v>1. 무재고로 14억 중국인구에게 판매하는 중국 이커머스 운영비법  2. 구매대행판매자들에게 해당 중국상품을 판매하기 3. 중국사업자 및 각종 중국이커머스 입점하기 4. 중국판매자로 한국 이커머스에 유리한 조건으로 판매하는 법</v>
      </c>
      <c r="I10" s="325" t="str">
        <f>IFERROR(__xludf.DUMMYFUNCTION("""COMPUTED_VALUE"""),"중국에서의 유학경험을 쌓고 한국 온라인 중국어 강사를 한지 어느덧 10년이 다 되었습니다 그 동안 결혼과 육아로 인해 거의 사실상 단순 아이를 위한 삶을 살다 저의 장점을 살리기 위해 중국사업을 도전하였습니다 쉽지 않았지만 한국에서도 중국사업자로서 중국이커머스에 입점하여 많은 인구수에 판매해볼 수 있었고 이로 인하여 부업으로 또 지금은 본업으로 중국사업 컨설팅 등과 함께 병행하고 있습니다 중국 이커머스 사업은 한국과 연계하여 확장할 수 있는 가능성과 오"&amp;"히려 많은 분들이 도전해보기 좋고 이를 통해 중국판매자들이 한국 이커머스까지 연계하는 것을 견제할 수 있어 많은 분들이 도전하여 같은 한국인 중국셀러로서  공동체를 만들고 뭉칠 수 있으면 좋을거 같았습니다. 중국에서 학교를 다니고 졸업하여 중국어에 능통하여 해당 중국사업에 어려움 또는 소통에 있어 유리하며 이를 통해 수강생분들의 어려움을 그때그때 해결해드릴 수 있는 가장 큰 장점을 가지고 있습니다")</f>
        <v>중국에서의 유학경험을 쌓고 한국 온라인 중국어 강사를 한지 어느덧 10년이 다 되었습니다 그 동안 결혼과 육아로 인해 거의 사실상 단순 아이를 위한 삶을 살다 저의 장점을 살리기 위해 중국사업을 도전하였습니다 쉽지 않았지만 한국에서도 중국사업자로서 중국이커머스에 입점하여 많은 인구수에 판매해볼 수 있었고 이로 인하여 부업으로 또 지금은 본업으로 중국사업 컨설팅 등과 함께 병행하고 있습니다 중국 이커머스 사업은 한국과 연계하여 확장할 수 있는 가능성과 오히려 많은 분들이 도전해보기 좋고 이를 통해 중국판매자들이 한국 이커머스까지 연계하는 것을 견제할 수 있어 많은 분들이 도전하여 같은 한국인 중국셀러로서  공동체를 만들고 뭉칠 수 있으면 좋을거 같았습니다. 중국에서 학교를 다니고 졸업하여 중국어에 능통하여 해당 중국사업에 어려움 또는 소통에 있어 유리하며 이를 통해 수강생분들의 어려움을 그때그때 해결해드릴 수 있는 가장 큰 장점을 가지고 있습니다</v>
      </c>
      <c r="J10" s="325" t="str">
        <f>IFERROR(__xludf.DUMMYFUNCTION("""COMPUTED_VALUE"""),"1. 중국 이커머스 사업 연매출 한화기준 50억 달성 (일 기준 1~2천만원 정산) ")</f>
        <v>1. 중국 이커머스 사업 연매출 한화기준 50억 달성 (일 기준 1~2천만원 정산) </v>
      </c>
      <c r="K10" s="325" t="str">
        <f>IFERROR(__xludf.DUMMYFUNCTION("""COMPUTED_VALUE"""),"1. 수강생이 해당 중국 이커머스를 시작함으로 무재고로 월 매출 2천만 원 매출 달성")</f>
        <v>1. 수강생이 해당 중국 이커머스를 시작함으로 무재고로 월 매출 2천만 원 매출 달성</v>
      </c>
      <c r="L10" s="325" t="str">
        <f>IFERROR(__xludf.DUMMYFUNCTION("""COMPUTED_VALUE"""),"1. 무자본 무재고로 컴퓨터 한대로 시작하는 월 50~수천만원의 순이익  2. 다양한 중국사업으로 확장 3. 중국판매자로 한국이커머스에 훨씬 유리한 조건으로 판매하는 방법  ")</f>
        <v>1. 무자본 무재고로 컴퓨터 한대로 시작하는 월 50~수천만원의 순이익  2. 다양한 중국사업으로 확장 3. 중국판매자로 한국이커머스에 훨씬 유리한 조건으로 판매하는 방법  </v>
      </c>
      <c r="M10" s="681" t="s">
        <v>29</v>
      </c>
    </row>
    <row r="11">
      <c r="A11" s="88">
        <v>7.0</v>
      </c>
      <c r="B11" s="754">
        <f>IFERROR(__xludf.DUMMYFUNCTION("""COMPUTED_VALUE"""),45749.648363182874)</f>
        <v>45749.64836</v>
      </c>
      <c r="C11" s="325" t="str">
        <f>IFERROR(__xludf.DUMMYFUNCTION("""COMPUTED_VALUE"""),"")</f>
        <v/>
      </c>
      <c r="D11" s="325" t="str">
        <f>IFERROR(__xludf.DUMMYFUNCTION("""COMPUTED_VALUE"""),"김태현")</f>
        <v>김태현</v>
      </c>
      <c r="E11" s="325" t="str">
        <f>IFERROR(__xludf.DUMMYFUNCTION("""COMPUTED_VALUE"""),"TAE")</f>
        <v>TAE</v>
      </c>
      <c r="F11" s="325" t="str">
        <f>IFERROR(__xludf.DUMMYFUNCTION("""COMPUTED_VALUE"""),"01073438569")</f>
        <v>01073438569</v>
      </c>
      <c r="G11" s="325" t="str">
        <f>IFERROR(__xludf.DUMMYFUNCTION("""COMPUTED_VALUE"""),"명품사업 창업관련으로 일대일 또는 일대다 강의 진행")</f>
        <v>명품사업 창업관련으로 일대일 또는 일대다 강의 진행</v>
      </c>
      <c r="H11" s="325" t="str">
        <f>IFERROR(__xludf.DUMMYFUNCTION("""COMPUTED_VALUE"""),"명품판매를 통한 안정적 자동화 창/부업")</f>
        <v>명품판매를 통한 안정적 자동화 창/부업</v>
      </c>
      <c r="I11" s="325" t="str">
        <f>IFERROR(__xludf.DUMMYFUNCTION("""COMPUTED_VALUE"""),"핏크닉에서 진행하는 여러 강의들을 듣고 있습니다. 저희가 내부적으로 진행하고 있는 명품 사업들이 여러 성과를 내고 있는데 관련된 노하우를 나눔으로써 명품 아이템을 활용한 셀러들을 양성하고, 부업 형태로 사업에 참여만 해도 월에 정기적인 수익을 얻을 수 있는 것들을 소개하고자합니다.")</f>
        <v>핏크닉에서 진행하는 여러 강의들을 듣고 있습니다. 저희가 내부적으로 진행하고 있는 명품 사업들이 여러 성과를 내고 있는데 관련된 노하우를 나눔으로써 명품 아이템을 활용한 셀러들을 양성하고, 부업 형태로 사업에 참여만 해도 월에 정기적인 수익을 얻을 수 있는 것들을 소개하고자합니다.</v>
      </c>
      <c r="J11" s="325" t="str">
        <f>IFERROR(__xludf.DUMMYFUNCTION("""COMPUTED_VALUE"""),"이커머스 시장에 총 16년 경력으로,  명품아이템을 통한 이커머스는 14년이상입니다. 현재 자제적으로 명품 렌탈/판매 사업을 8년째 운영중이고,  연평균 명품렌탈 매출은 4억원대이며 명품커머스 거래액 80억 규모와 비슷합니다.")</f>
        <v>이커머스 시장에 총 16년 경력으로,  명품아이템을 통한 이커머스는 14년이상입니다. 현재 자제적으로 명품 렌탈/판매 사업을 8년째 운영중이고,  연평균 명품렌탈 매출은 4억원대이며 명품커머스 거래액 80억 규모와 비슷합니다.</v>
      </c>
      <c r="K11" s="325" t="str">
        <f>IFERROR(__xludf.DUMMYFUNCTION("""COMPUTED_VALUE"""),"렌탈 사업 매출 3200만원(수익 1300만원) 명품 판매 매출 4300만원(수익 1548만원) 3개월 기준")</f>
        <v>렌탈 사업 매출 3200만원(수익 1300만원) 명품 판매 매출 4300만원(수익 1548만원) 3개월 기준</v>
      </c>
      <c r="L11" s="325" t="str">
        <f>IFERROR(__xludf.DUMMYFUNCTION("""COMPUTED_VALUE"""),"명품 창/부업을 통해 매월 소량 판매와 관리만으로 300만원 이상의 수익")</f>
        <v>명품 창/부업을 통해 매월 소량 판매와 관리만으로 300만원 이상의 수익</v>
      </c>
      <c r="M11" s="681" t="s">
        <v>29</v>
      </c>
    </row>
    <row r="12">
      <c r="A12" s="88">
        <v>8.0</v>
      </c>
      <c r="B12" s="754">
        <f>IFERROR(__xludf.DUMMYFUNCTION("""COMPUTED_VALUE"""),45751.868371550925)</f>
        <v>45751.86837</v>
      </c>
      <c r="C12" s="325" t="str">
        <f>IFERROR(__xludf.DUMMYFUNCTION("""COMPUTED_VALUE"""),"")</f>
        <v/>
      </c>
      <c r="D12" s="325" t="str">
        <f>IFERROR(__xludf.DUMMYFUNCTION("""COMPUTED_VALUE"""),"전병호")</f>
        <v>전병호</v>
      </c>
      <c r="E12" s="325" t="str">
        <f>IFERROR(__xludf.DUMMYFUNCTION("""COMPUTED_VALUE"""),"건강셀러")</f>
        <v>건강셀러</v>
      </c>
      <c r="F12" s="325" t="str">
        <f>IFERROR(__xludf.DUMMYFUNCTION("""COMPUTED_VALUE"""),"010-2935-1646")</f>
        <v>010-2935-1646</v>
      </c>
      <c r="G12" s="325" t="str">
        <f>IFERROR(__xludf.DUMMYFUNCTION("""COMPUTED_VALUE"""),"지금은 사라진 트렌드헌터와 강의 및 컨설팅 진행")</f>
        <v>지금은 사라진 트렌드헌터와 강의 및 컨설팅 진행</v>
      </c>
      <c r="H12" s="325" t="str">
        <f>IFERROR(__xludf.DUMMYFUNCTION("""COMPUTED_VALUE"""),"1. 초보자도 가능한 건강식품으로 쿠팡 월매출 천만원 보장반")</f>
        <v>1. 초보자도 가능한 건강식품으로 쿠팡 월매출 천만원 보장반</v>
      </c>
      <c r="I12" s="325" t="str">
        <f>IFERROR(__xludf.DUMMYFUNCTION("""COMPUTED_VALUE"""),"지분 매각 후 제2의 인생을 강사로서 활동을 하기 위하여 지원하게 되었습니다.")</f>
        <v>지분 매각 후 제2의 인생을 강사로서 활동을 하기 위하여 지원하게 되었습니다.</v>
      </c>
      <c r="J12" s="325" t="str">
        <f>IFERROR(__xludf.DUMMYFUNCTION("""COMPUTED_VALUE"""),"건기식 브랜드 연매출 500억 창업 멤버(직원수 50명)")</f>
        <v>건기식 브랜드 연매출 500억 창업 멤버(직원수 50명)</v>
      </c>
      <c r="K12" s="325" t="str">
        <f>IFERROR(__xludf.DUMMYFUNCTION("""COMPUTED_VALUE"""),"1. 자사몰 월매출 1억 돌파 2. 쿠팡 월매출 3천만원 돌파")</f>
        <v>1. 자사몰 월매출 1억 돌파 2. 쿠팡 월매출 3천만원 돌파</v>
      </c>
      <c r="L12" s="325" t="str">
        <f>IFERROR(__xludf.DUMMYFUNCTION("""COMPUTED_VALUE"""),"건강식품으로 쿠팡 월매출 천만원 보장반")</f>
        <v>건강식품으로 쿠팡 월매출 천만원 보장반</v>
      </c>
      <c r="M12" s="681" t="s">
        <v>29</v>
      </c>
    </row>
    <row r="13">
      <c r="A13" s="88">
        <v>9.0</v>
      </c>
      <c r="B13" s="754">
        <f>IFERROR(__xludf.DUMMYFUNCTION("""COMPUTED_VALUE"""),45792.58389982639)</f>
        <v>45792.5839</v>
      </c>
      <c r="C13" s="325" t="str">
        <f>IFERROR(__xludf.DUMMYFUNCTION("""COMPUTED_VALUE"""),"")</f>
        <v/>
      </c>
      <c r="D13" s="325" t="str">
        <f>IFERROR(__xludf.DUMMYFUNCTION("""COMPUTED_VALUE"""),"김상준")</f>
        <v>김상준</v>
      </c>
      <c r="E13" s="325" t="str">
        <f>IFERROR(__xludf.DUMMYFUNCTION("""COMPUTED_VALUE"""),"대장TV")</f>
        <v>대장TV</v>
      </c>
      <c r="F13" s="325" t="str">
        <f>IFERROR(__xludf.DUMMYFUNCTION("""COMPUTED_VALUE"""),"010-7767-9708")</f>
        <v>010-7767-9708</v>
      </c>
      <c r="G13" s="755" t="str">
        <f>IFERROR(__xludf.DUMMYFUNCTION("""COMPUTED_VALUE"""),"https://cafe.naver.com/mkjournal")</f>
        <v>https://cafe.naver.com/mkjournal</v>
      </c>
      <c r="H13" s="325" t="str">
        <f>IFERROR(__xludf.DUMMYFUNCTION("""COMPUTED_VALUE"""),"부동산 경매를 통해 돈을 버는 방법")</f>
        <v>부동산 경매를 통해 돈을 버는 방법</v>
      </c>
      <c r="I13" s="325" t="str">
        <f>IFERROR(__xludf.DUMMYFUNCTION("""COMPUTED_VALUE"""),"다양한 매체를 통해 정보 전달을 위해")</f>
        <v>다양한 매체를 통해 정보 전달을 위해</v>
      </c>
      <c r="J13" s="325" t="str">
        <f>IFERROR(__xludf.DUMMYFUNCTION("""COMPUTED_VALUE"""),"유튜브 33만 구독자")</f>
        <v>유튜브 33만 구독자</v>
      </c>
      <c r="K13" s="325" t="str">
        <f>IFERROR(__xludf.DUMMYFUNCTION("""COMPUTED_VALUE"""),"부동산 경매를 통해 시세 차익~디벨롭")</f>
        <v>부동산 경매를 통해 시세 차익~디벨롭</v>
      </c>
      <c r="L13" s="325" t="str">
        <f>IFERROR(__xludf.DUMMYFUNCTION("""COMPUTED_VALUE"""),"경매를 통해, 시세보다 저렴하게 부동산 구입")</f>
        <v>경매를 통해, 시세보다 저렴하게 부동산 구입</v>
      </c>
      <c r="M13" s="681" t="s">
        <v>29</v>
      </c>
    </row>
    <row r="14">
      <c r="A14" s="88">
        <v>10.0</v>
      </c>
      <c r="B14" s="754">
        <f>IFERROR(__xludf.DUMMYFUNCTION("""COMPUTED_VALUE"""),45792.68390833333)</f>
        <v>45792.68391</v>
      </c>
      <c r="C14" s="325" t="str">
        <f>IFERROR(__xludf.DUMMYFUNCTION("""COMPUTED_VALUE"""),"")</f>
        <v/>
      </c>
      <c r="D14" s="325" t="str">
        <f>IFERROR(__xludf.DUMMYFUNCTION("""COMPUTED_VALUE"""),"박건주")</f>
        <v>박건주</v>
      </c>
      <c r="E14" s="325" t="str">
        <f>IFERROR(__xludf.DUMMYFUNCTION("""COMPUTED_VALUE"""),"150스튜디오")</f>
        <v>150스튜디오</v>
      </c>
      <c r="F14" s="325" t="str">
        <f>IFERROR(__xludf.DUMMYFUNCTION("""COMPUTED_VALUE"""),"01056554017")</f>
        <v>01056554017</v>
      </c>
      <c r="G14" s="755" t="str">
        <f>IFERROR(__xludf.DUMMYFUNCTION("""COMPUTED_VALUE"""),"https://www.taling.me/talent/17095")</f>
        <v>https://www.taling.me/talent/17095</v>
      </c>
      <c r="H14" s="325" t="str">
        <f>IFERROR(__xludf.DUMMYFUNCTION("""COMPUTED_VALUE"""),"B2B렌탈스튜디오로 자동화 수익 방법")</f>
        <v>B2B렌탈스튜디오로 자동화 수익 방법</v>
      </c>
      <c r="I14" s="325" t="str">
        <f>IFERROR(__xludf.DUMMYFUNCTION("""COMPUTED_VALUE"""),"대기업 다니다가 에어비앤비와 렌탈스튜디오를 운영하여 퇴사한 스토리와 강의를 잘 할 수 있으며 현재 공간사업에 소개가 안 되고 있는 b2b렌탈스튜디오 콘텐츠를 직접 운영하여 수익을 올리고 있습니다. ")</f>
        <v>대기업 다니다가 에어비앤비와 렌탈스튜디오를 운영하여 퇴사한 스토리와 강의를 잘 할 수 있으며 현재 공간사업에 소개가 안 되고 있는 b2b렌탈스튜디오 콘텐츠를 직접 운영하여 수익을 올리고 있습니다. </v>
      </c>
      <c r="J14" s="325" t="str">
        <f>IFERROR(__xludf.DUMMYFUNCTION("""COMPUTED_VALUE"""),"최근 50평 스튜디오 오픈후(24년 7월 오픈),  7개월만에 1억 매출달성")</f>
        <v>최근 50평 스튜디오 오픈후(24년 7월 오픈),  7개월만에 1억 매출달성</v>
      </c>
      <c r="K14" s="325" t="str">
        <f>IFERROR(__xludf.DUMMYFUNCTION("""COMPUTED_VALUE"""),"해당 주제로 강의 시작전이며, 스튜디오 방문해서 창업컨설팅 받고, 인테리어공사도 함께 완료함.(2025년 5월 오픈, 버치하우스 렌탈스튜디오)")</f>
        <v>해당 주제로 강의 시작전이며, 스튜디오 방문해서 창업컨설팅 받고, 인테리어공사도 함께 완료함.(2025년 5월 오픈, 버치하우스 렌탈스튜디오)</v>
      </c>
      <c r="L14" s="325" t="str">
        <f>IFERROR(__xludf.DUMMYFUNCTION("""COMPUTED_VALUE"""),"렌탈스튜디오 운영을 통해 월300만원 자동화 수익")</f>
        <v>렌탈스튜디오 운영을 통해 월300만원 자동화 수익</v>
      </c>
      <c r="M14" s="681" t="s">
        <v>29</v>
      </c>
    </row>
    <row r="15">
      <c r="A15" s="88">
        <v>11.0</v>
      </c>
      <c r="B15" s="754">
        <f>IFERROR(__xludf.DUMMYFUNCTION("""COMPUTED_VALUE"""),45794.14107053241)</f>
        <v>45794.14107</v>
      </c>
      <c r="C15" s="325" t="str">
        <f>IFERROR(__xludf.DUMMYFUNCTION("""COMPUTED_VALUE"""),"")</f>
        <v/>
      </c>
      <c r="D15" s="325" t="str">
        <f>IFERROR(__xludf.DUMMYFUNCTION("""COMPUTED_VALUE"""),"김현진 ")</f>
        <v>김현진 </v>
      </c>
      <c r="E15" s="325" t="str">
        <f>IFERROR(__xludf.DUMMYFUNCTION("""COMPUTED_VALUE"""),"김센세")</f>
        <v>김센세</v>
      </c>
      <c r="F15" s="325" t="str">
        <f>IFERROR(__xludf.DUMMYFUNCTION("""COMPUTED_VALUE"""),"01020558250")</f>
        <v>01020558250</v>
      </c>
      <c r="G15"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H15" s="325" t="str">
        <f>IFERROR(__xludf.DUMMYFUNCTION("""COMPUTED_VALUE"""),"무자본 인수합병 방법")</f>
        <v>무자본 인수합병 방법</v>
      </c>
      <c r="I15" s="325" t="str">
        <f>IFERROR(__xludf.DUMMYFUNCTION("""COMPUTED_VALUE"""),"이론과 실전과 내공과 연륜과 업력과 성과를 겸비하였습니다.")</f>
        <v>이론과 실전과 내공과 연륜과 업력과 성과를 겸비하였습니다.</v>
      </c>
      <c r="J15" s="325" t="str">
        <f>IFERROR(__xludf.DUMMYFUNCTION("""COMPUTED_VALUE"""),"1년 만에 15개 헬스장 인수합병")</f>
        <v>1년 만에 15개 헬스장 인수합병</v>
      </c>
      <c r="K15" s="325" t="str">
        <f>IFERROR(__xludf.DUMMYFUNCTION("""COMPUTED_VALUE"""),"무자본창업 위탁운영")</f>
        <v>무자본창업 위탁운영</v>
      </c>
      <c r="L15" s="325" t="str">
        <f>IFERROR(__xludf.DUMMYFUNCTION("""COMPUTED_VALUE"""),"무자본 창업 가능")</f>
        <v>무자본 창업 가능</v>
      </c>
      <c r="M15" s="681" t="s">
        <v>29</v>
      </c>
    </row>
    <row r="16">
      <c r="A16" s="88">
        <v>12.0</v>
      </c>
      <c r="B16" s="754">
        <f>IFERROR(__xludf.DUMMYFUNCTION("""COMPUTED_VALUE"""),45796.697007916664)</f>
        <v>45796.69701</v>
      </c>
      <c r="C16" s="325" t="str">
        <f>IFERROR(__xludf.DUMMYFUNCTION("""COMPUTED_VALUE"""),"")</f>
        <v/>
      </c>
      <c r="D16" s="325" t="str">
        <f>IFERROR(__xludf.DUMMYFUNCTION("""COMPUTED_VALUE"""),"윤재철")</f>
        <v>윤재철</v>
      </c>
      <c r="E16" s="325" t="str">
        <f>IFERROR(__xludf.DUMMYFUNCTION("""COMPUTED_VALUE"""),"철대표")</f>
        <v>철대표</v>
      </c>
      <c r="F16" s="325" t="str">
        <f>IFERROR(__xludf.DUMMYFUNCTION("""COMPUTED_VALUE"""),"010-9159-2703")</f>
        <v>010-9159-2703</v>
      </c>
      <c r="G16" s="325" t="str">
        <f>IFERROR(__xludf.DUMMYFUNCTION("""COMPUTED_VALUE"""),"https://cafe.naver.com/f-e/cafes/31261568/articles/124?boardtype=L&amp;menuid=3&amp;referrerAllArticles=false            ,             https://cafe.naver.com/f-e/cafes/10737967/articles/12693?boardtype=L&amp;menuid=441&amp;referrerAllArticles=false    2곳에서 모집진행중입니다    ")</f>
        <v>https://cafe.naver.com/f-e/cafes/31261568/articles/124?boardtype=L&amp;menuid=3&amp;referrerAllArticles=false            ,             https://cafe.naver.com/f-e/cafes/10737967/articles/12693?boardtype=L&amp;menuid=441&amp;referrerAllArticles=false    2곳에서 모집진행중입니다    </v>
      </c>
      <c r="H16" s="325" t="str">
        <f>IFERROR(__xludf.DUMMYFUNCTION("""COMPUTED_VALUE"""),"쿠팡전문강의로서   부업을 원하는 직장인은 재고없는 노재고 사업과   무자본사업으로  리스크없이 부수입을 얻을수있고  고매출을 원하는 전업셀러에게는 다른강사에게는 없는 나만의 방식으로 고매출수강생을 배출할수 있습니다")</f>
        <v>쿠팡전문강의로서   부업을 원하는 직장인은 재고없는 노재고 사업과   무자본사업으로  리스크없이 부수입을 얻을수있고  고매출을 원하는 전업셀러에게는 다른강사에게는 없는 나만의 방식으로 고매출수강생을 배출할수 있습니다</v>
      </c>
      <c r="I16" s="325" t="str">
        <f>IFERROR(__xludf.DUMMYFUNCTION("""COMPUTED_VALUE"""),"지원한 동기 =  개인적인 홍보방법으로 수강생을 모집하는것을 벗어나     더욱더체계적인 마케팅과 시스템으로    많은수강생을 보유하고 있는 강의전문회사에서 강의를 해보고 싶어서 지원하게 되었습니다    현재  쿠팡 로켓그로스 전문강사로써 현재 8기강의를 진행하고 있고 수강생을 100명이상 배출하였는데 핏크닉의 전문강의시스템을 도입하면 훨씬 많은 고매출의 수강생을 배출할수있는 시너지가 생길거라고 믿습니다    ")</f>
        <v>지원한 동기 =  개인적인 홍보방법으로 수강생을 모집하는것을 벗어나     더욱더체계적인 마케팅과 시스템으로    많은수강생을 보유하고 있는 강의전문회사에서 강의를 해보고 싶어서 지원하게 되었습니다    현재  쿠팡 로켓그로스 전문강사로써 현재 8기강의를 진행하고 있고 수강생을 100명이상 배출하였는데 핏크닉의 전문강의시스템을 도입하면 훨씬 많은 고매출의 수강생을 배출할수있는 시너지가 생길거라고 믿습니다    </v>
      </c>
      <c r="J16" s="325" t="str">
        <f>IFERROR(__xludf.DUMMYFUNCTION("""COMPUTED_VALUE"""),"강사본인의 경력 =월3억대매출 이번여름은 월4억대이상 매출예상 순마진 25프로 (성수기 4~8월 , 10~1월 기준    최근연매출 20억대이상이며 매출은 계속성장중)")</f>
        <v>강사본인의 경력 =월3억대매출 이번여름은 월4억대이상 매출예상 순마진 25프로 (성수기 4~8월 , 10~1월 기준    최근연매출 20억대이상이며 매출은 계속성장중)</v>
      </c>
      <c r="K16" s="325" t="str">
        <f>IFERROR(__xludf.DUMMYFUNCTION("""COMPUTED_VALUE"""),"쿠팡 로켓그로스 전문강사로써 현재 8기강의를 진행하고 있고 수강생을 100명이상 배출했습니다   월 억대이상의 수강생들도 10명이상,  월5천만이상 수강생 20~30명배출하여서 고매출수강생배출강사로 인지도를 얻고있습니다")</f>
        <v>쿠팡 로켓그로스 전문강사로써 현재 8기강의를 진행하고 있고 수강생을 100명이상 배출했습니다   월 억대이상의 수강생들도 10명이상,  월5천만이상 수강생 20~30명배출하여서 고매출수강생배출강사로 인지도를 얻고있습니다</v>
      </c>
      <c r="L16" s="325" t="str">
        <f>IFERROR(__xludf.DUMMYFUNCTION("""COMPUTED_VALUE"""),"1 부업을 원하는 직장인은 재고없는 노재고 사업과   무자본사업으로  리스크없이 월300이상  부수입을 얻을수있고       고매출을 원하는 전업셀러에게는 다른강사에게는 없는 나만의 방식으로  억대이상의 고매출수강생을 배출할수 있습니다  ")</f>
        <v>1 부업을 원하는 직장인은 재고없는 노재고 사업과   무자본사업으로  리스크없이 월300이상  부수입을 얻을수있고       고매출을 원하는 전업셀러에게는 다른강사에게는 없는 나만의 방식으로  억대이상의 고매출수강생을 배출할수 있습니다  </v>
      </c>
      <c r="M16" s="681" t="s">
        <v>29</v>
      </c>
    </row>
    <row r="17">
      <c r="A17" s="88">
        <v>13.0</v>
      </c>
      <c r="B17" s="754">
        <f>IFERROR(__xludf.DUMMYFUNCTION("""COMPUTED_VALUE"""),45797.48587159722)</f>
        <v>45797.48587</v>
      </c>
      <c r="C17" s="325" t="str">
        <f>IFERROR(__xludf.DUMMYFUNCTION("""COMPUTED_VALUE"""),"")</f>
        <v/>
      </c>
      <c r="D17" s="325" t="str">
        <f>IFERROR(__xludf.DUMMYFUNCTION("""COMPUTED_VALUE"""),"김동훈")</f>
        <v>김동훈</v>
      </c>
      <c r="E17" s="325" t="str">
        <f>IFERROR(__xludf.DUMMYFUNCTION("""COMPUTED_VALUE"""),"김동훈")</f>
        <v>김동훈</v>
      </c>
      <c r="F17" s="325" t="str">
        <f>IFERROR(__xludf.DUMMYFUNCTION("""COMPUTED_VALUE"""),"010-9347-7264")</f>
        <v>010-9347-7264</v>
      </c>
      <c r="G17" s="755" t="str">
        <f>IFERROR(__xludf.DUMMYFUNCTION("""COMPUTED_VALUE"""),"https://learningspoons.com/course/detail/health-free/")</f>
        <v>https://learningspoons.com/course/detail/health-free/</v>
      </c>
      <c r="H17" s="325" t="str">
        <f>IFERROR(__xludf.DUMMYFUNCTION("""COMPUTED_VALUE"""),"""남는재고까지 케어? 제조부터 재고 0개까지 보장락!"" 기존의 단순한 ‘소량 OEM 제조 강의’와는 차별화된 주제로 강의하려고 합니다. 16년간 건강식품(기능) 분야에서 쌓아온 노하우를 바탕으로, 제조부터 판매, 사후 재고 관리까지 실질적 강의 혜택을 제공하려고 합니다  -제조 전 과정 1:1 전문가 피드백 제공 -월 매출 9억 원 이상을 기록 중인 실도매몰 입점 기회 -남은 재고는 자사 재매입을 통한 ‘재고 리스크 제로 시스템’ 운영  많은 예비 "&amp;"창업자들이 OEM 제조 후 마케팅 역량 부족, 경험 부족으로 인해 오히려 제품 제작 이전보다 더 큰 재고 부담과 경제적 손실을 겪고 있는것이 현실입니다 그래서 저희는 두루뭉실하게 '채팅으로 소통해준다' '소량제조해준다' 라고 하지 않습니다 온라인판매 부업에 있어서 가장 현실적인 문제인 재고문제까지 끝까지 함께 합니다.  자사 도매몰 입점을 통해 수백 명의 판매자들이 수강생 본인의 브랜드 제품을 함께 판매함으로써 단기간 매출 증대는 물론, 브랜딩 효과까지"&amp;" 동반 상승시킬 수 있습니다  또한, 판매 후 재고가 일부 남더라도 자사가 직접 재고를 재매입함으로써 수강생의 부담을 원천 차단하며, 끝까지 책임지는 '사후관리'를 하고자합니다  그리고 타 강의와는 다르게, 건강식품뿐만 아니라 건강기능식품에 대해서도 최소 수량으로 소량 OEM을 진행할 수 있는 방법 및 마케팅을 강의하려고 합니다  트렌드에 맞는 원료 추천부터 건강기능식품 시장의 분석을 통해 적합한 원료를 제시하고, 분말, 타정, 액상형 등 다양한 제형의"&amp;" 제품개발과 수강생이 원하는 원료들의 배합을 최상의컨디션으로 제작할 수 있도록 전 과정을 강사가 컨설팅 할 예정입니다.  소량oem 제조뿐만 아니라 초보자들, 온라인창업 경험이 있는 수강생분들도 어려워하는 건강기능식품 제조에 필요한 법적 절차와 상세페이지, 디자인관련 과대광고 제출 서류 등 수강생들의 브랜드를 쉽고 체계적으로 만들수 있도록 OEM 제조의 전 과정에 대해 깊이 있는 교육을 제공하고자 합니다.  16년간 판매자들에게 제공했던 정기적인 세미나"&amp;", 오프라인&amp;온라인 교육을 했던 경험을 토대로 기초적인 온라인창업 서류준비부터 건강식품 판매에 꼭 필요한 법적인 문제 및 해결방법, 광고세팅과정 및 상위노출을 위한 키워드 / 썸네일 / 상세페이지 / 상품명 등 매출을 위한 실전마케팅까지 수천,수억 매출을 내는 판매자들을 육성해왔던 엠에스굿포유 대표님이 직접 강의를 진행하려고 합니다.")</f>
        <v>"남는재고까지 케어? 제조부터 재고 0개까지 보장락!" 기존의 단순한 ‘소량 OEM 제조 강의’와는 차별화된 주제로 강의하려고 합니다. 16년간 건강식품(기능) 분야에서 쌓아온 노하우를 바탕으로, 제조부터 판매, 사후 재고 관리까지 실질적 강의 혜택을 제공하려고 합니다  -제조 전 과정 1:1 전문가 피드백 제공 -월 매출 9억 원 이상을 기록 중인 실도매몰 입점 기회 -남은 재고는 자사 재매입을 통한 ‘재고 리스크 제로 시스템’ 운영  많은 예비 창업자들이 OEM 제조 후 마케팅 역량 부족, 경험 부족으로 인해 오히려 제품 제작 이전보다 더 큰 재고 부담과 경제적 손실을 겪고 있는것이 현실입니다 그래서 저희는 두루뭉실하게 '채팅으로 소통해준다' '소량제조해준다' 라고 하지 않습니다 온라인판매 부업에 있어서 가장 현실적인 문제인 재고문제까지 끝까지 함께 합니다.  자사 도매몰 입점을 통해 수백 명의 판매자들이 수강생 본인의 브랜드 제품을 함께 판매함으로써 단기간 매출 증대는 물론, 브랜딩 효과까지 동반 상승시킬 수 있습니다  또한, 판매 후 재고가 일부 남더라도 자사가 직접 재고를 재매입함으로써 수강생의 부담을 원천 차단하며, 끝까지 책임지는 '사후관리'를 하고자합니다  그리고 타 강의와는 다르게, 건강식품뿐만 아니라 건강기능식품에 대해서도 최소 수량으로 소량 OEM을 진행할 수 있는 방법 및 마케팅을 강의하려고 합니다  트렌드에 맞는 원료 추천부터 건강기능식품 시장의 분석을 통해 적합한 원료를 제시하고, 분말, 타정, 액상형 등 다양한 제형의 제품개발과 수강생이 원하는 원료들의 배합을 최상의컨디션으로 제작할 수 있도록 전 과정을 강사가 컨설팅 할 예정입니다.  소량oem 제조뿐만 아니라 초보자들, 온라인창업 경험이 있는 수강생분들도 어려워하는 건강기능식품 제조에 필요한 법적 절차와 상세페이지, 디자인관련 과대광고 제출 서류 등 수강생들의 브랜드를 쉽고 체계적으로 만들수 있도록 OEM 제조의 전 과정에 대해 깊이 있는 교육을 제공하고자 합니다.  16년간 판매자들에게 제공했던 정기적인 세미나, 오프라인&amp;온라인 교육을 했던 경험을 토대로 기초적인 온라인창업 서류준비부터 건강식품 판매에 꼭 필요한 법적인 문제 및 해결방법, 광고세팅과정 및 상위노출을 위한 키워드 / 썸네일 / 상세페이지 / 상품명 등 매출을 위한 실전마케팅까지 수천,수억 매출을 내는 판매자들을 육성해왔던 엠에스굿포유 대표님이 직접 강의를 진행하려고 합니다.</v>
      </c>
      <c r="I17" s="325" t="str">
        <f>IFERROR(__xludf.DUMMYFUNCTION("""COMPUTED_VALUE"""),"업력 16년차로 약 2천명이 넘는 회원들을 직접 교육하고, 월 8억매출의 도매몰을 운영중입니다.  그 과정에서 ‘수백~수천 개 재고를 떠안은 채 OEM 제조를 진행했지만, 마케팅 부족과 경험 부족으로 온라인 시장에서 어려움을 겪는 수많은 초보 판매자들’을 직접 마주해왔습니다  그분들이 제조 이후 시장에 혼자 내몰려 피드백도, 조언도 없이 방황하는 현실을 보며, 실질적으로 ‘끝까지 책임지는 교육’을 제공해야겠다는 확신이 들었습니다. 그래서 재고와 비용 부"&amp;"담 없이 자신의 브랜드를 안정적으로 런칭할 수 있도록 돕기 위해 지원하게 되었습니다.  온라인 판매 부업 시장의 가장 큰 문제는 기초·심화 교육의 부재와 재고에 대한 실질적 리스크입니다 일부 강의는 커리큘럼 이후 단톡방이나 메일 등 제한적인 방식으로만 소통하며, 정작 가장 현실적인 문제인 제조 후 재고 처리, 유통, 법적 대응에 대해서는 온전히 판매자 개인의 책임으로 돌아가는 것이 현재상황인것 같습니다.  하지만 저희는 oem제조는 끝이아닌 시작이라고 "&amp;"생각합니다. 제조 이후부터가 본격적인 책임의 시작이라 생각하며 도매몰을 통한 제품판매기회와 함께 추후 남은 물량을 재사입함으로써 끝까지 사후관리까지 체계적으로 제공함으로써, 수강생이 처음부터 끝까지 실제로 제품을 만들고, 팔고, 성장할 수 있는 구조를 만들어드립니다.  이런 실전형 시스템이 저의 가장 큰 강점이며, 바로 이것이 제가 강사로 지원하게 된 가장 큰 계기입니다.")</f>
        <v>업력 16년차로 약 2천명이 넘는 회원들을 직접 교육하고, 월 8억매출의 도매몰을 운영중입니다.  그 과정에서 ‘수백~수천 개 재고를 떠안은 채 OEM 제조를 진행했지만, 마케팅 부족과 경험 부족으로 온라인 시장에서 어려움을 겪는 수많은 초보 판매자들’을 직접 마주해왔습니다  그분들이 제조 이후 시장에 혼자 내몰려 피드백도, 조언도 없이 방황하는 현실을 보며, 실질적으로 ‘끝까지 책임지는 교육’을 제공해야겠다는 확신이 들었습니다. 그래서 재고와 비용 부담 없이 자신의 브랜드를 안정적으로 런칭할 수 있도록 돕기 위해 지원하게 되었습니다.  온라인 판매 부업 시장의 가장 큰 문제는 기초·심화 교육의 부재와 재고에 대한 실질적 리스크입니다 일부 강의는 커리큘럼 이후 단톡방이나 메일 등 제한적인 방식으로만 소통하며, 정작 가장 현실적인 문제인 제조 후 재고 처리, 유통, 법적 대응에 대해서는 온전히 판매자 개인의 책임으로 돌아가는 것이 현재상황인것 같습니다.  하지만 저희는 oem제조는 끝이아닌 시작이라고 생각합니다. 제조 이후부터가 본격적인 책임의 시작이라 생각하며 도매몰을 통한 제품판매기회와 함께 추후 남은 물량을 재사입함으로써 끝까지 사후관리까지 체계적으로 제공함으로써, 수강생이 처음부터 끝까지 실제로 제품을 만들고, 팔고, 성장할 수 있는 구조를 만들어드립니다.  이런 실전형 시스템이 저의 가장 큰 강점이며, 바로 이것이 제가 강사로 지원하게 된 가장 큰 계기입니다.</v>
      </c>
      <c r="J17" s="325" t="str">
        <f>IFERROR(__xludf.DUMMYFUNCTION("""COMPUTED_VALUE"""),"저희는 건강식품 도매몰을 통해 위탁 및 oem을 진행하고 있습니다. 현재기준 최대 연매출: 90억 최대 월매출: 9억 현재 월매출: 8억  그리고 직접 컨설팅했던 판매자분들 매출은 아래와 같습니다. 판매자1: 24년 10.18 ~ 11.17일 기준 - 약 1억 5천만원 판매자2: 25년 1월기준 - 약 1억 9천 / 2월기준 - 약 2억 4천 판매자3: 25년 2월 기준 - 약 1억 판매자4: 24년 1월 기준 - 약 1억")</f>
        <v>저희는 건강식품 도매몰을 통해 위탁 및 oem을 진행하고 있습니다. 현재기준 최대 연매출: 90억 최대 월매출: 9억 현재 월매출: 8억  그리고 직접 컨설팅했던 판매자분들 매출은 아래와 같습니다. 판매자1: 24년 10.18 ~ 11.17일 기준 - 약 1억 5천만원 판매자2: 25년 1월기준 - 약 1억 9천 / 2월기준 - 약 2억 4천 판매자3: 25년 2월 기준 - 약 1억 판매자4: 24년 1월 기준 - 약 1억</v>
      </c>
      <c r="K17" s="325" t="str">
        <f>IFERROR(__xludf.DUMMYFUNCTION("""COMPUTED_VALUE"""),"판매자1: 24년 10.18 ~ 11.17일 기준 - 약 1억 5천만원 판매자2: 25년 1월기준 - 약 1억 9천 / 2월기준 - 약 2억 4천 판매자3: 25년 2월 기준 - 약 1억 판매자4: 24년 1월 기준 - 약 1억")</f>
        <v>판매자1: 24년 10.18 ~ 11.17일 기준 - 약 1억 5천만원 판매자2: 25년 1월기준 - 약 1억 9천 / 2월기준 - 약 2억 4천 판매자3: 25년 2월 기준 - 약 1억 판매자4: 24년 1월 기준 - 약 1억</v>
      </c>
      <c r="L17" s="325" t="str">
        <f>IFERROR(__xludf.DUMMYFUNCTION("""COMPUTED_VALUE"""),"수강생은 단순히 OEM 제조 방법이나 이론 지식이 아닌, 실제로 제품을 만들고, 유통시키고, 수익을 창출하는 전 과정을 경험할 수 있습니다  1. 소량 OEM으로 자신만의 브랜드 제품을 직접 출시하게 되며, 단순 제작에 그치지 않고 실제 도매몰에 입점하여 판매까지 연결됩니다 2. 재고 리스크 없는 안심 구조로 제품이 남더라도 자사 도매몰에서 재사입 시스템을 운영하여, 초보자들이 가장 두려워하는 ‘재고 부담’ 없이 안정적으로 사업을 시작할 수 있습니다 3"&amp;". 1:1 맞춤 피드백과 실전 중심 교육 제조 전 단계부터 전문가의 개별 피드백을 받을 수 있습니다  저희는 제조 이후까지 책임지는 '사후관리형 교육' 입니다 강의 이후에도 단순한 소통이 아닌, 실질적인 판매 기회 제공과 운영 지원을 통해 ‘제조만 해놓고 끝나는 강의’와는 다른 진짜 창업 경험을 제공합니다  이 강의를 수강한 분들은 단순한 지식 전달이 아닌, 경쟁력 있는 판매자로서 온라인창업과 마케팅까지 온라인 관련 정보를 함께 얻을 수 있어, 건강식품"&amp;" 뿐만 아니라 다른 카테고리의 상품들에게 적용하여 추가적인 수입을 얻을 수 있습니다")</f>
        <v>수강생은 단순히 OEM 제조 방법이나 이론 지식이 아닌, 실제로 제품을 만들고, 유통시키고, 수익을 창출하는 전 과정을 경험할 수 있습니다  1. 소량 OEM으로 자신만의 브랜드 제품을 직접 출시하게 되며, 단순 제작에 그치지 않고 실제 도매몰에 입점하여 판매까지 연결됩니다 2. 재고 리스크 없는 안심 구조로 제품이 남더라도 자사 도매몰에서 재사입 시스템을 운영하여, 초보자들이 가장 두려워하는 ‘재고 부담’ 없이 안정적으로 사업을 시작할 수 있습니다 3. 1:1 맞춤 피드백과 실전 중심 교육 제조 전 단계부터 전문가의 개별 피드백을 받을 수 있습니다  저희는 제조 이후까지 책임지는 '사후관리형 교육' 입니다 강의 이후에도 단순한 소통이 아닌, 실질적인 판매 기회 제공과 운영 지원을 통해 ‘제조만 해놓고 끝나는 강의’와는 다른 진짜 창업 경험을 제공합니다  이 강의를 수강한 분들은 단순한 지식 전달이 아닌, 경쟁력 있는 판매자로서 온라인창업과 마케팅까지 온라인 관련 정보를 함께 얻을 수 있어, 건강식품 뿐만 아니라 다른 카테고리의 상품들에게 적용하여 추가적인 수입을 얻을 수 있습니다</v>
      </c>
      <c r="M17" s="681" t="s">
        <v>29</v>
      </c>
    </row>
    <row r="18">
      <c r="A18" s="88">
        <v>14.0</v>
      </c>
      <c r="B18" s="754">
        <f>IFERROR(__xludf.DUMMYFUNCTION("""COMPUTED_VALUE"""),45798.693734050925)</f>
        <v>45798.69373</v>
      </c>
      <c r="C18" s="325" t="str">
        <f>IFERROR(__xludf.DUMMYFUNCTION("""COMPUTED_VALUE"""),"")</f>
        <v/>
      </c>
      <c r="D18" s="325" t="str">
        <f>IFERROR(__xludf.DUMMYFUNCTION("""COMPUTED_VALUE"""),"이정빈")</f>
        <v>이정빈</v>
      </c>
      <c r="E18" s="325" t="str">
        <f>IFERROR(__xludf.DUMMYFUNCTION("""COMPUTED_VALUE"""),"투잡사장")</f>
        <v>투잡사장</v>
      </c>
      <c r="F18" s="325" t="str">
        <f>IFERROR(__xludf.DUMMYFUNCTION("""COMPUTED_VALUE"""),"010-8419-6119")</f>
        <v>010-8419-6119</v>
      </c>
      <c r="G18" s="325" t="str">
        <f>IFERROR(__xludf.DUMMYFUNCTION("""COMPUTED_VALUE"""),"오프라인 기반의 입시 영어 강사로 4년간 정규직 근무 경험이 있으며, 중·고등부 학생 최대 70명까지 관리를 맡으며 책임감 있게 강의했습니다. 수업력에 대한 학부모 평이 지역 맘카페를 통해 입소문이 나면서, 타 지역에서 일부러 찾아오시는 수강생도 많았습니다. 판서법, 커리큘럼 구성, 강의 스킬 등 다양한 역량을 체계화하기 위해 스스로 학습하며 일타 강사의 강의 스타일을 반복 분석했고, 이를 통해 제 스타일을 정립해나갔습니다. 비록 온라인 강의 경력은 없"&amp;"으나, 내가 가장 잘 아는 분야를 구조화하여 전달하는 데에 있어 강한 자신이 있으며, 학습자에게 실질적인 변화와 성과를 이끌어내는 것에 사명감을 갖고 임해 왔습니다.")</f>
        <v>오프라인 기반의 입시 영어 강사로 4년간 정규직 근무 경험이 있으며, 중·고등부 학생 최대 70명까지 관리를 맡으며 책임감 있게 강의했습니다. 수업력에 대한 학부모 평이 지역 맘카페를 통해 입소문이 나면서, 타 지역에서 일부러 찾아오시는 수강생도 많았습니다. 판서법, 커리큘럼 구성, 강의 스킬 등 다양한 역량을 체계화하기 위해 스스로 학습하며 일타 강사의 강의 스타일을 반복 분석했고, 이를 통해 제 스타일을 정립해나갔습니다. 비록 온라인 강의 경력은 없으나, 내가 가장 잘 아는 분야를 구조화하여 전달하는 데에 있어 강한 자신이 있으며, 학습자에게 실질적인 변화와 성과를 이끌어내는 것에 사명감을 갖고 임해 왔습니다.</v>
      </c>
      <c r="H18" s="325" t="str">
        <f>IFERROR(__xludf.DUMMYFUNCTION("""COMPUTED_VALUE"""),"하루 3시간, 의류 자사몰 수익화 방법 / 플랫폼 의존 X, 내 브랜드로 수익화 바로 내는 방법 ")</f>
        <v>하루 3시간, 의류 자사몰 수익화 방법 / 플랫폼 의존 X, 내 브랜드로 수익화 바로 내는 방법 </v>
      </c>
      <c r="I18" s="325" t="str">
        <f>IFERROR(__xludf.DUMMYFUNCTION("""COMPUTED_VALUE"""),"3년간 본업과 병행하다 사업 규모가 커져 2024년 10월 퇴사했습니다. 퇴사 후에도 '사람 대 사람으로 무언가를 가르치는 일’이 저에게 진짜 보람과 재미를 준다는 사실이었습니다, 강사 일을 다시 하고 싶다는 확신이 생겼습니다.  https://foggy-fossa-2f5.notion.site/1f50129457f680839f9ceb975c973626 보내드리는 링크는 직접 작성한 글로 강의 지원자를 모집하며 퍼스널 브랜딩을 시작했으며, 3명의 지원자를"&amp;" 받았으나 진행 여부는 제가 아직 미정입니다.  제자들이 좋은 결과를 얻으려면 가르치는 내용이 확실해야 한다고 생각해, 2024년 3월 말 오픈한 여성 의류 쇼핑몰에서 1달 만에 매출 1.5억, 순수익 25%를 달성(반품고려x)하며 전략의 효과를 검증했습니다.  지원한 동기는 입시강사 시절 한 원장님의 조언 때문입니다. “더 많은 인원을 가르치고 성장하려면, 도전일지라도 너를 받쳐 줄 수 있는 큰 곳에서 시작해야 한다”는 말이 시간이 지날수록 깊이 와 "&amp;"닿아 지원하게 되었습니다.  긴 글 읽어주셔서 감사드립니다.")</f>
        <v>3년간 본업과 병행하다 사업 규모가 커져 2024년 10월 퇴사했습니다. 퇴사 후에도 '사람 대 사람으로 무언가를 가르치는 일’이 저에게 진짜 보람과 재미를 준다는 사실이었습니다, 강사 일을 다시 하고 싶다는 확신이 생겼습니다.  https://foggy-fossa-2f5.notion.site/1f50129457f680839f9ceb975c973626 보내드리는 링크는 직접 작성한 글로 강의 지원자를 모집하며 퍼스널 브랜딩을 시작했으며, 3명의 지원자를 받았으나 진행 여부는 제가 아직 미정입니다.  제자들이 좋은 결과를 얻으려면 가르치는 내용이 확실해야 한다고 생각해, 2024년 3월 말 오픈한 여성 의류 쇼핑몰에서 1달 만에 매출 1.5억, 순수익 25%를 달성(반품고려x)하며 전략의 효과를 검증했습니다.  지원한 동기는 입시강사 시절 한 원장님의 조언 때문입니다. “더 많은 인원을 가르치고 성장하려면, 도전일지라도 너를 받쳐 줄 수 있는 큰 곳에서 시작해야 한다”는 말이 시간이 지날수록 깊이 와 닿아 지원하게 되었습니다.  긴 글 읽어주셔서 감사드립니다.</v>
      </c>
      <c r="J18" s="325" t="str">
        <f>IFERROR(__xludf.DUMMYFUNCTION("""COMPUTED_VALUE"""),"현재 카페24 기반 자사몰 및 버티컬 커머스를 통해 남성·여성 의류 브랜드 2개를 동시에 운영 중입니다. 남성의류몰: https://fitonyou.kr (1명과 동업) 여성의류몰: https://velina.co.kr (개인) 얼굴 노출 없이도 시작 가능한 구조, 특별한 체형이나 몸매를 요구하지 않는 모델링 방식 등을 기반으로, 하루 3-4시간의 운영 시간만으로도 효율적인 시스템을 구축해 두었습니다.   두 브랜드의 자사몰 및 버티컬 커머스를 합산한 "&amp;"최근 7일간의 일평균 매출은 약 1,500만 원 수준입니다. 자사몰 기준: 일 매출 약 1,200만 원 버티컬몰 기준: 일 매출 약 300만 원 반품률을 제외하지 않았을 경우에도 총 순수익률은 약 20~25% 수준이며, 이는 광고비, 세금, 물류비, 월세 등 모든 고정·변동 지출을 고려한 실질 수익 기준입니다.")</f>
        <v>현재 카페24 기반 자사몰 및 버티컬 커머스를 통해 남성·여성 의류 브랜드 2개를 동시에 운영 중입니다. 남성의류몰: https://fitonyou.kr (1명과 동업) 여성의류몰: https://velina.co.kr (개인) 얼굴 노출 없이도 시작 가능한 구조, 특별한 체형이나 몸매를 요구하지 않는 모델링 방식 등을 기반으로, 하루 3-4시간의 운영 시간만으로도 효율적인 시스템을 구축해 두었습니다.   두 브랜드의 자사몰 및 버티컬 커머스를 합산한 최근 7일간의 일평균 매출은 약 1,500만 원 수준입니다. 자사몰 기준: 일 매출 약 1,200만 원 버티컬몰 기준: 일 매출 약 300만 원 반품률을 제외하지 않았을 경우에도 총 순수익률은 약 20~25% 수준이며, 이는 광고비, 세금, 물류비, 월세 등 모든 고정·변동 지출을 고려한 실질 수익 기준입니다.</v>
      </c>
      <c r="K18" s="325" t="str">
        <f>IFERROR(__xludf.DUMMYFUNCTION("""COMPUTED_VALUE"""),"강의가 하고싶어 수강생을 모집하려 했으나 시작한지 얼마 안된 퍼스널브랜딩으로 신뢰도가 없어 많은 지원자를 모집을 못해 제가 직접 스스로 테스트를 해볼겸 지난달 여성의류를 홀로 시작했습니다. https://foggy-fossa-2f5.notion.site/1f50129457f680839f9ceb975c973626 보내드리는 링크는 직접 작성한 글로 강의 지원자를 모집하며 퍼스널 브랜딩을 시작했으며, 3명의 지원자를 받았으나 진행 여부는 제가 아직 미정입니"&amp;"다.  제자들이 좋은 결과를 얻으려면 가르치는 내용이 확실해야 한다고 생각해, 2025년 3월 말 오픈한 여성 의류 쇼핑몰에서 1달 만에 매출 1.5억, 순수익 25%를 달성(반품고려x)하며 전략의 효과를 검증했습니다.")</f>
        <v>강의가 하고싶어 수강생을 모집하려 했으나 시작한지 얼마 안된 퍼스널브랜딩으로 신뢰도가 없어 많은 지원자를 모집을 못해 제가 직접 스스로 테스트를 해볼겸 지난달 여성의류를 홀로 시작했습니다. https://foggy-fossa-2f5.notion.site/1f50129457f680839f9ceb975c973626 보내드리는 링크는 직접 작성한 글로 강의 지원자를 모집하며 퍼스널 브랜딩을 시작했으며, 3명의 지원자를 받았으나 진행 여부는 제가 아직 미정입니다.  제자들이 좋은 결과를 얻으려면 가르치는 내용이 확실해야 한다고 생각해, 2025년 3월 말 오픈한 여성 의류 쇼핑몰에서 1달 만에 매출 1.5억, 순수익 25%를 달성(반품고려x)하며 전략의 효과를 검증했습니다.</v>
      </c>
      <c r="L18" s="325" t="str">
        <f>IFERROR(__xludf.DUMMYFUNCTION("""COMPUTED_VALUE"""),"자사몰로 수익화 하는방법/ 메타, 틱톡 광고 설치 및 운영법(의류에선 블루오션 이라 생각합니다) / 잘 팔리는 의류 숏폼 촬영법 (얼굴 노출X, 화려한 편집 스킬 X) / 부업으로 최소 200~@ 정도의 순이익 , 전업 전환 시 최소 600~@ 정도의 순이익 예상 / 의류쇼핑몰 옷 1벌 포장하지 않고 물류 자동화 하는 방법 / 가장 빠르게 돈 벌 수 있는 방법")</f>
        <v>자사몰로 수익화 하는방법/ 메타, 틱톡 광고 설치 및 운영법(의류에선 블루오션 이라 생각합니다) / 잘 팔리는 의류 숏폼 촬영법 (얼굴 노출X, 화려한 편집 스킬 X) / 부업으로 최소 200~@ 정도의 순이익 , 전업 전환 시 최소 600~@ 정도의 순이익 예상 / 의류쇼핑몰 옷 1벌 포장하지 않고 물류 자동화 하는 방법 / 가장 빠르게 돈 벌 수 있는 방법</v>
      </c>
      <c r="M18" s="681" t="s">
        <v>29</v>
      </c>
    </row>
    <row r="19">
      <c r="A19" s="88">
        <v>15.0</v>
      </c>
      <c r="B19" s="754">
        <f>IFERROR(__xludf.DUMMYFUNCTION("""COMPUTED_VALUE"""),45806.69459778935)</f>
        <v>45806.6946</v>
      </c>
      <c r="C19" s="325" t="str">
        <f>IFERROR(__xludf.DUMMYFUNCTION("""COMPUTED_VALUE"""),"")</f>
        <v/>
      </c>
      <c r="D19" s="325" t="str">
        <f>IFERROR(__xludf.DUMMYFUNCTION("""COMPUTED_VALUE"""),"김동철")</f>
        <v>김동철</v>
      </c>
      <c r="E19" s="325" t="str">
        <f>IFERROR(__xludf.DUMMYFUNCTION("""COMPUTED_VALUE"""),"캡틴김")</f>
        <v>캡틴김</v>
      </c>
      <c r="F19" s="325" t="str">
        <f>IFERROR(__xludf.DUMMYFUNCTION("""COMPUTED_VALUE"""),"010-3160-2220")</f>
        <v>010-3160-2220</v>
      </c>
      <c r="G19" s="325" t="str">
        <f>IFERROR(__xludf.DUMMYFUNCTION("""COMPUTED_VALUE"""),"https://www.pandaedu.kr/course/course_list.jsp?cid=114216 (판다에듀)")</f>
        <v>https://www.pandaedu.kr/course/course_list.jsp?cid=114216 (판다에듀)</v>
      </c>
      <c r="H19" s="325" t="str">
        <f>IFERROR(__xludf.DUMMYFUNCTION("""COMPUTED_VALUE"""),"부동산 경매를 통해 장,단기 매도를 통해 수익 극대화하는 방법")</f>
        <v>부동산 경매를 통해 장,단기 매도를 통해 수익 극대화하는 방법</v>
      </c>
      <c r="I19" s="325" t="str">
        <f>IFERROR(__xludf.DUMMYFUNCTION("""COMPUTED_VALUE"""),"많은 강의를 하고, 수강생을 배출하면서 강의력과 실행력을 겸비했고, 실전투자자로써 현재도 왕성하게 활동하고 있습니다. 핏크닉과 함께하면 큰 시너지를 만들 수 있을 듯해서 지원합니다 ")</f>
        <v>많은 강의를 하고, 수강생을 배출하면서 강의력과 실행력을 겸비했고, 실전투자자로써 현재도 왕성하게 활동하고 있습니다. 핏크닉과 함께하면 큰 시너지를 만들 수 있을 듯해서 지원합니다 </v>
      </c>
      <c r="J19" s="325" t="str">
        <f>IFERROR(__xludf.DUMMYFUNCTION("""COMPUTED_VALUE"""),"부동산경매로 순자산 40억가량 달성")</f>
        <v>부동산경매로 순자산 40억가량 달성</v>
      </c>
      <c r="K19" s="325" t="str">
        <f>IFERROR(__xludf.DUMMYFUNCTION("""COMPUTED_VALUE"""),"다수 수강생이 아파트 매도차익 2천만원이상 달성, 건물 낙찰 후 건물주 목표 달성")</f>
        <v>다수 수강생이 아파트 매도차익 2천만원이상 달성, 건물 낙찰 후 건물주 목표 달성</v>
      </c>
      <c r="L19" s="325" t="str">
        <f>IFERROR(__xludf.DUMMYFUNCTION("""COMPUTED_VALUE"""),"부동산을 저렴하게 취득하므로써, 안전마진을 확보하고 안정적인 수익을 창출하는 기술을 습득할 수 있도록 합니다 ")</f>
        <v>부동산을 저렴하게 취득하므로써, 안전마진을 확보하고 안정적인 수익을 창출하는 기술을 습득할 수 있도록 합니다 </v>
      </c>
      <c r="M19" s="681" t="s">
        <v>29</v>
      </c>
    </row>
    <row r="20">
      <c r="A20" s="88">
        <v>16.0</v>
      </c>
      <c r="B20" s="754">
        <f>IFERROR(__xludf.DUMMYFUNCTION("""COMPUTED_VALUE"""),45806.75397755787)</f>
        <v>45806.75398</v>
      </c>
      <c r="C20" s="325" t="str">
        <f>IFERROR(__xludf.DUMMYFUNCTION("""COMPUTED_VALUE"""),"")</f>
        <v/>
      </c>
      <c r="D20" s="325" t="str">
        <f>IFERROR(__xludf.DUMMYFUNCTION("""COMPUTED_VALUE"""),"김동권")</f>
        <v>김동권</v>
      </c>
      <c r="E20" s="325" t="str">
        <f>IFERROR(__xludf.DUMMYFUNCTION("""COMPUTED_VALUE"""),"건물의신 ")</f>
        <v>건물의신 </v>
      </c>
      <c r="F20" s="325" t="str">
        <f>IFERROR(__xludf.DUMMYFUNCTION("""COMPUTED_VALUE"""),"01032667942")</f>
        <v>01032667942</v>
      </c>
      <c r="G20"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H20" s="325" t="str">
        <f>IFERROR(__xludf.DUMMYFUNCTION("""COMPUTED_VALUE"""),"1. 부동산경매 숙박업 다가구 아파트 입니다 ,  2번 에어비엔비 삼삼엠투 숙박업관련 ")</f>
        <v>1. 부동산경매 숙박업 다가구 아파트 입니다 ,  2번 에어비엔비 삼삼엠투 숙박업관련 </v>
      </c>
      <c r="I20" s="325" t="str">
        <f>IFERROR(__xludf.DUMMYFUNCTION("""COMPUTED_VALUE"""),"네  지인들  추천및 소개입니다 ")</f>
        <v>네  지인들  추천및 소개입니다 </v>
      </c>
      <c r="J20" s="325" t="str">
        <f>IFERROR(__xludf.DUMMYFUNCTION("""COMPUTED_VALUE"""),"부동산경매로 현금흐름2500만원  70개  50억 달성 ")</f>
        <v>부동산경매로 현금흐름2500만원  70개  50억 달성 </v>
      </c>
      <c r="K20" s="325" t="str">
        <f>IFERROR(__xludf.DUMMYFUNCTION("""COMPUTED_VALUE"""),"수강생 다수의 사례 들이있습니다 다가구및 아파트 사례들 ")</f>
        <v>수강생 다수의 사례 들이있습니다 다가구및 아파트 사례들 </v>
      </c>
      <c r="L20" s="325" t="str">
        <f>IFERROR(__xludf.DUMMYFUNCTION("""COMPUTED_VALUE"""),"경매를 통해  월세흐름 수강생들 300-400만원이상 발생  다수 ")</f>
        <v>경매를 통해  월세흐름 수강생들 300-400만원이상 발생  다수 </v>
      </c>
      <c r="M20" s="681" t="s">
        <v>29</v>
      </c>
    </row>
    <row r="21">
      <c r="A21" s="88">
        <v>17.0</v>
      </c>
      <c r="B21" s="754">
        <f>IFERROR(__xludf.DUMMYFUNCTION("""COMPUTED_VALUE"""),45810.864103831016)</f>
        <v>45810.8641</v>
      </c>
      <c r="C21" s="325" t="str">
        <f>IFERROR(__xludf.DUMMYFUNCTION("""COMPUTED_VALUE"""),"")</f>
        <v/>
      </c>
      <c r="D21" s="325" t="str">
        <f>IFERROR(__xludf.DUMMYFUNCTION("""COMPUTED_VALUE"""),"박다환")</f>
        <v>박다환</v>
      </c>
      <c r="E21" s="325" t="str">
        <f>IFERROR(__xludf.DUMMYFUNCTION("""COMPUTED_VALUE"""),"그로앤브로")</f>
        <v>그로앤브로</v>
      </c>
      <c r="F21" s="325" t="str">
        <f>IFERROR(__xludf.DUMMYFUNCTION("""COMPUTED_VALUE"""),"010-8725-3082")</f>
        <v>010-8725-3082</v>
      </c>
      <c r="G21" s="325" t="str">
        <f>IFERROR(__xludf.DUMMYFUNCTION("""COMPUTED_VALUE"""),"오프라인 컨설팅으로 링크는 없습니다!")</f>
        <v>오프라인 컨설팅으로 링크는 없습니다!</v>
      </c>
      <c r="H21" s="325" t="str">
        <f>IFERROR(__xludf.DUMMYFUNCTION("""COMPUTED_VALUE"""),"구매대행+로켓그로스 AI 올인원 강의")</f>
        <v>구매대행+로켓그로스 AI 올인원 강의</v>
      </c>
      <c r="I21" s="325" t="str">
        <f>IFERROR(__xludf.DUMMYFUNCTION("""COMPUTED_VALUE"""),"실제 현업에서 성과를 내고 있기 때문에 트렌드를 알고 잘 알려줄 수 있는게 가장 큰 장점이라 생각합니다")</f>
        <v>실제 현업에서 성과를 내고 있기 때문에 트렌드를 알고 잘 알려줄 수 있는게 가장 큰 장점이라 생각합니다</v>
      </c>
      <c r="J21" s="325" t="str">
        <f>IFERROR(__xludf.DUMMYFUNCTION("""COMPUTED_VALUE"""),"25.05월 매출 약 9.1억, 25.06월 예상 매출 12-15억")</f>
        <v>25.05월 매출 약 9.1억, 25.06월 예상 매출 12-15억</v>
      </c>
      <c r="K21" s="325"/>
      <c r="L21" s="325" t="str">
        <f>IFERROR(__xludf.DUMMYFUNCTION("""COMPUTED_VALUE"""),"쿠팡 부업 또는 전업으로 월 100만원 이상 순이익 달성")</f>
        <v>쿠팡 부업 또는 전업으로 월 100만원 이상 순이익 달성</v>
      </c>
      <c r="M21" s="681" t="s">
        <v>29</v>
      </c>
    </row>
    <row r="22">
      <c r="A22" s="88">
        <v>18.0</v>
      </c>
      <c r="B22" s="754">
        <f>IFERROR(__xludf.DUMMYFUNCTION("""COMPUTED_VALUE"""),45832.71638574074)</f>
        <v>45832.71639</v>
      </c>
      <c r="C22" s="325" t="str">
        <f>IFERROR(__xludf.DUMMYFUNCTION("""COMPUTED_VALUE"""),"")</f>
        <v/>
      </c>
      <c r="D22" s="325" t="str">
        <f>IFERROR(__xludf.DUMMYFUNCTION("""COMPUTED_VALUE"""),"주성민")</f>
        <v>주성민</v>
      </c>
      <c r="E22" s="325" t="str">
        <f>IFERROR(__xludf.DUMMYFUNCTION("""COMPUTED_VALUE"""),"없습니다")</f>
        <v>없습니다</v>
      </c>
      <c r="F22" s="325" t="str">
        <f>IFERROR(__xludf.DUMMYFUNCTION("""COMPUTED_VALUE"""),"01053867400")</f>
        <v>01053867400</v>
      </c>
      <c r="G22" s="325" t="str">
        <f>IFERROR(__xludf.DUMMYFUNCTION("""COMPUTED_VALUE"""),"없음")</f>
        <v>없음</v>
      </c>
      <c r="H22" s="325" t="str">
        <f>IFERROR(__xludf.DUMMYFUNCTION("""COMPUTED_VALUE"""),"설비,누수업자를 위한 마케팅 및 운영")</f>
        <v>설비,누수업자를 위한 마케팅 및 운영</v>
      </c>
      <c r="I22" s="325" t="str">
        <f>IFERROR(__xludf.DUMMYFUNCTION("""COMPUTED_VALUE"""),"원래 핏크닉 무료 강의르 들으면서 몇번이나 강의를 살까 말까를 고민했습니다. 그만큼 퍼널마케팅을 잘하고 있다는 생각이 들었습니다. 저는 8년간 마케팅일을 했고 설비누수 마켕을 중점으로 일하고 20억이 넘는 매출을 내고 있습니다.")</f>
        <v>원래 핏크닉 무료 강의르 들으면서 몇번이나 강의를 살까 말까를 고민했습니다. 그만큼 퍼널마케팅을 잘하고 있다는 생각이 들었습니다. 저는 8년간 마케팅일을 했고 설비누수 마켕을 중점으로 일하고 20억이 넘는 매출을 내고 있습니다.</v>
      </c>
      <c r="J22" s="325" t="str">
        <f>IFERROR(__xludf.DUMMYFUNCTION("""COMPUTED_VALUE"""),"8년차 마케터로 일하고 있습니다.그리고 전국 누수 설비 업체 연 매출 20억 이상을 달성했습니다.")</f>
        <v>8년차 마케터로 일하고 있습니다.그리고 전국 누수 설비 업체 연 매출 20억 이상을 달성했습니다.</v>
      </c>
      <c r="K22" s="325"/>
      <c r="L22" s="325" t="str">
        <f>IFERROR(__xludf.DUMMYFUNCTION("""COMPUTED_VALUE"""),"설비누수 업자들이 안정적인 매출을 낼 수 있게 도와줄 수 있습니다.")</f>
        <v>설비누수 업자들이 안정적인 매출을 낼 수 있게 도와줄 수 있습니다.</v>
      </c>
      <c r="M22" s="681" t="s">
        <v>29</v>
      </c>
    </row>
    <row r="23">
      <c r="A23" s="88">
        <v>19.0</v>
      </c>
      <c r="B23" s="754">
        <f>IFERROR(__xludf.DUMMYFUNCTION("""COMPUTED_VALUE"""),45848.40614013889)</f>
        <v>45848.40614</v>
      </c>
      <c r="C23" s="325" t="str">
        <f>IFERROR(__xludf.DUMMYFUNCTION("""COMPUTED_VALUE"""),"")</f>
        <v/>
      </c>
      <c r="D23" s="325" t="str">
        <f>IFERROR(__xludf.DUMMYFUNCTION("""COMPUTED_VALUE"""),"김지민")</f>
        <v>김지민</v>
      </c>
      <c r="E23" s="325" t="str">
        <f>IFERROR(__xludf.DUMMYFUNCTION("""COMPUTED_VALUE"""),"김독고")</f>
        <v>김독고</v>
      </c>
      <c r="F23" s="325" t="str">
        <f>IFERROR(__xludf.DUMMYFUNCTION("""COMPUTED_VALUE"""),"01075390983")</f>
        <v>01075390983</v>
      </c>
      <c r="G23" s="325" t="str">
        <f>IFERROR(__xludf.DUMMYFUNCTION("""COMPUTED_VALUE"""),"없음")</f>
        <v>없음</v>
      </c>
      <c r="H23" s="325" t="str">
        <f>IFERROR(__xludf.DUMMYFUNCTION("""COMPUTED_VALUE"""),"부업으로 월 500")</f>
        <v>부업으로 월 500</v>
      </c>
      <c r="I23" s="325" t="str">
        <f>IFERROR(__xludf.DUMMYFUNCTION("""COMPUTED_VALUE"""),"내가 정말 블루오션에서 누구나 월 500을 벌수있는걸 하고 있고 다른 강의에 비해서 정말 바로 수익이 난다고 생각해서 무재고 당근마켓활용한 부업입니다")</f>
        <v>내가 정말 블루오션에서 누구나 월 500을 벌수있는걸 하고 있고 다른 강의에 비해서 정말 바로 수익이 난다고 생각해서 무재고 당근마켓활용한 부업입니다</v>
      </c>
      <c r="J23" s="325" t="str">
        <f>IFERROR(__xludf.DUMMYFUNCTION("""COMPUTED_VALUE"""),"당근을 통한 월 수익 3000이상 ")</f>
        <v>당근을 통한 월 수익 3000이상 </v>
      </c>
      <c r="K23" s="325" t="str">
        <f>IFERROR(__xludf.DUMMYFUNCTION("""COMPUTED_VALUE"""),"제가 알려드린 분들이 순수익 2000하고 계신 분들이 많고 순수익 500이하는 드물다")</f>
        <v>제가 알려드린 분들이 순수익 2000하고 계신 분들이 많고 순수익 500이하는 드물다</v>
      </c>
      <c r="L23" s="325" t="str">
        <f>IFERROR(__xludf.DUMMYFUNCTION("""COMPUTED_VALUE"""),"당근마켓 부업을 통해 월 300만원 순수익 가능 전업으로하면 월 1000도 가능")</f>
        <v>당근마켓 부업을 통해 월 300만원 순수익 가능 전업으로하면 월 1000도 가능</v>
      </c>
      <c r="M23" s="681" t="s">
        <v>29</v>
      </c>
    </row>
    <row r="24">
      <c r="A24" s="88">
        <v>20.0</v>
      </c>
      <c r="B24" s="754">
        <f>IFERROR(__xludf.DUMMYFUNCTION("""COMPUTED_VALUE"""),45856.368490162036)</f>
        <v>45856.36849</v>
      </c>
      <c r="C24" s="325" t="str">
        <f>IFERROR(__xludf.DUMMYFUNCTION("""COMPUTED_VALUE"""),"")</f>
        <v/>
      </c>
      <c r="D24" s="325" t="str">
        <f>IFERROR(__xludf.DUMMYFUNCTION("""COMPUTED_VALUE"""),"김유선")</f>
        <v>김유선</v>
      </c>
      <c r="E24" s="325" t="str">
        <f>IFERROR(__xludf.DUMMYFUNCTION("""COMPUTED_VALUE"""),"디앤써")</f>
        <v>디앤써</v>
      </c>
      <c r="F24" s="325" t="str">
        <f>IFERROR(__xludf.DUMMYFUNCTION("""COMPUTED_VALUE"""),"01058741206")</f>
        <v>01058741206</v>
      </c>
      <c r="G24" s="325" t="str">
        <f>IFERROR(__xludf.DUMMYFUNCTION("""COMPUTED_VALUE"""),"있었습니다. (러닝스푼즈/코주부클래스/사이클해커스와 각각 진행한 경험이 있습니다.)")</f>
        <v>있었습니다. (러닝스푼즈/코주부클래스/사이클해커스와 각각 진행한 경험이 있습니다.)</v>
      </c>
      <c r="H24" s="325" t="str">
        <f>IFERROR(__xludf.DUMMYFUNCTION("""COMPUTED_VALUE"""),"타로를 통해 돈을 버는 방법")</f>
        <v>타로를 통해 돈을 버는 방법</v>
      </c>
      <c r="I24" s="325" t="str">
        <f>IFERROR(__xludf.DUMMYFUNCTION("""COMPUTED_VALUE"""),"인스타그램에 광고가 계속 떠서, 해볼까 싶었습니다. 리드수집을 잘하고 세일즈멘트를 잘하는 플랫폼이라고 판단되서 지원했습니다. ")</f>
        <v>인스타그램에 광고가 계속 떠서, 해볼까 싶었습니다. 리드수집을 잘하고 세일즈멘트를 잘하는 플랫폼이라고 판단되서 지원했습니다. </v>
      </c>
      <c r="J24" s="325" t="str">
        <f>IFERROR(__xludf.DUMMYFUNCTION("""COMPUTED_VALUE"""),"1.펀딩으로 연매출 3천만원 달성 2.강의 1회당 1억 4천만원 매출 달성 3.현금거래만 해서 연 3천도 따로 있지만 그건 빼겠습니다. (사주타로 경력 8년차이며, 타로상담후기와 입금내역이 다양하게 있습니다.)")</f>
        <v>1.펀딩으로 연매출 3천만원 달성 2.강의 1회당 1억 4천만원 매출 달성 3.현금거래만 해서 연 3천도 따로 있지만 그건 빼겠습니다. (사주타로 경력 8년차이며, 타로상담후기와 입금내역이 다양하게 있습니다.)</v>
      </c>
      <c r="K24" s="325" t="str">
        <f>IFERROR(__xludf.DUMMYFUNCTION("""COMPUTED_VALUE"""),"3.수강생 펀딩 최고 900만원 달성 4.수강생 상담 최고 주 200만원 달성 5.수강생 웨비나를 통한 강사데뷔로 1회당 129만원 달성 등 있습니다.")</f>
        <v>3.수강생 펀딩 최고 900만원 달성 4.수강생 상담 최고 주 200만원 달성 5.수강생 웨비나를 통한 강사데뷔로 1회당 129만원 달성 등 있습니다.</v>
      </c>
      <c r="L24" s="325" t="str">
        <f>IFERROR(__xludf.DUMMYFUNCTION("""COMPUTED_VALUE"""),"1.타로 전자책/상세페이지 작성 및 크라우드 펀딩으로 돈벌기 2.타로 상담으로 돈벌기(+타로살롱/운세7과 저는 협업중이기에, 제 강의를 들으면 이 두 플랫폼에 동시 입점연계가 됩니다. 지금까지 입점률은 100%입니다) 3.타로카드 제작(제 수강생도 타로카드로 900만원을 벌었습니다.) 4.콘텐츠 판매 및 셀프광고 집행(인스타광고집행법, 콘텐츠판매를 위한 플랫폼 생성등을 알려드립니다.)")</f>
        <v>1.타로 전자책/상세페이지 작성 및 크라우드 펀딩으로 돈벌기 2.타로 상담으로 돈벌기(+타로살롱/운세7과 저는 협업중이기에, 제 강의를 들으면 이 두 플랫폼에 동시 입점연계가 됩니다. 지금까지 입점률은 100%입니다) 3.타로카드 제작(제 수강생도 타로카드로 900만원을 벌었습니다.) 4.콘텐츠 판매 및 셀프광고 집행(인스타광고집행법, 콘텐츠판매를 위한 플랫폼 생성등을 알려드립니다.)</v>
      </c>
      <c r="M24" s="681" t="s">
        <v>29</v>
      </c>
    </row>
    <row r="25">
      <c r="A25" s="88">
        <v>21.0</v>
      </c>
      <c r="B25" s="754">
        <f>IFERROR(__xludf.DUMMYFUNCTION("""COMPUTED_VALUE"""),45880.507028645836)</f>
        <v>45880.50703</v>
      </c>
      <c r="C25" s="325" t="str">
        <f>IFERROR(__xludf.DUMMYFUNCTION("""COMPUTED_VALUE"""),"")</f>
        <v/>
      </c>
      <c r="D25" s="325" t="str">
        <f>IFERROR(__xludf.DUMMYFUNCTION("""COMPUTED_VALUE"""),"한현수")</f>
        <v>한현수</v>
      </c>
      <c r="E25" s="325" t="str">
        <f>IFERROR(__xludf.DUMMYFUNCTION("""COMPUTED_VALUE"""),"한현수")</f>
        <v>한현수</v>
      </c>
      <c r="F25" s="325" t="str">
        <f>IFERROR(__xludf.DUMMYFUNCTION("""COMPUTED_VALUE"""),"010-4740-2032")</f>
        <v>010-4740-2032</v>
      </c>
      <c r="G25" s="325" t="str">
        <f>IFERROR(__xludf.DUMMYFUNCTION("""COMPUTED_VALUE"""),"오프라인 강의(각 지역 농업기술센터, 창조경제혁신센터, 지역 대학)")</f>
        <v>오프라인 강의(각 지역 농업기술센터, 창조경제혁신센터, 지역 대학)</v>
      </c>
      <c r="H25" s="325" t="str">
        <f>IFERROR(__xludf.DUMMYFUNCTION("""COMPUTED_VALUE"""),"정부 지원사업 수주를 통한 농식품 상세페이지 제작 수익화 마스터클래스")</f>
        <v>정부 지원사업 수주를 통한 농식품 상세페이지 제작 수익화 마스터클래스</v>
      </c>
      <c r="I25" s="325" t="str">
        <f>IFERROR(__xludf.DUMMYFUNCTION("""COMPUTED_VALUE"""),"농식품 전문 홈페이지 제작과 상세페이지 제작을 전문으로 하는 웹에이전시를 20년 동안 운영해오고 있습니다.  요즘 상세페이지 제작에 관한 여러 강의들이 많습니다.  하지만 제작 기술이나 방향성에 대한 내용만 있을뿐 근거를 가진 확실한 수익화 방법에 대한 내용은 좀 부실하다 판단됩니다.  농식품 분야는 정부에서 매년 엄청난 금액의 지원 사업을 실시하고 있으며 그 중 온라인 판매를 위한 각종 지원책들이 여러 지원기관을 통해 다양한 사업 방식으로 지원되고 있"&amp;"습니다.  이 부분에서 중요한 사업 하나가 바로 상세페이지 제작입니다.  당사도 매년 나라장터를 통한 상세페이지 제작 사업을 수주해 제작하고 있으며 이 방법을 강의를 통해 공유하고자 합니다.  공유 이유는 농식품 분야 지원사업은 우리나라 모든 권역을 몇몇곳 회사에서 독점할 수 없으며 각 지역별로 수주가 가능한 사업도 굉장히 많기에 제 강의를 수강한 후 각 지역별로 지원사업을 수주해 수익을 얻고  거기에 더해 온라인을 통한 홍보 및 각종 플랫폼을 활용해 "&amp;"가격 경쟁력과 제작 기간의 압도적 경쟁력을 가지고 수익화를 진행할 수 있습니다.  잘 아시겠지만 디자인 분야는 레드오션 분야입니다. 그렇기에 특정 분야에 집중해 전문성을 높여야만 경쟁력을 가질 수 있습니다.  20년 경험을 모두 강의에 내고자 합니다.   강의를 위한 각종 자료(기초부터 템플릿 활용까지 할 수 있는 강의영상 수십개, 각 강의 영상별 전자책, 농식품 상세페이지 제작을 위한 수백개 템플릿, AI를 활용한 이미지 생성과 상세페이지 제작 기획 "&amp;"GPT 등)는 모두 준비되어 있습니다.  여기에 20년 동안 웹에이전시를 운영하며 경험한 모든 노하우를 전수할 것입니다.")</f>
        <v>농식품 전문 홈페이지 제작과 상세페이지 제작을 전문으로 하는 웹에이전시를 20년 동안 운영해오고 있습니다.  요즘 상세페이지 제작에 관한 여러 강의들이 많습니다.  하지만 제작 기술이나 방향성에 대한 내용만 있을뿐 근거를 가진 확실한 수익화 방법에 대한 내용은 좀 부실하다 판단됩니다.  농식품 분야는 정부에서 매년 엄청난 금액의 지원 사업을 실시하고 있으며 그 중 온라인 판매를 위한 각종 지원책들이 여러 지원기관을 통해 다양한 사업 방식으로 지원되고 있습니다.  이 부분에서 중요한 사업 하나가 바로 상세페이지 제작입니다.  당사도 매년 나라장터를 통한 상세페이지 제작 사업을 수주해 제작하고 있으며 이 방법을 강의를 통해 공유하고자 합니다.  공유 이유는 농식품 분야 지원사업은 우리나라 모든 권역을 몇몇곳 회사에서 독점할 수 없으며 각 지역별로 수주가 가능한 사업도 굉장히 많기에 제 강의를 수강한 후 각 지역별로 지원사업을 수주해 수익을 얻고  거기에 더해 온라인을 통한 홍보 및 각종 플랫폼을 활용해 가격 경쟁력과 제작 기간의 압도적 경쟁력을 가지고 수익화를 진행할 수 있습니다.  잘 아시겠지만 디자인 분야는 레드오션 분야입니다. 그렇기에 특정 분야에 집중해 전문성을 높여야만 경쟁력을 가질 수 있습니다.  20년 경험을 모두 강의에 내고자 합니다.   강의를 위한 각종 자료(기초부터 템플릿 활용까지 할 수 있는 강의영상 수십개, 각 강의 영상별 전자책, 농식품 상세페이지 제작을 위한 수백개 템플릿, AI를 활용한 이미지 생성과 상세페이지 제작 기획 GPT 등)는 모두 준비되어 있습니다.  여기에 20년 동안 웹에이전시를 운영하며 경험한 모든 노하우를 전수할 것입니다.</v>
      </c>
      <c r="J25" s="325" t="str">
        <f>IFERROR(__xludf.DUMMYFUNCTION("""COMPUTED_VALUE"""),"웹에이전시 20년 운영, 연매출 7억")</f>
        <v>웹에이전시 20년 운영, 연매출 7억</v>
      </c>
      <c r="K25" s="325" t="str">
        <f>IFERROR(__xludf.DUMMYFUNCTION("""COMPUTED_VALUE"""),"각 지역 농업기술센터, 창조경제혁신센터, 대학 등 오프라인 강의 위주 진행 했으며 수강자들의 매출액 증대는 있었으나 구제척인 수치는 모름")</f>
        <v>각 지역 농업기술센터, 창조경제혁신센터, 대학 등 오프라인 강의 위주 진행 했으며 수강자들의 매출액 증대는 있었으나 구제척인 수치는 모름</v>
      </c>
      <c r="L25" s="325" t="str">
        <f>IFERROR(__xludf.DUMMYFUNCTION("""COMPUTED_VALUE"""),"부업 형태로 운영시 정부 지원사업 수주를 통한 2,000만원 수익, 온라인 플랫폼 판매를 통한 연매출 3,000만원 수익 가능")</f>
        <v>부업 형태로 운영시 정부 지원사업 수주를 통한 2,000만원 수익, 온라인 플랫폼 판매를 통한 연매출 3,000만원 수익 가능</v>
      </c>
      <c r="M25" s="681" t="s">
        <v>29</v>
      </c>
    </row>
    <row r="26">
      <c r="A26" s="88">
        <v>22.0</v>
      </c>
      <c r="B26" s="754">
        <f>IFERROR(__xludf.DUMMYFUNCTION("""COMPUTED_VALUE"""),45890.44141697917)</f>
        <v>45890.44142</v>
      </c>
      <c r="C26" s="325" t="str">
        <f>IFERROR(__xludf.DUMMYFUNCTION("""COMPUTED_VALUE"""),"akf240401@gmail.com")</f>
        <v>akf240401@gmail.com</v>
      </c>
      <c r="D26" s="325" t="str">
        <f>IFERROR(__xludf.DUMMYFUNCTION("""COMPUTED_VALUE"""),"유태민")</f>
        <v>유태민</v>
      </c>
      <c r="E26" s="325" t="str">
        <f>IFERROR(__xludf.DUMMYFUNCTION("""COMPUTED_VALUE"""),"유태민")</f>
        <v>유태민</v>
      </c>
      <c r="F26" s="325" t="str">
        <f>IFERROR(__xludf.DUMMYFUNCTION("""COMPUTED_VALUE"""),"01040297693")</f>
        <v>01040297693</v>
      </c>
      <c r="G26" s="325" t="str">
        <f>IFERROR(__xludf.DUMMYFUNCTION("""COMPUTED_VALUE"""),"없음")</f>
        <v>없음</v>
      </c>
      <c r="H26" s="325" t="str">
        <f>IFERROR(__xludf.DUMMYFUNCTION("""COMPUTED_VALUE"""),"브랜딩 런칭과 엑시트로 돈버는 방법")</f>
        <v>브랜딩 런칭과 엑시트로 돈버는 방법</v>
      </c>
      <c r="I26" s="325" t="str">
        <f>IFERROR(__xludf.DUMMYFUNCTION("""COMPUTED_VALUE"""),"본인이 가지고 있는 탤런트를 활용해 강의를 할 수 있는 매체가 될 것으로 판단")</f>
        <v>본인이 가지고 있는 탤런트를 활용해 강의를 할 수 있는 매체가 될 것으로 판단</v>
      </c>
      <c r="J26" s="325" t="str">
        <f>IFERROR(__xludf.DUMMYFUNCTION("""COMPUTED_VALUE"""),"브랜드 런칭 후 엑시트")</f>
        <v>브랜드 런칭 후 엑시트</v>
      </c>
      <c r="K26" s="325"/>
      <c r="L26" s="325" t="str">
        <f>IFERROR(__xludf.DUMMYFUNCTION("""COMPUTED_VALUE"""),"스타트업으로 브랜드를 준비단계,런칭,엑시트")</f>
        <v>스타트업으로 브랜드를 준비단계,런칭,엑시트</v>
      </c>
      <c r="M26" s="681" t="s">
        <v>29</v>
      </c>
    </row>
    <row r="27">
      <c r="A27" s="88">
        <v>23.0</v>
      </c>
      <c r="B27" s="754">
        <f>IFERROR(__xludf.DUMMYFUNCTION("""COMPUTED_VALUE"""),45904.60891810185)</f>
        <v>45904.60892</v>
      </c>
      <c r="C27" s="325" t="str">
        <f>IFERROR(__xludf.DUMMYFUNCTION("""COMPUTED_VALUE"""),"dkslstn2@gmail.com")</f>
        <v>dkslstn2@gmail.com</v>
      </c>
      <c r="D27" s="325" t="str">
        <f>IFERROR(__xludf.DUMMYFUNCTION("""COMPUTED_VALUE"""),"안교준")</f>
        <v>안교준</v>
      </c>
      <c r="E27" s="325" t="str">
        <f>IFERROR(__xludf.DUMMYFUNCTION("""COMPUTED_VALUE"""),"준지")</f>
        <v>준지</v>
      </c>
      <c r="F27" s="325" t="str">
        <f>IFERROR(__xludf.DUMMYFUNCTION("""COMPUTED_VALUE"""),"01088882634")</f>
        <v>01088882634</v>
      </c>
      <c r="G27" s="325" t="str">
        <f>IFERROR(__xludf.DUMMYFUNCTION("""COMPUTED_VALUE"""),"없음")</f>
        <v>없음</v>
      </c>
      <c r="H27" s="325" t="str">
        <f>IFERROR(__xludf.DUMMYFUNCTION("""COMPUTED_VALUE"""),"메타광고 실전과 자사몰 운영을 통한 매출 성장 전략 → 광고 클릭이 아닌 실제 매출로 연결하는 실전형 강의")</f>
        <v>메타광고 실전과 자사몰 운영을 통한 매출 성장 전략 → 광고 클릭이 아닌 실제 매출로 연결하는 실전형 강의</v>
      </c>
      <c r="I27" s="325" t="str">
        <f>IFERROR(__xludf.DUMMYFUNCTION("""COMPUTED_VALUE"""),"저는 1인 창업으로 자사몰을 운영하며 연매출 9억을 달성했고, 이후 Exit까지 성공적으로 경험했습니다. 이러한 과정을 통해 단순히 매출 성장을 넘어서 사업을 확장하고 자산화하는 방법을 체득할 수 있었습니다. 이제는 제 경험을 토대로, 부업을 시작하는 분들뿐 아니라 장기적으로 사업을 키우고 싶은 분들에게 실제 현장에서 통했던 전략과 인사이트를 전달하고자 강사로 지원하게 되었습니다. 제 강점은 단순 이론이 아닌, 실제 매출과 Exit 경험에서 나온 현실적"&amp;"인 노하우를 공유할 수 있다는 점입니다.")</f>
        <v>저는 1인 창업으로 자사몰을 운영하며 연매출 9억을 달성했고, 이후 Exit까지 성공적으로 경험했습니다. 이러한 과정을 통해 단순히 매출 성장을 넘어서 사업을 확장하고 자산화하는 방법을 체득할 수 있었습니다. 이제는 제 경험을 토대로, 부업을 시작하는 분들뿐 아니라 장기적으로 사업을 키우고 싶은 분들에게 실제 현장에서 통했던 전략과 인사이트를 전달하고자 강사로 지원하게 되었습니다. 제 강점은 단순 이론이 아닌, 실제 매출과 Exit 경험에서 나온 현실적인 노하우를 공유할 수 있다는 점입니다.</v>
      </c>
      <c r="J27" s="325" t="str">
        <f>IFERROR(__xludf.DUMMYFUNCTION("""COMPUTED_VALUE"""),"자사몰을 통해 연매출 9억달성")</f>
        <v>자사몰을 통해 연매출 9억달성</v>
      </c>
      <c r="K27" s="325" t="str">
        <f>IFERROR(__xludf.DUMMYFUNCTION("""COMPUTED_VALUE"""),"23년도 개인플랫폼을 만들어 강의진행 수강생평균 월매출 2천만원달성 순익 300-400 ")</f>
        <v>23년도 개인플랫폼을 만들어 강의진행 수강생평균 월매출 2천만원달성 순익 300-400 </v>
      </c>
      <c r="L27" s="325" t="str">
        <f>IFERROR(__xludf.DUMMYFUNCTION("""COMPUTED_VALUE"""),"광고 데이터를 분석해 ROAS 300% 이상 성과를 내는 방법 체득  단순 부업이 아닌, 장기적으로 자산화 가능한 쇼핑몰 운영 구조 이해  강의 후 즉시 실행 가능한 광고·자사몰 운영 체크리스트 확보")</f>
        <v>광고 데이터를 분석해 ROAS 300% 이상 성과를 내는 방법 체득  단순 부업이 아닌, 장기적으로 자산화 가능한 쇼핑몰 운영 구조 이해  강의 후 즉시 실행 가능한 광고·자사몰 운영 체크리스트 확보</v>
      </c>
      <c r="M27" s="681" t="s">
        <v>29</v>
      </c>
    </row>
    <row r="28">
      <c r="A28" s="88">
        <v>24.0</v>
      </c>
      <c r="B28" s="754">
        <f>IFERROR(__xludf.DUMMYFUNCTION("""COMPUTED_VALUE"""),45906.95831803241)</f>
        <v>45906.95832</v>
      </c>
      <c r="C28" s="325" t="str">
        <f>IFERROR(__xludf.DUMMYFUNCTION("""COMPUTED_VALUE"""),"noble870705@gmail.com")</f>
        <v>noble870705@gmail.com</v>
      </c>
      <c r="D28" s="325" t="str">
        <f>IFERROR(__xludf.DUMMYFUNCTION("""COMPUTED_VALUE"""),"김중근")</f>
        <v>김중근</v>
      </c>
      <c r="E28" s="325" t="str">
        <f>IFERROR(__xludf.DUMMYFUNCTION("""COMPUTED_VALUE"""),"김중근 소장")</f>
        <v>김중근 소장</v>
      </c>
      <c r="F28" s="325" t="str">
        <f>IFERROR(__xludf.DUMMYFUNCTION("""COMPUTED_VALUE"""),"01064706635")</f>
        <v>01064706635</v>
      </c>
      <c r="G28" s="755" t="str">
        <f>IFERROR(__xludf.DUMMYFUNCTION("""COMPUTED_VALUE"""),"https://youtu.be/iRC7PoSYjxk?si=TArhA2Bv-F7GP0PZ")</f>
        <v>https://youtu.be/iRC7PoSYjxk?si=TArhA2Bv-F7GP0PZ</v>
      </c>
      <c r="H28" s="325" t="str">
        <f>IFERROR(__xludf.DUMMYFUNCTION("""COMPUTED_VALUE"""),"부동산경매 마스터 클래스")</f>
        <v>부동산경매 마스터 클래스</v>
      </c>
      <c r="I28" s="325" t="str">
        <f>IFERROR(__xludf.DUMMYFUNCTION("""COMPUTED_VALUE"""),"수강생에 만족하는모습에 뭉클해집니다. 12년차 부동산 열정이있으면 시켜만주시면 수강생만족시키겠습니다.")</f>
        <v>수강생에 만족하는모습에 뭉클해집니다. 12년차 부동산 열정이있으면 시켜만주시면 수강생만족시키겠습니다.</v>
      </c>
      <c r="J28" s="325" t="str">
        <f>IFERROR(__xludf.DUMMYFUNCTION("""COMPUTED_VALUE"""),"부동산경매로 순자산 10억")</f>
        <v>부동산경매로 순자산 10억</v>
      </c>
      <c r="K28" s="325" t="str">
        <f>IFERROR(__xludf.DUMMYFUNCTION("""COMPUTED_VALUE"""),"1.부동산경매로 실거주 8천만원 차익 싸게구입")</f>
        <v>1.부동산경매로 실거주 8천만원 차익 싸게구입</v>
      </c>
      <c r="L28" s="325" t="str">
        <f>IFERROR(__xludf.DUMMYFUNCTION("""COMPUTED_VALUE"""),"경매를 통해, 시세보다 저렴하게 부동산 구입")</f>
        <v>경매를 통해, 시세보다 저렴하게 부동산 구입</v>
      </c>
      <c r="M28" s="681" t="s">
        <v>29</v>
      </c>
    </row>
    <row r="29">
      <c r="A29" s="88">
        <v>25.0</v>
      </c>
      <c r="B29" s="754">
        <f>IFERROR(__xludf.DUMMYFUNCTION("""COMPUTED_VALUE"""),45906.96244041667)</f>
        <v>45906.96244</v>
      </c>
      <c r="C29" s="325" t="str">
        <f>IFERROR(__xludf.DUMMYFUNCTION("""COMPUTED_VALUE"""),"noble870705@gmail.com")</f>
        <v>noble870705@gmail.com</v>
      </c>
      <c r="D29" s="325" t="str">
        <f>IFERROR(__xludf.DUMMYFUNCTION("""COMPUTED_VALUE"""),"김중근")</f>
        <v>김중근</v>
      </c>
      <c r="E29" s="325" t="str">
        <f>IFERROR(__xludf.DUMMYFUNCTION("""COMPUTED_VALUE"""),"노블쌤")</f>
        <v>노블쌤</v>
      </c>
      <c r="F29" s="325" t="str">
        <f>IFERROR(__xludf.DUMMYFUNCTION("""COMPUTED_VALUE"""),"01064706635")</f>
        <v>01064706635</v>
      </c>
      <c r="G29" s="755" t="str">
        <f>IFERROR(__xludf.DUMMYFUNCTION("""COMPUTED_VALUE"""),"https://www.beyondclass.co.kr/course/course_view.jsp?id=186298&amp;cid=117712#course-view-186298")</f>
        <v>https://www.beyondclass.co.kr/course/course_view.jsp?id=186298&amp;cid=117712#course-view-186298</v>
      </c>
      <c r="H29" s="325" t="str">
        <f>IFERROR(__xludf.DUMMYFUNCTION("""COMPUTED_VALUE"""),"부동산 경매를 통해 돈을 버는 방법 *")</f>
        <v>부동산 경매를 통해 돈을 버는 방법 *</v>
      </c>
      <c r="I29" s="325" t="str">
        <f>IFERROR(__xludf.DUMMYFUNCTION("""COMPUTED_VALUE"""),"수강생에 만족하는모습")</f>
        <v>수강생에 만족하는모습</v>
      </c>
      <c r="J29" s="325" t="str">
        <f>IFERROR(__xludf.DUMMYFUNCTION("""COMPUTED_VALUE"""),"부동산 경매로 순자산 10억")</f>
        <v>부동산 경매로 순자산 10억</v>
      </c>
      <c r="K29" s="325" t="str">
        <f>IFERROR(__xludf.DUMMYFUNCTION("""COMPUTED_VALUE"""),"부동산경매로 실거주 8천만원 차익")</f>
        <v>부동산경매로 실거주 8천만원 차익</v>
      </c>
      <c r="L29" s="325" t="str">
        <f>IFERROR(__xludf.DUMMYFUNCTION("""COMPUTED_VALUE"""),"경매를 통해, 시세보다 저렴하게 부동산 구입")</f>
        <v>경매를 통해, 시세보다 저렴하게 부동산 구입</v>
      </c>
      <c r="M29" s="681" t="s">
        <v>29</v>
      </c>
    </row>
    <row r="30">
      <c r="A30" s="88">
        <v>26.0</v>
      </c>
      <c r="B30" s="754">
        <f>IFERROR(__xludf.DUMMYFUNCTION("""COMPUTED_VALUE"""),45909.68138033565)</f>
        <v>45909.68138</v>
      </c>
      <c r="C30" s="325" t="str">
        <f>IFERROR(__xludf.DUMMYFUNCTION("""COMPUTED_VALUE"""),"tmddl1208@gmail.com")</f>
        <v>tmddl1208@gmail.com</v>
      </c>
      <c r="D30" s="325" t="str">
        <f>IFERROR(__xludf.DUMMYFUNCTION("""COMPUTED_VALUE"""),"조은정(여, 51세)")</f>
        <v>조은정(여, 51세)</v>
      </c>
      <c r="E30" s="325" t="str">
        <f>IFERROR(__xludf.DUMMYFUNCTION("""COMPUTED_VALUE"""),"승이맘")</f>
        <v>승이맘</v>
      </c>
      <c r="F30" s="325" t="str">
        <f>IFERROR(__xludf.DUMMYFUNCTION("""COMPUTED_VALUE"""),"010 3091 1466")</f>
        <v>010 3091 1466</v>
      </c>
      <c r="G30" s="325" t="str">
        <f>IFERROR(__xludf.DUMMYFUNCTION("""COMPUTED_VALUE"""),"지인에게 알려주고 있고, 다마고치 형식으로 진행중입니다.")</f>
        <v>지인에게 알려주고 있고, 다마고치 형식으로 진행중입니다.</v>
      </c>
      <c r="H30" s="325" t="str">
        <f>IFERROR(__xludf.DUMMYFUNCTION("""COMPUTED_VALUE"""),"법적 문제없이, 평생 안정적이고 지속적으로 3~500만원 벌 수 있는 방법")</f>
        <v>법적 문제없이, 평생 안정적이고 지속적으로 3~500만원 벌 수 있는 방법</v>
      </c>
      <c r="I30" s="325" t="str">
        <f>IFERROR(__xludf.DUMMYFUNCTION("""COMPUTED_VALUE"""),"https://docs.google.com/spreadsheets/d/1-MyZxh8wo6qQ8yy6qVMJpaOLRaB4kaO_BXHoJBh2U2A/edit?gid=1020501752#gid=1020501752 국내 유일 브랜드본사와의 손해배상청구소송에서 1.2심까지 모두 완벽승소한 현직 셀러로, 법적인 안전장치를 미리 숙지해서, 온라인에서 가장 쉽게 매출을 낼 수 있는 브랜드위탁을 안정적이고 지속적으로 유지할 수 있도록 할 수 있습니다.  또한, 자"&amp;"체 개발한, 주문대장과 상품리스트를 통해, 초반 멍때리는 시간없이, 매출 발생할 수 있는 상품만 등록하면 될 수 있도록 시스템을 개발하였습니다.  하여, 상품등록 시간에 따라 즉시 매출은 발생시킬 수 있습니다.   열심히 소송도 하였고, 열심히 시스템도 만들었습니다. 그러나,,강의를 위해 소송을 했고,시스템을 만든 게 아니었습니다. 저희도 이 브랜드위탁이, 실제 업을 유지함에 있어서, 대한민국 법원의 판단을 받아야, 추후 법적문제 또는 시비가 오더라도,"&amp;" 안정적으로 유지할 수 있겠다는 마음으로 끝까지 소송을 진행한 거였습니다.  하여, 이런 완벽한 승소 결과를 받고 나니, 99%가 중도 포기할 수 밖에 없는 여러 분들에게 도움을 주고자 강의를 런칭하게 되었습니다.  브랜드위탁(=리셀)업에 있어 관련법은 총 4가지입니다. 이 4가지 모두 완벽하게 방어할 수 있는 법적 근거와 소송이력을 가진 셀러는 저희 뿐입니다.")</f>
        <v>https://docs.google.com/spreadsheets/d/1-MyZxh8wo6qQ8yy6qVMJpaOLRaB4kaO_BXHoJBh2U2A/edit?gid=1020501752#gid=1020501752 국내 유일 브랜드본사와의 손해배상청구소송에서 1.2심까지 모두 완벽승소한 현직 셀러로, 법적인 안전장치를 미리 숙지해서, 온라인에서 가장 쉽게 매출을 낼 수 있는 브랜드위탁을 안정적이고 지속적으로 유지할 수 있도록 할 수 있습니다.  또한, 자체 개발한, 주문대장과 상품리스트를 통해, 초반 멍때리는 시간없이, 매출 발생할 수 있는 상품만 등록하면 될 수 있도록 시스템을 개발하였습니다.  하여, 상품등록 시간에 따라 즉시 매출은 발생시킬 수 있습니다.   열심히 소송도 하였고, 열심히 시스템도 만들었습니다. 그러나,,강의를 위해 소송을 했고,시스템을 만든 게 아니었습니다. 저희도 이 브랜드위탁이, 실제 업을 유지함에 있어서, 대한민국 법원의 판단을 받아야, 추후 법적문제 또는 시비가 오더라도, 안정적으로 유지할 수 있겠다는 마음으로 끝까지 소송을 진행한 거였습니다.  하여, 이런 완벽한 승소 결과를 받고 나니, 99%가 중도 포기할 수 밖에 없는 여러 분들에게 도움을 주고자 강의를 런칭하게 되었습니다.  브랜드위탁(=리셀)업에 있어 관련법은 총 4가지입니다. 이 4가지 모두 완벽하게 방어할 수 있는 법적 근거와 소송이력을 가진 셀러는 저희 뿐입니다.</v>
      </c>
      <c r="J30" s="325" t="str">
        <f>IFERROR(__xludf.DUMMYFUNCTION("""COMPUTED_VALUE"""),"브랜드위탁을 통해 연매출 10억 달성(티메프사태때에도.)")</f>
        <v>브랜드위탁을 통해 연매출 10억 달성(티메프사태때에도.)</v>
      </c>
      <c r="K30" s="325" t="str">
        <f>IFERROR(__xludf.DUMMYFUNCTION("""COMPUTED_VALUE"""),"현재 다마고치 형식으로 1주차 진행중이라, 아직은 성과가 없지만, 다음주부터 성과를 바로 낼 수 있도록 계획중입니다.제가 직접 해 본 경험이 있고 그대로 따라하기만 하면 되는 시스템까지 있습니다.")</f>
        <v>현재 다마고치 형식으로 1주차 진행중이라, 아직은 성과가 없지만, 다음주부터 성과를 바로 낼 수 있도록 계획중입니다.제가 직접 해 본 경험이 있고 그대로 따라하기만 하면 되는 시스템까지 있습니다.</v>
      </c>
      <c r="L30" s="325" t="str">
        <f>IFERROR(__xludf.DUMMYFUNCTION("""COMPUTED_VALUE""")," 평생 안정적이고 지속적으로 300만원 벌 수 있는 방법")</f>
        <v> 평생 안정적이고 지속적으로 300만원 벌 수 있는 방법</v>
      </c>
      <c r="M30" s="681" t="s">
        <v>29</v>
      </c>
    </row>
    <row r="31">
      <c r="A31" s="88">
        <v>27.0</v>
      </c>
      <c r="B31" s="754">
        <f>IFERROR(__xludf.DUMMYFUNCTION("""COMPUTED_VALUE"""),45913.68960873842)</f>
        <v>45913.68961</v>
      </c>
      <c r="C31" s="325" t="str">
        <f>IFERROR(__xludf.DUMMYFUNCTION("""COMPUTED_VALUE"""),"alsrb4895@gmail.com")</f>
        <v>alsrb4895@gmail.com</v>
      </c>
      <c r="D31" s="325" t="str">
        <f>IFERROR(__xludf.DUMMYFUNCTION("""COMPUTED_VALUE"""),"김민규")</f>
        <v>김민규</v>
      </c>
      <c r="E31" s="325" t="str">
        <f>IFERROR(__xludf.DUMMYFUNCTION("""COMPUTED_VALUE"""),"세원")</f>
        <v>세원</v>
      </c>
      <c r="F31" s="325" t="str">
        <f>IFERROR(__xludf.DUMMYFUNCTION("""COMPUTED_VALUE"""),"01021914895 전화로 연락주새요")</f>
        <v>01021914895 전화로 연락주새요</v>
      </c>
      <c r="G31" s="325" t="str">
        <f>IFERROR(__xludf.DUMMYFUNCTION("""COMPUTED_VALUE"""),"없음")</f>
        <v>없음</v>
      </c>
      <c r="H31" s="325" t="str">
        <f>IFERROR(__xludf.DUMMYFUNCTION("""COMPUTED_VALUE"""),"에어비앤비 프리미엄화 강의 ")</f>
        <v>에어비앤비 프리미엄화 강의 </v>
      </c>
      <c r="I31" s="325" t="str">
        <f>IFERROR(__xludf.DUMMYFUNCTION("""COMPUTED_VALUE"""),"컨설팅 경험과 다른 운영자와 차별화된 인맥과 매물 수집 능력, 수강생 끌어올수있는 능력, 경험과 지식, 실제 매출로 인해 개인브랜딩과 플랫폼 미팅중")</f>
        <v>컨설팅 경험과 다른 운영자와 차별화된 인맥과 매물 수집 능력, 수강생 끌어올수있는 능력, 경험과 지식, 실제 매출로 인해 개인브랜딩과 플랫폼 미팅중</v>
      </c>
      <c r="J31" s="325" t="str">
        <f>IFERROR(__xludf.DUMMYFUNCTION("""COMPUTED_VALUE"""),"개업 1년만에 에어비앤비 1채로 1200매출 950순이익")</f>
        <v>개업 1년만에 에어비앤비 1채로 1200매출 950순이익</v>
      </c>
      <c r="K31" s="325" t="str">
        <f>IFERROR(__xludf.DUMMYFUNCTION("""COMPUTED_VALUE"""),"수강생 2달만에 엑싯 1천5백만 수익 안국에 한옥 오픈")</f>
        <v>수강생 2달만에 엑싯 1천5백만 수익 안국에 한옥 오픈</v>
      </c>
      <c r="L31" s="325" t="str">
        <f>IFERROR(__xludf.DUMMYFUNCTION("""COMPUTED_VALUE"""),"숙박업 모든 인사이트와 노하우 사업 시작에 대한 두려움 제거, 프리미엄 세팅을 통한 연 4천이상 수익")</f>
        <v>숙박업 모든 인사이트와 노하우 사업 시작에 대한 두려움 제거, 프리미엄 세팅을 통한 연 4천이상 수익</v>
      </c>
      <c r="M31" s="681" t="s">
        <v>29</v>
      </c>
    </row>
    <row r="32">
      <c r="A32" s="88">
        <v>28.0</v>
      </c>
      <c r="B32" s="754">
        <f>IFERROR(__xludf.DUMMYFUNCTION("""COMPUTED_VALUE"""),45915.378852291666)</f>
        <v>45915.37885</v>
      </c>
      <c r="C32" s="325" t="str">
        <f>IFERROR(__xludf.DUMMYFUNCTION("""COMPUTED_VALUE"""),"jskydom11@gmail.com")</f>
        <v>jskydom11@gmail.com</v>
      </c>
      <c r="D32" s="325" t="str">
        <f>IFERROR(__xludf.DUMMYFUNCTION("""COMPUTED_VALUE"""),"장준호 ")</f>
        <v>장준호 </v>
      </c>
      <c r="E32" s="325" t="str">
        <f>IFERROR(__xludf.DUMMYFUNCTION("""COMPUTED_VALUE"""),"장준호/햇살소리 ")</f>
        <v>장준호/햇살소리 </v>
      </c>
      <c r="F32" s="325" t="str">
        <f>IFERROR(__xludf.DUMMYFUNCTION("""COMPUTED_VALUE"""),"010-5894-3388")</f>
        <v>010-5894-3388</v>
      </c>
      <c r="G32"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H32" s="325" t="str">
        <f>IFERROR(__xludf.DUMMYFUNCTION("""COMPUTED_VALUE"""),"수익 2배, 시간은 1/2로 줄이는 유일한 강의!  정책자금으로 자영업자에게 다가가기 쉽고 수익을 올릴수 있으며 플레이스로 또다른 수익을 창출 할수 있는 최고의 투트랙 강의를 진행하고자 합니다.")</f>
        <v>수익 2배, 시간은 1/2로 줄이는 유일한 강의!  정책자금으로 자영업자에게 다가가기 쉽고 수익을 올릴수 있으며 플레이스로 또다른 수익을 창출 할수 있는 최고의 투트랙 강의를 진행하고자 합니다.</v>
      </c>
      <c r="I32" s="325" t="str">
        <f>IFERROR(__xludf.DUMMYFUNCTION("""COMPUTED_VALUE"""),"20년 진성 블로거의 '본질'을 꿰뚫는 온라인 마케팅 전문가:  20여 년간 블로그를 운영하며 변화하는 로직을 누구보다 빠르게 파악하고 적용해왔습니다.  단순히 글을 쓰는 기술을 넘어, 고객의 마음을 움직이고 트래픽을 수익으로 전환하는 블로그와 네이버 플레이스 최적화 노하우를 체득했습니다.  이 경험을 바탕으로, 수강생들이 직접 마케팅 채널을 구축하고 자생력을 갖출 수 있도록 돕겠습니다.  100억대 매출을 달성한 '실전' 정책자금 전문가:  저는 수십"&amp;"억의 정책자금을 실제 받아본 경험은 물론, 직접 100억이 넘는 연매출을 달성하며 법인부터 농업법인까지 다양한 사업체에 수십억의 자금을 유치해 본 실질적인 경험을 가지고 있습니다.  다른 컨설턴트들이 쉽게 접하지 못한 예비창업패키지 등 정부 지원 사업을 성공시킨 노하우와, '남들이 받지 못했던' 자금까지 받아낸 독보적인 전략을 보유하고 있습니다.  이를 통해 기초부터 하이 레벨까지 모든 과정을 아우르는 차별화된 강의를 제공할 수 있습니다.  두 분야를 "&amp;"융합한 유일무이(唯一無二)한 전문가:  정책자금으로 사업의 씨앗이 될 종잣돈을 마련하고, 블로그와 플레이스를 활용해 고객을 끌어오는 자동화된 마케팅 시스템을 구축하는, 이 두 가지 핵심 역량을 모두 갖춘 강사는 흔치 않습니다.  이 두 가지 노하우를 한데 묶어, 수강생분들이 '자본'과 '고객'이라는 사업의 두 가지 난관을 동시에 해결하고, 안정적으로 성장할 수 있는 시스템을 구축하도록 돕겠습니다.  저는 단순한 정보 전달을 넘어, 제가 직접 부딪히고 성"&amp;"공시킨 생생한 경험을 바탕으로 수강생 한 분 한 분의 성장을 이끌어낼 준비가 되어있습니다. ")</f>
        <v>20년 진성 블로거의 '본질'을 꿰뚫는 온라인 마케팅 전문가:  20여 년간 블로그를 운영하며 변화하는 로직을 누구보다 빠르게 파악하고 적용해왔습니다.  단순히 글을 쓰는 기술을 넘어, 고객의 마음을 움직이고 트래픽을 수익으로 전환하는 블로그와 네이버 플레이스 최적화 노하우를 체득했습니다.  이 경험을 바탕으로, 수강생들이 직접 마케팅 채널을 구축하고 자생력을 갖출 수 있도록 돕겠습니다.  100억대 매출을 달성한 '실전' 정책자금 전문가:  저는 수십억의 정책자금을 실제 받아본 경험은 물론, 직접 100억이 넘는 연매출을 달성하며 법인부터 농업법인까지 다양한 사업체에 수십억의 자금을 유치해 본 실질적인 경험을 가지고 있습니다.  다른 컨설턴트들이 쉽게 접하지 못한 예비창업패키지 등 정부 지원 사업을 성공시킨 노하우와, '남들이 받지 못했던' 자금까지 받아낸 독보적인 전략을 보유하고 있습니다.  이를 통해 기초부터 하이 레벨까지 모든 과정을 아우르는 차별화된 강의를 제공할 수 있습니다.  두 분야를 융합한 유일무이(唯一無二)한 전문가:  정책자금으로 사업의 씨앗이 될 종잣돈을 마련하고, 블로그와 플레이스를 활용해 고객을 끌어오는 자동화된 마케팅 시스템을 구축하는, 이 두 가지 핵심 역량을 모두 갖춘 강사는 흔치 않습니다.  이 두 가지 노하우를 한데 묶어, 수강생분들이 '자본'과 '고객'이라는 사업의 두 가지 난관을 동시에 해결하고, 안정적으로 성장할 수 있는 시스템을 구축하도록 돕겠습니다.  저는 단순한 정보 전달을 넘어, 제가 직접 부딪히고 성공시킨 생생한 경험을 바탕으로 수강생 한 분 한 분의 성장을 이끌어낼 준비가 되어있습니다. </v>
      </c>
      <c r="J32" s="325" t="str">
        <f>IFERROR(__xludf.DUMMYFUNCTION("""COMPUTED_VALUE"""),"합성수지 제조업체 운영: 연매출 100억 이상 달성  농업법인 운영: 축산업관련 법인으로 유통업으로 1년만에 연매출 20억 달성   컨설팅 업체 (신자원, 하나경제) 운영: 월 매출 5천만 원 이상 달성 및 누적 컨설팅 계약 100건 이상  정부 지원 사업 (예비창업패키지 등) 성공:  정부 지원 사업 선정 및 성공적 수행  블로그 운영 경력: 20년 이상의 운영 노하우를 바탕으로, 언제든 블로그로 사업화 가능   상세 성과 (구체적 내용) 제조업 분야"&amp;":  합성수지 제조업체를 연매출 100억 원 이상의 규모로 성장시켰습니다.  정책자금 분야: 제조업 법인과 농업 법인을 운영하며, 일반 법인부터 농업 법인에 이르기까지 수십억 원 이상의 다양한 정책자금과 정부 지원금을 유치했습니다. 특히, 다른 컨설턴트들이 쉽게 유치하지 못했던 자금까지 성공적으로 확보한 경험을 보유하고 있습니다.  컨설팅 분야: 현재 운영 중인 컨설팅 업체(신자원, 하나경제)를 통해 월 5천만 원 이상의 꾸준한 수익을 창출하고 있으며,"&amp;" 정책자금 및 마케팅 컨설팅 분야에서 100건 이상의 누적 계약을 달성했습니다.  정부지원사업 분야: 예비창업패키지를 포함한 정부 지원 사업에 성공적으로 선정하고 사업을 성공적으로 이끌었습니다. 이는 단순한 이론이 아닌, 실질적인 사업화 노하우를 바탕으로 이루어낸 성과입니다.")</f>
        <v>합성수지 제조업체 운영: 연매출 100억 이상 달성  농업법인 운영: 축산업관련 법인으로 유통업으로 1년만에 연매출 20억 달성   컨설팅 업체 (신자원, 하나경제) 운영: 월 매출 5천만 원 이상 달성 및 누적 컨설팅 계약 100건 이상  정부 지원 사업 (예비창업패키지 등) 성공:  정부 지원 사업 선정 및 성공적 수행  블로그 운영 경력: 20년 이상의 운영 노하우를 바탕으로, 언제든 블로그로 사업화 가능   상세 성과 (구체적 내용) 제조업 분야:  합성수지 제조업체를 연매출 100억 원 이상의 규모로 성장시켰습니다.  정책자금 분야: 제조업 법인과 농업 법인을 운영하며, 일반 법인부터 농업 법인에 이르기까지 수십억 원 이상의 다양한 정책자금과 정부 지원금을 유치했습니다. 특히, 다른 컨설턴트들이 쉽게 유치하지 못했던 자금까지 성공적으로 확보한 경험을 보유하고 있습니다.  컨설팅 분야: 현재 운영 중인 컨설팅 업체(신자원, 하나경제)를 통해 월 5천만 원 이상의 꾸준한 수익을 창출하고 있으며, 정책자금 및 마케팅 컨설팅 분야에서 100건 이상의 누적 계약을 달성했습니다.  정부지원사업 분야: 예비창업패키지를 포함한 정부 지원 사업에 성공적으로 선정하고 사업을 성공적으로 이끌었습니다. 이는 단순한 이론이 아닌, 실질적인 사업화 노하우를 바탕으로 이루어낸 성과입니다.</v>
      </c>
      <c r="K32" s="325" t="str">
        <f>IFERROR(__xludf.DUMMYFUNCTION("""COMPUTED_VALUE"""),"첫수강중에 실제 600만원 이상 달성 ")</f>
        <v>첫수강중에 실제 600만원 이상 달성 </v>
      </c>
      <c r="L32" s="325" t="str">
        <f>IFERROR(__xludf.DUMMYFUNCTION("""COMPUTED_VALUE"""),"1단계: 정책자금을 영업의 '최고 무기'로 활용하기 '공짜 마케팅'으로 고객 유치:  ""정책자금 컨설팅, 첫 상담은 무료입니다""와 같은 문구로 잠재 고객(소상공인, 예비 창업자)을 쉽게 끌어모을 수 있습니다.  이들을 대상으로 정책자금의 종류, 신청 절차, 성공 사례 등을 설명하며 신뢰를 쌓고 잠재 고객 리스트를 확보합니다.  '솔루션 제안'으로 계약 성사율 높이기:  정책자금 컨설팅을 진행하며 자연스럽게 고객의 사업 현황과 마케팅 고민을 파악합니다"&amp;".  사장님, 정책자금을 받으시면 가게 홍보 비용 걱정 없이 플레이스 마케팅을 시작할 수 있습니다와 같이, 정책자금 활용 방안에 플레이스 마케팅을 포함시켜 제안합니다. 이는 고객의 가장 큰 고민인 '돈' 문제를 해결해주는 동시에, 두 번째 수익 모델인 플레이스 마케팅 계약을 자연스럽게 유도하는 최고의 영업 방법입니다.  2단계: 확보한 자금으로 '플레이스 마케팅 대행' 수익 올리기 '자금'을 '서비스 비용'으로 전환:  정책자금을 받은 고객은 이제 마케"&amp;"팅 비용에 대한 부담이 줄어들게 됩니다.  이 자금을 활용하여 고객에게 최적화된 플레이스 관리 서비스를 유료로 제공합니다. 이는 고객에게는 사업 자금으로 마케팅을 해결하는 것이고, 자신에게는 안정적인 수익을 창출하는 윈윈(Win-Win) 모델입니다.  '결과'로 추가 계약 유도:  고객의 플레이스 순위와 방문자 수, 매출 등 가시적인 성과를 보여줍니다.  만족한 고객은 추가적으로 다른 마케팅 컨설팅을 의뢰하거나, 다른 사업자에게 추천하여 또 다른 고객을"&amp;" 만들어 줍니다. 이는 별도의 영업 노력 없이도 계속해서 수익을 확장할 수 있는 선순환 구조를 만들어 줍니다.  이 부업 모델은 단순한 컨설팅이나 대행업을 넘어,자금 확보와'매출 증대라는 두 가지 핵심적인 사업 문제를 동시에 해결해주는 강력한 솔루션을 제공한다는 점에서 일반적인 부업과는 차원이 다릅니다.")</f>
        <v>1단계: 정책자금을 영업의 '최고 무기'로 활용하기 '공짜 마케팅'으로 고객 유치:  "정책자금 컨설팅, 첫 상담은 무료입니다"와 같은 문구로 잠재 고객(소상공인, 예비 창업자)을 쉽게 끌어모을 수 있습니다.  이들을 대상으로 정책자금의 종류, 신청 절차, 성공 사례 등을 설명하며 신뢰를 쌓고 잠재 고객 리스트를 확보합니다.  '솔루션 제안'으로 계약 성사율 높이기:  정책자금 컨설팅을 진행하며 자연스럽게 고객의 사업 현황과 마케팅 고민을 파악합니다.  사장님, 정책자금을 받으시면 가게 홍보 비용 걱정 없이 플레이스 마케팅을 시작할 수 있습니다와 같이, 정책자금 활용 방안에 플레이스 마케팅을 포함시켜 제안합니다. 이는 고객의 가장 큰 고민인 '돈' 문제를 해결해주는 동시에, 두 번째 수익 모델인 플레이스 마케팅 계약을 자연스럽게 유도하는 최고의 영업 방법입니다.  2단계: 확보한 자금으로 '플레이스 마케팅 대행' 수익 올리기 '자금'을 '서비스 비용'으로 전환:  정책자금을 받은 고객은 이제 마케팅 비용에 대한 부담이 줄어들게 됩니다.  이 자금을 활용하여 고객에게 최적화된 플레이스 관리 서비스를 유료로 제공합니다. 이는 고객에게는 사업 자금으로 마케팅을 해결하는 것이고, 자신에게는 안정적인 수익을 창출하는 윈윈(Win-Win) 모델입니다.  '결과'로 추가 계약 유도:  고객의 플레이스 순위와 방문자 수, 매출 등 가시적인 성과를 보여줍니다.  만족한 고객은 추가적으로 다른 마케팅 컨설팅을 의뢰하거나, 다른 사업자에게 추천하여 또 다른 고객을 만들어 줍니다. 이는 별도의 영업 노력 없이도 계속해서 수익을 확장할 수 있는 선순환 구조를 만들어 줍니다.  이 부업 모델은 단순한 컨설팅이나 대행업을 넘어,자금 확보와'매출 증대라는 두 가지 핵심적인 사업 문제를 동시에 해결해주는 강력한 솔루션을 제공한다는 점에서 일반적인 부업과는 차원이 다릅니다.</v>
      </c>
      <c r="M32" s="681" t="s">
        <v>29</v>
      </c>
    </row>
    <row r="33">
      <c r="A33" s="88">
        <v>29.0</v>
      </c>
      <c r="B33" s="754">
        <f>IFERROR(__xludf.DUMMYFUNCTION("""COMPUTED_VALUE"""),45926.81649912037)</f>
        <v>45926.8165</v>
      </c>
      <c r="C33" s="325" t="str">
        <f>IFERROR(__xludf.DUMMYFUNCTION("""COMPUTED_VALUE"""),"ericandlim1995@gmail.com")</f>
        <v>ericandlim1995@gmail.com</v>
      </c>
      <c r="D33" s="325" t="str">
        <f>IFERROR(__xludf.DUMMYFUNCTION("""COMPUTED_VALUE"""),"임재윤")</f>
        <v>임재윤</v>
      </c>
      <c r="E33" s="325" t="str">
        <f>IFERROR(__xludf.DUMMYFUNCTION("""COMPUTED_VALUE"""),"녹스")</f>
        <v>녹스</v>
      </c>
      <c r="F33" s="325" t="str">
        <f>IFERROR(__xludf.DUMMYFUNCTION("""COMPUTED_VALUE"""),"01071025349")</f>
        <v>01071025349</v>
      </c>
      <c r="G33" s="755" t="str">
        <f>IFERROR(__xludf.DUMMYFUNCTION("""COMPUTED_VALUE"""),"https://soomgo.com/profile/users/7673445")</f>
        <v>https://soomgo.com/profile/users/7673445</v>
      </c>
      <c r="H33" s="325" t="str">
        <f>IFERROR(__xludf.DUMMYFUNCTION("""COMPUTED_VALUE"""),"유튜브 마케팅 방법, 유튜브로 성공하는 방법, 인플루언서로 성공하는 방법등")</f>
        <v>유튜브 마케팅 방법, 유튜브로 성공하는 방법, 인플루언서로 성공하는 방법등</v>
      </c>
      <c r="I33" s="325" t="str">
        <f>IFERROR(__xludf.DUMMYFUNCTION("""COMPUTED_VALUE"""),"지인분의 추천으로 지원하게 되었습니다. 200만 구독자 PD, MCN 샌드박스 출신, 현재 유튜브 컨설팅 대표로 운영중에 있습니다")</f>
        <v>지인분의 추천으로 지원하게 되었습니다. 200만 구독자 PD, MCN 샌드박스 출신, 현재 유튜브 컨설팅 대표로 운영중에 있습니다</v>
      </c>
      <c r="J33" s="325" t="str">
        <f>IFERROR(__xludf.DUMMYFUNCTION("""COMPUTED_VALUE"""),"12년간의 유튜브 활동, MCN샌드박스의 PD 및 200명 이상 컨설팅, 4000건의 영상 편집 경험")</f>
        <v>12년간의 유튜브 활동, MCN샌드박스의 PD 및 200명 이상 컨설팅, 4000건의 영상 편집 경험</v>
      </c>
      <c r="K33" s="325" t="str">
        <f>IFERROR(__xludf.DUMMYFUNCTION("""COMPUTED_VALUE"""),"✓ 0명 게임 유튜버 -&gt; 15만명 달성 경험(1년 소요) ✓ 1천명 게임 유튜버 -&gt; 5배증가 및  파트너 크리에이터 채결 (반년 소요) ✓ 7만명 게임 유튜버 -&gt; 현 15만명 달성 및  외주 광고 채결 (4개월 소요) ✓ 40만 헬스 유튜버 -&gt; 지속적인 채널 상담 및  매출 증가 (현재 진행중) ✓ 그 외 약 100명이상 컨설팅 진행")</f>
        <v>✓ 0명 게임 유튜버 -&gt; 15만명 달성 경험(1년 소요) ✓ 1천명 게임 유튜버 -&gt; 5배증가 및  파트너 크리에이터 채결 (반년 소요) ✓ 7만명 게임 유튜버 -&gt; 현 15만명 달성 및  외주 광고 채결 (4개월 소요) ✓ 40만 헬스 유튜버 -&gt; 지속적인 채널 상담 및  매출 증가 (현재 진행중) ✓ 그 외 약 100명이상 컨설팅 진행</v>
      </c>
      <c r="L33" s="325" t="str">
        <f>IFERROR(__xludf.DUMMYFUNCTION("""COMPUTED_VALUE"""),"유튜브를 통해 마케팅 하는 지식 습득, 부업으로 유튜버로 돈을 버는 방법")</f>
        <v>유튜브를 통해 마케팅 하는 지식 습득, 부업으로 유튜버로 돈을 버는 방법</v>
      </c>
      <c r="M33" s="681" t="s">
        <v>29</v>
      </c>
    </row>
    <row r="34">
      <c r="A34" s="88">
        <v>30.0</v>
      </c>
      <c r="B34" s="754">
        <f>IFERROR(__xludf.DUMMYFUNCTION("""COMPUTED_VALUE"""),45931.43357140046)</f>
        <v>45931.43357</v>
      </c>
      <c r="C34" s="325" t="str">
        <f>IFERROR(__xludf.DUMMYFUNCTION("""COMPUTED_VALUE"""),"nocomplex0523@gmail.com")</f>
        <v>nocomplex0523@gmail.com</v>
      </c>
      <c r="D34" s="325" t="str">
        <f>IFERROR(__xludf.DUMMYFUNCTION("""COMPUTED_VALUE"""),"민지웅")</f>
        <v>민지웅</v>
      </c>
      <c r="E34" s="325" t="str">
        <f>IFERROR(__xludf.DUMMYFUNCTION("""COMPUTED_VALUE"""),"유캔몰")</f>
        <v>유캔몰</v>
      </c>
      <c r="F34" s="325" t="str">
        <f>IFERROR(__xludf.DUMMYFUNCTION("""COMPUTED_VALUE"""),"010-9348-7163")</f>
        <v>010-9348-7163</v>
      </c>
      <c r="G34" s="325" t="str">
        <f>IFERROR(__xludf.DUMMYFUNCTION("""COMPUTED_VALUE"""),"정영민tv 패션전문강사 발탁되었는데요 별세하셔서 마무리됫네요")</f>
        <v>정영민tv 패션전문강사 발탁되었는데요 별세하셔서 마무리됫네요</v>
      </c>
      <c r="H34" s="325" t="str">
        <f>IFERROR(__xludf.DUMMYFUNCTION("""COMPUTED_VALUE"""),"패션쪽 모든플랫폼 상위셀러만드는 방법")</f>
        <v>패션쪽 모든플랫폼 상위셀러만드는 방법</v>
      </c>
      <c r="I34" s="325" t="str">
        <f>IFERROR(__xludf.DUMMYFUNCTION("""COMPUTED_VALUE"""),"1:1컨설팅만하다가 이제 준비가되었다생각해서 제대로 강사로 성공하고싶어서 지원하게되었구요 저는 100평대쇼핑몰에서 직원들과 운영하면 창업10개월이후부터 4년쨰 억대매출이고 하이버기준은 전국5위 네이버는빅파워 4년째계속 4910또한 상위셀러 쿠팡도 3달만에 5천300매출달성 했습니다 그리고 저는 중국도매대표이기도해서 소싱부터가 돈을벌수밖에없는 치트키가 존재합니다.")</f>
        <v>1:1컨설팅만하다가 이제 준비가되었다생각해서 제대로 강사로 성공하고싶어서 지원하게되었구요 저는 100평대쇼핑몰에서 직원들과 운영하면 창업10개월이후부터 4년쨰 억대매출이고 하이버기준은 전국5위 네이버는빅파워 4년째계속 4910또한 상위셀러 쿠팡도 3달만에 5천300매출달성 했습니다 그리고 저는 중국도매대표이기도해서 소싱부터가 돈을벌수밖에없는 치트키가 존재합니다.</v>
      </c>
      <c r="J34" s="325" t="str">
        <f>IFERROR(__xludf.DUMMYFUNCTION("""COMPUTED_VALUE"""),"쇼핑몰로 월3억매출 연16억매출 그리고 수강생중 상반기만 10억매출달")</f>
        <v>쇼핑몰로 월3억매출 연16억매출 그리고 수강생중 상반기만 10억매출달</v>
      </c>
      <c r="K34" s="325" t="str">
        <f>IFERROR(__xludf.DUMMYFUNCTION("""COMPUTED_VALUE"""),"상반기매출만 10억 달성")</f>
        <v>상반기매출만 10억 달성</v>
      </c>
      <c r="L34" s="325" t="str">
        <f>IFERROR(__xludf.DUMMYFUNCTION("""COMPUTED_VALUE"""),"패션쇼핑몰 A-Z모든걸 가르쳐드릴수있습니다(저는 모든플랫폼을 다 다를줄알기때문에요) 매출500보장도 가능할듯합니다.")</f>
        <v>패션쇼핑몰 A-Z모든걸 가르쳐드릴수있습니다(저는 모든플랫폼을 다 다를줄알기때문에요) 매출500보장도 가능할듯합니다.</v>
      </c>
      <c r="M34" s="681" t="s">
        <v>29</v>
      </c>
    </row>
    <row r="35">
      <c r="A35" s="88">
        <v>31.0</v>
      </c>
      <c r="B35" s="754">
        <f>IFERROR(__xludf.DUMMYFUNCTION("""COMPUTED_VALUE"""),45932.79943085648)</f>
        <v>45932.79943</v>
      </c>
      <c r="C35" s="325" t="str">
        <f>IFERROR(__xludf.DUMMYFUNCTION("""COMPUTED_VALUE"""),"333goldmund@gmail.com")</f>
        <v>333goldmund@gmail.com</v>
      </c>
      <c r="D35" s="325" t="str">
        <f>IFERROR(__xludf.DUMMYFUNCTION("""COMPUTED_VALUE"""),"심길후")</f>
        <v>심길후</v>
      </c>
      <c r="E35" s="325" t="str">
        <f>IFERROR(__xludf.DUMMYFUNCTION("""COMPUTED_VALUE"""),"심길후")</f>
        <v>심길후</v>
      </c>
      <c r="F35" s="325" t="str">
        <f>IFERROR(__xludf.DUMMYFUNCTION("""COMPUTED_VALUE"""),"010-2677-5394")</f>
        <v>010-2677-5394</v>
      </c>
      <c r="G35" s="325" t="str">
        <f>IFERROR(__xludf.DUMMYFUNCTION("""COMPUTED_VALUE"""),"https://korbiz.creatorlink.net/온라인-강의-결제/view/5163961    https://cafe.naver.com/wwwxodls77/525418    https://cafe.naver.com/wwwxodls77/522305")</f>
        <v>https://korbiz.creatorlink.net/온라인-강의-결제/view/5163961    https://cafe.naver.com/wwwxodls77/525418    https://cafe.naver.com/wwwxodls77/522305</v>
      </c>
      <c r="H35" s="325" t="str">
        <f>IFERROR(__xludf.DUMMYFUNCTION("""COMPUTED_VALUE"""),"1. 평범한 애견훈련소장이 개통령이 되게 만든 아이템 리빌딩!   2. 단 한 번의 거절도 없이 판매할 수 있다!")</f>
        <v>1. 평범한 애견훈련소장이 개통령이 되게 만든 아이템 리빌딩!   2. 단 한 번의 거절도 없이 판매할 수 있다!</v>
      </c>
      <c r="I35" s="325" t="str">
        <f>IFERROR(__xludf.DUMMYFUNCTION("""COMPUTED_VALUE"""),"""우리는 사람을 살린다"", 저희 한국비즈니스협회가 추구하는 사업 이념입니다!  20년 넘는 시간 동안 사업컨설팅을 하면서, 많은 스타사업가들을 양성하고, 현재에도 이름만 대면 알 만한 사업가들이 저희 협회 출신이거나, 관련이 있는 분들이 많이 계실 정도로 업계에서, 많은 분들을 도와드리며, 영업인, 자영업자 소상공인들의 삶에 큰 보탬이 되었다고 생각합니다. 이번 제휴를 통해 요즘의 불경기를 이기고, 보다 많은 분들이 체계적인 시스템을 갖추고, 어려움"&amp;"으로부터 소생할 수 있는 기회를 서로 가져 보며, 풍요로운 인생을 만들어, 주위를 행복하게 만들었으면 좋겠고,  불황인 현실속에서 변화의 첫 단추를 여는 길이 되기를 바랍니다!")</f>
        <v>"우리는 사람을 살린다", 저희 한국비즈니스협회가 추구하는 사업 이념입니다!  20년 넘는 시간 동안 사업컨설팅을 하면서, 많은 스타사업가들을 양성하고, 현재에도 이름만 대면 알 만한 사업가들이 저희 협회 출신이거나, 관련이 있는 분들이 많이 계실 정도로 업계에서, 많은 분들을 도와드리며, 영업인, 자영업자 소상공인들의 삶에 큰 보탬이 되었다고 생각합니다. 이번 제휴를 통해 요즘의 불경기를 이기고, 보다 많은 분들이 체계적인 시스템을 갖추고, 어려움으로부터 소생할 수 있는 기회를 서로 가져 보며, 풍요로운 인생을 만들어, 주위를 행복하게 만들었으면 좋겠고,  불황인 현실속에서 변화의 첫 단추를 여는 길이 되기를 바랍니다!</v>
      </c>
      <c r="J35" s="325" t="str">
        <f>IFERROR(__xludf.DUMMYFUNCTION("""COMPUTED_VALUE"""),"다양한 업종의 영업인들과 사업가들을 대상으로 한 컨설팅 경력 20년 이상, 월 억 이상 사업가 50명 이상 배출")</f>
        <v>다양한 업종의 영업인들과 사업가들을 대상으로 한 컨설팅 경력 20년 이상, 월 억 이상 사업가 50명 이상 배출</v>
      </c>
      <c r="K35" s="325" t="str">
        <f>IFERROR(__xludf.DUMMYFUNCTION("""COMPUTED_VALUE"""),"대표 수강생: 보듬컴퍼니 강형욱 소장(대한민국 개통령), 아들연구소 최민준 소장(자라다 미술학원 전국 60개 이상 체인 구축), 강남빌딩 황준석 소장(월 순수익 10억 이상 달성)")</f>
        <v>대표 수강생: 보듬컴퍼니 강형욱 소장(대한민국 개통령), 아들연구소 최민준 소장(자라다 미술학원 전국 60개 이상 체인 구축), 강남빌딩 황준석 소장(월 순수익 10억 이상 달성)</v>
      </c>
      <c r="L35" s="325" t="str">
        <f>IFERROR(__xludf.DUMMYFUNCTION("""COMPUTED_VALUE"""),"1. 내 사업에 접목시켜서 온리원이 되고, 경쟁에서 벗어나 효율적으로 매출이 나오는 사업 시스템 구축  2. 영업사원과 1인사업가들을 위한 대면・비대면 상담에서의 계약 확률 상승")</f>
        <v>1. 내 사업에 접목시켜서 온리원이 되고, 경쟁에서 벗어나 효율적으로 매출이 나오는 사업 시스템 구축  2. 영업사원과 1인사업가들을 위한 대면・비대면 상담에서의 계약 확률 상승</v>
      </c>
      <c r="M35" s="681" t="s">
        <v>29</v>
      </c>
    </row>
    <row r="36">
      <c r="A36" s="88">
        <v>32.0</v>
      </c>
      <c r="B36" s="754">
        <f>IFERROR(__xludf.DUMMYFUNCTION("""COMPUTED_VALUE"""),45936.92423725694)</f>
        <v>45936.92424</v>
      </c>
      <c r="C36" s="325" t="str">
        <f>IFERROR(__xludf.DUMMYFUNCTION("""COMPUTED_VALUE"""),"soldnh@gmail.com")</f>
        <v>soldnh@gmail.com</v>
      </c>
      <c r="D36" s="325" t="str">
        <f>IFERROR(__xludf.DUMMYFUNCTION("""COMPUTED_VALUE"""),"박종호")</f>
        <v>박종호</v>
      </c>
      <c r="E36" s="325" t="str">
        <f>IFERROR(__xludf.DUMMYFUNCTION("""COMPUTED_VALUE"""),"강남박공")</f>
        <v>강남박공</v>
      </c>
      <c r="F36" s="325" t="str">
        <f>IFERROR(__xludf.DUMMYFUNCTION("""COMPUTED_VALUE"""),"010-4729-5612")</f>
        <v>010-4729-5612</v>
      </c>
      <c r="G36"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H36" s="325" t="str">
        <f>IFERROR(__xludf.DUMMYFUNCTION("""COMPUTED_VALUE"""),"1. 거시경제와 데이터로 찾아내는 아파트 매수매도타이밍")</f>
        <v>1. 거시경제와 데이터로 찾아내는 아파트 매수매도타이밍</v>
      </c>
      <c r="I36" s="325" t="str">
        <f>IFERROR(__xludf.DUMMYFUNCTION("""COMPUTED_VALUE"""),"안녕하세요. 강남박공입니다. 저는 23살에 공인중개사 자격을 취득해 7년이 넘는 기간 동안 부동산중개업을 해왔으며, 현재는 아파트 투자강사 및 지역분석 컨설턴트로 활동하고 있습니다. 어릴적부터 꿈이 선생님이었어서 그런지 저의 인사이트를 나누고 수강생을 리드하는 부분에 확실한 매력을 느끼고 있습니다. 평소 자주 접하던 핏크닉 귀사의 광고와 운영 스타일이 굉장히 매력있다고 생각하여 강사 지원을 하게 되었습니다. 저의 장점은 기존 부동산 투자 강의와는 다르게"&amp;" 무차별적 임장과 성공 마인드셋으로 강요하는 강의가 아닙니다. 실제 투자에 써먹을 수 있는 아파트라는 자산에 대한 이해와 매수매도타이밍을 잡는 법을 정리해서 가르치려 노력하고 있습니다. 다소 쓸 수 있는 칸이 적어 자세한 커리큘럼과 내용은 제가 남겨드리는 강의 상세페이지를 참고해주시면 감사하겠습니다!")</f>
        <v>안녕하세요. 강남박공입니다. 저는 23살에 공인중개사 자격을 취득해 7년이 넘는 기간 동안 부동산중개업을 해왔으며, 현재는 아파트 투자강사 및 지역분석 컨설턴트로 활동하고 있습니다. 어릴적부터 꿈이 선생님이었어서 그런지 저의 인사이트를 나누고 수강생을 리드하는 부분에 확실한 매력을 느끼고 있습니다. 평소 자주 접하던 핏크닉 귀사의 광고와 운영 스타일이 굉장히 매력있다고 생각하여 강사 지원을 하게 되었습니다. 저의 장점은 기존 부동산 투자 강의와는 다르게 무차별적 임장과 성공 마인드셋으로 강요하는 강의가 아닙니다. 실제 투자에 써먹을 수 있는 아파트라는 자산에 대한 이해와 매수매도타이밍을 잡는 법을 정리해서 가르치려 노력하고 있습니다. 다소 쓸 수 있는 칸이 적어 자세한 커리큘럼과 내용은 제가 남겨드리는 강의 상세페이지를 참고해주시면 감사하겠습니다!</v>
      </c>
      <c r="J36" s="325" t="str">
        <f>IFERROR(__xludf.DUMMYFUNCTION("""COMPUTED_VALUE"""),"대표적인 수익만 기록해드리겠습니다. 하락장에서 1. 지방 아파트 갭투자: 2,500만 원 투자 → 현재 7,500만 원 이상 수익 중 2.수도권 아파트 갭투자: 3,000만 원 투자 → 6,000만 원 수익 실현 / 현재 서울 신축 아파트: 최근 실매수 완료, 사이클 분석을 통한 진입")</f>
        <v>대표적인 수익만 기록해드리겠습니다. 하락장에서 1. 지방 아파트 갭투자: 2,500만 원 투자 → 현재 7,500만 원 이상 수익 중 2.수도권 아파트 갭투자: 3,000만 원 투자 → 6,000만 원 수익 실현 / 현재 서울 신축 아파트: 최근 실매수 완료, 사이클 분석을 통한 진입</v>
      </c>
      <c r="K36" s="325" t="str">
        <f>IFERROR(__xludf.DUMMYFUNCTION("""COMPUTED_VALUE"""),"1. 수강생 중 서울 상급지로 갈아타기 완료하여 현재 1년 채 안된 기간에 1억 이상 수익 중")</f>
        <v>1. 수강생 중 서울 상급지로 갈아타기 완료하여 현재 1년 채 안된 기간에 1억 이상 수익 중</v>
      </c>
      <c r="L36" s="325" t="str">
        <f>IFERROR(__xludf.DUMMYFUNCTION("""COMPUTED_VALUE"""),"1. 아파트라는 자산에 대한 정확한 이해 2. 아파트 매수매도타이밍 선별방법 3. 투자할 지역을 빠르게 찾는 스킬 등")</f>
        <v>1. 아파트라는 자산에 대한 정확한 이해 2. 아파트 매수매도타이밍 선별방법 3. 투자할 지역을 빠르게 찾는 스킬 등</v>
      </c>
      <c r="M36" s="681" t="s">
        <v>29</v>
      </c>
    </row>
    <row r="37">
      <c r="A37" s="88">
        <v>33.0</v>
      </c>
      <c r="B37" s="754">
        <f>IFERROR(__xludf.DUMMYFUNCTION("""COMPUTED_VALUE"""),45947.50889023148)</f>
        <v>45947.50889</v>
      </c>
      <c r="C37" s="325" t="str">
        <f>IFERROR(__xludf.DUMMYFUNCTION("""COMPUTED_VALUE"""),"co2kin1001@gmail.com")</f>
        <v>co2kin1001@gmail.com</v>
      </c>
      <c r="D37" s="325" t="str">
        <f>IFERROR(__xludf.DUMMYFUNCTION("""COMPUTED_VALUE"""),"김영운")</f>
        <v>김영운</v>
      </c>
      <c r="E37" s="325" t="str">
        <f>IFERROR(__xludf.DUMMYFUNCTION("""COMPUTED_VALUE"""),"알라딘")</f>
        <v>알라딘</v>
      </c>
      <c r="F37" s="325" t="str">
        <f>IFERROR(__xludf.DUMMYFUNCTION("""COMPUTED_VALUE"""),"010-5130-3588")</f>
        <v>010-5130-3588</v>
      </c>
      <c r="G37" s="325" t="str">
        <f>IFERROR(__xludf.DUMMYFUNCTION("""COMPUTED_VALUE"""),"없음")</f>
        <v>없음</v>
      </c>
      <c r="H37" s="325" t="str">
        <f>IFERROR(__xludf.DUMMYFUNCTION("""COMPUTED_VALUE"""),"1번과 2번 함께 하고 싶네요")</f>
        <v>1번과 2번 함께 하고 싶네요</v>
      </c>
      <c r="I37" s="325" t="str">
        <f>IFERROR(__xludf.DUMMYFUNCTION("""COMPUTED_VALUE"""),"나의 꿈인 세일링 요트를 위해, 배우는 것 좋아 합니다. 그러나 조금 이해 조금 늦려요")</f>
        <v>나의 꿈인 세일링 요트를 위해, 배우는 것 좋아 합니다. 그러나 조금 이해 조금 늦려요</v>
      </c>
      <c r="J37" s="325" t="str">
        <f>IFERROR(__xludf.DUMMYFUNCTION("""COMPUTED_VALUE"""),"1,2번 모두 해보고 싶습니다.")</f>
        <v>1,2번 모두 해보고 싶습니다.</v>
      </c>
      <c r="K37" s="325" t="str">
        <f>IFERROR(__xludf.DUMMYFUNCTION("""COMPUTED_VALUE"""),"2번은 경매 경험 있음")</f>
        <v>2번은 경매 경험 있음</v>
      </c>
      <c r="L37" s="325" t="str">
        <f>IFERROR(__xludf.DUMMYFUNCTION("""COMPUTED_VALUE"""),"쿠팡 부업으로 순이익 창출")</f>
        <v>쿠팡 부업으로 순이익 창출</v>
      </c>
      <c r="M37" s="681" t="s">
        <v>29</v>
      </c>
    </row>
    <row r="38">
      <c r="A38" s="88">
        <v>34.0</v>
      </c>
      <c r="B38" s="754">
        <f>IFERROR(__xludf.DUMMYFUNCTION("""COMPUTED_VALUE"""),45967.744274537035)</f>
        <v>45967.74427</v>
      </c>
      <c r="C38" s="325" t="str">
        <f>IFERROR(__xludf.DUMMYFUNCTION("""COMPUTED_VALUE"""),"ssunghyun0919@gmail.com")</f>
        <v>ssunghyun0919@gmail.com</v>
      </c>
      <c r="D38" s="325" t="str">
        <f>IFERROR(__xludf.DUMMYFUNCTION("""COMPUTED_VALUE"""),"송성현 테스트")</f>
        <v>송성현 테스트</v>
      </c>
      <c r="E38" s="325" t="str">
        <f>IFERROR(__xludf.DUMMYFUNCTION("""COMPUTED_VALUE"""),"테스트")</f>
        <v>테스트</v>
      </c>
      <c r="F38" s="325" t="str">
        <f>IFERROR(__xludf.DUMMYFUNCTION("""COMPUTED_VALUE"""),"01092077668")</f>
        <v>01092077668</v>
      </c>
      <c r="G38" s="325" t="str">
        <f>IFERROR(__xludf.DUMMYFUNCTION("""COMPUTED_VALUE"""),"없음")</f>
        <v>없음</v>
      </c>
      <c r="H38" s="325" t="str">
        <f>IFERROR(__xludf.DUMMYFUNCTION("""COMPUTED_VALUE"""),"1. 구매대행과 AI를 활용한 수익화 방법")</f>
        <v>1. 구매대행과 AI를 활용한 수익화 방법</v>
      </c>
      <c r="I38" s="325" t="str">
        <f>IFERROR(__xludf.DUMMYFUNCTION("""COMPUTED_VALUE"""),"ㅁㅁ")</f>
        <v>ㅁㅁ</v>
      </c>
      <c r="J38" s="325" t="str">
        <f>IFERROR(__xludf.DUMMYFUNCTION("""COMPUTED_VALUE"""),"ㅁㅁ")</f>
        <v>ㅁㅁ</v>
      </c>
      <c r="K38" s="325" t="str">
        <f>IFERROR(__xludf.DUMMYFUNCTION("""COMPUTED_VALUE"""),"ㅁㅁ")</f>
        <v>ㅁㅁ</v>
      </c>
      <c r="L38" s="325" t="str">
        <f>IFERROR(__xludf.DUMMYFUNCTION("""COMPUTED_VALUE"""),"ㅁㅁ")</f>
        <v>ㅁㅁ</v>
      </c>
      <c r="M38" s="681" t="s">
        <v>29</v>
      </c>
    </row>
    <row r="39">
      <c r="A39" s="88">
        <v>35.0</v>
      </c>
      <c r="B39" s="754">
        <f>IFERROR(__xludf.DUMMYFUNCTION("""COMPUTED_VALUE"""),45994.67694289352)</f>
        <v>45994.67694</v>
      </c>
      <c r="C39" s="325" t="str">
        <f>IFERROR(__xludf.DUMMYFUNCTION("""COMPUTED_VALUE"""),"9resap@gmail.com")</f>
        <v>9resap@gmail.com</v>
      </c>
      <c r="D39" s="325" t="str">
        <f>IFERROR(__xludf.DUMMYFUNCTION("""COMPUTED_VALUE"""),"이경원")</f>
        <v>이경원</v>
      </c>
      <c r="E39" s="325" t="str">
        <f>IFERROR(__xludf.DUMMYFUNCTION("""COMPUTED_VALUE"""),"구리삽")</f>
        <v>구리삽</v>
      </c>
      <c r="F39" s="325" t="str">
        <f>IFERROR(__xludf.DUMMYFUNCTION("""COMPUTED_VALUE"""),"01025999244")</f>
        <v>01025999244</v>
      </c>
      <c r="G39" s="325" t="str">
        <f>IFERROR(__xludf.DUMMYFUNCTION("""COMPUTED_VALUE"""),"플랫폼에서는 진행한 적 없고, 유튜브를 통해 수강생을 모집하고 있습니다. https://www.youtube.com/@9resap")</f>
        <v>플랫폼에서는 진행한 적 없고, 유튜브를 통해 수강생을 모집하고 있습니다. https://www.youtube.com/@9resap</v>
      </c>
      <c r="H39" s="325" t="str">
        <f>IFERROR(__xludf.DUMMYFUNCTION("""COMPUTED_VALUE"""),"중국구매대행 대량수동 방식으로 고매출 &amp; 지속적인 유지 방법")</f>
        <v>중국구매대행 대량수동 방식으로 고매출 &amp; 지속적인 유지 방법</v>
      </c>
      <c r="I39" s="325" t="str">
        <f>IFERROR(__xludf.DUMMYFUNCTION("""COMPUTED_VALUE"""),"강사의 본질은 수강생의 성과입니다. 월 매출 7억에 근접한 수강생을 배출했고, 월 억대 매출 수강생 비율은 약 20%입니다. 강의 품질과 코칭 역량에는 확신이 있습니다.  하지만 교육 상품 판매는 단순 홍보, 트래픽, 유입으로만 해결되지 않습니다. 체계적인 퍼널 설계, 전환을 이끄는 기획력이 핵심인 것을 알고 있습니다. 이 부분에서 확실한 전문가가 필요합니다")</f>
        <v>강사의 본질은 수강생의 성과입니다. 월 매출 7억에 근접한 수강생을 배출했고, 월 억대 매출 수강생 비율은 약 20%입니다. 강의 품질과 코칭 역량에는 확신이 있습니다.  하지만 교육 상품 판매는 단순 홍보, 트래픽, 유입으로만 해결되지 않습니다. 체계적인 퍼널 설계, 전환을 이끄는 기획력이 핵심인 것을 알고 있습니다. 이 부분에서 확실한 전문가가 필요합니다</v>
      </c>
      <c r="J39" s="325" t="str">
        <f>IFERROR(__xludf.DUMMYFUNCTION("""COMPUTED_VALUE"""),"중국구매대행 월 매출 8억 달성")</f>
        <v>중국구매대행 월 매출 8억 달성</v>
      </c>
      <c r="K39" s="325" t="str">
        <f>IFERROR(__xludf.DUMMYFUNCTION("""COMPUTED_VALUE"""),"월 매출 6.8억 수강생 배출/월 매출 2억이상 수강생 15명 배출/월 매출 1억이상 수강생 다수")</f>
        <v>월 매출 6.8억 수강생 배출/월 매출 2억이상 수강생 15명 배출/월 매출 1억이상 수강생 다수</v>
      </c>
      <c r="L39" s="325" t="str">
        <f>IFERROR(__xludf.DUMMYFUNCTION("""COMPUTED_VALUE"""),"부업 기준, 하루 2~3시간으로 월 순수익 300만원")</f>
        <v>부업 기준, 하루 2~3시간으로 월 순수익 300만원</v>
      </c>
      <c r="M39" s="681" t="s">
        <v>29</v>
      </c>
    </row>
    <row r="40">
      <c r="A40" s="88">
        <v>36.0</v>
      </c>
      <c r="B40" s="754">
        <f>IFERROR(__xludf.DUMMYFUNCTION("""COMPUTED_VALUE"""),46002.97600638889)</f>
        <v>46002.97601</v>
      </c>
      <c r="C40" s="325" t="str">
        <f>IFERROR(__xludf.DUMMYFUNCTION("""COMPUTED_VALUE"""),"acesse2014@gmail.com")</f>
        <v>acesse2014@gmail.com</v>
      </c>
      <c r="D40" s="325" t="str">
        <f>IFERROR(__xludf.DUMMYFUNCTION("""COMPUTED_VALUE"""),"김덕성")</f>
        <v>김덕성</v>
      </c>
      <c r="E40" s="325" t="str">
        <f>IFERROR(__xludf.DUMMYFUNCTION("""COMPUTED_VALUE"""),"김덕성2625")</f>
        <v>김덕성2625</v>
      </c>
      <c r="F40" s="325" t="str">
        <f>IFERROR(__xludf.DUMMYFUNCTION("""COMPUTED_VALUE"""),"01083162625")</f>
        <v>01083162625</v>
      </c>
      <c r="G40" s="325" t="str">
        <f>IFERROR(__xludf.DUMMYFUNCTION("""COMPUTED_VALUE"""),"없음")</f>
        <v>없음</v>
      </c>
      <c r="H40" s="325">
        <f>IFERROR(__xludf.DUMMYFUNCTION("""COMPUTED_VALUE"""),1.0)</f>
        <v>1</v>
      </c>
      <c r="I40" s="325" t="str">
        <f>IFERROR(__xludf.DUMMYFUNCTION("""COMPUTED_VALUE"""),"시니어")</f>
        <v>시니어</v>
      </c>
      <c r="J40" s="325">
        <f>IFERROR(__xludf.DUMMYFUNCTION("""COMPUTED_VALUE"""),1.0)</f>
        <v>1</v>
      </c>
      <c r="K40" s="325">
        <f>IFERROR(__xludf.DUMMYFUNCTION("""COMPUTED_VALUE"""),1.0)</f>
        <v>1</v>
      </c>
      <c r="L40" s="325">
        <f>IFERROR(__xludf.DUMMYFUNCTION("""COMPUTED_VALUE"""),1.0)</f>
        <v>1</v>
      </c>
      <c r="M40" s="681" t="s">
        <v>29</v>
      </c>
    </row>
    <row r="41">
      <c r="A41" s="88">
        <v>37.0</v>
      </c>
      <c r="B41" s="754">
        <f>IFERROR(__xludf.DUMMYFUNCTION("""COMPUTED_VALUE"""),46004.52564196759)</f>
        <v>46004.52564</v>
      </c>
      <c r="C41" s="325" t="str">
        <f>IFERROR(__xludf.DUMMYFUNCTION("""COMPUTED_VALUE"""),"newreviewer@naver.com")</f>
        <v>newreviewer@naver.com</v>
      </c>
      <c r="D41" s="325" t="str">
        <f>IFERROR(__xludf.DUMMYFUNCTION("""COMPUTED_VALUE"""),"테스트")</f>
        <v>테스트</v>
      </c>
      <c r="E41" s="325" t="str">
        <f>IFERROR(__xludf.DUMMYFUNCTION("""COMPUTED_VALUE"""),"테스트")</f>
        <v>테스트</v>
      </c>
      <c r="F41" s="325" t="str">
        <f>IFERROR(__xludf.DUMMYFUNCTION("""COMPUTED_VALUE"""),"테스트")</f>
        <v>테스트</v>
      </c>
      <c r="G41" s="325" t="str">
        <f>IFERROR(__xludf.DUMMYFUNCTION("""COMPUTED_VALUE"""),"없음")</f>
        <v>없음</v>
      </c>
      <c r="H41" s="325" t="str">
        <f>IFERROR(__xludf.DUMMYFUNCTION("""COMPUTED_VALUE"""),"테스트")</f>
        <v>테스트</v>
      </c>
      <c r="I41" s="325" t="str">
        <f>IFERROR(__xludf.DUMMYFUNCTION("""COMPUTED_VALUE"""),"테스트")</f>
        <v>테스트</v>
      </c>
      <c r="J41" s="325" t="str">
        <f>IFERROR(__xludf.DUMMYFUNCTION("""COMPUTED_VALUE"""),"테스트")</f>
        <v>테스트</v>
      </c>
      <c r="K41" s="325" t="str">
        <f>IFERROR(__xludf.DUMMYFUNCTION("""COMPUTED_VALUE"""),"테스트")</f>
        <v>테스트</v>
      </c>
      <c r="L41" s="325" t="str">
        <f>IFERROR(__xludf.DUMMYFUNCTION("""COMPUTED_VALUE"""),"테스트")</f>
        <v>테스트</v>
      </c>
      <c r="M41" s="681" t="s">
        <v>29</v>
      </c>
    </row>
    <row r="42">
      <c r="A42" s="88">
        <v>38.0</v>
      </c>
      <c r="B42" s="754">
        <f>IFERROR(__xludf.DUMMYFUNCTION("""COMPUTED_VALUE"""),46006.54348929398)</f>
        <v>46006.54349</v>
      </c>
      <c r="C42" s="325" t="str">
        <f>IFERROR(__xludf.DUMMYFUNCTION("""COMPUTED_VALUE"""),"")</f>
        <v/>
      </c>
      <c r="D42" s="325" t="str">
        <f>IFERROR(__xludf.DUMMYFUNCTION("""COMPUTED_VALUE"""),"송성현")</f>
        <v>송성현</v>
      </c>
      <c r="E42" s="325" t="str">
        <f>IFERROR(__xludf.DUMMYFUNCTION("""COMPUTED_VALUE"""),"송성현")</f>
        <v>송성현</v>
      </c>
      <c r="F42" s="325" t="str">
        <f>IFERROR(__xludf.DUMMYFUNCTION("""COMPUTED_VALUE"""),"01092077668")</f>
        <v>01092077668</v>
      </c>
      <c r="G42" s="325" t="str">
        <f>IFERROR(__xludf.DUMMYFUNCTION("""COMPUTED_VALUE"""),"없음")</f>
        <v>없음</v>
      </c>
      <c r="H42" s="325" t="str">
        <f>IFERROR(__xludf.DUMMYFUNCTION("""COMPUTED_VALUE"""),"테스트")</f>
        <v>테스트</v>
      </c>
      <c r="I42" s="325" t="str">
        <f>IFERROR(__xludf.DUMMYFUNCTION("""COMPUTED_VALUE"""),"테스트")</f>
        <v>테스트</v>
      </c>
      <c r="J42" s="325" t="str">
        <f>IFERROR(__xludf.DUMMYFUNCTION("""COMPUTED_VALUE"""),"테스트")</f>
        <v>테스트</v>
      </c>
      <c r="K42" s="325" t="str">
        <f>IFERROR(__xludf.DUMMYFUNCTION("""COMPUTED_VALUE"""),"테스트")</f>
        <v>테스트</v>
      </c>
      <c r="L42" s="325" t="str">
        <f>IFERROR(__xludf.DUMMYFUNCTION("""COMPUTED_VALUE"""),"테스트")</f>
        <v>테스트</v>
      </c>
      <c r="M42" s="681" t="s">
        <v>29</v>
      </c>
    </row>
    <row r="43">
      <c r="A43" s="88">
        <v>39.0</v>
      </c>
      <c r="B43" s="754">
        <f>IFERROR(__xludf.DUMMYFUNCTION("""COMPUTED_VALUE"""),46013.61758815972)</f>
        <v>46013.61759</v>
      </c>
      <c r="C43" s="325" t="str">
        <f>IFERROR(__xludf.DUMMYFUNCTION("""COMPUTED_VALUE"""),"")</f>
        <v/>
      </c>
      <c r="D43" s="325" t="str">
        <f>IFERROR(__xludf.DUMMYFUNCTION("""COMPUTED_VALUE"""),"윤석희")</f>
        <v>윤석희</v>
      </c>
      <c r="E43" s="325" t="str">
        <f>IFERROR(__xludf.DUMMYFUNCTION("""COMPUTED_VALUE"""),"없음")</f>
        <v>없음</v>
      </c>
      <c r="F43" s="325" t="str">
        <f>IFERROR(__xludf.DUMMYFUNCTION("""COMPUTED_VALUE"""),"01056346651")</f>
        <v>01056346651</v>
      </c>
      <c r="G43" s="325" t="str">
        <f>IFERROR(__xludf.DUMMYFUNCTION("""COMPUTED_VALUE"""),"없음")</f>
        <v>없음</v>
      </c>
      <c r="H43" s="325" t="str">
        <f>IFERROR(__xludf.DUMMYFUNCTION("""COMPUTED_VALUE"""),"브랜드유통 부동산급매 잡기")</f>
        <v>브랜드유통 부동산급매 잡기</v>
      </c>
      <c r="I43" s="325" t="str">
        <f>IFERROR(__xludf.DUMMYFUNCTION("""COMPUTED_VALUE"""),"퍼스널브랜딩 및 돈 벌기")</f>
        <v>퍼스널브랜딩 및 돈 벌기</v>
      </c>
      <c r="J43" s="325" t="str">
        <f>IFERROR(__xludf.DUMMYFUNCTION("""COMPUTED_VALUE"""),"브랜드유통 월 억대매출 서울빌라 3채 경매보다 싸게 0원에 삿음. ")</f>
        <v>브랜드유통 월 억대매출 서울빌라 3채 경매보다 싸게 0원에 삿음. </v>
      </c>
      <c r="K43" s="325" t="str">
        <f>IFERROR(__xludf.DUMMYFUNCTION("""COMPUTED_VALUE"""),"주변지인 알려줘서 브랜드유통 월순수익 300 500 등 달성")</f>
        <v>주변지인 알려줘서 브랜드유통 월순수익 300 500 등 달성</v>
      </c>
      <c r="L43" s="325" t="str">
        <f>IFERROR(__xludf.DUMMYFUNCTION("""COMPUTED_VALUE"""),"브랜드유통으로 돈 벌기. 경매보다 편하고 저렴하게 빌라급매 매매하기.")</f>
        <v>브랜드유통으로 돈 벌기. 경매보다 편하고 저렴하게 빌라급매 매매하기.</v>
      </c>
      <c r="M43" s="681" t="s">
        <v>29</v>
      </c>
    </row>
    <row r="44">
      <c r="A44" s="88">
        <v>40.0</v>
      </c>
      <c r="B44" s="754">
        <f>IFERROR(__xludf.DUMMYFUNCTION("""COMPUTED_VALUE"""),46016.55118501157)</f>
        <v>46016.55119</v>
      </c>
      <c r="C44" s="325" t="str">
        <f>IFERROR(__xludf.DUMMYFUNCTION("""COMPUTED_VALUE"""),"")</f>
        <v/>
      </c>
      <c r="D44" s="325" t="str">
        <f>IFERROR(__xludf.DUMMYFUNCTION("""COMPUTED_VALUE"""),"최영민")</f>
        <v>최영민</v>
      </c>
      <c r="E44" s="325" t="str">
        <f>IFERROR(__xludf.DUMMYFUNCTION("""COMPUTED_VALUE"""),"걸리버")</f>
        <v>걸리버</v>
      </c>
      <c r="F44" s="325" t="str">
        <f>IFERROR(__xludf.DUMMYFUNCTION("""COMPUTED_VALUE"""),"01030114207")</f>
        <v>01030114207</v>
      </c>
      <c r="G44"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H44" s="325" t="str">
        <f>IFERROR(__xludf.DUMMYFUNCTION("""COMPUTED_VALUE"""),"Ai을 이용한 시니어 드라마 수익화 강의")</f>
        <v>Ai을 이용한 시니어 드라마 수익화 강의</v>
      </c>
      <c r="I44" s="325" t="str">
        <f>IFERROR(__xludf.DUMMYFUNCTION("""COMPUTED_VALUE"""),"유튜브 채널 수익화")</f>
        <v>유튜브 채널 수익화</v>
      </c>
      <c r="J44" s="325" t="str">
        <f>IFERROR(__xludf.DUMMYFUNCTION("""COMPUTED_VALUE"""),"강의용 어플 30개 제작 현재 사용 중 홈피 직접 구축 ")</f>
        <v>강의용 어플 30개 제작 현재 사용 중 홈피 직접 구축 </v>
      </c>
      <c r="K44" s="325" t="str">
        <f>IFERROR(__xludf.DUMMYFUNCTION("""COMPUTED_VALUE"""),"전자책 네이버 스토어 ,카카오 쇼핑, 크몽 강의 및 전자책 ")</f>
        <v>전자책 네이버 스토어 ,카카오 쇼핑, 크몽 강의 및 전자책 </v>
      </c>
      <c r="L44" s="325" t="str">
        <f>IFERROR(__xludf.DUMMYFUNCTION("""COMPUTED_VALUE"""),"유튜브 수창의길 확보")</f>
        <v>유튜브 수창의길 확보</v>
      </c>
      <c r="M44" s="681" t="s">
        <v>29</v>
      </c>
    </row>
    <row r="45">
      <c r="A45" s="88">
        <v>41.0</v>
      </c>
      <c r="B45" s="754">
        <f>IFERROR(__xludf.DUMMYFUNCTION("""COMPUTED_VALUE"""),46018.69777741898)</f>
        <v>46018.69778</v>
      </c>
      <c r="C45" s="325" t="str">
        <f>IFERROR(__xludf.DUMMYFUNCTION("""COMPUTED_VALUE"""),"")</f>
        <v/>
      </c>
      <c r="D45" s="325" t="str">
        <f>IFERROR(__xludf.DUMMYFUNCTION("""COMPUTED_VALUE"""),"임현숙")</f>
        <v>임현숙</v>
      </c>
      <c r="E45" s="325" t="str">
        <f>IFERROR(__xludf.DUMMYFUNCTION("""COMPUTED_VALUE"""),"노루")</f>
        <v>노루</v>
      </c>
      <c r="F45" s="325" t="str">
        <f>IFERROR(__xludf.DUMMYFUNCTION("""COMPUTED_VALUE"""),"01099009031")</f>
        <v>01099009031</v>
      </c>
      <c r="G45" s="325" t="str">
        <f>IFERROR(__xludf.DUMMYFUNCTION("""COMPUTED_VALUE"""),"없음")</f>
        <v>없음</v>
      </c>
      <c r="H45" s="325">
        <f>IFERROR(__xludf.DUMMYFUNCTION("""COMPUTED_VALUE"""),1.0)</f>
        <v>1</v>
      </c>
      <c r="I45" s="325" t="str">
        <f>IFERROR(__xludf.DUMMYFUNCTION("""COMPUTED_VALUE"""),"잘할수 있을 거 같습니다.")</f>
        <v>잘할수 있을 거 같습니다.</v>
      </c>
      <c r="J45" s="325" t="str">
        <f>IFERROR(__xludf.DUMMYFUNCTION("""COMPUTED_VALUE"""),"20억")</f>
        <v>20억</v>
      </c>
      <c r="K45" s="325"/>
      <c r="L45" s="325" t="str">
        <f>IFERROR(__xludf.DUMMYFUNCTION("""COMPUTED_VALUE"""),"쿠팡 300만원")</f>
        <v>쿠팡 300만원</v>
      </c>
      <c r="M45" s="681" t="s">
        <v>29</v>
      </c>
    </row>
    <row r="46">
      <c r="A46" s="88">
        <v>42.0</v>
      </c>
      <c r="B46" s="754">
        <f>IFERROR(__xludf.DUMMYFUNCTION("""COMPUTED_VALUE"""),46027.471175196755)</f>
        <v>46027.47118</v>
      </c>
      <c r="C46" s="325" t="str">
        <f>IFERROR(__xludf.DUMMYFUNCTION("""COMPUTED_VALUE"""),"")</f>
        <v/>
      </c>
      <c r="D46" s="325" t="str">
        <f>IFERROR(__xludf.DUMMYFUNCTION("""COMPUTED_VALUE"""),"김지운")</f>
        <v>김지운</v>
      </c>
      <c r="E46" s="325" t="str">
        <f>IFERROR(__xludf.DUMMYFUNCTION("""COMPUTED_VALUE"""),"썸머김")</f>
        <v>썸머김</v>
      </c>
      <c r="F46" s="325" t="str">
        <f>IFERROR(__xludf.DUMMYFUNCTION("""COMPUTED_VALUE"""),"01030424779")</f>
        <v>01030424779</v>
      </c>
      <c r="G46" s="325" t="str">
        <f>IFERROR(__xludf.DUMMYFUNCTION("""COMPUTED_VALUE"""),"없음")</f>
        <v>없음</v>
      </c>
      <c r="H46" s="325">
        <f>IFERROR(__xludf.DUMMYFUNCTION("""COMPUTED_VALUE"""),1.0)</f>
        <v>1</v>
      </c>
      <c r="I46" s="325" t="str">
        <f>IFERROR(__xludf.DUMMYFUNCTION("""COMPUTED_VALUE"""),"소개")</f>
        <v>소개</v>
      </c>
      <c r="J46" s="325">
        <f>IFERROR(__xludf.DUMMYFUNCTION("""COMPUTED_VALUE"""),1.0)</f>
        <v>1</v>
      </c>
      <c r="K46" s="325">
        <f>IFERROR(__xludf.DUMMYFUNCTION("""COMPUTED_VALUE"""),1.0)</f>
        <v>1</v>
      </c>
      <c r="L46" s="325">
        <f>IFERROR(__xludf.DUMMYFUNCTION("""COMPUTED_VALUE"""),1.0)</f>
        <v>1</v>
      </c>
      <c r="M46" s="681" t="s">
        <v>29</v>
      </c>
    </row>
    <row r="47">
      <c r="A47" s="88">
        <v>43.0</v>
      </c>
      <c r="B47" s="754">
        <f>IFERROR(__xludf.DUMMYFUNCTION("""COMPUTED_VALUE"""),46028.417937962964)</f>
        <v>46028.41794</v>
      </c>
      <c r="C47" s="325" t="str">
        <f>IFERROR(__xludf.DUMMYFUNCTION("""COMPUTED_VALUE"""),"")</f>
        <v/>
      </c>
      <c r="D47" s="325" t="str">
        <f>IFERROR(__xludf.DUMMYFUNCTION("""COMPUTED_VALUE"""),"김시온")</f>
        <v>김시온</v>
      </c>
      <c r="E47" s="325" t="str">
        <f>IFERROR(__xludf.DUMMYFUNCTION("""COMPUTED_VALUE"""),"어썸")</f>
        <v>어썸</v>
      </c>
      <c r="F47" s="325" t="str">
        <f>IFERROR(__xludf.DUMMYFUNCTION("""COMPUTED_VALUE"""),"01021114021")</f>
        <v>01021114021</v>
      </c>
      <c r="G47" s="325" t="str">
        <f>IFERROR(__xludf.DUMMYFUNCTION("""COMPUTED_VALUE"""),"없음")</f>
        <v>없음</v>
      </c>
      <c r="H47" s="325" t="str">
        <f>IFERROR(__xludf.DUMMYFUNCTION("""COMPUTED_VALUE"""),"소규모 카페·디저트 매장을 5년 이상 살아남게 만든 현실적인 운영 방식과 매출 구조 만들기")</f>
        <v>소규모 카페·디저트 매장을 5년 이상 살아남게 만든 현실적인 운영 방식과 매출 구조 만들기</v>
      </c>
      <c r="I47" s="325" t="str">
        <f>IFERROR(__xludf.DUMMYFUNCTION("""COMPUTED_VALUE"""),"카페를 시작할 때 주변에서 들을 수 있었던 이야기는 대부분 “잘 되면 이렇게 된다”는 결과 중심의 이야기였습니다. 하지만 실제 운영을 해보니, 장사는 성공보다 버티는 시간이 훨씬 중요하다는 걸 느꼈습니다.  8년간 카페를 운영하며 매출이 좋았던 시기보다 힘들었던 시기, 잘못된 선택으로 손해를 봤던 경험들이 지금의 매장을 유지하게 만든 핵심 자산이 되었습니다.  저는 화려한 성공 사례보다는 초보 사장님들이 덜 흔들리고, 덜 손해 보고, 오래 운영할 수 있"&amp;"는 기준을 현실적인 언어로 전달하는 데 강점이 있다고 생각해 강사로 지원하게 되었습니다.")</f>
        <v>카페를 시작할 때 주변에서 들을 수 있었던 이야기는 대부분 “잘 되면 이렇게 된다”는 결과 중심의 이야기였습니다. 하지만 실제 운영을 해보니, 장사는 성공보다 버티는 시간이 훨씬 중요하다는 걸 느꼈습니다.  8년간 카페를 운영하며 매출이 좋았던 시기보다 힘들었던 시기, 잘못된 선택으로 손해를 봤던 경험들이 지금의 매장을 유지하게 만든 핵심 자산이 되었습니다.  저는 화려한 성공 사례보다는 초보 사장님들이 덜 흔들리고, 덜 손해 보고, 오래 운영할 수 있는 기준을 현실적인 언어로 전달하는 데 강점이 있다고 생각해 강사로 지원하게 되었습니다.</v>
      </c>
      <c r="J47" s="325" t="str">
        <f>IFERROR(__xludf.DUMMYFUNCTION("""COMPUTED_VALUE"""),"카페 운영 8년 차  연 매출 약 5억 원 규모 매장 운영 경험  배달 중심 매장에서 온라인 스마트스토어 판매 구조 신규 구축  최소 인력 운영 환경에서 고정비 절감 + 운영 효율 개선  메뉴 구성 및 가격 정책 개선을 통해 객단가 상승 경험  오프라인 매장 경험을 기반으로 냉동 제품 온라인 판매 기획 및 출시 진행")</f>
        <v>카페 운영 8년 차  연 매출 약 5억 원 규모 매장 운영 경험  배달 중심 매장에서 온라인 스마트스토어 판매 구조 신규 구축  최소 인력 운영 환경에서 고정비 절감 + 운영 효율 개선  메뉴 구성 및 가격 정책 개선을 통해 객단가 상승 경험  오프라인 매장 경험을 기반으로 냉동 제품 온라인 판매 기획 및 출시 진행</v>
      </c>
      <c r="K47" s="325" t="str">
        <f>IFERROR(__xludf.DUMMYFUNCTION("""COMPUTED_VALUE"""),"지인 및 주변 자영업자에게 매장 운영 구조, 메뉴 정리, 가격 설정 방향을 공유")</f>
        <v>지인 및 주변 자영업자에게 매장 운영 구조, 메뉴 정리, 가격 설정 방향을 공유</v>
      </c>
      <c r="L47" s="325" t="str">
        <f>IFERROR(__xludf.DUMMYFUNCTION("""COMPUTED_VALUE"""),"매출이 들쭉날쭉해도 매장을 바로 접지 않게 되는 운영 기준  메뉴·가격·인력 구성에서 하지 말아야 할 선택들에 대한 명확한 기준  “남들 따라 하기”가 아닌, 내 매장에 맞는 운영 판단 기준  장사를 감정이 아닌 구조로 바라보는 시각")</f>
        <v>매출이 들쭉날쭉해도 매장을 바로 접지 않게 되는 운영 기준  메뉴·가격·인력 구성에서 하지 말아야 할 선택들에 대한 명확한 기준  “남들 따라 하기”가 아닌, 내 매장에 맞는 운영 판단 기준  장사를 감정이 아닌 구조로 바라보는 시각</v>
      </c>
      <c r="M47" s="681" t="s">
        <v>29</v>
      </c>
    </row>
    <row r="48">
      <c r="A48" s="88">
        <v>44.0</v>
      </c>
      <c r="B48" s="754">
        <f>IFERROR(__xludf.DUMMYFUNCTION("""COMPUTED_VALUE"""),46030.107635312495)</f>
        <v>46030.10764</v>
      </c>
      <c r="C48" s="325" t="str">
        <f>IFERROR(__xludf.DUMMYFUNCTION("""COMPUTED_VALUE"""),"")</f>
        <v/>
      </c>
      <c r="D48" s="325" t="str">
        <f>IFERROR(__xludf.DUMMYFUNCTION("""COMPUTED_VALUE"""),"손하연 ")</f>
        <v>손하연 </v>
      </c>
      <c r="E48" s="325" t="str">
        <f>IFERROR(__xludf.DUMMYFUNCTION("""COMPUTED_VALUE"""),"친절한하연쌤 ")</f>
        <v>친절한하연쌤 </v>
      </c>
      <c r="F48" s="325" t="str">
        <f>IFERROR(__xludf.DUMMYFUNCTION("""COMPUTED_VALUE"""),"010-8598-7943")</f>
        <v>010-8598-7943</v>
      </c>
      <c r="G48" s="325" t="str">
        <f>IFERROR(__xludf.DUMMYFUNCTION("""COMPUTED_VALUE"""),"없음")</f>
        <v>없음</v>
      </c>
      <c r="H48" s="325" t="str">
        <f>IFERROR(__xludf.DUMMYFUNCTION("""COMPUTED_VALUE"""),"부동산 경매를 통해 단기매도 수익화 방법 ")</f>
        <v>부동산 경매를 통해 단기매도 수익화 방법 </v>
      </c>
      <c r="I48" s="325" t="str">
        <f>IFERROR(__xludf.DUMMYFUNCTION("""COMPUTED_VALUE"""),"저는 두 아이를 키우며 통장 잔고에 늘 불안을 안고 살던 평범한 주부였습니다. 수없이 부업을 시도했지만 현실은 쉽게 바뀌지 않았고, 그러던 중 남편의 권유로 시작한 경매가 제 인생의 전환점이 되었습니다.  ‘이게 마지막 기회일지도 모른다’라는 절박함으로 생활안정자금 대출 3,000만 원을 받아 첫 경매에 도전했고, 첫 낙찰과 첫 매도를 통해 순수익 3,000만 원을 손에 쥐게 되었습니다. 그 순간 저는 **“용기 내어 행동하면, 삶은 정말 달라질 수 있"&amp;"다”**는 사실을 몸소 깨달았습니다.  그 작은 결심은 이후 아파트·빌라·토지 등 50건 이상의 낙찰과 수익 경험으로 이어졌고, 저는 경매를 특별한 사람만 할 수 있는 투자가 아니라 평범한 사람도 구조를 이해하면 충분히 도전할 수 있는 현실적인 방법으로 전하고 싶어졌습니다.  이러한 경험을 더 많은 분들과 나누기 위해 현재는 유튜브 채널 ‘경매특별시’를 운영하며 실제 사례 중심의 경매 이야기와 초보자 눈높이에 맞춘 콘텐츠를 꾸준히 전달하고 있습니다. 온"&amp;"라인에서도 “처음으로 경매가 이해된다”, “현실적인 설명이라 신뢰가 간다”는 피드백을 받고 있습니다.  저의 강점은 ✔ 평범한 주부에서 시작해 지금의 자리까지 직접 걸어온 실전 경험 ✔ 이론보다 판단 기준과 리스크 관리 중심으로 설명하는 강의 방식 ✔ 불안한 초보 수강생의 마음을 깊이 이해하고 공감하는 소통력입니다.  딱쉬운경매에서 ‘친절한 하연쌤’으로 멘토링을 진행하며 단타낙찰반 회원님들을 비롯한 많은 수강생분들과 함께해 왔고, 저는 정답을 제시하는 "&amp;"강사보다 수강생이 스스로 결정하고 포기하지 않도록 옆에서 돕는 멘토형 강사를 지향해 왔습니다.  핏크닉은  단순한 정보 전달을 넘어 수강생의 실행과 성장을 이끄는 클래스라고 생각합니다. 제가 걸어온 과정과 강의 철학은 핏크닉의 방향성과 맞닿아 있으며, “나도 할 수 있을까?”라는 질문에 “당신도 충분히 할 수 있다”는 확신을 전하는 강사로 기여하고 싶어 지원하게 되었습니다.")</f>
        <v>저는 두 아이를 키우며 통장 잔고에 늘 불안을 안고 살던 평범한 주부였습니다. 수없이 부업을 시도했지만 현실은 쉽게 바뀌지 않았고, 그러던 중 남편의 권유로 시작한 경매가 제 인생의 전환점이 되었습니다.  ‘이게 마지막 기회일지도 모른다’라는 절박함으로 생활안정자금 대출 3,000만 원을 받아 첫 경매에 도전했고, 첫 낙찰과 첫 매도를 통해 순수익 3,000만 원을 손에 쥐게 되었습니다. 그 순간 저는 **“용기 내어 행동하면, 삶은 정말 달라질 수 있다”**는 사실을 몸소 깨달았습니다.  그 작은 결심은 이후 아파트·빌라·토지 등 50건 이상의 낙찰과 수익 경험으로 이어졌고, 저는 경매를 특별한 사람만 할 수 있는 투자가 아니라 평범한 사람도 구조를 이해하면 충분히 도전할 수 있는 현실적인 방법으로 전하고 싶어졌습니다.  이러한 경험을 더 많은 분들과 나누기 위해 현재는 유튜브 채널 ‘경매특별시’를 운영하며 실제 사례 중심의 경매 이야기와 초보자 눈높이에 맞춘 콘텐츠를 꾸준히 전달하고 있습니다. 온라인에서도 “처음으로 경매가 이해된다”, “현실적인 설명이라 신뢰가 간다”는 피드백을 받고 있습니다.  저의 강점은 ✔ 평범한 주부에서 시작해 지금의 자리까지 직접 걸어온 실전 경험 ✔ 이론보다 판단 기준과 리스크 관리 중심으로 설명하는 강의 방식 ✔ 불안한 초보 수강생의 마음을 깊이 이해하고 공감하는 소통력입니다.  딱쉬운경매에서 ‘친절한 하연쌤’으로 멘토링을 진행하며 단타낙찰반 회원님들을 비롯한 많은 수강생분들과 함께해 왔고, 저는 정답을 제시하는 강사보다 수강생이 스스로 결정하고 포기하지 않도록 옆에서 돕는 멘토형 강사를 지향해 왔습니다.  핏크닉은  단순한 정보 전달을 넘어 수강생의 실행과 성장을 이끄는 클래스라고 생각합니다. 제가 걸어온 과정과 강의 철학은 핏크닉의 방향성과 맞닿아 있으며, “나도 할 수 있을까?”라는 질문에 “당신도 충분히 할 수 있다”는 확신을 전하는 강사로 기여하고 싶어 지원하게 되었습니다.</v>
      </c>
      <c r="J48" s="325" t="str">
        <f>IFERROR(__xludf.DUMMYFUNCTION("""COMPUTED_VALUE"""),"부동산 경매로 순자산 50억")</f>
        <v>부동산 경매로 순자산 50억</v>
      </c>
      <c r="K48" s="325" t="str">
        <f>IFERROR(__xludf.DUMMYFUNCTION("""COMPUTED_VALUE"""),"1000명이상 회원님 멘토링 통해 300건 이상 낙찰 성공! 이후 매도해 수익까지 달성 ")</f>
        <v>1000명이상 회원님 멘토링 통해 300건 이상 낙찰 성공! 이후 매도해 수익까지 달성 </v>
      </c>
      <c r="L48" s="325" t="str">
        <f>IFERROR(__xludf.DUMMYFUNCTION("""COMPUTED_VALUE"""),"경매 한건으로  초년생 연봉벌기!")</f>
        <v>경매 한건으로  초년생 연봉벌기!</v>
      </c>
      <c r="M48" s="681" t="s">
        <v>29</v>
      </c>
    </row>
    <row r="49">
      <c r="A49" s="88">
        <v>45.0</v>
      </c>
      <c r="B49" s="754">
        <f>IFERROR(__xludf.DUMMYFUNCTION("""COMPUTED_VALUE"""),46030.710291180556)</f>
        <v>46030.71029</v>
      </c>
      <c r="C49" s="325" t="str">
        <f>IFERROR(__xludf.DUMMYFUNCTION("""COMPUTED_VALUE"""),"")</f>
        <v/>
      </c>
      <c r="D49" s="325" t="str">
        <f>IFERROR(__xludf.DUMMYFUNCTION("""COMPUTED_VALUE"""),"최송복")</f>
        <v>최송복</v>
      </c>
      <c r="E49" s="325" t="str">
        <f>IFERROR(__xludf.DUMMYFUNCTION("""COMPUTED_VALUE"""),"파티플래너최")</f>
        <v>파티플래너최</v>
      </c>
      <c r="F49" s="325" t="str">
        <f>IFERROR(__xludf.DUMMYFUNCTION("""COMPUTED_VALUE"""),"010-4107-2852")</f>
        <v>010-4107-2852</v>
      </c>
      <c r="G49" s="325" t="str">
        <f>IFERROR(__xludf.DUMMYFUNCTION("""COMPUTED_VALUE"""),"협회 오프라인강의ㅡhttp://kpec.org/bbs/content.php?co_id=edu_one02")</f>
        <v>협회 오프라인강의ㅡhttp://kpec.org/bbs/content.php?co_id=edu_one02</v>
      </c>
      <c r="H49" s="325" t="str">
        <f>IFERROR(__xludf.DUMMYFUNCTION("""COMPUTED_VALUE"""),"일주일에 하루만 일해도, 월 500만 원 수익을 목표로 할 수 있는 파티스타일링 실전 수익 구조 강의 본 강의는 파티스타일링을 감성이나 취미가 아닌, 행사 1건 단위로 수익을 설계하는 비즈니스 모델로 다룹니다. 소규모 프라이빗 행사에서 시작해 행사 1건당 1천만 원에서 최대 5천만 원 규모의 기업 행사까지 단계적으로 확장할 수 있는 구조를 실전 중심으로 전달합니다. 전문가가 아니어도 시작할 수 있도록, 사전 경력이나 고가 장비 없이도 적용 가능한 구조를"&amp;" 중심으로 구성된 강의입니다.")</f>
        <v>일주일에 하루만 일해도, 월 500만 원 수익을 목표로 할 수 있는 파티스타일링 실전 수익 구조 강의 본 강의는 파티스타일링을 감성이나 취미가 아닌, 행사 1건 단위로 수익을 설계하는 비즈니스 모델로 다룹니다. 소규모 프라이빗 행사에서 시작해 행사 1건당 1천만 원에서 최대 5천만 원 규모의 기업 행사까지 단계적으로 확장할 수 있는 구조를 실전 중심으로 전달합니다. 전문가가 아니어도 시작할 수 있도록, 사전 경력이나 고가 장비 없이도 적용 가능한 구조를 중심으로 구성된 강의입니다.</v>
      </c>
      <c r="I49" s="325" t="str">
        <f>IFERROR(__xludf.DUMMYFUNCTION("""COMPUTED_VALUE"""),"핏크닉은 단순한 정보 전달이 아니라 실제로 실행하고 수익으로 이어질 수 있는 콘텐츠를 중시하는 플랫폼이라고 생각했습니다. 저는 파티스타일링 현장에서 오랜 시간 활동하며 ‘예쁘게 꾸미는 기술’보다 어떻게 수익 구조를 설계하느냐가 더 중요하다는 것을 체감해왔고, 이 경험을 체계화해 전달할 수 있는 곳이 핏크닉이라고 판단해 지원하게 되었습니다. 저의 강점은 현장에서 검증된 구조만을 바탕으로 초보자도 바로 적용할 수 있도록 단순화해 설명하는 능력입니다. 실행 "&amp;"중심, 숫자 중심으로 강의를 구성하여 수강생이 막연한 기대가 아닌 현실적인 첫 수익을 경험할 수 있도록 돕는 것이 제 강의 방향입니다.")</f>
        <v>핏크닉은 단순한 정보 전달이 아니라 실제로 실행하고 수익으로 이어질 수 있는 콘텐츠를 중시하는 플랫폼이라고 생각했습니다. 저는 파티스타일링 현장에서 오랜 시간 활동하며 ‘예쁘게 꾸미는 기술’보다 어떻게 수익 구조를 설계하느냐가 더 중요하다는 것을 체감해왔고, 이 경험을 체계화해 전달할 수 있는 곳이 핏크닉이라고 판단해 지원하게 되었습니다. 저의 강점은 현장에서 검증된 구조만을 바탕으로 초보자도 바로 적용할 수 있도록 단순화해 설명하는 능력입니다. 실행 중심, 숫자 중심으로 강의를 구성하여 수강생이 막연한 기대가 아닌 현실적인 첫 수익을 경험할 수 있도록 돕는 것이 제 강의 방향입니다.</v>
      </c>
      <c r="J49" s="325" t="str">
        <f>IFERROR(__xludf.DUMMYFUNCTION("""COMPUTED_VALUE"""),"•파티·이벤트 업계 경력 9년 차 •개인사업자 전환 1년 차에 연매출 1억 2천만 원 달성 •프라이빗 및 기업 행사 기준 행사 1건당 매출 1천만 원 ~ 최대 5천만 원 규모 다수 진행 •월 1~2회 행사 운영만으로 월 순수익 500만 원 이상 구조를 반복적으로 운영 •지난달 기준 행사 1건 진행, 매출 약 900만 원 •삼성, LG 등 대기업 행사 및 VIP·프라이빗 행사 다수 수행 •KBS 「생생정보통」, SBS 「모닝와이드」 출연 •2024년 창업"&amp;"진흥원 지원사업 선정 •한국파티이벤트협회 소속 활동 •재단·복지기관·학교 등 다수 교육 진행")</f>
        <v>•파티·이벤트 업계 경력 9년 차 •개인사업자 전환 1년 차에 연매출 1억 2천만 원 달성 •프라이빗 및 기업 행사 기준 행사 1건당 매출 1천만 원 ~ 최대 5천만 원 규모 다수 진행 •월 1~2회 행사 운영만으로 월 순수익 500만 원 이상 구조를 반복적으로 운영 •지난달 기준 행사 1건 진행, 매출 약 900만 원 •삼성, LG 등 대기업 행사 및 VIP·프라이빗 행사 다수 수행 •KBS 「생생정보통」, SBS 「모닝와이드」 출연 •2024년 창업진흥원 지원사업 선정 •한국파티이벤트협회 소속 활동 •재단·복지기관·학교 등 다수 교육 진행</v>
      </c>
      <c r="K49" s="325" t="str">
        <f>IFERROR(__xludf.DUMMYFUNCTION("""COMPUTED_VALUE"""),"강의 수강 후 파티 관련 부업으로 시작한 수강생이 실행 구조를 적용해 바로 월 매출 1천만원 사례가 있습니다")</f>
        <v>강의 수강 후 파티 관련 부업으로 시작한 수강생이 실행 구조를 적용해 바로 월 매출 1천만원 사례가 있습니다</v>
      </c>
      <c r="L49" s="325" t="str">
        <f>IFERROR(__xludf.DUMMYFUNCTION("""COMPUTED_VALUE"""),"월1회의 행사 운영만으로 월 500만 원 수준의 수익을 목표로 하는 구조를 설계할 수 있어 부업으로 시작할 수 있습니다.")</f>
        <v>월1회의 행사 운영만으로 월 500만 원 수준의 수익을 목표로 하는 구조를 설계할 수 있어 부업으로 시작할 수 있습니다.</v>
      </c>
      <c r="M49" s="681" t="s">
        <v>29</v>
      </c>
    </row>
    <row r="50">
      <c r="A50" s="88">
        <v>46.0</v>
      </c>
      <c r="B50" s="754">
        <f>IFERROR(__xludf.DUMMYFUNCTION("""COMPUTED_VALUE"""),46031.48369822917)</f>
        <v>46031.4837</v>
      </c>
      <c r="C50" s="325" t="str">
        <f>IFERROR(__xludf.DUMMYFUNCTION("""COMPUTED_VALUE"""),"")</f>
        <v/>
      </c>
      <c r="D50" s="325" t="str">
        <f>IFERROR(__xludf.DUMMYFUNCTION("""COMPUTED_VALUE"""),"안영덕")</f>
        <v>안영덕</v>
      </c>
      <c r="E50" s="325" t="str">
        <f>IFERROR(__xludf.DUMMYFUNCTION("""COMPUTED_VALUE"""),"안이사")</f>
        <v>안이사</v>
      </c>
      <c r="F50" s="325" t="str">
        <f>IFERROR(__xludf.DUMMYFUNCTION("""COMPUTED_VALUE"""),"01022944218")</f>
        <v>01022944218</v>
      </c>
      <c r="G50"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H50" s="325" t="str">
        <f>IFERROR(__xludf.DUMMYFUNCTION("""COMPUTED_VALUE"""),"AI 구매대행으로 수익 창출 자동화")</f>
        <v>AI 구매대행으로 수익 창출 자동화</v>
      </c>
      <c r="I50" s="325" t="str">
        <f>IFERROR(__xludf.DUMMYFUNCTION("""COMPUTED_VALUE"""),"사용자 확보를 위해 지원하였습니다. 월 매출 5천만원을 달성해본 이력으로 구매대행에 전반적인 흐름과 이슈를 분석하여 내부 알고리즘을 통한다면 누구나 수익 창출을 할 수 있게 만들 수 있습니다.")</f>
        <v>사용자 확보를 위해 지원하였습니다. 월 매출 5천만원을 달성해본 이력으로 구매대행에 전반적인 흐름과 이슈를 분석하여 내부 알고리즘을 통한다면 누구나 수익 창출을 할 수 있게 만들 수 있습니다.</v>
      </c>
      <c r="J50" s="325" t="str">
        <f>IFERROR(__xludf.DUMMYFUNCTION("""COMPUTED_VALUE"""),"구매대행 월 5천만원 매출 달성")</f>
        <v>구매대행 월 5천만원 매출 달성</v>
      </c>
      <c r="K50" s="325" t="str">
        <f>IFERROR(__xludf.DUMMYFUNCTION("""COMPUTED_VALUE"""),"현재 14명의 수강생과 확보 고객으로 매출을 만들고 있습니다. 수강생 월 천만원 매출 달성")</f>
        <v>현재 14명의 수강생과 확보 고객으로 매출을 만들고 있습니다. 수강생 월 천만원 매출 달성</v>
      </c>
      <c r="L50" s="325" t="str">
        <f>IFERROR(__xludf.DUMMYFUNCTION("""COMPUTED_VALUE"""),"AI 구매대행 자동화 솔루션으로 월 수익 100만원 창출")</f>
        <v>AI 구매대행 자동화 솔루션으로 월 수익 100만원 창출</v>
      </c>
      <c r="M50" s="681" t="s">
        <v>29</v>
      </c>
    </row>
    <row r="51">
      <c r="A51" s="88">
        <v>47.0</v>
      </c>
      <c r="B51" s="754">
        <f>IFERROR(__xludf.DUMMYFUNCTION("""COMPUTED_VALUE"""),46034.338050335646)</f>
        <v>46034.33805</v>
      </c>
      <c r="C51" s="325" t="str">
        <f>IFERROR(__xludf.DUMMYFUNCTION("""COMPUTED_VALUE"""),"")</f>
        <v/>
      </c>
      <c r="D51" s="325" t="str">
        <f>IFERROR(__xludf.DUMMYFUNCTION("""COMPUTED_VALUE"""),"박윤희")</f>
        <v>박윤희</v>
      </c>
      <c r="E51" s="325" t="str">
        <f>IFERROR(__xludf.DUMMYFUNCTION("""COMPUTED_VALUE"""),"박하늘")</f>
        <v>박하늘</v>
      </c>
      <c r="F51" s="325" t="str">
        <f>IFERROR(__xludf.DUMMYFUNCTION("""COMPUTED_VALUE"""),"01051625445")</f>
        <v>01051625445</v>
      </c>
      <c r="G51"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H51" s="325" t="str">
        <f>IFERROR(__xludf.DUMMYFUNCTION("""COMPUTED_VALUE"""),"구매대행과 Ai를 활용한 수익화 방법")</f>
        <v>구매대행과 Ai를 활용한 수익화 방법</v>
      </c>
      <c r="I51" s="325" t="str">
        <f>IFERROR(__xludf.DUMMYFUNCTION("""COMPUTED_VALUE"""),"현 대학 강사를 하고있지만 수입에 어려움으로 생활고를 겪고 있습니다. 저와 같은 어려음을 가지신 분들에게 희망을 주고싶습니다.")</f>
        <v>현 대학 강사를 하고있지만 수입에 어려움으로 생활고를 겪고 있습니다. 저와 같은 어려음을 가지신 분들에게 희망을 주고싶습니다.</v>
      </c>
      <c r="J51" s="325" t="str">
        <f>IFERROR(__xludf.DUMMYFUNCTION("""COMPUTED_VALUE"""),"전혀 없습니다. ")</f>
        <v>전혀 없습니다. </v>
      </c>
      <c r="K51" s="325" t="str">
        <f>IFERROR(__xludf.DUMMYFUNCTION("""COMPUTED_VALUE"""),"전혀 없습니다. 그래도 가능한가요?")</f>
        <v>전혀 없습니다. 그래도 가능한가요?</v>
      </c>
      <c r="L51" s="325" t="str">
        <f>IFERROR(__xludf.DUMMYFUNCTION("""COMPUTED_VALUE"""),"쿠팡 외 수익창출")</f>
        <v>쿠팡 외 수익창출</v>
      </c>
      <c r="M51" s="681" t="s">
        <v>29</v>
      </c>
    </row>
    <row r="52">
      <c r="A52" s="88">
        <v>48.0</v>
      </c>
      <c r="B52" s="754">
        <f>IFERROR(__xludf.DUMMYFUNCTION("""COMPUTED_VALUE"""),46035.5646375)</f>
        <v>46035.56464</v>
      </c>
      <c r="C52" s="325" t="str">
        <f>IFERROR(__xludf.DUMMYFUNCTION("""COMPUTED_VALUE"""),"")</f>
        <v/>
      </c>
      <c r="D52" s="325" t="str">
        <f>IFERROR(__xludf.DUMMYFUNCTION("""COMPUTED_VALUE"""),"이윤민")</f>
        <v>이윤민</v>
      </c>
      <c r="E52" s="325" t="str">
        <f>IFERROR(__xludf.DUMMYFUNCTION("""COMPUTED_VALUE"""),"이코미114")</f>
        <v>이코미114</v>
      </c>
      <c r="F52" s="325" t="str">
        <f>IFERROR(__xludf.DUMMYFUNCTION("""COMPUTED_VALUE"""),"010-7292-2582")</f>
        <v>010-7292-2582</v>
      </c>
      <c r="G52" s="325" t="str">
        <f>IFERROR(__xludf.DUMMYFUNCTION("""COMPUTED_VALUE"""),"현재 2군대 합격했습니다. 비교하고있습니다. ")</f>
        <v>현재 2군대 합격했습니다. 비교하고있습니다. </v>
      </c>
      <c r="H52" s="755" t="str">
        <f>IFERROR(__xludf.DUMMYFUNCTION("""COMPUTED_VALUE"""),"https://pf.kakao.com/_SxlAnG")</f>
        <v>https://pf.kakao.com/_SxlAnG</v>
      </c>
      <c r="I52" s="325" t="str">
        <f>IFERROR(__xludf.DUMMYFUNCTION("""COMPUTED_VALUE"""),"쿠팡 그로스로 1등찍어서 강사로도 1등찍고싶습니다.")</f>
        <v>쿠팡 그로스로 1등찍어서 강사로도 1등찍고싶습니다.</v>
      </c>
      <c r="J52" s="325" t="str">
        <f>IFERROR(__xludf.DUMMYFUNCTION("""COMPUTED_VALUE"""),"쿠팡 연매출 88억 1인 사업자 (쿠팡그로스 최강자) 3년 누적매출 170억")</f>
        <v>쿠팡 연매출 88억 1인 사업자 (쿠팡그로스 최강자) 3년 누적매출 170억</v>
      </c>
      <c r="K52" s="325" t="str">
        <f>IFERROR(__xludf.DUMMYFUNCTION("""COMPUTED_VALUE"""),"첫강의 ")</f>
        <v>첫강의 </v>
      </c>
      <c r="L52" s="325" t="str">
        <f>IFERROR(__xludf.DUMMYFUNCTION("""COMPUTED_VALUE"""),"1. 쿠팡 부업을 통해 50만원 정도의 순이익")</f>
        <v>1. 쿠팡 부업을 통해 50만원 정도의 순이익</v>
      </c>
      <c r="M52" s="681" t="s">
        <v>29</v>
      </c>
    </row>
    <row r="53">
      <c r="A53" s="88">
        <v>49.0</v>
      </c>
      <c r="B53" s="754">
        <f>IFERROR(__xludf.DUMMYFUNCTION("""COMPUTED_VALUE"""),46037.52405072917)</f>
        <v>46037.52405</v>
      </c>
      <c r="C53" s="325" t="str">
        <f>IFERROR(__xludf.DUMMYFUNCTION("""COMPUTED_VALUE"""),"")</f>
        <v/>
      </c>
      <c r="D53" s="325" t="str">
        <f>IFERROR(__xludf.DUMMYFUNCTION("""COMPUTED_VALUE"""),"최호남")</f>
        <v>최호남</v>
      </c>
      <c r="E53" s="325" t="str">
        <f>IFERROR(__xludf.DUMMYFUNCTION("""COMPUTED_VALUE"""),"최대장")</f>
        <v>최대장</v>
      </c>
      <c r="F53" s="325" t="str">
        <f>IFERROR(__xludf.DUMMYFUNCTION("""COMPUTED_VALUE"""),"010-8436-2206")</f>
        <v>010-8436-2206</v>
      </c>
      <c r="G53" s="325" t="str">
        <f>IFERROR(__xludf.DUMMYFUNCTION("""COMPUTED_VALUE"""),"네이버 카페를 운영하면서 자동차 커뮤니티 운영자로 활동중이며 자영업자분들을 대상으로 소상공인 교육을 진행했었고 엘지유플러스 TM매니저로 근무했었던 이력이 있습니다")</f>
        <v>네이버 카페를 운영하면서 자동차 커뮤니티 운영자로 활동중이며 자영업자분들을 대상으로 소상공인 교육을 진행했었고 엘지유플러스 TM매니저로 근무했었던 이력이 있습니다</v>
      </c>
      <c r="H53" s="325" t="str">
        <f>IFERROR(__xludf.DUMMYFUNCTION("""COMPUTED_VALUE"""),"자영업 마케팅 자동화 방법 (플레이스,당근,인스타,쓰레드)")</f>
        <v>자영업 마케팅 자동화 방법 (플레이스,당근,인스타,쓰레드)</v>
      </c>
      <c r="I53" s="325" t="str">
        <f>IFERROR(__xludf.DUMMYFUNCTION("""COMPUTED_VALUE"""),"안녕하세요. 지인의 소개로 머니테이커님을 알고있었고 블로그 관련 강의에도 참여했었습니다. 자영업자분들을 대상으로 코칭하고있지만 조금더 큰 강연에도 도전해보고싶어서 지원하게됐습니다")</f>
        <v>안녕하세요. 지인의 소개로 머니테이커님을 알고있었고 블로그 관련 강의에도 참여했었습니다. 자영업자분들을 대상으로 코칭하고있지만 조금더 큰 강연에도 도전해보고싶어서 지원하게됐습니다</v>
      </c>
      <c r="J53" s="325" t="str">
        <f>IFERROR(__xludf.DUMMYFUNCTION("""COMPUTED_VALUE"""),"현재 마케팅 대행사 운영중 (연3억), 네이버 대표카페 3개 달성,")</f>
        <v>현재 마케팅 대행사 운영중 (연3억), 네이버 대표카페 3개 달성,</v>
      </c>
      <c r="K53" s="325" t="str">
        <f>IFERROR(__xludf.DUMMYFUNCTION("""COMPUTED_VALUE"""),"자영업 평균 매출 500~1천만원 이상 성장")</f>
        <v>자영업 평균 매출 500~1천만원 이상 성장</v>
      </c>
      <c r="L53" s="325" t="str">
        <f>IFERROR(__xludf.DUMMYFUNCTION("""COMPUTED_VALUE"""),"마케팅에 관한 지식을 쌓고 직접 마케팅을 진행할수있습니다")</f>
        <v>마케팅에 관한 지식을 쌓고 직접 마케팅을 진행할수있습니다</v>
      </c>
      <c r="M53" s="681" t="s">
        <v>29</v>
      </c>
    </row>
    <row r="54">
      <c r="A54" s="88">
        <v>50.0</v>
      </c>
      <c r="B54" s="754">
        <f>IFERROR(__xludf.DUMMYFUNCTION("""COMPUTED_VALUE"""),46041.097654247686)</f>
        <v>46041.09765</v>
      </c>
      <c r="C54" s="325" t="str">
        <f>IFERROR(__xludf.DUMMYFUNCTION("""COMPUTED_VALUE"""),"")</f>
        <v/>
      </c>
      <c r="D54" s="325" t="str">
        <f>IFERROR(__xludf.DUMMYFUNCTION("""COMPUTED_VALUE"""),"조헌탁")</f>
        <v>조헌탁</v>
      </c>
      <c r="E54" s="325" t="str">
        <f>IFERROR(__xludf.DUMMYFUNCTION("""COMPUTED_VALUE"""),"머니야")</f>
        <v>머니야</v>
      </c>
      <c r="F54" s="325" t="str">
        <f>IFERROR(__xludf.DUMMYFUNCTION("""COMPUTED_VALUE"""),"01044284077")</f>
        <v>01044284077</v>
      </c>
      <c r="G54" s="325" t="str">
        <f>IFERROR(__xludf.DUMMYFUNCTION("""COMPUTED_VALUE"""),"숨고 2개월차 1:1레슨")</f>
        <v>숨고 2개월차 1:1레슨</v>
      </c>
      <c r="H54" s="325" t="str">
        <f>IFERROR(__xludf.DUMMYFUNCTION("""COMPUTED_VALUE"""),"유튜브수익승인채널증정및크리에이터 Ai레슨")</f>
        <v>유튜브수익승인채널증정및크리에이터 Ai레슨</v>
      </c>
      <c r="I54" s="325" t="str">
        <f>IFERROR(__xludf.DUMMYFUNCTION("""COMPUTED_VALUE"""),"숨고2개월차인데 월매출2천 나왔습니다. 1:1하다가 우연히 5명 그룹레슨하니 매출이 좋더군요. 그래서 수강생 잘 모아 줄곳을 찾다가 이곳 지원하게 되었습니다.")</f>
        <v>숨고2개월차인데 월매출2천 나왔습니다. 1:1하다가 우연히 5명 그룹레슨하니 매출이 좋더군요. 그래서 수강생 잘 모아 줄곳을 찾다가 이곳 지원하게 되었습니다.</v>
      </c>
      <c r="J54" s="325" t="str">
        <f>IFERROR(__xludf.DUMMYFUNCTION("""COMPUTED_VALUE"""),"네이버에서 조헌탁 치면 제 저서와 이력 나옵니다. 스토리 텔링 다말하긴 어렵지만 나름 화려")</f>
        <v>네이버에서 조헌탁 치면 제 저서와 이력 나옵니다. 스토리 텔링 다말하긴 어렵지만 나름 화려</v>
      </c>
      <c r="K54" s="325" t="str">
        <f>IFERROR(__xludf.DUMMYFUNCTION("""COMPUTED_VALUE"""),"수익채널 받은 분들은 하나같이 수익 냅니다. 얼마 버는지는 일일이 확인은 안했습니다. 강의료가 200인데 별5개 꼬박 주는 거 보면 다들 만족 중인듯 합니다.(숨고)")</f>
        <v>수익채널 받은 분들은 하나같이 수익 냅니다. 얼마 버는지는 일일이 확인은 안했습니다. 강의료가 200인데 별5개 꼬박 주는 거 보면 다들 만족 중인듯 합니다.(숨고)</v>
      </c>
      <c r="L54" s="325" t="str">
        <f>IFERROR(__xludf.DUMMYFUNCTION("""COMPUTED_VALUE"""),"수익채널 바로 확보. Ai활용한 유튜브운영 습득 및 자동화 습득")</f>
        <v>수익채널 바로 확보. Ai활용한 유튜브운영 습득 및 자동화 습득</v>
      </c>
      <c r="M54" s="681" t="s">
        <v>29</v>
      </c>
    </row>
    <row r="55">
      <c r="A55" s="88">
        <v>51.0</v>
      </c>
      <c r="B55" s="754">
        <f>IFERROR(__xludf.DUMMYFUNCTION("""COMPUTED_VALUE"""),46050.20053758102)</f>
        <v>46050.20054</v>
      </c>
      <c r="C55" s="325" t="str">
        <f>IFERROR(__xludf.DUMMYFUNCTION("""COMPUTED_VALUE"""),"")</f>
        <v/>
      </c>
      <c r="D55" s="325" t="str">
        <f>IFERROR(__xludf.DUMMYFUNCTION("""COMPUTED_VALUE"""),"박성열")</f>
        <v>박성열</v>
      </c>
      <c r="E55" s="325" t="str">
        <f>IFERROR(__xludf.DUMMYFUNCTION("""COMPUTED_VALUE"""),"이지하우스")</f>
        <v>이지하우스</v>
      </c>
      <c r="F55" s="325" t="str">
        <f>IFERROR(__xludf.DUMMYFUNCTION("""COMPUTED_VALUE"""),"01067879188")</f>
        <v>01067879188</v>
      </c>
      <c r="G55"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H55" s="325" t="str">
        <f>IFERROR(__xludf.DUMMYFUNCTION("""COMPUTED_VALUE"""),"이지 쇼핑몰")</f>
        <v>이지 쇼핑몰</v>
      </c>
      <c r="I55" s="325" t="str">
        <f>IFERROR(__xludf.DUMMYFUNCTION("""COMPUTED_VALUE"""),"재능없는 사람을 위한 쇼핑몰운영")</f>
        <v>재능없는 사람을 위한 쇼핑몰운영</v>
      </c>
      <c r="J55" s="325" t="str">
        <f>IFERROR(__xludf.DUMMYFUNCTION("""COMPUTED_VALUE"""),"연매출10억.현장설비팀구축.특허 제조업.벤처기업")</f>
        <v>연매출10억.현장설비팀구축.특허 제조업.벤처기업</v>
      </c>
      <c r="K55" s="325" t="str">
        <f>IFERROR(__xludf.DUMMYFUNCTION("""COMPUTED_VALUE"""),"잘나가는서과장 대량구매대행 강의 전 기획자")</f>
        <v>잘나가는서과장 대량구매대행 강의 전 기획자</v>
      </c>
      <c r="L55" s="325" t="str">
        <f>IFERROR(__xludf.DUMMYFUNCTION("""COMPUTED_VALUE"""),"자기만의 사업 아이템. 먹고살수는 있는 수익화")</f>
        <v>자기만의 사업 아이템. 먹고살수는 있는 수익화</v>
      </c>
      <c r="M55" s="681" t="s">
        <v>29</v>
      </c>
    </row>
    <row r="56">
      <c r="A56" s="88">
        <v>52.0</v>
      </c>
      <c r="B56" s="754">
        <f>IFERROR(__xludf.DUMMYFUNCTION("""COMPUTED_VALUE"""),46054.34691071759)</f>
        <v>46054.34691</v>
      </c>
      <c r="C56" s="325" t="str">
        <f>IFERROR(__xludf.DUMMYFUNCTION("""COMPUTED_VALUE"""),"")</f>
        <v/>
      </c>
      <c r="D56" s="325" t="str">
        <f>IFERROR(__xludf.DUMMYFUNCTION("""COMPUTED_VALUE"""),"김시원")</f>
        <v>김시원</v>
      </c>
      <c r="E56" s="325" t="str">
        <f>IFERROR(__xludf.DUMMYFUNCTION("""COMPUTED_VALUE"""),"시원해")</f>
        <v>시원해</v>
      </c>
      <c r="F56" s="325" t="str">
        <f>IFERROR(__xludf.DUMMYFUNCTION("""COMPUTED_VALUE"""),"01077344431")</f>
        <v>01077344431</v>
      </c>
      <c r="G56" s="325" t="str">
        <f>IFERROR(__xludf.DUMMYFUNCTION("""COMPUTED_VALUE"""),"학원강사")</f>
        <v>학원강사</v>
      </c>
      <c r="H56" s="325" t="str">
        <f>IFERROR(__xludf.DUMMYFUNCTION("""COMPUTED_VALUE"""),"1번")</f>
        <v>1번</v>
      </c>
      <c r="I56" s="325" t="str">
        <f>IFERROR(__xludf.DUMMYFUNCTION("""COMPUTED_VALUE"""),"컴퓨터 및 핸드폰을 잘 다룸")</f>
        <v>컴퓨터 및 핸드폰을 잘 다룸</v>
      </c>
      <c r="J56" s="325" t="str">
        <f>IFERROR(__xludf.DUMMYFUNCTION("""COMPUTED_VALUE"""),"없음")</f>
        <v>없음</v>
      </c>
      <c r="K56" s="325" t="str">
        <f>IFERROR(__xludf.DUMMYFUNCTION("""COMPUTED_VALUE"""),"해보고 싶음")</f>
        <v>해보고 싶음</v>
      </c>
      <c r="L56" s="325" t="str">
        <f>IFERROR(__xludf.DUMMYFUNCTION("""COMPUTED_VALUE"""),"도전")</f>
        <v>도전</v>
      </c>
      <c r="M56" s="681" t="s">
        <v>29</v>
      </c>
    </row>
    <row r="57">
      <c r="A57" s="88">
        <v>53.0</v>
      </c>
      <c r="B57" s="754">
        <f>IFERROR(__xludf.DUMMYFUNCTION("""COMPUTED_VALUE"""),46062.81681359954)</f>
        <v>46062.81681</v>
      </c>
      <c r="C57" s="325" t="str">
        <f>IFERROR(__xludf.DUMMYFUNCTION("""COMPUTED_VALUE"""),"")</f>
        <v/>
      </c>
      <c r="D57" s="325" t="str">
        <f>IFERROR(__xludf.DUMMYFUNCTION("""COMPUTED_VALUE"""),"영영")</f>
        <v>영영</v>
      </c>
      <c r="E57" s="325" t="str">
        <f>IFERROR(__xludf.DUMMYFUNCTION("""COMPUTED_VALUE"""),"하오쌤")</f>
        <v>하오쌤</v>
      </c>
      <c r="F57" s="325" t="str">
        <f>IFERROR(__xludf.DUMMYFUNCTION("""COMPUTED_VALUE"""),"01071751314")</f>
        <v>01071751314</v>
      </c>
      <c r="G57" s="325" t="str">
        <f>IFERROR(__xludf.DUMMYFUNCTION("""COMPUTED_VALUE"""),"강의한 경험이 있는데 분야가 다릅니다")</f>
        <v>강의한 경험이 있는데 분야가 다릅니다</v>
      </c>
      <c r="H57" s="325" t="str">
        <f>IFERROR(__xludf.DUMMYFUNCTION("""COMPUTED_VALUE"""),"샤오홍슈(블루오션) 수익화")</f>
        <v>샤오홍슈(블루오션) 수익화</v>
      </c>
      <c r="I57" s="325" t="str">
        <f>IFERROR(__xludf.DUMMYFUNCTION("""COMPUTED_VALUE"""),"국내 시장은 어느 정도 포화한 상태이며, 한국사람들은 많이 모르는 샤홍오슈로 시작하고 나만의 블루오션 찾자라는 의도에서 신청하게 되었습니다. 연예인 ‘추자현‘, ’이다해’, ’함소원&amp;진화’,‘김희선’ ,인플루언서 ‘송지아’ 등 다 샤오홍슈 하고 계신것 아시죠. 정말 핫하고 한국 인스타와 다른 차원의 세계와 인기를 느끼실 겁니다. 더군다나 라이브 커머스로 시작할 수 있는 좋은 계기라고 생각합니다.")</f>
        <v>국내 시장은 어느 정도 포화한 상태이며, 한국사람들은 많이 모르는 샤홍오슈로 시작하고 나만의 블루오션 찾자라는 의도에서 신청하게 되었습니다. 연예인 ‘추자현‘, ’이다해’, ’함소원&amp;진화’,‘김희선’ ,인플루언서 ‘송지아’ 등 다 샤오홍슈 하고 계신것 아시죠. 정말 핫하고 한국 인스타와 다른 차원의 세계와 인기를 느끼실 겁니다. 더군다나 라이브 커머스로 시작할 수 있는 좋은 계기라고 생각합니다.</v>
      </c>
      <c r="J57" s="325" t="str">
        <f>IFERROR(__xludf.DUMMYFUNCTION("""COMPUTED_VALUE"""),"샤오홍슈 수익화 진행중")</f>
        <v>샤오홍슈 수익화 진행중</v>
      </c>
      <c r="K57" s="325" t="str">
        <f>IFERROR(__xludf.DUMMYFUNCTION("""COMPUTED_VALUE"""),"1. 중국 왕홍 인플루언서 되는법 2. 구매대행 ")</f>
        <v>1. 중국 왕홍 인플루언서 되는법 2. 구매대행 </v>
      </c>
      <c r="L57" s="325" t="str">
        <f>IFERROR(__xludf.DUMMYFUNCTION("""COMPUTED_VALUE"""),"샤오홍슈를 통해 월 200만원의 순이가 구조 만들기")</f>
        <v>샤오홍슈를 통해 월 200만원의 순이가 구조 만들기</v>
      </c>
      <c r="M57" s="681" t="s">
        <v>29</v>
      </c>
    </row>
    <row r="58">
      <c r="A58" s="88">
        <v>54.0</v>
      </c>
      <c r="B58" s="754">
        <f>IFERROR(__xludf.DUMMYFUNCTION("""COMPUTED_VALUE"""),46078.75531261574)</f>
        <v>46078.75531</v>
      </c>
      <c r="C58" s="325" t="str">
        <f>IFERROR(__xludf.DUMMYFUNCTION("""COMPUTED_VALUE"""),"")</f>
        <v/>
      </c>
      <c r="D58" s="325" t="str">
        <f>IFERROR(__xludf.DUMMYFUNCTION("""COMPUTED_VALUE"""),"이정호")</f>
        <v>이정호</v>
      </c>
      <c r="E58" s="325" t="str">
        <f>IFERROR(__xludf.DUMMYFUNCTION("""COMPUTED_VALUE"""),"미정")</f>
        <v>미정</v>
      </c>
      <c r="F58" s="325" t="str">
        <f>IFERROR(__xludf.DUMMYFUNCTION("""COMPUTED_VALUE"""),"010-7793-2483")</f>
        <v>010-7793-2483</v>
      </c>
      <c r="G58" s="325" t="str">
        <f>IFERROR(__xludf.DUMMYFUNCTION("""COMPUTED_VALUE"""),"없음")</f>
        <v>없음</v>
      </c>
      <c r="H58" s="325" t="str">
        <f>IFERROR(__xludf.DUMMYFUNCTION("""COMPUTED_VALUE"""),"직원 2명으로 연매출 40억 노하우 온라인 쇼핑몰에 대한 전반적인 교육")</f>
        <v>직원 2명으로 연매출 40억 노하우 온라인 쇼핑몰에 대한 전반적인 교육</v>
      </c>
      <c r="I58" s="325" t="str">
        <f>IFERROR(__xludf.DUMMYFUNCTION("""COMPUTED_VALUE"""),"인스타나 유튜브 / 남보다 더 뛰어난 언변과 그리고 요즘 업계와 다르게 최소한의 광고와 인건비를 이용해서 이익 극대화 / 사업뿐만이 아닌 현실적인 세무구조 및 세무 컨설팅 또 사업소득으로 벌어들인 자본을 금융자산 , 부동산 자산까지 돈을 방향을 더 좋은쪽으로 방안제시 , 마지막으로 이때까지의 타 강의사보다 현실적이고 허무맹랑한 내용이 아닌 팩트 기반의 강의")</f>
        <v>인스타나 유튜브 / 남보다 더 뛰어난 언변과 그리고 요즘 업계와 다르게 최소한의 광고와 인건비를 이용해서 이익 극대화 / 사업뿐만이 아닌 현실적인 세무구조 및 세무 컨설팅 또 사업소득으로 벌어들인 자본을 금융자산 , 부동산 자산까지 돈을 방향을 더 좋은쪽으로 방안제시 , 마지막으로 이때까지의 타 강의사보다 현실적이고 허무맹랑한 내용이 아닌 팩트 기반의 강의</v>
      </c>
      <c r="J58" s="325" t="str">
        <f>IFERROR(__xludf.DUMMYFUNCTION("""COMPUTED_VALUE"""),"쿠팡을 통한 연매출 30억 달성 , 직원 2명 그리고 광고비 매출대비 최소화로 연매출 40억 달성 ,  9년 운영하면서 한번도 적자가 없는 구조 , 쇼핑몰3년만에 17억대 집 장만 ")</f>
        <v>쿠팡을 통한 연매출 30억 달성 , 직원 2명 그리고 광고비 매출대비 최소화로 연매출 40억 달성 ,  9년 운영하면서 한번도 적자가 없는 구조 , 쇼핑몰3년만에 17억대 집 장만 </v>
      </c>
      <c r="K58" s="325" t="str">
        <f>IFERROR(__xludf.DUMMYFUNCTION("""COMPUTED_VALUE"""),"아직 강의를 한적이 없습니다")</f>
        <v>아직 강의를 한적이 없습니다</v>
      </c>
      <c r="L58" s="325" t="str">
        <f>IFERROR(__xludf.DUMMYFUNCTION("""COMPUTED_VALUE"""),"1.온라인 쇼핑몰을 통한 롱런할수 있는 온라인 사업 구축 2. 사업소득으로 벌어들인 자본을 제 2의투자로 경제적 자유 확립 , 3. 매출을 더 늘리기 위한 방안, 혹은 매출을 안전하게 유지하는 방안 제시 4. 대부분 쇼핑몰 초보가 원하는 최저 자본으로 최대 효과를 할수있는 방안 제시")</f>
        <v>1.온라인 쇼핑몰을 통한 롱런할수 있는 온라인 사업 구축 2. 사업소득으로 벌어들인 자본을 제 2의투자로 경제적 자유 확립 , 3. 매출을 더 늘리기 위한 방안, 혹은 매출을 안전하게 유지하는 방안 제시 4. 대부분 쇼핑몰 초보가 원하는 최저 자본으로 최대 효과를 할수있는 방안 제시</v>
      </c>
      <c r="M58" s="681" t="s">
        <v>29</v>
      </c>
    </row>
    <row r="59">
      <c r="A59" s="88">
        <v>55.0</v>
      </c>
      <c r="B59" s="754">
        <f>IFERROR(__xludf.DUMMYFUNCTION("""COMPUTED_VALUE"""),46083.79395717593)</f>
        <v>46083.79396</v>
      </c>
      <c r="C59" s="325" t="str">
        <f>IFERROR(__xludf.DUMMYFUNCTION("""COMPUTED_VALUE"""),"")</f>
        <v/>
      </c>
      <c r="D59" s="325" t="str">
        <f>IFERROR(__xludf.DUMMYFUNCTION("""COMPUTED_VALUE"""),"고윤아")</f>
        <v>고윤아</v>
      </c>
      <c r="E59" s="325" t="str">
        <f>IFERROR(__xludf.DUMMYFUNCTION("""COMPUTED_VALUE"""),"유즈미타로, 승하")</f>
        <v>유즈미타로, 승하</v>
      </c>
      <c r="F59" s="325" t="str">
        <f>IFERROR(__xludf.DUMMYFUNCTION("""COMPUTED_VALUE"""),"010-8517-6306")</f>
        <v>010-8517-6306</v>
      </c>
      <c r="G59" s="325" t="str">
        <f>IFERROR(__xludf.DUMMYFUNCTION("""COMPUTED_VALUE"""),"오프라인 강의 및 줌 강의 진행")</f>
        <v>오프라인 강의 및 줌 강의 진행</v>
      </c>
      <c r="H59" s="325" t="str">
        <f>IFERROR(__xludf.DUMMYFUNCTION("""COMPUTED_VALUE"""),"안녕하십니까,  저는 AI 기술을 활용하여 타로 상담을 누구나 시작할 수 있는 AI 타로 상담사에 대해 강의하고자 합니다. 전문적인 타로 지식이 없더라도 휴대폰 하나만 있으면 언제 어디서든 상담을 진행할 수 있는 AI 환경이 만들어지고 있습니다.  특히 시간과 장소에 구애받지 않고, 나이와 성별에 관계없이 본인이 원하는 시간에 상담을 진행할 수 있다는 점에서 AI 타로 상담은 새로운 개인 수익 창출 수단으로 주목받을 것이라 생각됩니다.  본 강의에서는 "&amp;"AI 타로를 활용하여 상담을 시작하는 방법부터, 카카오톡, 스레드, 인스타그램, 060플랫폼과 같은 메신저를 통해 상담을 진행하고 이를 실제 유료 상담으로 연결하는 실전 프로세스를 중심으로 다루고자 합니다.  특히, * 휴대폰 하나로 가능한 AI 타로 상담 시작 방법 * 시간과 장소의 제약 없이 운영 가능한 상담 시스템 구축 * 초보자도 활용 가능한 상담 흐름 및 응대 방식 * 무료 상담에서 유료 상담으로 이어지는 전환 구조 설계 * SNS 및 플랫폼을"&amp;" 활용한 상담 유입 전략 등을 통해 수강생이 강의 수강 이후 곧바로 AI 타로 상담을 시작하고, 본업과 병행 가능한 N잡 수익 모델을 구축할 수 있도록 돕는 것을 목표로 하고자 합니다.")</f>
        <v>안녕하십니까,  저는 AI 기술을 활용하여 타로 상담을 누구나 시작할 수 있는 AI 타로 상담사에 대해 강의하고자 합니다. 전문적인 타로 지식이 없더라도 휴대폰 하나만 있으면 언제 어디서든 상담을 진행할 수 있는 AI 환경이 만들어지고 있습니다.  특히 시간과 장소에 구애받지 않고, 나이와 성별에 관계없이 본인이 원하는 시간에 상담을 진행할 수 있다는 점에서 AI 타로 상담은 새로운 개인 수익 창출 수단으로 주목받을 것이라 생각됩니다.  본 강의에서는 AI 타로를 활용하여 상담을 시작하는 방법부터, 카카오톡, 스레드, 인스타그램, 060플랫폼과 같은 메신저를 통해 상담을 진행하고 이를 실제 유료 상담으로 연결하는 실전 프로세스를 중심으로 다루고자 합니다.  특히, * 휴대폰 하나로 가능한 AI 타로 상담 시작 방법 * 시간과 장소의 제약 없이 운영 가능한 상담 시스템 구축 * 초보자도 활용 가능한 상담 흐름 및 응대 방식 * 무료 상담에서 유료 상담으로 이어지는 전환 구조 설계 * SNS 및 플랫폼을 활용한 상담 유입 전략 등을 통해 수강생이 강의 수강 이후 곧바로 AI 타로 상담을 시작하고, 본업과 병행 가능한 N잡 수익 모델을 구축할 수 있도록 돕는 것을 목표로 하고자 합니다.</v>
      </c>
      <c r="I59" s="325" t="str">
        <f>IFERROR(__xludf.DUMMYFUNCTION("""COMPUTED_VALUE"""),"저는 타로마스터로서 온·오프라인 상담 경력 7년차를 이어오고 있으며,  060 상담 플랫폼에서 활동을 시작한 지 단 3개월 만에 인기 상담사로 등극하여 현재까지도 꾸준히 상담을 진행하고 있습니다.  그동안 다양한 상담 경험을 통해 단순한 리딩 능력뿐만 아니라, 외부에서 상담 고객을 유입하는 방법과 상담을 실제 수익으로 연결하는 구조 설계의 중요성을 몸소 체득해왔습니다. 또한 제자 양성을 진행하며 초보자도 빠르게 상담 시장에 진입하고 수익화를 경험할 수 "&amp;"있는 실전적인 방법들을 다수 축적해왔습니다.  특히 AI 타로 상담을 접목한 이후에는, 가족 구성원인 60대 어머니와 이모 또한 AI 타로 상담사로 데뷔하여 월 300만 원 이상의 수익을 창출하고 있으며, 이를 통해 나이와 성별, 기존 경력과 무관하게 누구나 새로운 수익 모델을 만들 수 있다는 가능성을 직접 확인할 수 있었습니다.  저 역시 별도의 스승 없이 혼자 수많은 시행착오를 겪으며 타로 공부에만 2천만 원 이상의 비용을 투자해왔기 때문에, 이후에"&amp;" 시작하는 분들만큼은 동일한 과정을 반복하지 않고 AI를 통해 상담과 학습을 병행하며 보다 빠르게 시장에 안착할 수 있도록 돕고 싶은 마음이 큽니다.  핏크닉을 통해 저의 실전 경험과 노하우를 공유함으로써, 전문 강의 경험이 없더라도 새로운 분야에 도전하고자 하는 분들이 AI 타로를 기반으로 자신만의 수익 모델을 만들어갈 수 있도록 돕고 싶어 지원하게 되었습니다.")</f>
        <v>저는 타로마스터로서 온·오프라인 상담 경력 7년차를 이어오고 있으며,  060 상담 플랫폼에서 활동을 시작한 지 단 3개월 만에 인기 상담사로 등극하여 현재까지도 꾸준히 상담을 진행하고 있습니다.  그동안 다양한 상담 경험을 통해 단순한 리딩 능력뿐만 아니라, 외부에서 상담 고객을 유입하는 방법과 상담을 실제 수익으로 연결하는 구조 설계의 중요성을 몸소 체득해왔습니다. 또한 제자 양성을 진행하며 초보자도 빠르게 상담 시장에 진입하고 수익화를 경험할 수 있는 실전적인 방법들을 다수 축적해왔습니다.  특히 AI 타로 상담을 접목한 이후에는, 가족 구성원인 60대 어머니와 이모 또한 AI 타로 상담사로 데뷔하여 월 300만 원 이상의 수익을 창출하고 있으며, 이를 통해 나이와 성별, 기존 경력과 무관하게 누구나 새로운 수익 모델을 만들 수 있다는 가능성을 직접 확인할 수 있었습니다.  저 역시 별도의 스승 없이 혼자 수많은 시행착오를 겪으며 타로 공부에만 2천만 원 이상의 비용을 투자해왔기 때문에, 이후에 시작하는 분들만큼은 동일한 과정을 반복하지 않고 AI를 통해 상담과 학습을 병행하며 보다 빠르게 시장에 안착할 수 있도록 돕고 싶은 마음이 큽니다.  핏크닉을 통해 저의 실전 경험과 노하우를 공유함으로써, 전문 강의 경험이 없더라도 새로운 분야에 도전하고자 하는 분들이 AI 타로를 기반으로 자신만의 수익 모델을 만들어갈 수 있도록 돕고 싶어 지원하게 되었습니다.</v>
      </c>
      <c r="J59" s="325" t="str">
        <f>IFERROR(__xludf.DUMMYFUNCTION("""COMPUTED_VALUE"""),"1.온·오프라인 타로 마스터 경력 7년  2.타로마스터 대상 강의 진행  3.백화점 VIP 타로 상담 진행 4.연예계, 정치계, 기업가 대상 타로 상담 진행 5.060 상담 플랫폼 데뷔 3개월 만에 월 매출 100만 원 → 300만 원 수익화 달성 6. 지속적인 월 300만 원 이상 수익 창출 7.현재 인기 상담사로 활동 중 연 평균 매출 4,000만 원 이상 유지 8.카카오톡 개인 타로 상담을 통해 일 평균 20~30만 원 추가 수익 창출")</f>
        <v>1.온·오프라인 타로 마스터 경력 7년  2.타로마스터 대상 강의 진행  3.백화점 VIP 타로 상담 진행 4.연예계, 정치계, 기업가 대상 타로 상담 진행 5.060 상담 플랫폼 데뷔 3개월 만에 월 매출 100만 원 → 300만 원 수익화 달성 6. 지속적인 월 300만 원 이상 수익 창출 7.현재 인기 상담사로 활동 중 연 평균 매출 4,000만 원 이상 유지 8.카카오톡 개인 타로 상담을 통해 일 평균 20~30만 원 추가 수익 창출</v>
      </c>
      <c r="K59" s="325" t="str">
        <f>IFERROR(__xludf.DUMMYFUNCTION("""COMPUTED_VALUE"""),"1. 수강생(60대 여성) AI 타로 상담을 부업으로 시작해 월 100만 원 이상 매출 달성 2. 카카오톡 오픈채팅방을 활용하여 수업 당일 첫 상담 수익 창출 3. AI 타로 상담을 통해 일 평균 10~20만 원 꾸준한 추가 수익 발생")</f>
        <v>1. 수강생(60대 여성) AI 타로 상담을 부업으로 시작해 월 100만 원 이상 매출 달성 2. 카카오톡 오픈채팅방을 활용하여 수업 당일 첫 상담 수익 창출 3. AI 타로 상담을 통해 일 평균 10~20만 원 꾸준한 추가 수익 발생</v>
      </c>
      <c r="L59" s="325" t="str">
        <f>IFERROR(__xludf.DUMMYFUNCTION("""COMPUTED_VALUE"""),"타로 상담을 어렵게 느끼는 분들도 AI 타로 키트를 활용하여 빠르게 타로 마스터로 진출할 수 있는 실전 방법을 수강생분들은 습득할 수 있습니다. 교육 당일 상담을 시작하고 첫 수익을 창출할 수 있는 상담 운영 방식을 익히게 되며, 단골 고객 확보가 중요한 타로 상담 시장의 특성에 맞춰 재방문 고객을 만드는 관리 방법 또한 함께 학습할 수 있습니다. 이와 함께, * 고객 유치를 위한 스레드 및 인스타그램 콘텐츠 운영 방법 * 내담자와의 상담 진행 방식 및"&amp;" 상담 흐름 설계 * 상담 매출 관리 및 운영 노하우 * 상담 지속률을 높이는 고객 관리 방식 * 수익을 극대화할 수 있는 060 플랫폼 운영 및 자리 잡는 전략 등을 통해 AI 타로 상담을 기반으로 한 안정적인 개인 수익을 창출 할 수 있도록 돕습니다.  또한 강의 이후에도 수강생들과의 지속적인 소통을 통해 상담 운영에 대한 피드백 및 사후 관리를 지원하여, 교육이 끝난 이후에도 꾸준한 수익 창출이 이어질 수 있도록 지속적인 관리를 받을 수 있습니다.")</f>
        <v>타로 상담을 어렵게 느끼는 분들도 AI 타로 키트를 활용하여 빠르게 타로 마스터로 진출할 수 있는 실전 방법을 수강생분들은 습득할 수 있습니다. 교육 당일 상담을 시작하고 첫 수익을 창출할 수 있는 상담 운영 방식을 익히게 되며, 단골 고객 확보가 중요한 타로 상담 시장의 특성에 맞춰 재방문 고객을 만드는 관리 방법 또한 함께 학습할 수 있습니다. 이와 함께, * 고객 유치를 위한 스레드 및 인스타그램 콘텐츠 운영 방법 * 내담자와의 상담 진행 방식 및 상담 흐름 설계 * 상담 매출 관리 및 운영 노하우 * 상담 지속률을 높이는 고객 관리 방식 * 수익을 극대화할 수 있는 060 플랫폼 운영 및 자리 잡는 전략 등을 통해 AI 타로 상담을 기반으로 한 안정적인 개인 수익을 창출 할 수 있도록 돕습니다.  또한 강의 이후에도 수강생들과의 지속적인 소통을 통해 상담 운영에 대한 피드백 및 사후 관리를 지원하여, 교육이 끝난 이후에도 꾸준한 수익 창출이 이어질 수 있도록 지속적인 관리를 받을 수 있습니다.</v>
      </c>
      <c r="M59" s="681" t="s">
        <v>29</v>
      </c>
    </row>
    <row r="60">
      <c r="A60" s="88">
        <v>56.0</v>
      </c>
      <c r="B60" s="754">
        <f>IFERROR(__xludf.DUMMYFUNCTION("""COMPUTED_VALUE"""),46090.034129872685)</f>
        <v>46090.03413</v>
      </c>
      <c r="C60" s="325" t="str">
        <f>IFERROR(__xludf.DUMMYFUNCTION("""COMPUTED_VALUE"""),"")</f>
        <v/>
      </c>
      <c r="D60" s="325" t="str">
        <f>IFERROR(__xludf.DUMMYFUNCTION("""COMPUTED_VALUE"""),"안동현")</f>
        <v>안동현</v>
      </c>
      <c r="E60" s="325" t="str">
        <f>IFERROR(__xludf.DUMMYFUNCTION("""COMPUTED_VALUE"""),"테크빌더")</f>
        <v>테크빌더</v>
      </c>
      <c r="F60" s="325" t="str">
        <f>IFERROR(__xludf.DUMMYFUNCTION("""COMPUTED_VALUE"""),"01025160022")</f>
        <v>01025160022</v>
      </c>
      <c r="G60" s="755" t="str">
        <f>IFERROR(__xludf.DUMMYFUNCTION("""COMPUTED_VALUE"""),"https://kmong.com/gig/691726")</f>
        <v>https://kmong.com/gig/691726</v>
      </c>
      <c r="H60" s="325" t="str">
        <f>IFERROR(__xludf.DUMMYFUNCTION("""COMPUTED_VALUE"""),"AI영상 제작 및 수익화")</f>
        <v>AI영상 제작 및 수익화</v>
      </c>
      <c r="I60" s="325" t="str">
        <f>IFERROR(__xludf.DUMMYFUNCTION("""COMPUTED_VALUE"""),"수강생들에게 수익화의 길을 강사 자신에겐 경력과 수익화를")</f>
        <v>수강생들에게 수익화의 길을 강사 자신에겐 경력과 수익화를</v>
      </c>
      <c r="J60" s="325" t="str">
        <f>IFERROR(__xludf.DUMMYFUNCTION("""COMPUTED_VALUE"""),"AI영상제작 및 교육으로 4개월간 약 1억원의 매출시현")</f>
        <v>AI영상제작 및 교육으로 4개월간 약 1억원의 매출시현</v>
      </c>
      <c r="K60" s="325" t="str">
        <f>IFERROR(__xludf.DUMMYFUNCTION("""COMPUTED_VALUE"""),"수강생 스스로 영상제작이 가능하고 자체 브랜딩화")</f>
        <v>수강생 스스로 영상제작이 가능하고 자체 브랜딩화</v>
      </c>
      <c r="L60" s="325" t="str">
        <f>IFERROR(__xludf.DUMMYFUNCTION("""COMPUTED_VALUE"""),"AI영상제작 사업을 통해 월 부가수입 창출가능")</f>
        <v>AI영상제작 사업을 통해 월 부가수입 창출가능</v>
      </c>
      <c r="M60" s="681" t="s">
        <v>29</v>
      </c>
    </row>
    <row r="61">
      <c r="A61" s="88">
        <v>57.0</v>
      </c>
      <c r="B61" s="754">
        <f>IFERROR(__xludf.DUMMYFUNCTION("""COMPUTED_VALUE"""),46094.99297097222)</f>
        <v>46094.99297</v>
      </c>
      <c r="C61" s="325" t="str">
        <f>IFERROR(__xludf.DUMMYFUNCTION("""COMPUTED_VALUE"""),"")</f>
        <v/>
      </c>
      <c r="D61" s="325" t="str">
        <f>IFERROR(__xludf.DUMMYFUNCTION("""COMPUTED_VALUE"""),"권준성")</f>
        <v>권준성</v>
      </c>
      <c r="E61" s="325" t="str">
        <f>IFERROR(__xludf.DUMMYFUNCTION("""COMPUTED_VALUE"""),"주다통신")</f>
        <v>주다통신</v>
      </c>
      <c r="F61" s="325" t="str">
        <f>IFERROR(__xludf.DUMMYFUNCTION("""COMPUTED_VALUE"""),"01075972803")</f>
        <v>01075972803</v>
      </c>
      <c r="G61" s="755" t="str">
        <f>IFERROR(__xludf.DUMMYFUNCTION("""COMPUTED_VALUE"""),"https://booupnation.liveklass.com/classes/284309")</f>
        <v>https://booupnation.liveklass.com/classes/284309</v>
      </c>
      <c r="H61" s="325" t="str">
        <f>IFERROR(__xludf.DUMMYFUNCTION("""COMPUTED_VALUE"""),"단통법 폐지 이용해서 돈 버는 방법")</f>
        <v>단통법 폐지 이용해서 돈 버는 방법</v>
      </c>
      <c r="I61" s="325" t="str">
        <f>IFERROR(__xludf.DUMMYFUNCTION("""COMPUTED_VALUE"""),"팀으로 구성되어 있음, 전국에서 휴대폰 개통 건수 상위 0.1%, 온라인%오프라인 모두 운영")</f>
        <v>팀으로 구성되어 있음, 전국에서 휴대폰 개통 건수 상위 0.1%, 온라인%오프라인 모두 운영</v>
      </c>
      <c r="J61" s="325" t="str">
        <f>IFERROR(__xludf.DUMMYFUNCTION("""COMPUTED_VALUE"""),"월 100만원 이상")</f>
        <v>월 100만원 이상</v>
      </c>
      <c r="K61" s="325" t="str">
        <f>IFERROR(__xludf.DUMMYFUNCTION("""COMPUTED_VALUE"""),"수강생이 부업으로 진행하다가 오프라인 매장까지 오픈")</f>
        <v>수강생이 부업으로 진행하다가 오프라인 매장까지 오픈</v>
      </c>
      <c r="L61" s="325" t="str">
        <f>IFERROR(__xludf.DUMMYFUNCTION("""COMPUTED_VALUE"""),"소개만으로도 하루 30만원 강능")</f>
        <v>소개만으로도 하루 30만원 강능</v>
      </c>
      <c r="M61" s="681" t="s">
        <v>29</v>
      </c>
    </row>
    <row r="62">
      <c r="A62" s="88">
        <v>58.0</v>
      </c>
      <c r="B62" s="754">
        <f>IFERROR(__xludf.DUMMYFUNCTION("""COMPUTED_VALUE"""),46097.815713344906)</f>
        <v>46097.81571</v>
      </c>
      <c r="C62" s="325" t="str">
        <f>IFERROR(__xludf.DUMMYFUNCTION("""COMPUTED_VALUE"""),"")</f>
        <v/>
      </c>
      <c r="D62" s="325" t="str">
        <f>IFERROR(__xludf.DUMMYFUNCTION("""COMPUTED_VALUE"""),"류동연")</f>
        <v>류동연</v>
      </c>
      <c r="E62" s="325" t="str">
        <f>IFERROR(__xludf.DUMMYFUNCTION("""COMPUTED_VALUE"""),"류턴")</f>
        <v>류턴</v>
      </c>
      <c r="F62" s="325" t="str">
        <f>IFERROR(__xludf.DUMMYFUNCTION("""COMPUTED_VALUE"""),"010-9657-7667")</f>
        <v>010-9657-7667</v>
      </c>
      <c r="G62" s="325" t="str">
        <f>IFERROR(__xludf.DUMMYFUNCTION("""COMPUTED_VALUE"""),"다른 플랫폼에서 진행한 적은 없지만 자체적으로 무료 웨비나 세일즈 계속 진행해왔습니다.")</f>
        <v>다른 플랫폼에서 진행한 적은 없지만 자체적으로 무료 웨비나 세일즈 계속 진행해왔습니다.</v>
      </c>
      <c r="H62" s="325" t="str">
        <f>IFERROR(__xludf.DUMMYFUNCTION("""COMPUTED_VALUE"""),"자격증 없이, 집에서 내 평범한 경험 하나로 월 500 고단가 전문 상담사가 되는 AI 자동화 시스템")</f>
        <v>자격증 없이, 집에서 내 평범한 경험 하나로 월 500 고단가 전문 상담사가 되는 AI 자동화 시스템</v>
      </c>
      <c r="I62" s="325" t="str">
        <f>IFERROR(__xludf.DUMMYFUNCTION("""COMPUTED_VALUE"""),"저는 현재 성인 진로 상담 사업을 운영하고 있으며, 진로/직업 상담사로 직접 업무를 진행해온 경험이 있습니다.  그 경험을 바탕으로 '자격증 없이 내 경험 하나로 고단가 상담사가 되는 법'을 가르치는 강의를 기획하고, 2026년 3월에 직접 런칭했습니다. 이번에 해당 강의로 핏크닉에 지원하게 되었습니다.  강의명 : 경험 기반 상담 설계 수익화  부제 : 자격증 없이, 집에서 내 평범한 경험 하나로 월 500 고단가 전문 상담사가 되는 AI 자동화 시스"&amp;"템   1. 이미 팔린다는 게 증명된 강의입니다  - 2026년 3월 첫 런칭에서 광고비 553만 원으로 매출 3,360만 원, 순수익 약 2,500만 원이 나왔습니다. ROAS로 따지면 약 600%입니다.  - 아직 해보지 않은 강의가 아니라, 실제로 사람들이 돈을 내고 들은 강의입니다.  2. 이런 수요가 실제로 있다는 걸 확인했습니다  - 요즘 많은 분들이 부업을 하고 싶은데, 자격증도 없고 특별한 경력도 없다 보니 뭘 해야 할지 모르는 경우가 많"&amp;"습니다.  - 단순히 AI 툴 쓰는 법 같은 걸 배워봤자 오래 못 간다는 걸 느끼는 분들도 많고요.  - 그런 분들이 원하는 건 결국 하나입니다. 내가 가진 경험으로 남을 도우면서, 꾸준히 돈을 벌 수 있는 구조입니다.  - 첫 런칭에서 실제로 그 수요가 결제로 이어졌고, 특히 40~60대 여성분들의 반응이 가장 좋았습니다.  3. 더 많은 사람들에게 팔 수 있는 강의입니다  - 사주상담, 연애상담처럼 특정 주제에 한정된 강의는 그걸 하고 싶은 사람만 "&amp;"들을 수 있습니다.  - 이 강의는 주제가 정해져 있지 않습니다. 내 경험이 뭐든 상담 상품으로 만들 수 있는 구조를 가르치기 때문에, 훨씬 많은 분들이 수강 대상이 됩니다.  - 무료 특강에서 ""자격증 없이 상담사가 될 수 있다"", ""평범한 경험으로도 고단가 상담이 가능하다""는 내용으로 수강생들의 인식 자체를 바꿀 수 있도록 설계했고, 실제로 그게 먹힌다는 것도 확인했습니다.  - 무료 특강 참석자 대비 결제율이 약 14%로 나왔습니다. 상담 "&amp;"주제조차 정하지 않은 상태에서 나온 수치라는 점에서, 이 구조 자체에 대한 수요가 충분하다는 걸 보여주는 근거라고 생각합니다.  4. 광고부터 판매까지 직접 할 수 있는 강사입니다  - 성인 진로 상담 사업을 직접 운영하면서 월 최대 매출 7,200만 원을 만들어본 경험이 있습니다.  - 진로 상담은 부업 강의보다 사람들이 먼저 찾는 분야가 아닙니다. 그런 카테고리에서도 광고, 웨비나, 세일즈 구조를 직접 만들어서 의미있는 성과를 냈습니다.  - 무료 "&amp;"웨비나에서 시작해서 세일즈로 연결하고, 결제까지 이어지는 퍼널 구조를 직접 만들고 검증해봤기 때문에, 핏크닉과 협업할 경우 훨씬 빠르게 성과를 만들 수 있을 거라고 생각합니다.  - 수강생분들도 이 과정을 그대로 따라할 수 있도록 실전 구조 전체를 강의에 담았습니다.   5.  다른 부업 강의들과 결이 다릅니다  - 요즘 부업 강의들 보면 대부분 툴 쓰는 법, AI 활용법, 단기 수익 내는 법 이런 것들입니다. 유행을 타는 구조입니다.  - 상담은 다릅"&amp;"니다. 할수록 실력이 쌓이고, 나이가 들수록 오히려 신뢰가 더 생기는 구조입니다.  - 노후 연금처럼 한 번 만들어두면 오래 가져갈 수 있는 수익 모델이라는 게 이 강의의 가장 큰 차별점입니다.  - 실제로 무료 특강에서 이 부분을 어필했을 때 참석자 대비 약 14%의 결제율이 나왔고, 이 메시지가 사람들에게 확실히 통한다는 것을 확인했습니다.  6. 핏크닉과 잘 맞는다고 생각해서 지원했습니다  - 핏크닉은 실제로 수익을 만들고 싶어서 찾아오는 분들이 "&amp;"모인 곳이라고 생각합니다.  - 이 강의도 그런 분들을 위해 만든 강의입니다. 듣고 나서 뭔가 해보고 싶다는 느낌이 아니라, 바로 실행할 수 있는 구조를 드리는 것이 목표입니다.  - 이미 시장에서 반응과 전환을 확인한 강의이기 때문에, 핏크닉의 수강생층 안에서도 충분히 반복 가능하고 안정적인 성과를 만들 수 있다고 판단했습니다.     저는 이 강의가 단순히 한 번 팔고 끝나는 콘텐츠가 아니라고 생각합니다. 수요도 확인했고, 결제율도 확인했고, 수강생"&amp;"이 실제로 따라할 수 있는 구조도 갖추고 있습니다.  부족한 부분은 더 배우면서 채워가겠지만, 핏크닉과 함께라면 지금보다 훨씬 더 많은 분들께 이 강의를 전달할 수 있을 거라고 생각합니다.   잘부탁드립니다.")</f>
        <v>저는 현재 성인 진로 상담 사업을 운영하고 있으며, 진로/직업 상담사로 직접 업무를 진행해온 경험이 있습니다.  그 경험을 바탕으로 '자격증 없이 내 경험 하나로 고단가 상담사가 되는 법'을 가르치는 강의를 기획하고, 2026년 3월에 직접 런칭했습니다. 이번에 해당 강의로 핏크닉에 지원하게 되었습니다.  강의명 : 경험 기반 상담 설계 수익화  부제 : 자격증 없이, 집에서 내 평범한 경험 하나로 월 500 고단가 전문 상담사가 되는 AI 자동화 시스템   1. 이미 팔린다는 게 증명된 강의입니다  - 2026년 3월 첫 런칭에서 광고비 553만 원으로 매출 3,360만 원, 순수익 약 2,500만 원이 나왔습니다. ROAS로 따지면 약 600%입니다.  - 아직 해보지 않은 강의가 아니라, 실제로 사람들이 돈을 내고 들은 강의입니다.  2. 이런 수요가 실제로 있다는 걸 확인했습니다  - 요즘 많은 분들이 부업을 하고 싶은데, 자격증도 없고 특별한 경력도 없다 보니 뭘 해야 할지 모르는 경우가 많습니다.  - 단순히 AI 툴 쓰는 법 같은 걸 배워봤자 오래 못 간다는 걸 느끼는 분들도 많고요.  - 그런 분들이 원하는 건 결국 하나입니다. 내가 가진 경험으로 남을 도우면서, 꾸준히 돈을 벌 수 있는 구조입니다.  - 첫 런칭에서 실제로 그 수요가 결제로 이어졌고, 특히 40~60대 여성분들의 반응이 가장 좋았습니다.  3. 더 많은 사람들에게 팔 수 있는 강의입니다  - 사주상담, 연애상담처럼 특정 주제에 한정된 강의는 그걸 하고 싶은 사람만 들을 수 있습니다.  - 이 강의는 주제가 정해져 있지 않습니다. 내 경험이 뭐든 상담 상품으로 만들 수 있는 구조를 가르치기 때문에, 훨씬 많은 분들이 수강 대상이 됩니다.  - 무료 특강에서 "자격증 없이 상담사가 될 수 있다", "평범한 경험으로도 고단가 상담이 가능하다"는 내용으로 수강생들의 인식 자체를 바꿀 수 있도록 설계했고, 실제로 그게 먹힌다는 것도 확인했습니다.  - 무료 특강 참석자 대비 결제율이 약 14%로 나왔습니다. 상담 주제조차 정하지 않은 상태에서 나온 수치라는 점에서, 이 구조 자체에 대한 수요가 충분하다는 걸 보여주는 근거라고 생각합니다.  4. 광고부터 판매까지 직접 할 수 있는 강사입니다  - 성인 진로 상담 사업을 직접 운영하면서 월 최대 매출 7,200만 원을 만들어본 경험이 있습니다.  - 진로 상담은 부업 강의보다 사람들이 먼저 찾는 분야가 아닙니다. 그런 카테고리에서도 광고, 웨비나, 세일즈 구조를 직접 만들어서 의미있는 성과를 냈습니다.  - 무료 웨비나에서 시작해서 세일즈로 연결하고, 결제까지 이어지는 퍼널 구조를 직접 만들고 검증해봤기 때문에, 핏크닉과 협업할 경우 훨씬 빠르게 성과를 만들 수 있을 거라고 생각합니다.  - 수강생분들도 이 과정을 그대로 따라할 수 있도록 실전 구조 전체를 강의에 담았습니다.   5.  다른 부업 강의들과 결이 다릅니다  - 요즘 부업 강의들 보면 대부분 툴 쓰는 법, AI 활용법, 단기 수익 내는 법 이런 것들입니다. 유행을 타는 구조입니다.  - 상담은 다릅니다. 할수록 실력이 쌓이고, 나이가 들수록 오히려 신뢰가 더 생기는 구조입니다.  - 노후 연금처럼 한 번 만들어두면 오래 가져갈 수 있는 수익 모델이라는 게 이 강의의 가장 큰 차별점입니다.  - 실제로 무료 특강에서 이 부분을 어필했을 때 참석자 대비 약 14%의 결제율이 나왔고, 이 메시지가 사람들에게 확실히 통한다는 것을 확인했습니다.  6. 핏크닉과 잘 맞는다고 생각해서 지원했습니다  - 핏크닉은 실제로 수익을 만들고 싶어서 찾아오는 분들이 모인 곳이라고 생각합니다.  - 이 강의도 그런 분들을 위해 만든 강의입니다. 듣고 나서 뭔가 해보고 싶다는 느낌이 아니라, 바로 실행할 수 있는 구조를 드리는 것이 목표입니다.  - 이미 시장에서 반응과 전환을 확인한 강의이기 때문에, 핏크닉의 수강생층 안에서도 충분히 반복 가능하고 안정적인 성과를 만들 수 있다고 판단했습니다.     저는 이 강의가 단순히 한 번 팔고 끝나는 콘텐츠가 아니라고 생각합니다. 수요도 확인했고, 결제율도 확인했고, 수강생이 실제로 따라할 수 있는 구조도 갖추고 있습니다.  부족한 부분은 더 배우면서 채워가겠지만, 핏크닉과 함께라면 지금보다 훨씬 더 많은 분들께 이 강의를 전달할 수 있을 거라고 생각합니다.   잘부탁드립니다.</v>
      </c>
      <c r="J62" s="325" t="str">
        <f>IFERROR(__xludf.DUMMYFUNCTION("""COMPUTED_VALUE"""),"1. 5년간 성인 진로 상담 사업 직접 운영, 무료 웨비나 기반 퍼널로 월 최대 매출 7,200만 원 달성  2. 경험 기반 상담 설계 수익화 강의 첫 런칭 (2026년 3월) : 광고비 553만 원 → 매출 3,360만 원 → 순수익 약 2,500만 원 → ROAS 약 600%  3. 무료 특강 참석자 대비 결제 전환율 약 14%")</f>
        <v>1. 5년간 성인 진로 상담 사업 직접 운영, 무료 웨비나 기반 퍼널로 월 최대 매출 7,200만 원 달성  2. 경험 기반 상담 설계 수익화 강의 첫 런칭 (2026년 3월) : 광고비 553만 원 → 매출 3,360만 원 → 순수익 약 2,500만 원 → ROAS 약 600%  3. 무료 특강 참석자 대비 결제 전환율 약 14%</v>
      </c>
      <c r="K62" s="325" t="str">
        <f>IFERROR(__xludf.DUMMYFUNCTION("""COMPUTED_VALUE"""),"상담 설계의 경우 첫 런칭 강의가 현재 진행 중이며, 진로 상담을 통해 나온 성과들이 있습니다.   1. 디자인 부업으로 월 수익 300 이상 달성 2. 10년 경력 단절에서 월 수익 200 달성")</f>
        <v>상담 설계의 경우 첫 런칭 강의가 현재 진행 중이며, 진로 상담을 통해 나온 성과들이 있습니다.   1. 디자인 부업으로 월 수익 300 이상 달성 2. 10년 경력 단절에서 월 수익 200 달성</v>
      </c>
      <c r="L62" s="325" t="str">
        <f>IFERROR(__xludf.DUMMYFUNCTION("""COMPUTED_VALUE"""),"1. 자격증이나 특별한 경력 없이도, 자신이 가진 평범한 경험을 고단가 상담 서비스로 만들고 월 500만 원 이상의 수익을 달성할 수 있는 구조를 갖추게 됩니다.  2. 단순히 상담하는 법을 배우는 것이 아니라, 경쟁 없는 나만의 상담 상품 설계부터 마케팅, 고객 모집, 세일즈 클로징까지 실제 수익으로 연결되는 전 과정을 익히게 됩니다.")</f>
        <v>1. 자격증이나 특별한 경력 없이도, 자신이 가진 평범한 경험을 고단가 상담 서비스로 만들고 월 500만 원 이상의 수익을 달성할 수 있는 구조를 갖추게 됩니다.  2. 단순히 상담하는 법을 배우는 것이 아니라, 경쟁 없는 나만의 상담 상품 설계부터 마케팅, 고객 모집, 세일즈 클로징까지 실제 수익으로 연결되는 전 과정을 익히게 됩니다.</v>
      </c>
      <c r="M62" s="681" t="s">
        <v>29</v>
      </c>
    </row>
    <row r="63">
      <c r="A63" s="88">
        <v>59.0</v>
      </c>
      <c r="B63" s="754">
        <f>IFERROR(__xludf.DUMMYFUNCTION("""COMPUTED_VALUE"""),46104.57854809028)</f>
        <v>46104.57855</v>
      </c>
      <c r="C63" s="325" t="str">
        <f>IFERROR(__xludf.DUMMYFUNCTION("""COMPUTED_VALUE"""),"")</f>
        <v/>
      </c>
      <c r="D63" s="325" t="str">
        <f>IFERROR(__xludf.DUMMYFUNCTION("""COMPUTED_VALUE"""),"맹예진")</f>
        <v>맹예진</v>
      </c>
      <c r="E63" s="325" t="str">
        <f>IFERROR(__xludf.DUMMYFUNCTION("""COMPUTED_VALUE"""),"맹렬")</f>
        <v>맹렬</v>
      </c>
      <c r="F63" s="325" t="str">
        <f>IFERROR(__xludf.DUMMYFUNCTION("""COMPUTED_VALUE"""),"01094551861")</f>
        <v>01094551861</v>
      </c>
      <c r="G63" s="755" t="str">
        <f>IFERROR(__xludf.DUMMYFUNCTION("""COMPUTED_VALUE"""),"https://levelupschool.kr/?idx=36")</f>
        <v>https://levelupschool.kr/?idx=36</v>
      </c>
      <c r="H63" s="325" t="str">
        <f>IFERROR(__xludf.DUMMYFUNCTION("""COMPUTED_VALUE"""),"퍼널로 1,000만원 버는 법")</f>
        <v>퍼널로 1,000만원 버는 법</v>
      </c>
      <c r="I63" s="325" t="str">
        <f>IFERROR(__xludf.DUMMYFUNCTION("""COMPUTED_VALUE"""),"피크닉이 정말 마케팅을 잘한다고 생각합니다.")</f>
        <v>피크닉이 정말 마케팅을 잘한다고 생각합니다.</v>
      </c>
      <c r="J63" s="325" t="str">
        <f>IFERROR(__xludf.DUMMYFUNCTION("""COMPUTED_VALUE"""),"작년 매출(고객사 합산) 퍼널로 7억")</f>
        <v>작년 매출(고객사 합산) 퍼널로 7억</v>
      </c>
      <c r="K63" s="325" t="str">
        <f>IFERROR(__xludf.DUMMYFUNCTION("""COMPUTED_VALUE"""),"김고딩6000만원, 쿵쿵나리 1억, 이프로 (수강생) 7000만원 매출 / 40대 경단녀 6000만원 매출 / 1000만원 수익화 성공한 수강생이 상당히 많으며, 반복 수익을 내고 있음")</f>
        <v>김고딩6000만원, 쿵쿵나리 1억, 이프로 (수강생) 7000만원 매출 / 40대 경단녀 6000만원 매출 / 1000만원 수익화 성공한 수강생이 상당히 많으며, 반복 수익을 내고 있음</v>
      </c>
      <c r="L63" s="325" t="str">
        <f>IFERROR(__xludf.DUMMYFUNCTION("""COMPUTED_VALUE"""),"나만의 지식을 상품으로 만들어 웨비나 퍼널로 판매하는 법을 구체적으로 가르쳐줄 수 있음")</f>
        <v>나만의 지식을 상품으로 만들어 웨비나 퍼널로 판매하는 법을 구체적으로 가르쳐줄 수 있음</v>
      </c>
      <c r="M63" s="681" t="s">
        <v>29</v>
      </c>
    </row>
    <row r="64">
      <c r="A64" s="88">
        <v>60.0</v>
      </c>
      <c r="B64" s="754">
        <f>IFERROR(__xludf.DUMMYFUNCTION("""COMPUTED_VALUE"""),46107.67213344907)</f>
        <v>46107.67213</v>
      </c>
      <c r="C64" s="325" t="str">
        <f>IFERROR(__xludf.DUMMYFUNCTION("""COMPUTED_VALUE"""),"")</f>
        <v/>
      </c>
      <c r="D64" s="325" t="str">
        <f>IFERROR(__xludf.DUMMYFUNCTION("""COMPUTED_VALUE"""),"임수현")</f>
        <v>임수현</v>
      </c>
      <c r="E64" s="325" t="str">
        <f>IFERROR(__xludf.DUMMYFUNCTION("""COMPUTED_VALUE"""),"임수현 / 연애컨설턴트 핫치")</f>
        <v>임수현 / 연애컨설턴트 핫치</v>
      </c>
      <c r="F64" s="325" t="str">
        <f>IFERROR(__xludf.DUMMYFUNCTION("""COMPUTED_VALUE"""),"01088446529")</f>
        <v>01088446529</v>
      </c>
      <c r="G64"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H64" s="325" t="str">
        <f>IFERROR(__xludf.DUMMYFUNCTION("""COMPUTED_VALUE"""),"1. 연애 상담사로 돈을 버는 방법 (누구나, 언제, 어디서든, 무자본으로)")</f>
        <v>1. 연애 상담사로 돈을 버는 방법 (누구나, 언제, 어디서든, 무자본으로)</v>
      </c>
      <c r="I64" s="325" t="str">
        <f>IFERROR(__xludf.DUMMYFUNCTION("""COMPUTED_VALUE"""),"직접 강의를 진행해봤지만 한계를 느꼈습니다.")</f>
        <v>직접 강의를 진행해봤지만 한계를 느꼈습니다.</v>
      </c>
      <c r="J64" s="325" t="str">
        <f>IFERROR(__xludf.DUMMYFUNCTION("""COMPUTED_VALUE"""),"6년 간 활동하며 네이버 엑스퍼트에서 연애 부문 1위를 유지중이며, 네이버 엑스퍼트에서 600~700만원의 수익, 크몽에서 200만원, 개별 사이트에서 500만원의 수익을 내고 있습니다. ")</f>
        <v>6년 간 활동하며 네이버 엑스퍼트에서 연애 부문 1위를 유지중이며, 네이버 엑스퍼트에서 600~700만원의 수익, 크몽에서 200만원, 개별 사이트에서 500만원의 수익을 내고 있습니다. </v>
      </c>
      <c r="K64" s="325" t="str">
        <f>IFERROR(__xludf.DUMMYFUNCTION("""COMPUTED_VALUE"""),"1. 수강생 3개월만에 천만원의 수익 달성 2. 부업으로 월 평균 200만원 달성")</f>
        <v>1. 수강생 3개월만에 천만원의 수익 달성 2. 부업으로 월 평균 200만원 달성</v>
      </c>
      <c r="L64" s="325" t="str">
        <f>IFERROR(__xludf.DUMMYFUNCTION("""COMPUTED_VALUE"""),"1. 본업 500만원 이상 수익 2. 부업 200만원 이상 수익")</f>
        <v>1. 본업 500만원 이상 수익 2. 부업 200만원 이상 수익</v>
      </c>
      <c r="M64" s="681" t="s">
        <v>29</v>
      </c>
      <c r="N64" s="681" t="s">
        <v>4830</v>
      </c>
    </row>
    <row r="65">
      <c r="A65" s="88">
        <v>61.0</v>
      </c>
      <c r="B65" s="754">
        <f>IFERROR(__xludf.DUMMYFUNCTION("""COMPUTED_VALUE"""),46112.520169375)</f>
        <v>46112.52017</v>
      </c>
      <c r="C65" s="325" t="str">
        <f>IFERROR(__xludf.DUMMYFUNCTION("""COMPUTED_VALUE"""),"")</f>
        <v/>
      </c>
      <c r="D65" s="325" t="str">
        <f>IFERROR(__xludf.DUMMYFUNCTION("""COMPUTED_VALUE"""),"서승범")</f>
        <v>서승범</v>
      </c>
      <c r="E65" s="325" t="str">
        <f>IFERROR(__xludf.DUMMYFUNCTION("""COMPUTED_VALUE"""),"서승범코치")</f>
        <v>서승범코치</v>
      </c>
      <c r="F65" s="325" t="str">
        <f>IFERROR(__xludf.DUMMYFUNCTION("""COMPUTED_VALUE"""),"010-6821-7570")</f>
        <v>010-6821-7570</v>
      </c>
      <c r="G65" s="325" t="str">
        <f>IFERROR(__xludf.DUMMYFUNCTION("""COMPUTED_VALUE"""),"자체적으로 줌으로만 해 왔기 때문에")</f>
        <v>자체적으로 줌으로만 해 왔기 때문에</v>
      </c>
      <c r="H65" s="325" t="str">
        <f>IFERROR(__xludf.DUMMYFUNCTION("""COMPUTED_VALUE"""),"퓨처매핑 간다 마사노리식 마케팅 강의 서포트 비즈니스 등등")</f>
        <v>퓨처매핑 간다 마사노리식 마케팅 강의 서포트 비즈니스 등등</v>
      </c>
      <c r="I65" s="325" t="str">
        <f>IFERROR(__xludf.DUMMYFUNCTION("""COMPUTED_VALUE"""),"모객이 혼자서는 늘 힘들기 때문에 도움을 받고 싶어서 ")</f>
        <v>모객이 혼자서는 늘 힘들기 때문에 도움을 받고 싶어서 </v>
      </c>
      <c r="J65" s="325" t="str">
        <f>IFERROR(__xludf.DUMMYFUNCTION("""COMPUTED_VALUE"""),"2023년 퍼스널 비즈니스 협회 1년 코스 시작시 120명에게 890만원의 1년 코스를 결제 시키고 1년간 프로그램을 진행함")</f>
        <v>2023년 퍼스널 비즈니스 협회 1년 코스 시작시 120명에게 890만원의 1년 코스를 결제 시키고 1년간 프로그램을 진행함</v>
      </c>
      <c r="K65" s="325" t="str">
        <f>IFERROR(__xludf.DUMMYFUNCTION("""COMPUTED_VALUE"""),"1. 수강생중 수만원의 블로그 강사를 천만원 이상을 버는코치로 2. 2만명이 채 안되던 유튜버가 수십만 유튜브로 성장")</f>
        <v>1. 수강생중 수만원의 블로그 강사를 천만원 이상을 버는코치로 2. 2만명이 채 안되던 유튜버가 수십만 유튜브로 성장</v>
      </c>
      <c r="L65" s="325" t="str">
        <f>IFERROR(__xludf.DUMMYFUNCTION("""COMPUTED_VALUE"""),"1. 새로운 창직을 할 수 있게 됨 서포트 비즈니스 2. 본인의 강점을 최대한 살려서 창업을 핦수 있게 됨 ")</f>
        <v>1. 새로운 창직을 할 수 있게 됨 서포트 비즈니스 2. 본인의 강점을 최대한 살려서 창업을 핦수 있게 됨 </v>
      </c>
      <c r="M65" s="325"/>
    </row>
    <row r="66">
      <c r="A66" s="88" t="s">
        <v>3511</v>
      </c>
      <c r="B66" s="325"/>
      <c r="C66" s="325"/>
      <c r="D66" s="325"/>
      <c r="E66" s="325"/>
      <c r="F66" s="325"/>
      <c r="G66" s="325"/>
      <c r="H66" s="325"/>
      <c r="I66" s="325"/>
      <c r="J66" s="325"/>
      <c r="K66" s="325"/>
      <c r="L66" s="325"/>
      <c r="M66" s="325"/>
    </row>
    <row r="67">
      <c r="A67" s="88" t="s">
        <v>3511</v>
      </c>
      <c r="B67" s="325"/>
      <c r="C67" s="325"/>
      <c r="D67" s="325"/>
      <c r="E67" s="325"/>
      <c r="F67" s="325"/>
      <c r="G67" s="325"/>
      <c r="H67" s="325"/>
      <c r="I67" s="325"/>
      <c r="J67" s="325"/>
      <c r="K67" s="325"/>
      <c r="L67" s="325"/>
      <c r="M67" s="325"/>
    </row>
    <row r="68">
      <c r="A68" s="88" t="s">
        <v>3511</v>
      </c>
      <c r="B68" s="325"/>
      <c r="C68" s="325"/>
      <c r="D68" s="325"/>
      <c r="E68" s="325"/>
      <c r="F68" s="325"/>
      <c r="G68" s="325"/>
      <c r="H68" s="325"/>
      <c r="I68" s="325"/>
      <c r="J68" s="325"/>
      <c r="K68" s="325"/>
      <c r="L68" s="325"/>
      <c r="M68" s="325"/>
    </row>
    <row r="69">
      <c r="A69" s="88" t="s">
        <v>3511</v>
      </c>
      <c r="B69" s="325"/>
      <c r="C69" s="325"/>
      <c r="D69" s="325"/>
      <c r="E69" s="325"/>
      <c r="F69" s="325"/>
      <c r="G69" s="325"/>
      <c r="H69" s="325"/>
      <c r="I69" s="325"/>
      <c r="J69" s="325"/>
      <c r="K69" s="325"/>
      <c r="L69" s="325"/>
      <c r="M69" s="325"/>
    </row>
    <row r="70">
      <c r="A70" s="88" t="s">
        <v>3511</v>
      </c>
      <c r="B70" s="325"/>
      <c r="C70" s="325"/>
      <c r="D70" s="325"/>
      <c r="E70" s="325"/>
      <c r="F70" s="325"/>
      <c r="G70" s="325"/>
      <c r="H70" s="325"/>
      <c r="I70" s="325"/>
      <c r="J70" s="325"/>
      <c r="K70" s="325"/>
      <c r="L70" s="325"/>
      <c r="M70" s="325"/>
    </row>
    <row r="71">
      <c r="A71" s="88" t="s">
        <v>3511</v>
      </c>
      <c r="B71" s="325"/>
      <c r="C71" s="325"/>
      <c r="D71" s="325"/>
      <c r="E71" s="325"/>
      <c r="F71" s="325"/>
      <c r="G71" s="325"/>
      <c r="H71" s="325"/>
      <c r="I71" s="325"/>
      <c r="J71" s="325"/>
      <c r="K71" s="325"/>
      <c r="L71" s="325"/>
      <c r="M71" s="325"/>
    </row>
    <row r="72">
      <c r="A72" s="88" t="s">
        <v>3511</v>
      </c>
      <c r="B72" s="325"/>
      <c r="C72" s="325"/>
      <c r="D72" s="325"/>
      <c r="E72" s="325"/>
      <c r="F72" s="325"/>
      <c r="G72" s="325"/>
      <c r="H72" s="325"/>
      <c r="I72" s="325"/>
      <c r="J72" s="325"/>
      <c r="K72" s="325"/>
      <c r="L72" s="325"/>
      <c r="M72" s="325"/>
    </row>
    <row r="73">
      <c r="A73" s="88" t="s">
        <v>3511</v>
      </c>
      <c r="B73" s="325"/>
      <c r="C73" s="325"/>
      <c r="D73" s="325"/>
      <c r="E73" s="325"/>
      <c r="F73" s="325"/>
      <c r="G73" s="325"/>
      <c r="H73" s="325"/>
      <c r="I73" s="325"/>
      <c r="J73" s="325"/>
      <c r="K73" s="325"/>
      <c r="L73" s="325"/>
      <c r="M73" s="325"/>
    </row>
    <row r="74">
      <c r="A74" s="88" t="s">
        <v>3511</v>
      </c>
      <c r="B74" s="325"/>
      <c r="C74" s="325"/>
      <c r="D74" s="325"/>
      <c r="E74" s="325"/>
      <c r="F74" s="325"/>
      <c r="G74" s="325"/>
      <c r="H74" s="325"/>
      <c r="I74" s="325"/>
      <c r="J74" s="325"/>
      <c r="K74" s="325"/>
      <c r="L74" s="325"/>
      <c r="M74" s="325"/>
    </row>
    <row r="75">
      <c r="A75" s="88" t="s">
        <v>3511</v>
      </c>
      <c r="B75" s="325"/>
      <c r="C75" s="325"/>
      <c r="D75" s="325"/>
      <c r="E75" s="325"/>
      <c r="F75" s="325"/>
      <c r="G75" s="325"/>
      <c r="H75" s="325"/>
      <c r="I75" s="325"/>
      <c r="J75" s="325"/>
      <c r="K75" s="325"/>
      <c r="L75" s="325"/>
      <c r="M75" s="325"/>
    </row>
    <row r="76">
      <c r="A76" s="88" t="s">
        <v>3511</v>
      </c>
      <c r="B76" s="325"/>
      <c r="C76" s="325"/>
      <c r="D76" s="325"/>
      <c r="E76" s="325"/>
      <c r="F76" s="325"/>
      <c r="G76" s="325"/>
      <c r="H76" s="325"/>
      <c r="I76" s="325"/>
      <c r="J76" s="325"/>
      <c r="K76" s="325"/>
      <c r="L76" s="325"/>
      <c r="M76" s="325"/>
    </row>
    <row r="77">
      <c r="A77" s="88" t="s">
        <v>3511</v>
      </c>
      <c r="B77" s="325"/>
      <c r="C77" s="325"/>
      <c r="D77" s="325"/>
      <c r="E77" s="325"/>
      <c r="F77" s="325"/>
      <c r="G77" s="325"/>
      <c r="H77" s="325"/>
      <c r="I77" s="325"/>
      <c r="J77" s="325"/>
      <c r="K77" s="325"/>
      <c r="L77" s="325"/>
      <c r="M77" s="325"/>
    </row>
    <row r="78">
      <c r="A78" s="88" t="s">
        <v>3511</v>
      </c>
      <c r="B78" s="325"/>
      <c r="C78" s="325"/>
      <c r="D78" s="325"/>
      <c r="E78" s="325"/>
      <c r="F78" s="325"/>
      <c r="G78" s="325"/>
      <c r="H78" s="325"/>
      <c r="I78" s="325"/>
      <c r="J78" s="325"/>
      <c r="K78" s="325"/>
      <c r="L78" s="325"/>
      <c r="M78" s="325"/>
    </row>
    <row r="79">
      <c r="A79" s="88" t="s">
        <v>3511</v>
      </c>
      <c r="B79" s="325"/>
      <c r="C79" s="325"/>
      <c r="D79" s="325"/>
      <c r="E79" s="325"/>
      <c r="F79" s="325"/>
      <c r="G79" s="325"/>
      <c r="H79" s="325"/>
      <c r="I79" s="325"/>
      <c r="J79" s="325"/>
      <c r="K79" s="325"/>
      <c r="L79" s="325"/>
      <c r="M79" s="325"/>
    </row>
    <row r="80">
      <c r="A80" s="88" t="s">
        <v>3511</v>
      </c>
      <c r="B80" s="325"/>
      <c r="C80" s="325"/>
      <c r="D80" s="325"/>
      <c r="E80" s="325"/>
      <c r="F80" s="325"/>
      <c r="G80" s="325"/>
      <c r="H80" s="325"/>
      <c r="I80" s="325"/>
      <c r="J80" s="325"/>
      <c r="K80" s="325"/>
      <c r="L80" s="325"/>
      <c r="M80" s="325"/>
    </row>
    <row r="81">
      <c r="A81" s="88" t="s">
        <v>3511</v>
      </c>
      <c r="B81" s="325"/>
      <c r="C81" s="325"/>
      <c r="D81" s="325"/>
      <c r="E81" s="325"/>
      <c r="F81" s="325"/>
      <c r="G81" s="325"/>
      <c r="H81" s="325"/>
      <c r="I81" s="325"/>
      <c r="J81" s="325"/>
      <c r="K81" s="325"/>
      <c r="L81" s="325"/>
      <c r="M81" s="325"/>
    </row>
    <row r="82">
      <c r="A82" s="88" t="s">
        <v>3511</v>
      </c>
      <c r="B82" s="325"/>
      <c r="C82" s="325"/>
      <c r="D82" s="325"/>
      <c r="E82" s="325"/>
      <c r="F82" s="325"/>
      <c r="G82" s="325"/>
      <c r="H82" s="325"/>
      <c r="I82" s="325"/>
      <c r="J82" s="325"/>
      <c r="K82" s="325"/>
      <c r="L82" s="325"/>
      <c r="M82" s="325"/>
    </row>
    <row r="83">
      <c r="A83" s="88" t="s">
        <v>3511</v>
      </c>
      <c r="B83" s="325"/>
      <c r="C83" s="325"/>
      <c r="D83" s="325"/>
      <c r="E83" s="325"/>
      <c r="F83" s="325"/>
      <c r="G83" s="325"/>
      <c r="H83" s="325"/>
      <c r="I83" s="325"/>
      <c r="J83" s="325"/>
      <c r="K83" s="325"/>
      <c r="L83" s="325"/>
      <c r="M83" s="325"/>
    </row>
    <row r="84">
      <c r="A84" s="88" t="s">
        <v>3511</v>
      </c>
      <c r="B84" s="325"/>
      <c r="C84" s="325"/>
      <c r="D84" s="325"/>
      <c r="E84" s="325"/>
      <c r="F84" s="325"/>
      <c r="G84" s="325"/>
      <c r="H84" s="325"/>
      <c r="I84" s="325"/>
      <c r="J84" s="325"/>
      <c r="K84" s="325"/>
      <c r="L84" s="325"/>
      <c r="M84" s="325"/>
    </row>
    <row r="85">
      <c r="A85" s="88" t="s">
        <v>3511</v>
      </c>
      <c r="B85" s="325"/>
      <c r="C85" s="325"/>
      <c r="D85" s="325"/>
      <c r="E85" s="325"/>
      <c r="F85" s="325"/>
      <c r="G85" s="325"/>
      <c r="H85" s="325"/>
      <c r="I85" s="325"/>
      <c r="J85" s="325"/>
      <c r="K85" s="325"/>
      <c r="L85" s="325"/>
      <c r="M85" s="325"/>
    </row>
    <row r="86">
      <c r="A86" s="88" t="s">
        <v>3511</v>
      </c>
      <c r="B86" s="325"/>
      <c r="C86" s="325"/>
      <c r="D86" s="325"/>
      <c r="E86" s="325"/>
      <c r="F86" s="325"/>
      <c r="G86" s="325"/>
      <c r="H86" s="325"/>
      <c r="I86" s="325"/>
      <c r="J86" s="325"/>
      <c r="K86" s="325"/>
      <c r="L86" s="325"/>
      <c r="M86" s="325"/>
    </row>
    <row r="87">
      <c r="A87" s="88" t="s">
        <v>3511</v>
      </c>
      <c r="B87" s="325"/>
      <c r="C87" s="325"/>
      <c r="D87" s="325"/>
      <c r="E87" s="325"/>
      <c r="F87" s="325"/>
      <c r="G87" s="325"/>
      <c r="H87" s="325"/>
      <c r="I87" s="325"/>
      <c r="J87" s="325"/>
      <c r="K87" s="325"/>
      <c r="L87" s="325"/>
      <c r="M87" s="325"/>
    </row>
    <row r="88">
      <c r="A88" s="88" t="s">
        <v>3511</v>
      </c>
      <c r="B88" s="325"/>
      <c r="C88" s="325"/>
      <c r="D88" s="325"/>
      <c r="E88" s="325"/>
      <c r="F88" s="325"/>
      <c r="G88" s="325"/>
      <c r="H88" s="325"/>
      <c r="I88" s="325"/>
      <c r="J88" s="325"/>
      <c r="K88" s="325"/>
      <c r="L88" s="325"/>
      <c r="M88" s="325"/>
    </row>
    <row r="89">
      <c r="A89" s="88" t="s">
        <v>3511</v>
      </c>
      <c r="B89" s="325"/>
      <c r="C89" s="325"/>
      <c r="D89" s="325"/>
      <c r="E89" s="325"/>
      <c r="F89" s="325"/>
      <c r="G89" s="325"/>
      <c r="H89" s="325"/>
      <c r="I89" s="325"/>
      <c r="J89" s="325"/>
      <c r="K89" s="325"/>
      <c r="L89" s="325"/>
      <c r="M89" s="325"/>
    </row>
    <row r="90">
      <c r="A90" s="88" t="s">
        <v>3511</v>
      </c>
      <c r="B90" s="325"/>
      <c r="C90" s="325"/>
      <c r="D90" s="325"/>
      <c r="E90" s="325"/>
      <c r="F90" s="325"/>
      <c r="G90" s="325"/>
      <c r="H90" s="325"/>
      <c r="I90" s="325"/>
      <c r="J90" s="325"/>
      <c r="K90" s="325"/>
      <c r="L90" s="325"/>
      <c r="M90" s="325"/>
    </row>
    <row r="91">
      <c r="A91" s="88" t="s">
        <v>3511</v>
      </c>
      <c r="B91" s="325"/>
      <c r="C91" s="325"/>
      <c r="D91" s="325"/>
      <c r="E91" s="325"/>
      <c r="F91" s="325"/>
      <c r="G91" s="325"/>
      <c r="H91" s="325"/>
      <c r="I91" s="325"/>
      <c r="J91" s="325"/>
      <c r="K91" s="325"/>
      <c r="L91" s="325"/>
      <c r="M91" s="325"/>
    </row>
    <row r="92">
      <c r="A92" s="88" t="s">
        <v>3511</v>
      </c>
      <c r="B92" s="325"/>
      <c r="C92" s="325"/>
      <c r="D92" s="325"/>
      <c r="E92" s="325"/>
      <c r="F92" s="325"/>
      <c r="G92" s="325"/>
      <c r="H92" s="325"/>
      <c r="I92" s="325"/>
      <c r="J92" s="325"/>
      <c r="K92" s="325"/>
      <c r="L92" s="325"/>
      <c r="M92" s="325"/>
    </row>
    <row r="93">
      <c r="A93" s="88" t="s">
        <v>3511</v>
      </c>
      <c r="B93" s="325"/>
      <c r="C93" s="325"/>
      <c r="D93" s="325"/>
      <c r="E93" s="325"/>
      <c r="F93" s="325"/>
      <c r="G93" s="325"/>
      <c r="H93" s="325"/>
      <c r="I93" s="325"/>
      <c r="J93" s="325"/>
      <c r="K93" s="325"/>
      <c r="L93" s="325"/>
      <c r="M93" s="325"/>
    </row>
    <row r="94">
      <c r="A94" s="88" t="s">
        <v>3511</v>
      </c>
      <c r="B94" s="325"/>
      <c r="C94" s="325"/>
      <c r="D94" s="325"/>
      <c r="E94" s="325"/>
      <c r="F94" s="325"/>
      <c r="G94" s="325"/>
      <c r="H94" s="325"/>
      <c r="I94" s="325"/>
      <c r="J94" s="325"/>
      <c r="K94" s="325"/>
      <c r="L94" s="325"/>
      <c r="M94" s="325"/>
    </row>
    <row r="95">
      <c r="A95" s="88" t="s">
        <v>3511</v>
      </c>
      <c r="B95" s="325"/>
      <c r="C95" s="325"/>
      <c r="D95" s="325"/>
      <c r="E95" s="325"/>
      <c r="F95" s="325"/>
      <c r="G95" s="325"/>
      <c r="H95" s="325"/>
      <c r="I95" s="325"/>
      <c r="J95" s="325"/>
      <c r="K95" s="325"/>
      <c r="L95" s="325"/>
      <c r="M95" s="325"/>
    </row>
    <row r="96">
      <c r="A96" s="88" t="s">
        <v>3511</v>
      </c>
      <c r="B96" s="325"/>
      <c r="C96" s="325"/>
      <c r="D96" s="325"/>
      <c r="E96" s="325"/>
      <c r="F96" s="325"/>
      <c r="G96" s="325"/>
      <c r="H96" s="325"/>
      <c r="I96" s="325"/>
      <c r="J96" s="325"/>
      <c r="K96" s="325"/>
      <c r="L96" s="325"/>
      <c r="M96" s="325"/>
    </row>
    <row r="97">
      <c r="A97" s="88" t="s">
        <v>3511</v>
      </c>
      <c r="B97" s="325"/>
      <c r="C97" s="325"/>
      <c r="D97" s="325"/>
      <c r="E97" s="325"/>
      <c r="F97" s="325"/>
      <c r="G97" s="325"/>
      <c r="H97" s="325"/>
      <c r="I97" s="325"/>
      <c r="J97" s="325"/>
      <c r="K97" s="325"/>
      <c r="L97" s="325"/>
      <c r="M97" s="325"/>
    </row>
    <row r="98">
      <c r="A98" s="88" t="s">
        <v>3511</v>
      </c>
      <c r="B98" s="325"/>
      <c r="C98" s="325"/>
      <c r="D98" s="325"/>
      <c r="E98" s="325"/>
      <c r="F98" s="325"/>
      <c r="G98" s="325"/>
      <c r="H98" s="325"/>
      <c r="I98" s="325"/>
      <c r="J98" s="325"/>
      <c r="K98" s="325"/>
      <c r="L98" s="325"/>
      <c r="M98" s="325"/>
    </row>
    <row r="99">
      <c r="A99" s="88" t="s">
        <v>3511</v>
      </c>
      <c r="B99" s="325"/>
      <c r="C99" s="325"/>
      <c r="D99" s="325"/>
      <c r="E99" s="325"/>
      <c r="F99" s="325"/>
      <c r="G99" s="325"/>
      <c r="H99" s="325"/>
      <c r="I99" s="325"/>
      <c r="J99" s="325"/>
      <c r="K99" s="325"/>
      <c r="L99" s="325"/>
      <c r="M99" s="325"/>
    </row>
    <row r="100">
      <c r="A100" s="88" t="s">
        <v>3511</v>
      </c>
      <c r="B100" s="325"/>
      <c r="C100" s="325"/>
      <c r="D100" s="325"/>
      <c r="E100" s="325"/>
      <c r="F100" s="325"/>
      <c r="G100" s="325"/>
      <c r="H100" s="325"/>
      <c r="I100" s="325"/>
      <c r="J100" s="325"/>
      <c r="K100" s="325"/>
      <c r="L100" s="325"/>
      <c r="M100" s="325"/>
    </row>
    <row r="101">
      <c r="A101" s="88" t="s">
        <v>3511</v>
      </c>
      <c r="B101" s="325"/>
      <c r="C101" s="325"/>
      <c r="D101" s="325"/>
      <c r="E101" s="325"/>
      <c r="F101" s="325"/>
      <c r="G101" s="325"/>
      <c r="H101" s="325"/>
      <c r="I101" s="325"/>
      <c r="J101" s="325"/>
      <c r="K101" s="325"/>
      <c r="L101" s="325"/>
      <c r="M101" s="325"/>
    </row>
    <row r="102">
      <c r="A102" s="88" t="s">
        <v>3511</v>
      </c>
      <c r="B102" s="325"/>
      <c r="C102" s="325"/>
      <c r="D102" s="325"/>
      <c r="E102" s="325"/>
      <c r="F102" s="325"/>
      <c r="G102" s="325"/>
      <c r="H102" s="325"/>
      <c r="I102" s="325"/>
      <c r="J102" s="325"/>
      <c r="K102" s="325"/>
      <c r="L102" s="325"/>
      <c r="M102" s="325"/>
    </row>
    <row r="103">
      <c r="A103" s="88" t="s">
        <v>3511</v>
      </c>
      <c r="B103" s="325"/>
      <c r="C103" s="325"/>
      <c r="D103" s="325"/>
      <c r="E103" s="325"/>
      <c r="F103" s="325"/>
      <c r="G103" s="325"/>
      <c r="H103" s="325"/>
      <c r="I103" s="325"/>
      <c r="J103" s="325"/>
      <c r="K103" s="325"/>
      <c r="L103" s="325"/>
      <c r="M103" s="325"/>
    </row>
    <row r="104">
      <c r="A104" s="88" t="s">
        <v>3511</v>
      </c>
      <c r="B104" s="325"/>
      <c r="C104" s="325"/>
      <c r="D104" s="325"/>
      <c r="E104" s="325"/>
      <c r="F104" s="325"/>
      <c r="G104" s="325"/>
      <c r="H104" s="325"/>
      <c r="I104" s="325"/>
      <c r="J104" s="325"/>
      <c r="K104" s="325"/>
      <c r="L104" s="325"/>
      <c r="M104" s="325"/>
    </row>
    <row r="105">
      <c r="A105" s="88" t="s">
        <v>3511</v>
      </c>
      <c r="B105" s="325"/>
      <c r="C105" s="325"/>
      <c r="D105" s="325"/>
      <c r="E105" s="325"/>
      <c r="F105" s="325"/>
      <c r="G105" s="325"/>
      <c r="H105" s="325"/>
      <c r="I105" s="325"/>
      <c r="J105" s="325"/>
      <c r="K105" s="325"/>
      <c r="L105" s="325"/>
      <c r="M105" s="325"/>
    </row>
    <row r="106">
      <c r="A106" s="88" t="s">
        <v>3511</v>
      </c>
      <c r="B106" s="325"/>
      <c r="C106" s="325"/>
      <c r="D106" s="325"/>
      <c r="E106" s="325"/>
      <c r="F106" s="325"/>
      <c r="G106" s="325"/>
      <c r="H106" s="325"/>
      <c r="I106" s="325"/>
      <c r="J106" s="325"/>
      <c r="K106" s="325"/>
      <c r="L106" s="325"/>
      <c r="M106" s="325"/>
    </row>
    <row r="107">
      <c r="A107" s="88" t="s">
        <v>3511</v>
      </c>
      <c r="B107" s="325"/>
      <c r="C107" s="325"/>
      <c r="D107" s="325"/>
      <c r="E107" s="325"/>
      <c r="F107" s="325"/>
      <c r="G107" s="325"/>
      <c r="H107" s="325"/>
      <c r="I107" s="325"/>
      <c r="J107" s="325"/>
      <c r="K107" s="325"/>
      <c r="L107" s="325"/>
      <c r="M107" s="325"/>
    </row>
    <row r="108">
      <c r="A108" s="88" t="s">
        <v>3511</v>
      </c>
      <c r="B108" s="325"/>
      <c r="C108" s="325"/>
      <c r="D108" s="325"/>
      <c r="E108" s="325"/>
      <c r="F108" s="325"/>
      <c r="G108" s="325"/>
      <c r="H108" s="325"/>
      <c r="I108" s="325"/>
      <c r="J108" s="325"/>
      <c r="K108" s="325"/>
      <c r="L108" s="325"/>
      <c r="M108" s="325"/>
    </row>
    <row r="109">
      <c r="A109" s="88" t="s">
        <v>3511</v>
      </c>
      <c r="B109" s="325"/>
      <c r="C109" s="325"/>
      <c r="D109" s="325"/>
      <c r="E109" s="325"/>
      <c r="F109" s="325"/>
      <c r="G109" s="325"/>
      <c r="H109" s="325"/>
      <c r="I109" s="325"/>
      <c r="J109" s="325"/>
      <c r="K109" s="325"/>
      <c r="L109" s="325"/>
      <c r="M109" s="325"/>
    </row>
    <row r="110">
      <c r="A110" s="88" t="s">
        <v>3511</v>
      </c>
      <c r="B110" s="325"/>
      <c r="C110" s="325"/>
      <c r="D110" s="325"/>
      <c r="E110" s="325"/>
      <c r="F110" s="325"/>
      <c r="G110" s="325"/>
      <c r="H110" s="325"/>
      <c r="I110" s="325"/>
      <c r="J110" s="325"/>
      <c r="K110" s="325"/>
      <c r="L110" s="325"/>
      <c r="M110" s="325"/>
    </row>
    <row r="111">
      <c r="A111" s="88" t="s">
        <v>3511</v>
      </c>
      <c r="B111" s="325"/>
      <c r="C111" s="325"/>
      <c r="D111" s="325"/>
      <c r="E111" s="325"/>
      <c r="F111" s="325"/>
      <c r="G111" s="325"/>
      <c r="H111" s="325"/>
      <c r="I111" s="325"/>
      <c r="J111" s="325"/>
      <c r="K111" s="325"/>
      <c r="L111" s="325"/>
      <c r="M111" s="325"/>
    </row>
    <row r="112">
      <c r="A112" s="88" t="s">
        <v>3511</v>
      </c>
      <c r="B112" s="325"/>
      <c r="C112" s="325"/>
      <c r="D112" s="325"/>
      <c r="E112" s="325"/>
      <c r="F112" s="325"/>
      <c r="G112" s="325"/>
      <c r="H112" s="325"/>
      <c r="I112" s="325"/>
      <c r="J112" s="325"/>
      <c r="K112" s="325"/>
      <c r="L112" s="325"/>
      <c r="M112" s="325"/>
    </row>
    <row r="113">
      <c r="A113" s="88" t="s">
        <v>3511</v>
      </c>
      <c r="B113" s="325"/>
      <c r="C113" s="325"/>
      <c r="D113" s="325"/>
      <c r="E113" s="325"/>
      <c r="F113" s="325"/>
      <c r="G113" s="325"/>
      <c r="H113" s="325"/>
      <c r="I113" s="325"/>
      <c r="J113" s="325"/>
      <c r="K113" s="325"/>
      <c r="L113" s="325"/>
      <c r="M113" s="325"/>
    </row>
    <row r="114">
      <c r="A114" s="88" t="s">
        <v>3511</v>
      </c>
      <c r="B114" s="325"/>
      <c r="C114" s="325"/>
      <c r="D114" s="325"/>
      <c r="E114" s="325"/>
      <c r="F114" s="325"/>
      <c r="G114" s="325"/>
      <c r="H114" s="325"/>
      <c r="I114" s="325"/>
      <c r="J114" s="325"/>
      <c r="K114" s="325"/>
      <c r="L114" s="325"/>
      <c r="M114" s="325"/>
    </row>
    <row r="115">
      <c r="A115" s="88" t="s">
        <v>3511</v>
      </c>
      <c r="B115" s="325"/>
      <c r="C115" s="325"/>
      <c r="D115" s="325"/>
      <c r="E115" s="325"/>
      <c r="F115" s="325"/>
      <c r="G115" s="325"/>
      <c r="H115" s="325"/>
      <c r="I115" s="325"/>
      <c r="J115" s="325"/>
      <c r="K115" s="325"/>
      <c r="L115" s="325"/>
      <c r="M115" s="325"/>
    </row>
    <row r="116">
      <c r="A116" s="88" t="s">
        <v>3511</v>
      </c>
      <c r="B116" s="325"/>
      <c r="C116" s="325"/>
      <c r="D116" s="325"/>
      <c r="E116" s="325"/>
      <c r="F116" s="325"/>
      <c r="G116" s="325"/>
      <c r="H116" s="325"/>
      <c r="I116" s="325"/>
      <c r="J116" s="325"/>
      <c r="K116" s="325"/>
      <c r="L116" s="325"/>
      <c r="M116" s="325"/>
    </row>
    <row r="117">
      <c r="A117" s="88" t="s">
        <v>3511</v>
      </c>
      <c r="B117" s="325"/>
      <c r="C117" s="325"/>
      <c r="D117" s="325"/>
      <c r="E117" s="325"/>
      <c r="F117" s="325"/>
      <c r="G117" s="325"/>
      <c r="H117" s="325"/>
      <c r="I117" s="325"/>
      <c r="J117" s="325"/>
      <c r="K117" s="325"/>
      <c r="L117" s="325"/>
      <c r="M117" s="325"/>
    </row>
    <row r="118">
      <c r="A118" s="88" t="s">
        <v>3511</v>
      </c>
      <c r="B118" s="325"/>
      <c r="C118" s="325"/>
      <c r="D118" s="325"/>
      <c r="E118" s="325"/>
      <c r="F118" s="325"/>
      <c r="G118" s="325"/>
      <c r="H118" s="325"/>
      <c r="I118" s="325"/>
      <c r="J118" s="325"/>
      <c r="K118" s="325"/>
      <c r="L118" s="325"/>
      <c r="M118" s="325"/>
    </row>
    <row r="119">
      <c r="A119" s="88" t="s">
        <v>3511</v>
      </c>
      <c r="B119" s="325"/>
      <c r="C119" s="325"/>
      <c r="D119" s="325"/>
      <c r="E119" s="325"/>
      <c r="F119" s="325"/>
      <c r="G119" s="325"/>
      <c r="H119" s="325"/>
      <c r="I119" s="325"/>
      <c r="J119" s="325"/>
      <c r="K119" s="325"/>
      <c r="L119" s="325"/>
      <c r="M119" s="325"/>
    </row>
    <row r="120">
      <c r="A120" s="88" t="s">
        <v>3511</v>
      </c>
      <c r="B120" s="325"/>
      <c r="C120" s="325"/>
      <c r="D120" s="325"/>
      <c r="E120" s="325"/>
      <c r="F120" s="325"/>
      <c r="G120" s="325"/>
      <c r="H120" s="325"/>
      <c r="I120" s="325"/>
      <c r="J120" s="325"/>
      <c r="K120" s="325"/>
      <c r="L120" s="325"/>
      <c r="M120" s="325"/>
    </row>
    <row r="121">
      <c r="A121" s="88" t="s">
        <v>3511</v>
      </c>
      <c r="B121" s="325"/>
      <c r="C121" s="325"/>
      <c r="D121" s="325"/>
      <c r="E121" s="325"/>
      <c r="F121" s="325"/>
      <c r="G121" s="325"/>
      <c r="H121" s="325"/>
      <c r="I121" s="325"/>
      <c r="J121" s="325"/>
      <c r="K121" s="325"/>
      <c r="L121" s="325"/>
      <c r="M121" s="325"/>
    </row>
    <row r="122">
      <c r="A122" s="88" t="s">
        <v>3511</v>
      </c>
      <c r="B122" s="325"/>
      <c r="C122" s="325"/>
      <c r="D122" s="325"/>
      <c r="E122" s="325"/>
      <c r="F122" s="325"/>
      <c r="G122" s="325"/>
      <c r="H122" s="325"/>
      <c r="I122" s="325"/>
      <c r="J122" s="325"/>
      <c r="K122" s="325"/>
      <c r="L122" s="325"/>
      <c r="M122" s="325"/>
    </row>
    <row r="123">
      <c r="A123" s="88" t="s">
        <v>3511</v>
      </c>
      <c r="B123" s="325"/>
      <c r="C123" s="325"/>
      <c r="D123" s="325"/>
      <c r="E123" s="325"/>
      <c r="F123" s="325"/>
      <c r="G123" s="325"/>
      <c r="H123" s="325"/>
      <c r="I123" s="325"/>
      <c r="J123" s="325"/>
      <c r="K123" s="325"/>
      <c r="L123" s="325"/>
      <c r="M123" s="325"/>
    </row>
    <row r="124">
      <c r="A124" s="88" t="s">
        <v>3511</v>
      </c>
      <c r="B124" s="325"/>
      <c r="C124" s="325"/>
      <c r="D124" s="325"/>
      <c r="E124" s="325"/>
      <c r="F124" s="325"/>
      <c r="G124" s="325"/>
      <c r="H124" s="325"/>
      <c r="I124" s="325"/>
      <c r="J124" s="325"/>
      <c r="K124" s="325"/>
      <c r="L124" s="325"/>
      <c r="M124" s="325"/>
    </row>
    <row r="125">
      <c r="A125" s="88" t="s">
        <v>3511</v>
      </c>
      <c r="B125" s="325"/>
      <c r="C125" s="325"/>
      <c r="D125" s="325"/>
      <c r="E125" s="325"/>
      <c r="F125" s="325"/>
      <c r="G125" s="325"/>
      <c r="H125" s="325"/>
      <c r="I125" s="325"/>
      <c r="J125" s="325"/>
      <c r="K125" s="325"/>
      <c r="L125" s="325"/>
      <c r="M125" s="325"/>
    </row>
    <row r="126">
      <c r="A126" s="88" t="s">
        <v>3511</v>
      </c>
      <c r="B126" s="325"/>
      <c r="C126" s="325"/>
      <c r="D126" s="325"/>
      <c r="E126" s="325"/>
      <c r="F126" s="325"/>
      <c r="G126" s="325"/>
      <c r="H126" s="325"/>
      <c r="I126" s="325"/>
      <c r="J126" s="325"/>
      <c r="K126" s="325"/>
      <c r="L126" s="325"/>
      <c r="M126" s="325"/>
    </row>
    <row r="127">
      <c r="A127" s="88" t="s">
        <v>3511</v>
      </c>
      <c r="B127" s="325"/>
      <c r="C127" s="325"/>
      <c r="D127" s="325"/>
      <c r="E127" s="325"/>
      <c r="F127" s="325"/>
      <c r="G127" s="325"/>
      <c r="H127" s="325"/>
      <c r="I127" s="325"/>
      <c r="J127" s="325"/>
      <c r="K127" s="325"/>
      <c r="L127" s="325"/>
      <c r="M127" s="325"/>
    </row>
    <row r="128">
      <c r="A128" s="88" t="s">
        <v>3511</v>
      </c>
      <c r="B128" s="325"/>
      <c r="C128" s="325"/>
      <c r="D128" s="325"/>
      <c r="E128" s="325"/>
      <c r="F128" s="325"/>
      <c r="G128" s="325"/>
      <c r="H128" s="325"/>
      <c r="I128" s="325"/>
      <c r="J128" s="325"/>
      <c r="K128" s="325"/>
      <c r="L128" s="325"/>
      <c r="M128" s="325"/>
    </row>
    <row r="129">
      <c r="A129" s="88" t="s">
        <v>3511</v>
      </c>
      <c r="B129" s="325"/>
      <c r="C129" s="325"/>
      <c r="D129" s="325"/>
      <c r="E129" s="325"/>
      <c r="F129" s="325"/>
      <c r="G129" s="325"/>
      <c r="H129" s="325"/>
      <c r="I129" s="325"/>
      <c r="J129" s="325"/>
      <c r="K129" s="325"/>
      <c r="L129" s="325"/>
      <c r="M129" s="325"/>
    </row>
    <row r="130">
      <c r="A130" s="88" t="s">
        <v>3511</v>
      </c>
      <c r="B130" s="325"/>
      <c r="C130" s="325"/>
      <c r="D130" s="325"/>
      <c r="E130" s="325"/>
      <c r="F130" s="325"/>
      <c r="G130" s="325"/>
      <c r="H130" s="325"/>
      <c r="I130" s="325"/>
      <c r="J130" s="325"/>
      <c r="K130" s="325"/>
      <c r="L130" s="325"/>
      <c r="M130" s="325"/>
    </row>
    <row r="131">
      <c r="A131" s="88" t="s">
        <v>3511</v>
      </c>
      <c r="B131" s="325"/>
      <c r="C131" s="325"/>
      <c r="D131" s="325"/>
      <c r="E131" s="325"/>
      <c r="F131" s="325"/>
      <c r="G131" s="325"/>
      <c r="H131" s="325"/>
      <c r="I131" s="325"/>
      <c r="J131" s="325"/>
      <c r="K131" s="325"/>
      <c r="L131" s="325"/>
      <c r="M131" s="325"/>
    </row>
    <row r="132">
      <c r="A132" s="88" t="s">
        <v>3511</v>
      </c>
      <c r="B132" s="325"/>
      <c r="C132" s="325"/>
      <c r="D132" s="325"/>
      <c r="E132" s="325"/>
      <c r="F132" s="325"/>
      <c r="G132" s="325"/>
      <c r="H132" s="325"/>
      <c r="I132" s="325"/>
      <c r="J132" s="325"/>
      <c r="K132" s="325"/>
      <c r="L132" s="325"/>
      <c r="M132" s="325"/>
    </row>
    <row r="133">
      <c r="A133" s="88" t="s">
        <v>3511</v>
      </c>
      <c r="B133" s="325"/>
      <c r="C133" s="325"/>
      <c r="D133" s="325"/>
      <c r="E133" s="325"/>
      <c r="F133" s="325"/>
      <c r="G133" s="325"/>
      <c r="H133" s="325"/>
      <c r="I133" s="325"/>
      <c r="J133" s="325"/>
      <c r="K133" s="325"/>
      <c r="L133" s="325"/>
      <c r="M133" s="325"/>
    </row>
    <row r="134">
      <c r="A134" s="88" t="s">
        <v>3511</v>
      </c>
      <c r="B134" s="325"/>
      <c r="C134" s="325"/>
      <c r="D134" s="325"/>
      <c r="E134" s="325"/>
      <c r="F134" s="325"/>
      <c r="G134" s="325"/>
      <c r="H134" s="325"/>
      <c r="I134" s="325"/>
      <c r="J134" s="325"/>
      <c r="K134" s="325"/>
      <c r="L134" s="325"/>
      <c r="M134" s="325"/>
    </row>
    <row r="135">
      <c r="A135" s="88" t="s">
        <v>3511</v>
      </c>
      <c r="B135" s="325"/>
      <c r="C135" s="325"/>
      <c r="D135" s="325"/>
      <c r="E135" s="325"/>
      <c r="F135" s="325"/>
      <c r="G135" s="325"/>
      <c r="H135" s="325"/>
      <c r="I135" s="325"/>
      <c r="J135" s="325"/>
      <c r="K135" s="325"/>
      <c r="L135" s="325"/>
      <c r="M135" s="325"/>
    </row>
    <row r="136">
      <c r="A136" s="88" t="s">
        <v>3511</v>
      </c>
      <c r="B136" s="325"/>
      <c r="C136" s="325"/>
      <c r="D136" s="325"/>
      <c r="E136" s="325"/>
      <c r="F136" s="325"/>
      <c r="G136" s="325"/>
      <c r="H136" s="325"/>
      <c r="I136" s="325"/>
      <c r="J136" s="325"/>
      <c r="K136" s="325"/>
      <c r="L136" s="325"/>
      <c r="M136" s="325"/>
    </row>
    <row r="137">
      <c r="A137" s="88" t="s">
        <v>3511</v>
      </c>
      <c r="B137" s="325"/>
      <c r="C137" s="325"/>
      <c r="D137" s="325"/>
      <c r="E137" s="325"/>
      <c r="F137" s="325"/>
      <c r="G137" s="325"/>
      <c r="H137" s="325"/>
      <c r="I137" s="325"/>
      <c r="J137" s="325"/>
      <c r="K137" s="325"/>
      <c r="L137" s="325"/>
      <c r="M137" s="325"/>
    </row>
    <row r="138">
      <c r="A138" s="88" t="s">
        <v>3511</v>
      </c>
      <c r="B138" s="325"/>
      <c r="C138" s="325"/>
      <c r="D138" s="325"/>
      <c r="E138" s="325"/>
      <c r="F138" s="325"/>
      <c r="G138" s="325"/>
      <c r="H138" s="325"/>
      <c r="I138" s="325"/>
      <c r="J138" s="325"/>
      <c r="K138" s="325"/>
      <c r="L138" s="325"/>
      <c r="M138" s="325"/>
    </row>
    <row r="139">
      <c r="A139" s="88" t="s">
        <v>3511</v>
      </c>
      <c r="B139" s="325"/>
      <c r="C139" s="325"/>
      <c r="D139" s="325"/>
      <c r="E139" s="325"/>
      <c r="F139" s="325"/>
      <c r="G139" s="325"/>
      <c r="H139" s="325"/>
      <c r="I139" s="325"/>
      <c r="J139" s="325"/>
      <c r="K139" s="325"/>
      <c r="L139" s="325"/>
      <c r="M139" s="325"/>
    </row>
    <row r="140">
      <c r="A140" s="88" t="s">
        <v>3511</v>
      </c>
      <c r="B140" s="325"/>
      <c r="C140" s="325"/>
      <c r="D140" s="325"/>
      <c r="E140" s="325"/>
      <c r="F140" s="325"/>
      <c r="G140" s="325"/>
      <c r="H140" s="325"/>
      <c r="I140" s="325"/>
      <c r="J140" s="325"/>
      <c r="K140" s="325"/>
      <c r="L140" s="325"/>
      <c r="M140" s="325"/>
    </row>
    <row r="141">
      <c r="A141" s="88" t="s">
        <v>3511</v>
      </c>
      <c r="B141" s="325"/>
      <c r="C141" s="325"/>
      <c r="D141" s="325"/>
      <c r="E141" s="325"/>
      <c r="F141" s="325"/>
      <c r="G141" s="325"/>
      <c r="H141" s="325"/>
      <c r="I141" s="325"/>
      <c r="J141" s="325"/>
      <c r="K141" s="325"/>
      <c r="L141" s="325"/>
      <c r="M141" s="325"/>
    </row>
    <row r="142">
      <c r="A142" s="88" t="s">
        <v>3511</v>
      </c>
      <c r="B142" s="325"/>
      <c r="C142" s="325"/>
      <c r="D142" s="325"/>
      <c r="E142" s="325"/>
      <c r="F142" s="325"/>
      <c r="G142" s="325"/>
      <c r="H142" s="325"/>
      <c r="I142" s="325"/>
      <c r="J142" s="325"/>
      <c r="K142" s="325"/>
      <c r="L142" s="325"/>
      <c r="M142" s="325"/>
    </row>
    <row r="143">
      <c r="A143" s="88" t="s">
        <v>3511</v>
      </c>
      <c r="B143" s="325"/>
      <c r="C143" s="325"/>
      <c r="D143" s="325"/>
      <c r="E143" s="325"/>
      <c r="F143" s="325"/>
      <c r="G143" s="325"/>
      <c r="H143" s="325"/>
      <c r="I143" s="325"/>
      <c r="J143" s="325"/>
      <c r="K143" s="325"/>
      <c r="L143" s="325"/>
      <c r="M143" s="325"/>
    </row>
    <row r="144">
      <c r="A144" s="88" t="s">
        <v>3511</v>
      </c>
      <c r="B144" s="325"/>
      <c r="C144" s="325"/>
      <c r="D144" s="325"/>
      <c r="E144" s="325"/>
      <c r="F144" s="325"/>
      <c r="G144" s="325"/>
      <c r="H144" s="325"/>
      <c r="I144" s="325"/>
      <c r="J144" s="325"/>
      <c r="K144" s="325"/>
      <c r="L144" s="325"/>
      <c r="M144" s="325"/>
    </row>
    <row r="145">
      <c r="A145" s="88" t="s">
        <v>3511</v>
      </c>
      <c r="B145" s="325"/>
      <c r="C145" s="325"/>
      <c r="D145" s="325"/>
      <c r="E145" s="325"/>
      <c r="F145" s="325"/>
      <c r="G145" s="325"/>
      <c r="H145" s="325"/>
      <c r="I145" s="325"/>
      <c r="J145" s="325"/>
      <c r="K145" s="325"/>
      <c r="L145" s="325"/>
      <c r="M145" s="325"/>
    </row>
    <row r="146">
      <c r="A146" s="88" t="s">
        <v>3511</v>
      </c>
      <c r="B146" s="325"/>
      <c r="C146" s="325"/>
      <c r="D146" s="325"/>
      <c r="E146" s="325"/>
      <c r="F146" s="325"/>
      <c r="G146" s="325"/>
      <c r="H146" s="325"/>
      <c r="I146" s="325"/>
      <c r="J146" s="325"/>
      <c r="K146" s="325"/>
      <c r="L146" s="325"/>
      <c r="M146" s="325"/>
    </row>
    <row r="147">
      <c r="A147" s="88" t="s">
        <v>3511</v>
      </c>
      <c r="B147" s="325"/>
      <c r="C147" s="325"/>
      <c r="D147" s="325"/>
      <c r="E147" s="325"/>
      <c r="F147" s="325"/>
      <c r="G147" s="325"/>
      <c r="H147" s="325"/>
      <c r="I147" s="325"/>
      <c r="J147" s="325"/>
      <c r="K147" s="325"/>
      <c r="L147" s="325"/>
      <c r="M147" s="325"/>
    </row>
    <row r="148">
      <c r="A148" s="88" t="s">
        <v>3511</v>
      </c>
      <c r="B148" s="325"/>
      <c r="C148" s="325"/>
      <c r="D148" s="325"/>
      <c r="E148" s="325"/>
      <c r="F148" s="325"/>
      <c r="G148" s="325"/>
      <c r="H148" s="325"/>
      <c r="I148" s="325"/>
      <c r="J148" s="325"/>
      <c r="K148" s="325"/>
      <c r="L148" s="325"/>
      <c r="M148" s="325"/>
    </row>
    <row r="149">
      <c r="A149" s="88" t="s">
        <v>3511</v>
      </c>
      <c r="B149" s="325"/>
      <c r="C149" s="325"/>
      <c r="D149" s="325"/>
      <c r="E149" s="325"/>
      <c r="F149" s="325"/>
      <c r="G149" s="325"/>
      <c r="H149" s="325"/>
      <c r="I149" s="325"/>
      <c r="J149" s="325"/>
      <c r="K149" s="325"/>
      <c r="L149" s="325"/>
      <c r="M149" s="325"/>
    </row>
    <row r="150">
      <c r="A150" s="88" t="s">
        <v>3511</v>
      </c>
      <c r="B150" s="325"/>
      <c r="C150" s="325"/>
      <c r="D150" s="325"/>
      <c r="E150" s="325"/>
      <c r="F150" s="325"/>
      <c r="G150" s="325"/>
      <c r="H150" s="325"/>
      <c r="I150" s="325"/>
      <c r="J150" s="325"/>
      <c r="K150" s="325"/>
      <c r="L150" s="325"/>
      <c r="M150" s="325"/>
    </row>
    <row r="151">
      <c r="A151" s="88" t="s">
        <v>3511</v>
      </c>
      <c r="B151" s="325"/>
      <c r="C151" s="325"/>
      <c r="D151" s="325"/>
      <c r="E151" s="325"/>
      <c r="F151" s="325"/>
      <c r="G151" s="325"/>
      <c r="H151" s="325"/>
      <c r="I151" s="325"/>
      <c r="J151" s="325"/>
      <c r="K151" s="325"/>
      <c r="L151" s="325"/>
      <c r="M151" s="325"/>
    </row>
    <row r="152">
      <c r="A152" s="88" t="s">
        <v>3511</v>
      </c>
      <c r="B152" s="325"/>
      <c r="C152" s="325"/>
      <c r="D152" s="325"/>
      <c r="E152" s="325"/>
      <c r="F152" s="325"/>
      <c r="G152" s="325"/>
      <c r="H152" s="325"/>
      <c r="I152" s="325"/>
      <c r="J152" s="325"/>
      <c r="K152" s="325"/>
      <c r="L152" s="325"/>
      <c r="M152" s="325"/>
    </row>
    <row r="153">
      <c r="A153" s="88" t="s">
        <v>3511</v>
      </c>
      <c r="B153" s="325"/>
      <c r="C153" s="325"/>
      <c r="D153" s="325"/>
      <c r="E153" s="325"/>
      <c r="F153" s="325"/>
      <c r="G153" s="325"/>
      <c r="H153" s="325"/>
      <c r="I153" s="325"/>
      <c r="J153" s="325"/>
      <c r="K153" s="325"/>
      <c r="L153" s="325"/>
      <c r="M153" s="325"/>
    </row>
    <row r="154">
      <c r="A154" s="88" t="s">
        <v>3511</v>
      </c>
      <c r="B154" s="325"/>
      <c r="C154" s="325"/>
      <c r="D154" s="325"/>
      <c r="E154" s="325"/>
      <c r="F154" s="325"/>
      <c r="G154" s="325"/>
      <c r="H154" s="325"/>
      <c r="I154" s="325"/>
      <c r="J154" s="325"/>
      <c r="K154" s="325"/>
      <c r="L154" s="325"/>
      <c r="M154" s="325"/>
    </row>
    <row r="155">
      <c r="A155" s="88" t="s">
        <v>3511</v>
      </c>
      <c r="B155" s="325"/>
      <c r="C155" s="325"/>
      <c r="D155" s="325"/>
      <c r="E155" s="325"/>
      <c r="F155" s="325"/>
      <c r="G155" s="325"/>
      <c r="H155" s="325"/>
      <c r="I155" s="325"/>
      <c r="J155" s="325"/>
      <c r="K155" s="325"/>
      <c r="L155" s="325"/>
      <c r="M155" s="325"/>
    </row>
    <row r="156">
      <c r="A156" s="88" t="s">
        <v>3511</v>
      </c>
      <c r="B156" s="325"/>
      <c r="C156" s="325"/>
      <c r="D156" s="325"/>
      <c r="E156" s="325"/>
      <c r="F156" s="325"/>
      <c r="G156" s="325"/>
      <c r="H156" s="325"/>
      <c r="I156" s="325"/>
      <c r="J156" s="325"/>
      <c r="K156" s="325"/>
      <c r="L156" s="325"/>
      <c r="M156" s="325"/>
    </row>
    <row r="157">
      <c r="A157" s="88" t="s">
        <v>3511</v>
      </c>
      <c r="B157" s="325"/>
      <c r="C157" s="325"/>
      <c r="D157" s="325"/>
      <c r="E157" s="325"/>
      <c r="F157" s="325"/>
      <c r="G157" s="325"/>
      <c r="H157" s="325"/>
      <c r="I157" s="325"/>
      <c r="J157" s="325"/>
      <c r="K157" s="325"/>
      <c r="L157" s="325"/>
      <c r="M157" s="325"/>
    </row>
    <row r="158">
      <c r="A158" s="88" t="s">
        <v>3511</v>
      </c>
      <c r="B158" s="325"/>
      <c r="C158" s="325"/>
      <c r="D158" s="325"/>
      <c r="E158" s="325"/>
      <c r="F158" s="325"/>
      <c r="G158" s="325"/>
      <c r="H158" s="325"/>
      <c r="I158" s="325"/>
      <c r="J158" s="325"/>
      <c r="K158" s="325"/>
      <c r="L158" s="325"/>
      <c r="M158" s="325"/>
    </row>
    <row r="159">
      <c r="A159" s="88" t="s">
        <v>3511</v>
      </c>
      <c r="B159" s="325"/>
      <c r="C159" s="325"/>
      <c r="D159" s="325"/>
      <c r="E159" s="325"/>
      <c r="F159" s="325"/>
      <c r="G159" s="325"/>
      <c r="H159" s="325"/>
      <c r="I159" s="325"/>
      <c r="J159" s="325"/>
      <c r="K159" s="325"/>
      <c r="L159" s="325"/>
      <c r="M159" s="325"/>
    </row>
    <row r="160">
      <c r="A160" s="88" t="s">
        <v>3511</v>
      </c>
      <c r="B160" s="325"/>
      <c r="C160" s="325"/>
      <c r="D160" s="325"/>
      <c r="E160" s="325"/>
      <c r="F160" s="325"/>
      <c r="G160" s="325"/>
      <c r="H160" s="325"/>
      <c r="I160" s="325"/>
      <c r="J160" s="325"/>
      <c r="K160" s="325"/>
      <c r="L160" s="325"/>
      <c r="M160" s="325"/>
    </row>
    <row r="161">
      <c r="A161" s="88" t="s">
        <v>3511</v>
      </c>
      <c r="B161" s="325"/>
      <c r="C161" s="325"/>
      <c r="D161" s="325"/>
      <c r="E161" s="325"/>
      <c r="F161" s="325"/>
      <c r="G161" s="325"/>
      <c r="H161" s="325"/>
      <c r="I161" s="325"/>
      <c r="J161" s="325"/>
      <c r="K161" s="325"/>
      <c r="L161" s="325"/>
      <c r="M161" s="325"/>
    </row>
    <row r="162">
      <c r="A162" s="88" t="s">
        <v>3511</v>
      </c>
      <c r="B162" s="325"/>
      <c r="C162" s="325"/>
      <c r="D162" s="325"/>
      <c r="E162" s="325"/>
      <c r="F162" s="325"/>
      <c r="G162" s="325"/>
      <c r="H162" s="325"/>
      <c r="I162" s="325"/>
      <c r="J162" s="325"/>
      <c r="K162" s="325"/>
      <c r="L162" s="325"/>
      <c r="M162" s="325"/>
    </row>
    <row r="163">
      <c r="A163" s="88" t="s">
        <v>3511</v>
      </c>
      <c r="B163" s="325"/>
      <c r="C163" s="325"/>
      <c r="D163" s="325"/>
      <c r="E163" s="325"/>
      <c r="F163" s="325"/>
      <c r="G163" s="325"/>
      <c r="H163" s="325"/>
      <c r="I163" s="325"/>
      <c r="J163" s="325"/>
      <c r="K163" s="325"/>
      <c r="L163" s="325"/>
      <c r="M163" s="325"/>
    </row>
    <row r="164">
      <c r="A164" s="88" t="s">
        <v>3511</v>
      </c>
      <c r="B164" s="325"/>
      <c r="C164" s="325"/>
      <c r="D164" s="325"/>
      <c r="E164" s="325"/>
      <c r="F164" s="325"/>
      <c r="G164" s="325"/>
      <c r="H164" s="325"/>
      <c r="I164" s="325"/>
      <c r="J164" s="325"/>
      <c r="K164" s="325"/>
      <c r="L164" s="325"/>
      <c r="M164" s="325"/>
    </row>
    <row r="165">
      <c r="A165" s="88" t="s">
        <v>3511</v>
      </c>
      <c r="B165" s="325"/>
      <c r="C165" s="325"/>
      <c r="D165" s="325"/>
      <c r="E165" s="325"/>
      <c r="F165" s="325"/>
      <c r="G165" s="325"/>
      <c r="H165" s="325"/>
      <c r="I165" s="325"/>
      <c r="J165" s="325"/>
      <c r="K165" s="325"/>
      <c r="L165" s="325"/>
      <c r="M165" s="325"/>
    </row>
    <row r="166">
      <c r="A166" s="88" t="s">
        <v>3511</v>
      </c>
      <c r="M166" s="325"/>
    </row>
    <row r="167">
      <c r="A167" s="88" t="s">
        <v>3511</v>
      </c>
      <c r="M167" s="325"/>
    </row>
    <row r="168">
      <c r="A168" s="88" t="s">
        <v>3511</v>
      </c>
      <c r="M168" s="325"/>
    </row>
    <row r="169">
      <c r="A169" s="88" t="s">
        <v>3511</v>
      </c>
      <c r="M169" s="325"/>
    </row>
    <row r="170">
      <c r="A170" s="88" t="s">
        <v>3511</v>
      </c>
      <c r="M170" s="325"/>
    </row>
    <row r="171">
      <c r="A171" s="88" t="s">
        <v>3511</v>
      </c>
      <c r="M171" s="325"/>
    </row>
    <row r="172">
      <c r="A172" s="88" t="s">
        <v>3511</v>
      </c>
      <c r="M172" s="325"/>
    </row>
    <row r="173">
      <c r="A173" s="88" t="s">
        <v>3511</v>
      </c>
      <c r="M173" s="325"/>
    </row>
    <row r="174">
      <c r="A174" s="88" t="s">
        <v>3511</v>
      </c>
      <c r="M174" s="325"/>
    </row>
    <row r="175">
      <c r="A175" s="88" t="s">
        <v>3511</v>
      </c>
      <c r="M175" s="325"/>
    </row>
    <row r="176">
      <c r="A176" s="88" t="s">
        <v>3511</v>
      </c>
      <c r="M176" s="325"/>
    </row>
    <row r="177">
      <c r="A177" s="88" t="s">
        <v>3511</v>
      </c>
      <c r="M177" s="325"/>
    </row>
    <row r="178">
      <c r="A178" s="88" t="s">
        <v>3511</v>
      </c>
      <c r="M178" s="325"/>
    </row>
    <row r="179">
      <c r="A179" s="88" t="s">
        <v>3511</v>
      </c>
      <c r="M179" s="325"/>
    </row>
    <row r="180">
      <c r="A180" s="88" t="s">
        <v>3511</v>
      </c>
      <c r="M180" s="325"/>
    </row>
    <row r="181">
      <c r="A181" s="88" t="s">
        <v>3511</v>
      </c>
      <c r="M181" s="325"/>
    </row>
    <row r="182">
      <c r="A182" s="88" t="s">
        <v>3511</v>
      </c>
      <c r="M182" s="325"/>
    </row>
    <row r="183">
      <c r="A183" s="88" t="s">
        <v>3511</v>
      </c>
      <c r="M183" s="325"/>
    </row>
    <row r="184">
      <c r="A184" s="88" t="s">
        <v>3511</v>
      </c>
      <c r="M184" s="325"/>
    </row>
    <row r="185">
      <c r="A185" s="88" t="s">
        <v>3511</v>
      </c>
      <c r="M185" s="325"/>
    </row>
    <row r="186">
      <c r="A186" s="88" t="s">
        <v>3511</v>
      </c>
      <c r="M186" s="325"/>
    </row>
    <row r="187">
      <c r="A187" s="88" t="s">
        <v>3511</v>
      </c>
      <c r="M187" s="325"/>
    </row>
    <row r="188">
      <c r="A188" s="88" t="s">
        <v>3511</v>
      </c>
      <c r="M188" s="325"/>
    </row>
    <row r="189">
      <c r="A189" s="88" t="s">
        <v>3511</v>
      </c>
      <c r="M189" s="325"/>
    </row>
    <row r="190">
      <c r="A190" s="88" t="s">
        <v>3511</v>
      </c>
      <c r="M190" s="325"/>
    </row>
    <row r="191">
      <c r="A191" s="88" t="s">
        <v>3511</v>
      </c>
      <c r="M191" s="325"/>
    </row>
    <row r="192">
      <c r="A192" s="88" t="s">
        <v>3511</v>
      </c>
      <c r="M192" s="325"/>
    </row>
    <row r="193">
      <c r="A193" s="88" t="s">
        <v>3511</v>
      </c>
      <c r="M193" s="325"/>
    </row>
    <row r="194">
      <c r="A194" s="88" t="s">
        <v>3511</v>
      </c>
      <c r="M194" s="325"/>
    </row>
    <row r="195">
      <c r="A195" s="88" t="s">
        <v>3511</v>
      </c>
      <c r="M195" s="325"/>
    </row>
    <row r="196">
      <c r="A196" s="88" t="s">
        <v>3511</v>
      </c>
      <c r="M196" s="325"/>
    </row>
    <row r="197">
      <c r="A197" s="88" t="s">
        <v>3511</v>
      </c>
      <c r="M197" s="325"/>
    </row>
    <row r="198">
      <c r="A198" s="88" t="s">
        <v>3511</v>
      </c>
      <c r="M198" s="325"/>
    </row>
    <row r="199">
      <c r="A199" s="88" t="s">
        <v>3511</v>
      </c>
      <c r="M199" s="325"/>
    </row>
    <row r="200">
      <c r="A200" s="88" t="s">
        <v>3511</v>
      </c>
      <c r="M200" s="325"/>
    </row>
    <row r="201">
      <c r="A201" s="88" t="s">
        <v>3511</v>
      </c>
      <c r="M201" s="325"/>
    </row>
    <row r="202">
      <c r="A202" s="88" t="s">
        <v>3511</v>
      </c>
      <c r="M202" s="325"/>
    </row>
    <row r="203">
      <c r="A203" s="88" t="s">
        <v>3511</v>
      </c>
      <c r="M203" s="325"/>
    </row>
    <row r="204">
      <c r="A204" s="88" t="s">
        <v>3511</v>
      </c>
      <c r="M204" s="325"/>
    </row>
    <row r="205">
      <c r="A205" s="88" t="s">
        <v>3511</v>
      </c>
      <c r="M205" s="325"/>
    </row>
    <row r="206">
      <c r="A206" s="88" t="s">
        <v>3511</v>
      </c>
      <c r="M206" s="325"/>
    </row>
    <row r="207">
      <c r="A207" s="88" t="s">
        <v>3511</v>
      </c>
      <c r="M207" s="325"/>
    </row>
    <row r="208">
      <c r="A208" s="88" t="s">
        <v>3511</v>
      </c>
      <c r="M208" s="325"/>
    </row>
    <row r="209">
      <c r="A209" s="88" t="s">
        <v>3511</v>
      </c>
      <c r="M209" s="325"/>
    </row>
    <row r="210">
      <c r="A210" s="88" t="s">
        <v>3511</v>
      </c>
      <c r="M210" s="325"/>
    </row>
    <row r="211">
      <c r="A211" s="88" t="s">
        <v>3511</v>
      </c>
      <c r="M211" s="325"/>
    </row>
    <row r="212">
      <c r="A212" s="88" t="s">
        <v>3511</v>
      </c>
      <c r="M212" s="325"/>
    </row>
    <row r="213">
      <c r="A213" s="88" t="s">
        <v>3511</v>
      </c>
      <c r="M213" s="325"/>
    </row>
    <row r="214">
      <c r="A214" s="88" t="s">
        <v>3511</v>
      </c>
      <c r="M214" s="325"/>
    </row>
    <row r="215">
      <c r="A215" s="88" t="s">
        <v>3511</v>
      </c>
      <c r="M215" s="325"/>
    </row>
    <row r="216">
      <c r="A216" s="88" t="s">
        <v>3511</v>
      </c>
      <c r="M216" s="325"/>
    </row>
    <row r="217">
      <c r="A217" s="88" t="s">
        <v>3511</v>
      </c>
      <c r="M217" s="325"/>
    </row>
    <row r="218">
      <c r="A218" s="88" t="s">
        <v>3511</v>
      </c>
      <c r="M218" s="325"/>
    </row>
    <row r="219">
      <c r="A219" s="88" t="s">
        <v>3511</v>
      </c>
      <c r="M219" s="325"/>
    </row>
    <row r="220">
      <c r="A220" s="88" t="s">
        <v>3511</v>
      </c>
      <c r="M220" s="325"/>
    </row>
    <row r="221">
      <c r="A221" s="88" t="s">
        <v>3511</v>
      </c>
      <c r="M221" s="325"/>
    </row>
    <row r="222">
      <c r="A222" s="88" t="s">
        <v>3511</v>
      </c>
      <c r="M222" s="325"/>
    </row>
    <row r="223">
      <c r="A223" s="88" t="s">
        <v>3511</v>
      </c>
      <c r="M223" s="325"/>
    </row>
    <row r="224">
      <c r="A224" s="88" t="s">
        <v>3511</v>
      </c>
      <c r="M224" s="325"/>
    </row>
    <row r="225">
      <c r="A225" s="88" t="s">
        <v>3511</v>
      </c>
      <c r="M225" s="325"/>
    </row>
    <row r="226">
      <c r="A226" s="88" t="s">
        <v>3511</v>
      </c>
      <c r="M226" s="325"/>
    </row>
    <row r="227">
      <c r="A227" s="88" t="s">
        <v>3511</v>
      </c>
      <c r="M227" s="325"/>
    </row>
    <row r="228">
      <c r="A228" s="88" t="s">
        <v>3511</v>
      </c>
      <c r="M228" s="325"/>
    </row>
    <row r="229">
      <c r="A229" s="88" t="s">
        <v>3511</v>
      </c>
      <c r="M229" s="325"/>
    </row>
    <row r="230">
      <c r="A230" s="88" t="s">
        <v>3511</v>
      </c>
      <c r="M230" s="325"/>
    </row>
    <row r="231">
      <c r="A231" s="88" t="s">
        <v>3511</v>
      </c>
      <c r="M231" s="325"/>
    </row>
    <row r="232">
      <c r="A232" s="88" t="s">
        <v>3511</v>
      </c>
      <c r="M232" s="325"/>
    </row>
    <row r="233">
      <c r="A233" s="88" t="s">
        <v>3511</v>
      </c>
      <c r="M233" s="325"/>
    </row>
    <row r="234">
      <c r="A234" s="88" t="s">
        <v>3511</v>
      </c>
      <c r="M234" s="325"/>
    </row>
    <row r="235">
      <c r="A235" s="88" t="s">
        <v>3511</v>
      </c>
      <c r="M235" s="325"/>
    </row>
    <row r="236">
      <c r="A236" s="88" t="s">
        <v>3511</v>
      </c>
      <c r="M236" s="325"/>
    </row>
    <row r="237">
      <c r="A237" s="88" t="s">
        <v>3511</v>
      </c>
      <c r="M237" s="325"/>
    </row>
    <row r="238">
      <c r="A238" s="88" t="s">
        <v>3511</v>
      </c>
      <c r="M238" s="325"/>
    </row>
    <row r="239">
      <c r="A239" s="88" t="s">
        <v>3511</v>
      </c>
      <c r="M239" s="325"/>
    </row>
    <row r="240">
      <c r="A240" s="88" t="s">
        <v>3511</v>
      </c>
      <c r="M240" s="325"/>
    </row>
    <row r="241">
      <c r="A241" s="88" t="s">
        <v>3511</v>
      </c>
      <c r="M241" s="325"/>
    </row>
    <row r="242">
      <c r="A242" s="88" t="s">
        <v>3511</v>
      </c>
      <c r="M242" s="325"/>
    </row>
    <row r="243">
      <c r="A243" s="88" t="s">
        <v>3511</v>
      </c>
      <c r="M243" s="325"/>
    </row>
    <row r="244">
      <c r="A244" s="88" t="s">
        <v>3511</v>
      </c>
      <c r="M244" s="325"/>
    </row>
    <row r="245">
      <c r="A245" s="88" t="s">
        <v>3511</v>
      </c>
      <c r="M245" s="325"/>
    </row>
    <row r="246">
      <c r="A246" s="88" t="s">
        <v>3511</v>
      </c>
      <c r="M246" s="325"/>
    </row>
    <row r="247">
      <c r="A247" s="88" t="s">
        <v>3511</v>
      </c>
      <c r="M247" s="325"/>
    </row>
    <row r="248">
      <c r="A248" s="88" t="s">
        <v>3511</v>
      </c>
      <c r="M248" s="325"/>
    </row>
    <row r="249">
      <c r="A249" s="88" t="s">
        <v>3511</v>
      </c>
      <c r="M249" s="325"/>
    </row>
    <row r="250">
      <c r="A250" s="88" t="s">
        <v>3511</v>
      </c>
      <c r="M250" s="325"/>
    </row>
    <row r="251">
      <c r="A251" s="88" t="s">
        <v>3511</v>
      </c>
      <c r="M251" s="325"/>
    </row>
    <row r="252">
      <c r="A252" s="88" t="s">
        <v>3511</v>
      </c>
      <c r="M252" s="325"/>
    </row>
    <row r="253">
      <c r="A253" s="88" t="s">
        <v>3511</v>
      </c>
      <c r="M253" s="325"/>
    </row>
    <row r="254">
      <c r="A254" s="88" t="s">
        <v>3511</v>
      </c>
      <c r="M254" s="325"/>
    </row>
    <row r="255">
      <c r="A255" s="88" t="s">
        <v>3511</v>
      </c>
      <c r="M255" s="325"/>
    </row>
    <row r="256">
      <c r="A256" s="88" t="s">
        <v>3511</v>
      </c>
      <c r="M256" s="325"/>
    </row>
    <row r="257">
      <c r="A257" s="88" t="s">
        <v>3511</v>
      </c>
      <c r="M257" s="325"/>
    </row>
    <row r="258">
      <c r="A258" s="88" t="s">
        <v>3511</v>
      </c>
      <c r="M258" s="325"/>
    </row>
    <row r="259">
      <c r="A259" s="88" t="s">
        <v>3511</v>
      </c>
      <c r="M259" s="325"/>
    </row>
    <row r="260">
      <c r="A260" s="88" t="s">
        <v>3511</v>
      </c>
      <c r="M260" s="325"/>
    </row>
    <row r="261">
      <c r="A261" s="88" t="s">
        <v>3511</v>
      </c>
      <c r="M261" s="325"/>
    </row>
    <row r="262">
      <c r="A262" s="88" t="s">
        <v>3511</v>
      </c>
      <c r="M262" s="325"/>
    </row>
    <row r="263">
      <c r="A263" s="88" t="s">
        <v>3511</v>
      </c>
      <c r="M263" s="325"/>
    </row>
    <row r="264">
      <c r="A264" s="88" t="s">
        <v>3511</v>
      </c>
      <c r="M264" s="325"/>
    </row>
    <row r="265">
      <c r="A265" s="88" t="s">
        <v>3511</v>
      </c>
      <c r="M265" s="325"/>
    </row>
    <row r="266">
      <c r="A266" s="88" t="s">
        <v>3511</v>
      </c>
      <c r="M266" s="325"/>
    </row>
    <row r="267">
      <c r="A267" s="88" t="s">
        <v>3511</v>
      </c>
      <c r="M267" s="325"/>
    </row>
    <row r="268">
      <c r="A268" s="88" t="s">
        <v>3511</v>
      </c>
      <c r="M268" s="325"/>
    </row>
    <row r="269">
      <c r="A269" s="88" t="s">
        <v>3511</v>
      </c>
      <c r="M269" s="325"/>
    </row>
    <row r="270">
      <c r="A270" s="88" t="s">
        <v>3511</v>
      </c>
      <c r="M270" s="325"/>
    </row>
    <row r="271">
      <c r="A271" s="88" t="s">
        <v>3511</v>
      </c>
      <c r="M271" s="325"/>
    </row>
    <row r="272">
      <c r="A272" s="88" t="s">
        <v>3511</v>
      </c>
      <c r="M272" s="325"/>
    </row>
    <row r="273">
      <c r="A273" s="88" t="s">
        <v>3511</v>
      </c>
      <c r="M273" s="325"/>
    </row>
    <row r="274">
      <c r="A274" s="88" t="s">
        <v>3511</v>
      </c>
      <c r="M274" s="325"/>
    </row>
    <row r="275">
      <c r="A275" s="88" t="s">
        <v>3511</v>
      </c>
      <c r="M275" s="325"/>
    </row>
    <row r="276">
      <c r="A276" s="88" t="s">
        <v>3511</v>
      </c>
      <c r="M276" s="325"/>
    </row>
    <row r="277">
      <c r="A277" s="88" t="s">
        <v>3511</v>
      </c>
      <c r="M277" s="325"/>
    </row>
    <row r="278">
      <c r="A278" s="88" t="s">
        <v>3511</v>
      </c>
      <c r="M278" s="325"/>
    </row>
    <row r="279">
      <c r="A279" s="88" t="s">
        <v>3511</v>
      </c>
      <c r="M279" s="325"/>
    </row>
    <row r="280">
      <c r="A280" s="88" t="s">
        <v>3511</v>
      </c>
      <c r="M280" s="325"/>
    </row>
    <row r="281">
      <c r="A281" s="88" t="s">
        <v>3511</v>
      </c>
      <c r="M281" s="325"/>
    </row>
    <row r="282">
      <c r="A282" s="88" t="s">
        <v>3511</v>
      </c>
      <c r="M282" s="325"/>
    </row>
    <row r="283">
      <c r="A283" s="88" t="s">
        <v>3511</v>
      </c>
      <c r="M283" s="325"/>
    </row>
    <row r="284">
      <c r="A284" s="88" t="s">
        <v>3511</v>
      </c>
      <c r="M284" s="325"/>
    </row>
    <row r="285">
      <c r="A285" s="88" t="s">
        <v>3511</v>
      </c>
      <c r="M285" s="325"/>
    </row>
    <row r="286">
      <c r="A286" s="88" t="s">
        <v>3511</v>
      </c>
      <c r="M286" s="325"/>
    </row>
    <row r="287">
      <c r="A287" s="88" t="s">
        <v>3511</v>
      </c>
      <c r="M287" s="325"/>
    </row>
    <row r="288">
      <c r="A288" s="88" t="s">
        <v>3511</v>
      </c>
      <c r="M288" s="325"/>
    </row>
    <row r="289">
      <c r="A289" s="88" t="s">
        <v>3511</v>
      </c>
      <c r="M289" s="325"/>
    </row>
    <row r="290">
      <c r="A290" s="88" t="s">
        <v>3511</v>
      </c>
      <c r="M290" s="325"/>
    </row>
    <row r="291">
      <c r="A291" s="88" t="s">
        <v>3511</v>
      </c>
      <c r="M291" s="325"/>
    </row>
    <row r="292">
      <c r="A292" s="88" t="s">
        <v>3511</v>
      </c>
      <c r="M292" s="325"/>
    </row>
    <row r="293">
      <c r="A293" s="88" t="s">
        <v>3511</v>
      </c>
      <c r="M293" s="325"/>
    </row>
    <row r="294">
      <c r="A294" s="88" t="s">
        <v>3511</v>
      </c>
      <c r="M294" s="325"/>
    </row>
    <row r="295">
      <c r="A295" s="88" t="s">
        <v>3511</v>
      </c>
      <c r="M295" s="325"/>
    </row>
    <row r="296">
      <c r="A296" s="88" t="s">
        <v>3511</v>
      </c>
      <c r="M296" s="325"/>
    </row>
    <row r="297">
      <c r="A297" s="88" t="s">
        <v>3511</v>
      </c>
      <c r="M297" s="325"/>
    </row>
    <row r="298">
      <c r="A298" s="88" t="s">
        <v>3511</v>
      </c>
      <c r="M298" s="325"/>
    </row>
    <row r="299">
      <c r="A299" s="88" t="s">
        <v>3511</v>
      </c>
      <c r="M299" s="325"/>
    </row>
    <row r="300">
      <c r="A300" s="88" t="s">
        <v>3511</v>
      </c>
      <c r="M300" s="325"/>
    </row>
    <row r="301">
      <c r="A301" s="88" t="s">
        <v>3511</v>
      </c>
      <c r="M301" s="325"/>
    </row>
    <row r="302">
      <c r="A302" s="88" t="s">
        <v>3511</v>
      </c>
      <c r="M302" s="325"/>
    </row>
    <row r="303">
      <c r="A303" s="88" t="s">
        <v>3511</v>
      </c>
      <c r="M303" s="325"/>
    </row>
    <row r="304">
      <c r="A304" s="88" t="s">
        <v>3511</v>
      </c>
      <c r="M304" s="325"/>
    </row>
    <row r="305">
      <c r="A305" s="88" t="s">
        <v>3511</v>
      </c>
      <c r="M305" s="325"/>
    </row>
    <row r="306">
      <c r="A306" s="88" t="s">
        <v>3511</v>
      </c>
      <c r="M306" s="325"/>
    </row>
    <row r="307">
      <c r="A307" s="88" t="s">
        <v>3511</v>
      </c>
      <c r="M307" s="325"/>
    </row>
    <row r="308">
      <c r="A308" s="88" t="s">
        <v>3511</v>
      </c>
      <c r="M308" s="325"/>
    </row>
    <row r="309">
      <c r="A309" s="88" t="s">
        <v>3511</v>
      </c>
      <c r="M309" s="325"/>
    </row>
    <row r="310">
      <c r="A310" s="88" t="s">
        <v>3511</v>
      </c>
      <c r="M310" s="325"/>
    </row>
    <row r="311">
      <c r="A311" s="88" t="s">
        <v>3511</v>
      </c>
      <c r="M311" s="325"/>
    </row>
    <row r="312">
      <c r="A312" s="88" t="s">
        <v>3511</v>
      </c>
      <c r="M312" s="325"/>
    </row>
    <row r="313">
      <c r="A313" s="88" t="s">
        <v>3511</v>
      </c>
      <c r="M313" s="325"/>
    </row>
    <row r="314">
      <c r="A314" s="88" t="s">
        <v>3511</v>
      </c>
      <c r="M314" s="325"/>
    </row>
    <row r="315">
      <c r="A315" s="88" t="s">
        <v>3511</v>
      </c>
      <c r="M315" s="325"/>
    </row>
    <row r="316">
      <c r="A316" s="88" t="s">
        <v>3511</v>
      </c>
      <c r="M316" s="325"/>
    </row>
    <row r="317">
      <c r="A317" s="88" t="s">
        <v>3511</v>
      </c>
      <c r="M317" s="325"/>
    </row>
    <row r="318">
      <c r="A318" s="88" t="s">
        <v>3511</v>
      </c>
      <c r="M318" s="325"/>
    </row>
    <row r="319">
      <c r="A319" s="88" t="s">
        <v>3511</v>
      </c>
      <c r="M319" s="325"/>
    </row>
    <row r="320">
      <c r="A320" s="88" t="s">
        <v>3511</v>
      </c>
      <c r="M320" s="325"/>
    </row>
    <row r="321">
      <c r="A321" s="88" t="s">
        <v>3511</v>
      </c>
      <c r="M321" s="325"/>
    </row>
    <row r="322">
      <c r="A322" s="88" t="s">
        <v>3511</v>
      </c>
      <c r="M322" s="325"/>
    </row>
    <row r="323">
      <c r="A323" s="88" t="s">
        <v>3511</v>
      </c>
      <c r="M323" s="325"/>
    </row>
    <row r="324">
      <c r="A324" s="88" t="s">
        <v>3511</v>
      </c>
      <c r="M324" s="325"/>
    </row>
    <row r="325">
      <c r="A325" s="88" t="s">
        <v>3511</v>
      </c>
      <c r="M325" s="325"/>
    </row>
    <row r="326">
      <c r="A326" s="88" t="s">
        <v>3511</v>
      </c>
      <c r="M326" s="325"/>
    </row>
    <row r="327">
      <c r="A327" s="88" t="s">
        <v>3511</v>
      </c>
      <c r="M327" s="325"/>
    </row>
    <row r="328">
      <c r="A328" s="88" t="s">
        <v>3511</v>
      </c>
      <c r="M328" s="325"/>
    </row>
    <row r="329">
      <c r="A329" s="88" t="s">
        <v>3511</v>
      </c>
      <c r="M329" s="325"/>
    </row>
    <row r="330">
      <c r="A330" s="88" t="s">
        <v>3511</v>
      </c>
      <c r="M330" s="325"/>
    </row>
    <row r="331">
      <c r="A331" s="88" t="s">
        <v>3511</v>
      </c>
      <c r="M331" s="325"/>
    </row>
    <row r="332">
      <c r="A332" s="88" t="s">
        <v>3511</v>
      </c>
      <c r="M332" s="325"/>
    </row>
    <row r="333">
      <c r="A333" s="88" t="s">
        <v>3511</v>
      </c>
      <c r="M333" s="325"/>
    </row>
    <row r="334">
      <c r="A334" s="88" t="s">
        <v>3511</v>
      </c>
      <c r="M334" s="325"/>
    </row>
    <row r="335">
      <c r="A335" s="88" t="s">
        <v>3511</v>
      </c>
      <c r="M335" s="325"/>
    </row>
    <row r="336">
      <c r="A336" s="88" t="s">
        <v>3511</v>
      </c>
      <c r="M336" s="325"/>
    </row>
    <row r="337">
      <c r="A337" s="88" t="s">
        <v>3511</v>
      </c>
      <c r="M337" s="325"/>
    </row>
    <row r="338">
      <c r="A338" s="88" t="s">
        <v>3511</v>
      </c>
      <c r="M338" s="325"/>
    </row>
    <row r="339">
      <c r="A339" s="88" t="s">
        <v>3511</v>
      </c>
      <c r="M339" s="325"/>
    </row>
    <row r="340">
      <c r="A340" s="88" t="s">
        <v>3511</v>
      </c>
      <c r="M340" s="325"/>
    </row>
    <row r="341">
      <c r="A341" s="88" t="s">
        <v>3511</v>
      </c>
      <c r="M341" s="325"/>
    </row>
    <row r="342">
      <c r="A342" s="88" t="s">
        <v>3511</v>
      </c>
      <c r="M342" s="325"/>
    </row>
    <row r="343">
      <c r="A343" s="88" t="s">
        <v>3511</v>
      </c>
      <c r="M343" s="325"/>
    </row>
    <row r="344">
      <c r="A344" s="88" t="s">
        <v>3511</v>
      </c>
      <c r="M344" s="325"/>
    </row>
    <row r="345">
      <c r="A345" s="88" t="s">
        <v>3511</v>
      </c>
      <c r="M345" s="325"/>
    </row>
    <row r="346">
      <c r="A346" s="88" t="s">
        <v>3511</v>
      </c>
      <c r="M346" s="325"/>
    </row>
    <row r="347">
      <c r="A347" s="88" t="s">
        <v>3511</v>
      </c>
      <c r="M347" s="325"/>
    </row>
    <row r="348">
      <c r="A348" s="88" t="s">
        <v>3511</v>
      </c>
      <c r="M348" s="325"/>
    </row>
    <row r="349">
      <c r="A349" s="88" t="s">
        <v>3511</v>
      </c>
      <c r="M349" s="325"/>
    </row>
    <row r="350">
      <c r="A350" s="88" t="s">
        <v>3511</v>
      </c>
      <c r="M350" s="325"/>
    </row>
    <row r="351">
      <c r="A351" s="88" t="s">
        <v>3511</v>
      </c>
      <c r="M351" s="325"/>
    </row>
    <row r="352">
      <c r="A352" s="88" t="s">
        <v>3511</v>
      </c>
      <c r="M352" s="325"/>
    </row>
    <row r="353">
      <c r="A353" s="88" t="s">
        <v>3511</v>
      </c>
      <c r="M353" s="325"/>
    </row>
    <row r="354">
      <c r="A354" s="88" t="s">
        <v>3511</v>
      </c>
      <c r="M354" s="325"/>
    </row>
    <row r="355">
      <c r="A355" s="88" t="s">
        <v>3511</v>
      </c>
      <c r="M355" s="325"/>
    </row>
    <row r="356">
      <c r="A356" s="88" t="s">
        <v>3511</v>
      </c>
      <c r="M356" s="325"/>
    </row>
    <row r="357">
      <c r="A357" s="88" t="s">
        <v>3511</v>
      </c>
      <c r="M357" s="325"/>
    </row>
    <row r="358">
      <c r="A358" s="88" t="s">
        <v>3511</v>
      </c>
      <c r="M358" s="325"/>
    </row>
    <row r="359">
      <c r="A359" s="88" t="s">
        <v>3511</v>
      </c>
      <c r="M359" s="325"/>
    </row>
    <row r="360">
      <c r="A360" s="88" t="s">
        <v>3511</v>
      </c>
      <c r="M360" s="325"/>
    </row>
    <row r="361">
      <c r="A361" s="88" t="s">
        <v>3511</v>
      </c>
      <c r="M361" s="325"/>
    </row>
    <row r="362">
      <c r="A362" s="88" t="s">
        <v>3511</v>
      </c>
      <c r="M362" s="325"/>
    </row>
    <row r="363">
      <c r="A363" s="88" t="s">
        <v>3511</v>
      </c>
      <c r="M363" s="325"/>
    </row>
    <row r="364">
      <c r="A364" s="88" t="s">
        <v>3511</v>
      </c>
      <c r="M364" s="325"/>
    </row>
    <row r="365">
      <c r="A365" s="88" t="s">
        <v>3511</v>
      </c>
      <c r="M365" s="325"/>
    </row>
    <row r="366">
      <c r="A366" s="88" t="s">
        <v>3511</v>
      </c>
      <c r="M366" s="325"/>
    </row>
    <row r="367">
      <c r="A367" s="88" t="s">
        <v>3511</v>
      </c>
      <c r="M367" s="325"/>
    </row>
    <row r="368">
      <c r="A368" s="88" t="s">
        <v>3511</v>
      </c>
      <c r="M368" s="325"/>
    </row>
    <row r="369">
      <c r="A369" s="88" t="s">
        <v>3511</v>
      </c>
      <c r="M369" s="325"/>
    </row>
    <row r="370">
      <c r="A370" s="88" t="s">
        <v>3511</v>
      </c>
      <c r="M370" s="325"/>
    </row>
    <row r="371">
      <c r="A371" s="88" t="s">
        <v>3511</v>
      </c>
      <c r="M371" s="325"/>
    </row>
    <row r="372">
      <c r="A372" s="88" t="s">
        <v>3511</v>
      </c>
      <c r="M372" s="325"/>
    </row>
    <row r="373">
      <c r="A373" s="88" t="s">
        <v>3511</v>
      </c>
      <c r="M373" s="325"/>
    </row>
    <row r="374">
      <c r="A374" s="88" t="s">
        <v>3511</v>
      </c>
      <c r="M374" s="325"/>
    </row>
    <row r="375">
      <c r="A375" s="88" t="s">
        <v>3511</v>
      </c>
      <c r="M375" s="325"/>
    </row>
    <row r="376">
      <c r="A376" s="88" t="s">
        <v>3511</v>
      </c>
      <c r="M376" s="325"/>
    </row>
    <row r="377">
      <c r="A377" s="88" t="s">
        <v>3511</v>
      </c>
      <c r="M377" s="325"/>
    </row>
    <row r="378">
      <c r="A378" s="88" t="s">
        <v>3511</v>
      </c>
      <c r="M378" s="325"/>
    </row>
    <row r="379">
      <c r="A379" s="88" t="s">
        <v>3511</v>
      </c>
      <c r="M379" s="325"/>
    </row>
    <row r="380">
      <c r="A380" s="88" t="s">
        <v>3511</v>
      </c>
      <c r="M380" s="325"/>
    </row>
    <row r="381">
      <c r="A381" s="88" t="s">
        <v>3511</v>
      </c>
      <c r="M381" s="325"/>
    </row>
    <row r="382">
      <c r="A382" s="88" t="s">
        <v>3511</v>
      </c>
      <c r="M382" s="325"/>
    </row>
    <row r="383">
      <c r="A383" s="88" t="s">
        <v>3511</v>
      </c>
      <c r="M383" s="325"/>
    </row>
    <row r="384">
      <c r="A384" s="88" t="s">
        <v>3511</v>
      </c>
      <c r="M384" s="325"/>
    </row>
    <row r="385">
      <c r="A385" s="88" t="s">
        <v>3511</v>
      </c>
      <c r="M385" s="325"/>
    </row>
    <row r="386">
      <c r="A386" s="88" t="s">
        <v>3511</v>
      </c>
      <c r="M386" s="325"/>
    </row>
    <row r="387">
      <c r="A387" s="88" t="s">
        <v>3511</v>
      </c>
      <c r="M387" s="325"/>
    </row>
    <row r="388">
      <c r="A388" s="88" t="s">
        <v>3511</v>
      </c>
      <c r="M388" s="325"/>
    </row>
    <row r="389">
      <c r="A389" s="88" t="s">
        <v>3511</v>
      </c>
      <c r="M389" s="325"/>
    </row>
    <row r="390">
      <c r="A390" s="88" t="s">
        <v>3511</v>
      </c>
      <c r="M390" s="325"/>
    </row>
    <row r="391">
      <c r="A391" s="88" t="s">
        <v>3511</v>
      </c>
      <c r="M391" s="325"/>
    </row>
    <row r="392">
      <c r="A392" s="88" t="s">
        <v>3511</v>
      </c>
      <c r="M392" s="325"/>
    </row>
    <row r="393">
      <c r="A393" s="88" t="s">
        <v>3511</v>
      </c>
      <c r="M393" s="325"/>
    </row>
    <row r="394">
      <c r="A394" s="88" t="s">
        <v>3511</v>
      </c>
      <c r="M394" s="325"/>
    </row>
    <row r="395">
      <c r="A395" s="88" t="s">
        <v>3511</v>
      </c>
      <c r="M395" s="325"/>
    </row>
    <row r="396">
      <c r="A396" s="88" t="s">
        <v>3511</v>
      </c>
      <c r="M396" s="325"/>
    </row>
    <row r="397">
      <c r="A397" s="88" t="s">
        <v>3511</v>
      </c>
      <c r="M397" s="325"/>
    </row>
    <row r="398">
      <c r="A398" s="88" t="s">
        <v>3511</v>
      </c>
      <c r="M398" s="325"/>
    </row>
    <row r="399">
      <c r="A399" s="88" t="s">
        <v>3511</v>
      </c>
      <c r="M399" s="325"/>
    </row>
    <row r="400">
      <c r="A400" s="88" t="s">
        <v>3511</v>
      </c>
      <c r="M400" s="325"/>
    </row>
    <row r="401">
      <c r="A401" s="88" t="s">
        <v>3511</v>
      </c>
      <c r="M401" s="325"/>
    </row>
    <row r="402">
      <c r="A402" s="88" t="s">
        <v>3511</v>
      </c>
      <c r="M402" s="325"/>
    </row>
    <row r="403">
      <c r="A403" s="88" t="s">
        <v>3511</v>
      </c>
      <c r="M403" s="325"/>
    </row>
    <row r="404">
      <c r="A404" s="88" t="s">
        <v>3511</v>
      </c>
      <c r="M404" s="325"/>
    </row>
    <row r="405">
      <c r="A405" s="88" t="s">
        <v>3511</v>
      </c>
      <c r="M405" s="325"/>
    </row>
    <row r="406">
      <c r="A406" s="88" t="s">
        <v>3511</v>
      </c>
      <c r="M406" s="325"/>
    </row>
    <row r="407">
      <c r="A407" s="88" t="s">
        <v>3511</v>
      </c>
      <c r="M407" s="325"/>
    </row>
    <row r="408">
      <c r="A408" s="88" t="s">
        <v>3511</v>
      </c>
      <c r="M408" s="325"/>
    </row>
    <row r="409">
      <c r="A409" s="88" t="s">
        <v>3511</v>
      </c>
      <c r="M409" s="325"/>
    </row>
    <row r="410">
      <c r="A410" s="88" t="s">
        <v>3511</v>
      </c>
      <c r="M410" s="325"/>
    </row>
    <row r="411">
      <c r="A411" s="88" t="s">
        <v>3511</v>
      </c>
      <c r="M411" s="325"/>
    </row>
    <row r="412">
      <c r="A412" s="88" t="s">
        <v>3511</v>
      </c>
      <c r="M412" s="325"/>
    </row>
    <row r="413">
      <c r="A413" s="88" t="s">
        <v>3511</v>
      </c>
      <c r="M413" s="325"/>
    </row>
    <row r="414">
      <c r="A414" s="88" t="s">
        <v>3511</v>
      </c>
      <c r="M414" s="325"/>
    </row>
    <row r="415">
      <c r="A415" s="88" t="s">
        <v>3511</v>
      </c>
      <c r="M415" s="325"/>
    </row>
    <row r="416">
      <c r="A416" s="88" t="s">
        <v>3511</v>
      </c>
      <c r="M416" s="325"/>
    </row>
    <row r="417">
      <c r="A417" s="88" t="s">
        <v>3511</v>
      </c>
      <c r="M417" s="325"/>
    </row>
    <row r="418">
      <c r="A418" s="88" t="s">
        <v>3511</v>
      </c>
      <c r="M418" s="325"/>
    </row>
    <row r="419">
      <c r="A419" s="88" t="s">
        <v>3511</v>
      </c>
      <c r="M419" s="325"/>
    </row>
    <row r="420">
      <c r="A420" s="88" t="s">
        <v>3511</v>
      </c>
      <c r="M420" s="325"/>
    </row>
    <row r="421">
      <c r="A421" s="88" t="s">
        <v>3511</v>
      </c>
      <c r="M421" s="325"/>
    </row>
    <row r="422">
      <c r="A422" s="88" t="s">
        <v>3511</v>
      </c>
      <c r="M422" s="325"/>
    </row>
    <row r="423">
      <c r="A423" s="88" t="s">
        <v>3511</v>
      </c>
      <c r="M423" s="325"/>
    </row>
    <row r="424">
      <c r="A424" s="88" t="s">
        <v>3511</v>
      </c>
      <c r="M424" s="325"/>
    </row>
    <row r="425">
      <c r="A425" s="88" t="s">
        <v>3511</v>
      </c>
      <c r="M425" s="325"/>
    </row>
    <row r="426">
      <c r="A426" s="88" t="s">
        <v>3511</v>
      </c>
      <c r="M426" s="325"/>
    </row>
    <row r="427">
      <c r="A427" s="88" t="s">
        <v>3511</v>
      </c>
      <c r="M427" s="325"/>
    </row>
    <row r="428">
      <c r="A428" s="88" t="s">
        <v>3511</v>
      </c>
      <c r="M428" s="325"/>
    </row>
    <row r="429">
      <c r="A429" s="88" t="s">
        <v>3511</v>
      </c>
      <c r="M429" s="325"/>
    </row>
    <row r="430">
      <c r="A430" s="88" t="s">
        <v>3511</v>
      </c>
      <c r="M430" s="325"/>
    </row>
    <row r="431">
      <c r="A431" s="88" t="s">
        <v>3511</v>
      </c>
      <c r="M431" s="325"/>
    </row>
    <row r="432">
      <c r="A432" s="88" t="s">
        <v>3511</v>
      </c>
      <c r="M432" s="325"/>
    </row>
    <row r="433">
      <c r="A433" s="88" t="s">
        <v>3511</v>
      </c>
      <c r="M433" s="325"/>
    </row>
    <row r="434">
      <c r="A434" s="88" t="s">
        <v>3511</v>
      </c>
      <c r="M434" s="325"/>
    </row>
    <row r="435">
      <c r="A435" s="88" t="s">
        <v>3511</v>
      </c>
      <c r="M435" s="325"/>
    </row>
    <row r="436">
      <c r="A436" s="88" t="s">
        <v>3511</v>
      </c>
      <c r="M436" s="325"/>
    </row>
    <row r="437">
      <c r="A437" s="88" t="s">
        <v>3511</v>
      </c>
      <c r="M437" s="325"/>
    </row>
    <row r="438">
      <c r="A438" s="88" t="s">
        <v>3511</v>
      </c>
      <c r="M438" s="325"/>
    </row>
    <row r="439">
      <c r="A439" s="88" t="s">
        <v>3511</v>
      </c>
      <c r="M439" s="325"/>
    </row>
    <row r="440">
      <c r="A440" s="88" t="s">
        <v>3511</v>
      </c>
      <c r="M440" s="325"/>
    </row>
    <row r="441">
      <c r="A441" s="88" t="s">
        <v>3511</v>
      </c>
      <c r="M441" s="325"/>
    </row>
    <row r="442">
      <c r="A442" s="88" t="s">
        <v>3511</v>
      </c>
      <c r="M442" s="325"/>
    </row>
    <row r="443">
      <c r="A443" s="88" t="s">
        <v>3511</v>
      </c>
      <c r="M443" s="325"/>
    </row>
    <row r="444">
      <c r="A444" s="88" t="s">
        <v>3511</v>
      </c>
      <c r="M444" s="325"/>
    </row>
    <row r="445">
      <c r="A445" s="88" t="s">
        <v>3511</v>
      </c>
      <c r="M445" s="325"/>
    </row>
    <row r="446">
      <c r="A446" s="88" t="s">
        <v>3511</v>
      </c>
      <c r="M446" s="325"/>
    </row>
    <row r="447">
      <c r="A447" s="88" t="s">
        <v>3511</v>
      </c>
      <c r="M447" s="325"/>
    </row>
    <row r="448">
      <c r="A448" s="88" t="s">
        <v>3511</v>
      </c>
      <c r="M448" s="325"/>
    </row>
    <row r="449">
      <c r="A449" s="88" t="s">
        <v>3511</v>
      </c>
      <c r="M449" s="325"/>
    </row>
    <row r="450">
      <c r="A450" s="88" t="s">
        <v>3511</v>
      </c>
      <c r="M450" s="325"/>
    </row>
    <row r="451">
      <c r="A451" s="88" t="s">
        <v>3511</v>
      </c>
      <c r="M451" s="325"/>
    </row>
    <row r="452">
      <c r="A452" s="88" t="s">
        <v>3511</v>
      </c>
      <c r="M452" s="325"/>
    </row>
    <row r="453">
      <c r="A453" s="88" t="s">
        <v>3511</v>
      </c>
      <c r="M453" s="325"/>
    </row>
    <row r="454">
      <c r="A454" s="88" t="s">
        <v>3511</v>
      </c>
      <c r="M454" s="325"/>
    </row>
    <row r="455">
      <c r="A455" s="88" t="s">
        <v>3511</v>
      </c>
      <c r="M455" s="325"/>
    </row>
    <row r="456">
      <c r="A456" s="88" t="s">
        <v>3511</v>
      </c>
      <c r="M456" s="325"/>
    </row>
    <row r="457">
      <c r="A457" s="88" t="s">
        <v>3511</v>
      </c>
      <c r="M457" s="325"/>
    </row>
    <row r="458">
      <c r="A458" s="88" t="s">
        <v>3511</v>
      </c>
      <c r="M458" s="325"/>
    </row>
    <row r="459">
      <c r="A459" s="88" t="s">
        <v>3511</v>
      </c>
      <c r="M459" s="325"/>
    </row>
    <row r="460">
      <c r="A460" s="88" t="s">
        <v>3511</v>
      </c>
      <c r="M460" s="325"/>
    </row>
    <row r="461">
      <c r="A461" s="88" t="s">
        <v>3511</v>
      </c>
      <c r="M461" s="325"/>
    </row>
    <row r="462">
      <c r="A462" s="88" t="s">
        <v>3511</v>
      </c>
      <c r="M462" s="325"/>
    </row>
    <row r="463">
      <c r="A463" s="88" t="s">
        <v>3511</v>
      </c>
      <c r="M463" s="325"/>
    </row>
    <row r="464">
      <c r="A464" s="88" t="s">
        <v>3511</v>
      </c>
      <c r="M464" s="325"/>
    </row>
    <row r="465">
      <c r="A465" s="88" t="s">
        <v>3511</v>
      </c>
      <c r="M465" s="325"/>
    </row>
    <row r="466">
      <c r="A466" s="88" t="s">
        <v>3511</v>
      </c>
      <c r="M466" s="325"/>
    </row>
    <row r="467">
      <c r="A467" s="88" t="s">
        <v>3511</v>
      </c>
      <c r="M467" s="325"/>
    </row>
    <row r="468">
      <c r="A468" s="88" t="s">
        <v>3511</v>
      </c>
      <c r="M468" s="325"/>
    </row>
    <row r="469">
      <c r="A469" s="88" t="s">
        <v>3511</v>
      </c>
      <c r="M469" s="325"/>
    </row>
    <row r="470">
      <c r="A470" s="88" t="s">
        <v>3511</v>
      </c>
      <c r="M470" s="325"/>
    </row>
    <row r="471">
      <c r="A471" s="88" t="s">
        <v>3511</v>
      </c>
      <c r="M471" s="325"/>
    </row>
    <row r="472">
      <c r="A472" s="88" t="s">
        <v>3511</v>
      </c>
      <c r="M472" s="325"/>
    </row>
    <row r="473">
      <c r="A473" s="88" t="s">
        <v>3511</v>
      </c>
      <c r="M473" s="325"/>
    </row>
    <row r="474">
      <c r="A474" s="88" t="s">
        <v>3511</v>
      </c>
      <c r="M474" s="325"/>
    </row>
    <row r="475">
      <c r="A475" s="88" t="s">
        <v>3511</v>
      </c>
      <c r="M475" s="325"/>
    </row>
    <row r="476">
      <c r="A476" s="88" t="s">
        <v>3511</v>
      </c>
      <c r="M476" s="325"/>
    </row>
    <row r="477">
      <c r="A477" s="88" t="s">
        <v>3511</v>
      </c>
      <c r="M477" s="325"/>
    </row>
    <row r="478">
      <c r="A478" s="88" t="s">
        <v>3511</v>
      </c>
      <c r="M478" s="325"/>
    </row>
    <row r="479">
      <c r="A479" s="88" t="s">
        <v>3511</v>
      </c>
      <c r="M479" s="325"/>
    </row>
    <row r="480">
      <c r="A480" s="88" t="s">
        <v>3511</v>
      </c>
      <c r="M480" s="325"/>
    </row>
    <row r="481">
      <c r="A481" s="88" t="s">
        <v>3511</v>
      </c>
      <c r="M481" s="325"/>
    </row>
    <row r="482">
      <c r="A482" s="88" t="s">
        <v>3511</v>
      </c>
      <c r="M482" s="325"/>
    </row>
    <row r="483">
      <c r="A483" s="88" t="s">
        <v>3511</v>
      </c>
      <c r="M483" s="325"/>
    </row>
    <row r="484">
      <c r="A484" s="88" t="s">
        <v>3511</v>
      </c>
      <c r="M484" s="325"/>
    </row>
    <row r="485">
      <c r="A485" s="88" t="s">
        <v>3511</v>
      </c>
      <c r="M485" s="325"/>
    </row>
    <row r="486">
      <c r="A486" s="88" t="s">
        <v>3511</v>
      </c>
      <c r="M486" s="325"/>
    </row>
    <row r="487">
      <c r="A487" s="88" t="s">
        <v>3511</v>
      </c>
      <c r="M487" s="325"/>
    </row>
    <row r="488">
      <c r="A488" s="88" t="s">
        <v>3511</v>
      </c>
      <c r="M488" s="325"/>
    </row>
    <row r="489">
      <c r="A489" s="88" t="s">
        <v>3511</v>
      </c>
      <c r="M489" s="325"/>
    </row>
    <row r="490">
      <c r="A490" s="88" t="s">
        <v>3511</v>
      </c>
      <c r="M490" s="325"/>
    </row>
    <row r="491">
      <c r="A491" s="88" t="s">
        <v>3511</v>
      </c>
      <c r="M491" s="325"/>
    </row>
    <row r="492">
      <c r="A492" s="88" t="s">
        <v>3511</v>
      </c>
      <c r="M492" s="325"/>
    </row>
    <row r="493">
      <c r="A493" s="88" t="s">
        <v>3511</v>
      </c>
      <c r="M493" s="325"/>
    </row>
    <row r="494">
      <c r="A494" s="88" t="s">
        <v>3511</v>
      </c>
      <c r="M494" s="325"/>
    </row>
    <row r="495">
      <c r="A495" s="88" t="s">
        <v>3511</v>
      </c>
      <c r="M495" s="325"/>
    </row>
    <row r="496">
      <c r="A496" s="88" t="s">
        <v>3511</v>
      </c>
      <c r="M496" s="325"/>
    </row>
    <row r="497">
      <c r="A497" s="88" t="s">
        <v>3511</v>
      </c>
      <c r="M497" s="325"/>
    </row>
    <row r="498">
      <c r="A498" s="88" t="s">
        <v>3511</v>
      </c>
      <c r="M498" s="325"/>
    </row>
    <row r="499">
      <c r="A499" s="88" t="s">
        <v>3511</v>
      </c>
      <c r="M499" s="325"/>
    </row>
    <row r="500">
      <c r="A500" s="88" t="s">
        <v>3511</v>
      </c>
      <c r="M500" s="325"/>
    </row>
    <row r="501">
      <c r="A501" s="88" t="s">
        <v>3511</v>
      </c>
    </row>
    <row r="502">
      <c r="A502" s="88" t="s">
        <v>3511</v>
      </c>
    </row>
    <row r="503">
      <c r="A503" s="88" t="s">
        <v>3511</v>
      </c>
    </row>
    <row r="504">
      <c r="A504" s="88" t="s">
        <v>3511</v>
      </c>
    </row>
    <row r="505">
      <c r="A505" s="88" t="s">
        <v>3511</v>
      </c>
    </row>
    <row r="506">
      <c r="A506" s="88" t="s">
        <v>3511</v>
      </c>
    </row>
    <row r="507">
      <c r="A507" s="88" t="s">
        <v>3511</v>
      </c>
    </row>
    <row r="508">
      <c r="A508" s="88" t="s">
        <v>3511</v>
      </c>
    </row>
    <row r="509">
      <c r="A509" s="88" t="s">
        <v>3511</v>
      </c>
    </row>
    <row r="510">
      <c r="A510" s="88" t="s">
        <v>3511</v>
      </c>
    </row>
    <row r="511">
      <c r="A511" s="88" t="s">
        <v>3511</v>
      </c>
    </row>
    <row r="512">
      <c r="A512" s="88" t="s">
        <v>3511</v>
      </c>
    </row>
    <row r="513">
      <c r="A513" s="88" t="s">
        <v>3511</v>
      </c>
    </row>
    <row r="514">
      <c r="A514" s="88" t="s">
        <v>3511</v>
      </c>
    </row>
    <row r="515">
      <c r="A515" s="88" t="s">
        <v>3511</v>
      </c>
    </row>
    <row r="516">
      <c r="A516" s="88" t="s">
        <v>3511</v>
      </c>
    </row>
    <row r="517">
      <c r="A517" s="88" t="s">
        <v>3511</v>
      </c>
    </row>
    <row r="518">
      <c r="A518" s="88" t="s">
        <v>3511</v>
      </c>
    </row>
    <row r="519">
      <c r="A519" s="88" t="s">
        <v>3511</v>
      </c>
    </row>
    <row r="520">
      <c r="A520" s="88" t="s">
        <v>3511</v>
      </c>
    </row>
    <row r="521">
      <c r="A521" s="88" t="s">
        <v>3511</v>
      </c>
    </row>
    <row r="522">
      <c r="A522" s="88" t="s">
        <v>3511</v>
      </c>
    </row>
    <row r="523">
      <c r="A523" s="88" t="s">
        <v>3511</v>
      </c>
    </row>
    <row r="524">
      <c r="A524" s="88" t="s">
        <v>3511</v>
      </c>
    </row>
    <row r="525">
      <c r="A525" s="88" t="s">
        <v>3511</v>
      </c>
    </row>
    <row r="526">
      <c r="A526" s="88" t="s">
        <v>3511</v>
      </c>
    </row>
    <row r="527">
      <c r="A527" s="88" t="s">
        <v>3511</v>
      </c>
    </row>
    <row r="528">
      <c r="A528" s="88" t="s">
        <v>3511</v>
      </c>
    </row>
    <row r="529">
      <c r="A529" s="88" t="s">
        <v>3511</v>
      </c>
    </row>
    <row r="530">
      <c r="A530" s="88" t="s">
        <v>3511</v>
      </c>
    </row>
    <row r="531">
      <c r="A531" s="88" t="s">
        <v>3511</v>
      </c>
    </row>
    <row r="532">
      <c r="A532" s="88" t="s">
        <v>3511</v>
      </c>
    </row>
    <row r="533">
      <c r="A533" s="88" t="s">
        <v>3511</v>
      </c>
    </row>
    <row r="534">
      <c r="A534" s="88" t="s">
        <v>3511</v>
      </c>
    </row>
    <row r="535">
      <c r="A535" s="88" t="s">
        <v>3511</v>
      </c>
    </row>
    <row r="536">
      <c r="A536" s="88" t="s">
        <v>3511</v>
      </c>
    </row>
    <row r="537">
      <c r="A537" s="88" t="s">
        <v>3511</v>
      </c>
    </row>
    <row r="538">
      <c r="A538" s="88" t="s">
        <v>3511</v>
      </c>
    </row>
    <row r="539">
      <c r="A539" s="88" t="s">
        <v>3511</v>
      </c>
    </row>
    <row r="540">
      <c r="A540" s="88" t="s">
        <v>3511</v>
      </c>
    </row>
    <row r="541">
      <c r="A541" s="88" t="s">
        <v>3511</v>
      </c>
    </row>
    <row r="542">
      <c r="A542" s="88" t="s">
        <v>3511</v>
      </c>
    </row>
    <row r="543">
      <c r="A543" s="88" t="s">
        <v>3511</v>
      </c>
    </row>
    <row r="544">
      <c r="A544" s="88" t="s">
        <v>3511</v>
      </c>
    </row>
    <row r="545">
      <c r="A545" s="88" t="s">
        <v>3511</v>
      </c>
    </row>
    <row r="546">
      <c r="A546" s="88" t="s">
        <v>3511</v>
      </c>
    </row>
    <row r="547">
      <c r="A547" s="88" t="s">
        <v>3511</v>
      </c>
    </row>
    <row r="548">
      <c r="A548" s="88" t="s">
        <v>3511</v>
      </c>
    </row>
    <row r="549">
      <c r="A549" s="88" t="s">
        <v>3511</v>
      </c>
    </row>
    <row r="550">
      <c r="A550" s="88" t="s">
        <v>3511</v>
      </c>
    </row>
    <row r="551">
      <c r="A551" s="88" t="s">
        <v>3511</v>
      </c>
    </row>
    <row r="552">
      <c r="A552" s="88" t="s">
        <v>3511</v>
      </c>
    </row>
    <row r="553">
      <c r="A553" s="88" t="s">
        <v>3511</v>
      </c>
    </row>
    <row r="554">
      <c r="A554" s="88" t="s">
        <v>3511</v>
      </c>
    </row>
    <row r="555">
      <c r="A555" s="88" t="s">
        <v>3511</v>
      </c>
    </row>
    <row r="556">
      <c r="A556" s="88" t="s">
        <v>3511</v>
      </c>
    </row>
    <row r="557">
      <c r="A557" s="88" t="s">
        <v>3511</v>
      </c>
    </row>
    <row r="558">
      <c r="A558" s="88" t="s">
        <v>3511</v>
      </c>
    </row>
    <row r="559">
      <c r="A559" s="88" t="s">
        <v>3511</v>
      </c>
    </row>
    <row r="560">
      <c r="A560" s="88" t="s">
        <v>3511</v>
      </c>
    </row>
    <row r="561">
      <c r="A561" s="88" t="s">
        <v>3511</v>
      </c>
    </row>
    <row r="562">
      <c r="A562" s="88" t="s">
        <v>3511</v>
      </c>
    </row>
    <row r="563">
      <c r="A563" s="88" t="s">
        <v>3511</v>
      </c>
    </row>
    <row r="564">
      <c r="A564" s="88" t="s">
        <v>3511</v>
      </c>
    </row>
    <row r="565">
      <c r="A565" s="88" t="s">
        <v>3511</v>
      </c>
    </row>
    <row r="566">
      <c r="A566" s="88" t="s">
        <v>3511</v>
      </c>
    </row>
    <row r="567">
      <c r="A567" s="88" t="s">
        <v>3511</v>
      </c>
    </row>
    <row r="568">
      <c r="A568" s="88" t="s">
        <v>3511</v>
      </c>
    </row>
    <row r="569">
      <c r="A569" s="88" t="s">
        <v>3511</v>
      </c>
    </row>
    <row r="570">
      <c r="A570" s="88" t="s">
        <v>3511</v>
      </c>
    </row>
    <row r="571">
      <c r="A571" s="88" t="s">
        <v>3511</v>
      </c>
    </row>
    <row r="572">
      <c r="A572" s="88" t="s">
        <v>3511</v>
      </c>
    </row>
    <row r="573">
      <c r="A573" s="88" t="s">
        <v>3511</v>
      </c>
    </row>
    <row r="574">
      <c r="A574" s="88" t="s">
        <v>3511</v>
      </c>
    </row>
    <row r="575">
      <c r="A575" s="88" t="s">
        <v>3511</v>
      </c>
    </row>
    <row r="576">
      <c r="A576" s="88" t="s">
        <v>3511</v>
      </c>
    </row>
    <row r="577">
      <c r="A577" s="88" t="s">
        <v>3511</v>
      </c>
    </row>
    <row r="578">
      <c r="A578" s="88" t="s">
        <v>3511</v>
      </c>
    </row>
    <row r="579">
      <c r="A579" s="88" t="s">
        <v>3511</v>
      </c>
    </row>
    <row r="580">
      <c r="A580" s="88" t="s">
        <v>3511</v>
      </c>
    </row>
    <row r="581">
      <c r="A581" s="88" t="s">
        <v>3511</v>
      </c>
    </row>
    <row r="582">
      <c r="A582" s="88" t="s">
        <v>3511</v>
      </c>
    </row>
    <row r="583">
      <c r="A583" s="88" t="s">
        <v>3511</v>
      </c>
    </row>
    <row r="584">
      <c r="A584" s="88" t="s">
        <v>3511</v>
      </c>
    </row>
    <row r="585">
      <c r="A585" s="88" t="s">
        <v>3511</v>
      </c>
    </row>
    <row r="586">
      <c r="A586" s="88" t="s">
        <v>3511</v>
      </c>
    </row>
    <row r="587">
      <c r="A587" s="88" t="s">
        <v>3511</v>
      </c>
    </row>
    <row r="588">
      <c r="A588" s="88" t="s">
        <v>3511</v>
      </c>
    </row>
    <row r="589">
      <c r="A589" s="88" t="s">
        <v>3511</v>
      </c>
    </row>
    <row r="590">
      <c r="A590" s="88" t="s">
        <v>3511</v>
      </c>
    </row>
    <row r="591">
      <c r="A591" s="88" t="s">
        <v>3511</v>
      </c>
    </row>
    <row r="592">
      <c r="A592" s="88" t="s">
        <v>3511</v>
      </c>
    </row>
    <row r="593">
      <c r="A593" s="88" t="s">
        <v>3511</v>
      </c>
    </row>
    <row r="594">
      <c r="A594" s="88" t="s">
        <v>3511</v>
      </c>
    </row>
    <row r="595">
      <c r="A595" s="88" t="s">
        <v>3511</v>
      </c>
    </row>
    <row r="596">
      <c r="A596" s="88" t="s">
        <v>3511</v>
      </c>
    </row>
    <row r="597">
      <c r="A597" s="88" t="s">
        <v>3511</v>
      </c>
    </row>
    <row r="598">
      <c r="A598" s="88" t="s">
        <v>3511</v>
      </c>
    </row>
    <row r="599">
      <c r="A599" s="88" t="s">
        <v>3511</v>
      </c>
    </row>
    <row r="600">
      <c r="A600" s="88" t="s">
        <v>3511</v>
      </c>
    </row>
    <row r="601">
      <c r="A601" s="88" t="s">
        <v>3511</v>
      </c>
    </row>
    <row r="602">
      <c r="A602" s="88" t="s">
        <v>3511</v>
      </c>
    </row>
    <row r="603">
      <c r="A603" s="88" t="s">
        <v>3511</v>
      </c>
    </row>
    <row r="604">
      <c r="A604" s="88" t="s">
        <v>3511</v>
      </c>
    </row>
    <row r="605">
      <c r="A605" s="88" t="s">
        <v>3511</v>
      </c>
    </row>
    <row r="606">
      <c r="A606" s="88" t="s">
        <v>3511</v>
      </c>
    </row>
    <row r="607">
      <c r="A607" s="88" t="s">
        <v>3511</v>
      </c>
    </row>
    <row r="608">
      <c r="A608" s="88" t="s">
        <v>3511</v>
      </c>
    </row>
    <row r="609">
      <c r="A609" s="88" t="s">
        <v>3511</v>
      </c>
    </row>
    <row r="610">
      <c r="A610" s="88" t="s">
        <v>3511</v>
      </c>
    </row>
    <row r="611">
      <c r="A611" s="88" t="s">
        <v>3511</v>
      </c>
    </row>
    <row r="612">
      <c r="A612" s="88" t="s">
        <v>3511</v>
      </c>
    </row>
    <row r="613">
      <c r="A613" s="88" t="s">
        <v>3511</v>
      </c>
    </row>
    <row r="614">
      <c r="A614" s="88" t="s">
        <v>3511</v>
      </c>
    </row>
    <row r="615">
      <c r="A615" s="88" t="s">
        <v>3511</v>
      </c>
    </row>
    <row r="616">
      <c r="A616" s="88" t="s">
        <v>3511</v>
      </c>
    </row>
    <row r="617">
      <c r="A617" s="88" t="s">
        <v>3511</v>
      </c>
    </row>
    <row r="618">
      <c r="A618" s="88" t="s">
        <v>3511</v>
      </c>
    </row>
    <row r="619">
      <c r="A619" s="88" t="s">
        <v>3511</v>
      </c>
    </row>
    <row r="620">
      <c r="A620" s="88" t="s">
        <v>3511</v>
      </c>
    </row>
    <row r="621">
      <c r="A621" s="88" t="s">
        <v>3511</v>
      </c>
    </row>
    <row r="622">
      <c r="A622" s="88" t="s">
        <v>3511</v>
      </c>
    </row>
    <row r="623">
      <c r="A623" s="88" t="s">
        <v>3511</v>
      </c>
    </row>
    <row r="624">
      <c r="A624" s="88" t="s">
        <v>3511</v>
      </c>
    </row>
    <row r="625">
      <c r="A625" s="88" t="s">
        <v>3511</v>
      </c>
    </row>
    <row r="626">
      <c r="A626" s="88" t="s">
        <v>3511</v>
      </c>
    </row>
    <row r="627">
      <c r="A627" s="88" t="s">
        <v>3511</v>
      </c>
    </row>
    <row r="628">
      <c r="A628" s="88" t="s">
        <v>3511</v>
      </c>
    </row>
    <row r="629">
      <c r="A629" s="88" t="s">
        <v>3511</v>
      </c>
    </row>
    <row r="630">
      <c r="A630" s="88" t="s">
        <v>3511</v>
      </c>
    </row>
    <row r="631">
      <c r="A631" s="88" t="s">
        <v>3511</v>
      </c>
    </row>
    <row r="632">
      <c r="A632" s="88" t="s">
        <v>3511</v>
      </c>
    </row>
    <row r="633">
      <c r="A633" s="88" t="s">
        <v>3511</v>
      </c>
    </row>
    <row r="634">
      <c r="A634" s="88" t="s">
        <v>3511</v>
      </c>
    </row>
    <row r="635">
      <c r="A635" s="88" t="s">
        <v>3511</v>
      </c>
    </row>
    <row r="636">
      <c r="A636" s="88" t="s">
        <v>3511</v>
      </c>
    </row>
    <row r="637">
      <c r="A637" s="88" t="s">
        <v>3511</v>
      </c>
    </row>
    <row r="638">
      <c r="A638" s="88" t="s">
        <v>3511</v>
      </c>
    </row>
    <row r="639">
      <c r="A639" s="88" t="s">
        <v>3511</v>
      </c>
    </row>
    <row r="640">
      <c r="A640" s="88" t="s">
        <v>3511</v>
      </c>
    </row>
    <row r="641">
      <c r="A641" s="88" t="s">
        <v>3511</v>
      </c>
    </row>
    <row r="642">
      <c r="A642" s="88" t="s">
        <v>3511</v>
      </c>
    </row>
    <row r="643">
      <c r="A643" s="88" t="s">
        <v>3511</v>
      </c>
    </row>
    <row r="644">
      <c r="A644" s="88" t="s">
        <v>3511</v>
      </c>
    </row>
    <row r="645">
      <c r="A645" s="88" t="s">
        <v>3511</v>
      </c>
    </row>
    <row r="646">
      <c r="A646" s="88" t="s">
        <v>3511</v>
      </c>
    </row>
    <row r="647">
      <c r="A647" s="88" t="s">
        <v>3511</v>
      </c>
    </row>
    <row r="648">
      <c r="A648" s="88" t="s">
        <v>3511</v>
      </c>
    </row>
    <row r="649">
      <c r="A649" s="88" t="s">
        <v>3511</v>
      </c>
    </row>
    <row r="650">
      <c r="A650" s="88" t="s">
        <v>3511</v>
      </c>
    </row>
    <row r="651">
      <c r="A651" s="88" t="s">
        <v>3511</v>
      </c>
    </row>
    <row r="652">
      <c r="A652" s="88" t="s">
        <v>3511</v>
      </c>
    </row>
    <row r="653">
      <c r="A653" s="88" t="s">
        <v>3511</v>
      </c>
    </row>
    <row r="654">
      <c r="A654" s="88" t="s">
        <v>3511</v>
      </c>
    </row>
    <row r="655">
      <c r="A655" s="88" t="s">
        <v>3511</v>
      </c>
    </row>
    <row r="656">
      <c r="A656" s="88" t="s">
        <v>3511</v>
      </c>
    </row>
    <row r="657">
      <c r="A657" s="88" t="s">
        <v>3511</v>
      </c>
    </row>
    <row r="658">
      <c r="A658" s="88" t="s">
        <v>3511</v>
      </c>
    </row>
    <row r="659">
      <c r="A659" s="88" t="s">
        <v>3511</v>
      </c>
    </row>
    <row r="660">
      <c r="A660" s="88" t="s">
        <v>3511</v>
      </c>
    </row>
    <row r="661">
      <c r="A661" s="88" t="s">
        <v>3511</v>
      </c>
    </row>
    <row r="662">
      <c r="A662" s="88" t="s">
        <v>3511</v>
      </c>
    </row>
    <row r="663">
      <c r="A663" s="88" t="s">
        <v>3511</v>
      </c>
    </row>
    <row r="664">
      <c r="A664" s="88" t="s">
        <v>3511</v>
      </c>
    </row>
    <row r="665">
      <c r="A665" s="88" t="s">
        <v>3511</v>
      </c>
    </row>
    <row r="666">
      <c r="A666" s="88" t="s">
        <v>3511</v>
      </c>
    </row>
    <row r="667">
      <c r="A667" s="88" t="s">
        <v>3511</v>
      </c>
    </row>
    <row r="668">
      <c r="A668" s="88" t="s">
        <v>3511</v>
      </c>
    </row>
    <row r="669">
      <c r="A669" s="88" t="s">
        <v>3511</v>
      </c>
    </row>
    <row r="670">
      <c r="A670" s="88" t="s">
        <v>3511</v>
      </c>
    </row>
    <row r="671">
      <c r="A671" s="88" t="s">
        <v>3511</v>
      </c>
    </row>
    <row r="672">
      <c r="A672" s="88" t="s">
        <v>3511</v>
      </c>
    </row>
    <row r="673">
      <c r="A673" s="88" t="s">
        <v>3511</v>
      </c>
    </row>
    <row r="674">
      <c r="A674" s="88" t="s">
        <v>3511</v>
      </c>
    </row>
    <row r="675">
      <c r="A675" s="88" t="s">
        <v>3511</v>
      </c>
    </row>
    <row r="676">
      <c r="A676" s="88" t="s">
        <v>3511</v>
      </c>
    </row>
    <row r="677">
      <c r="A677" s="88" t="s">
        <v>3511</v>
      </c>
    </row>
    <row r="678">
      <c r="A678" s="88" t="s">
        <v>3511</v>
      </c>
    </row>
    <row r="679">
      <c r="A679" s="88" t="s">
        <v>3511</v>
      </c>
    </row>
    <row r="680">
      <c r="A680" s="88" t="s">
        <v>3511</v>
      </c>
    </row>
    <row r="681">
      <c r="A681" s="88" t="s">
        <v>3511</v>
      </c>
    </row>
    <row r="682">
      <c r="A682" s="88" t="s">
        <v>3511</v>
      </c>
    </row>
    <row r="683">
      <c r="A683" s="88" t="s">
        <v>3511</v>
      </c>
    </row>
    <row r="684">
      <c r="A684" s="88" t="s">
        <v>3511</v>
      </c>
    </row>
    <row r="685">
      <c r="A685" s="88" t="s">
        <v>3511</v>
      </c>
    </row>
    <row r="686">
      <c r="A686" s="88" t="s">
        <v>3511</v>
      </c>
    </row>
    <row r="687">
      <c r="A687" s="88" t="s">
        <v>3511</v>
      </c>
    </row>
    <row r="688">
      <c r="A688" s="88" t="s">
        <v>3511</v>
      </c>
    </row>
    <row r="689">
      <c r="A689" s="88" t="s">
        <v>3511</v>
      </c>
    </row>
    <row r="690">
      <c r="A690" s="88" t="s">
        <v>3511</v>
      </c>
    </row>
    <row r="691">
      <c r="A691" s="88" t="s">
        <v>3511</v>
      </c>
    </row>
    <row r="692">
      <c r="A692" s="88" t="s">
        <v>3511</v>
      </c>
    </row>
    <row r="693">
      <c r="A693" s="88" t="s">
        <v>3511</v>
      </c>
    </row>
    <row r="694">
      <c r="A694" s="88" t="s">
        <v>3511</v>
      </c>
    </row>
    <row r="695">
      <c r="A695" s="88" t="s">
        <v>3511</v>
      </c>
    </row>
    <row r="696">
      <c r="A696" s="88" t="s">
        <v>3511</v>
      </c>
    </row>
    <row r="697">
      <c r="A697" s="88" t="s">
        <v>3511</v>
      </c>
    </row>
    <row r="698">
      <c r="A698" s="88" t="s">
        <v>3511</v>
      </c>
    </row>
    <row r="699">
      <c r="A699" s="88" t="s">
        <v>3511</v>
      </c>
    </row>
    <row r="700">
      <c r="A700" s="88" t="s">
        <v>3511</v>
      </c>
    </row>
    <row r="701">
      <c r="A701" s="88" t="s">
        <v>3511</v>
      </c>
    </row>
    <row r="702">
      <c r="A702" s="88" t="s">
        <v>3511</v>
      </c>
    </row>
    <row r="703">
      <c r="A703" s="88" t="s">
        <v>3511</v>
      </c>
    </row>
    <row r="704">
      <c r="A704" s="88" t="s">
        <v>3511</v>
      </c>
    </row>
    <row r="705">
      <c r="A705" s="88" t="s">
        <v>3511</v>
      </c>
    </row>
    <row r="706">
      <c r="A706" s="88" t="s">
        <v>3511</v>
      </c>
    </row>
    <row r="707">
      <c r="A707" s="88" t="s">
        <v>3511</v>
      </c>
    </row>
    <row r="708">
      <c r="A708" s="88" t="s">
        <v>3511</v>
      </c>
    </row>
    <row r="709">
      <c r="A709" s="88" t="s">
        <v>3511</v>
      </c>
    </row>
    <row r="710">
      <c r="A710" s="88" t="s">
        <v>3511</v>
      </c>
    </row>
    <row r="711">
      <c r="A711" s="88" t="s">
        <v>3511</v>
      </c>
    </row>
    <row r="712">
      <c r="A712" s="88" t="s">
        <v>3511</v>
      </c>
    </row>
    <row r="713">
      <c r="A713" s="88" t="s">
        <v>3511</v>
      </c>
    </row>
    <row r="714">
      <c r="A714" s="88" t="s">
        <v>3511</v>
      </c>
    </row>
    <row r="715">
      <c r="A715" s="88" t="s">
        <v>3511</v>
      </c>
    </row>
    <row r="716">
      <c r="A716" s="88" t="s">
        <v>3511</v>
      </c>
    </row>
    <row r="717">
      <c r="A717" s="88" t="s">
        <v>3511</v>
      </c>
    </row>
    <row r="718">
      <c r="A718" s="88" t="s">
        <v>3511</v>
      </c>
    </row>
    <row r="719">
      <c r="A719" s="88" t="s">
        <v>3511</v>
      </c>
    </row>
    <row r="720">
      <c r="A720" s="88" t="s">
        <v>3511</v>
      </c>
    </row>
    <row r="721">
      <c r="A721" s="88" t="s">
        <v>3511</v>
      </c>
    </row>
    <row r="722">
      <c r="A722" s="88" t="s">
        <v>3511</v>
      </c>
    </row>
    <row r="723">
      <c r="A723" s="88" t="s">
        <v>3511</v>
      </c>
    </row>
    <row r="724">
      <c r="A724" s="88" t="s">
        <v>3511</v>
      </c>
    </row>
    <row r="725">
      <c r="A725" s="88" t="s">
        <v>3511</v>
      </c>
    </row>
    <row r="726">
      <c r="A726" s="88" t="s">
        <v>3511</v>
      </c>
    </row>
    <row r="727">
      <c r="A727" s="88" t="s">
        <v>3511</v>
      </c>
    </row>
    <row r="728">
      <c r="A728" s="88" t="s">
        <v>3511</v>
      </c>
    </row>
    <row r="729">
      <c r="A729" s="88" t="s">
        <v>3511</v>
      </c>
    </row>
    <row r="730">
      <c r="A730" s="88" t="s">
        <v>3511</v>
      </c>
    </row>
    <row r="731">
      <c r="A731" s="88" t="s">
        <v>3511</v>
      </c>
    </row>
    <row r="732">
      <c r="A732" s="88" t="s">
        <v>3511</v>
      </c>
    </row>
    <row r="733">
      <c r="A733" s="88" t="s">
        <v>3511</v>
      </c>
    </row>
    <row r="734">
      <c r="A734" s="88" t="s">
        <v>3511</v>
      </c>
    </row>
    <row r="735">
      <c r="A735" s="88" t="s">
        <v>3511</v>
      </c>
    </row>
    <row r="736">
      <c r="A736" s="88" t="s">
        <v>3511</v>
      </c>
    </row>
    <row r="737">
      <c r="A737" s="88" t="s">
        <v>3511</v>
      </c>
    </row>
    <row r="738">
      <c r="A738" s="88" t="s">
        <v>3511</v>
      </c>
    </row>
    <row r="739">
      <c r="A739" s="88" t="s">
        <v>3511</v>
      </c>
    </row>
    <row r="740">
      <c r="A740" s="88" t="s">
        <v>3511</v>
      </c>
    </row>
    <row r="741">
      <c r="A741" s="88" t="s">
        <v>3511</v>
      </c>
    </row>
    <row r="742">
      <c r="A742" s="88" t="s">
        <v>3511</v>
      </c>
    </row>
    <row r="743">
      <c r="A743" s="88" t="s">
        <v>3511</v>
      </c>
    </row>
    <row r="744">
      <c r="A744" s="88" t="s">
        <v>3511</v>
      </c>
    </row>
    <row r="745">
      <c r="A745" s="88" t="s">
        <v>3511</v>
      </c>
    </row>
    <row r="746">
      <c r="A746" s="88" t="s">
        <v>3511</v>
      </c>
    </row>
    <row r="747">
      <c r="A747" s="88" t="s">
        <v>3511</v>
      </c>
    </row>
    <row r="748">
      <c r="A748" s="88" t="s">
        <v>3511</v>
      </c>
    </row>
    <row r="749">
      <c r="A749" s="88" t="s">
        <v>3511</v>
      </c>
    </row>
    <row r="750">
      <c r="A750" s="88" t="s">
        <v>3511</v>
      </c>
    </row>
    <row r="751">
      <c r="A751" s="88" t="s">
        <v>3511</v>
      </c>
    </row>
    <row r="752">
      <c r="A752" s="88" t="s">
        <v>3511</v>
      </c>
    </row>
    <row r="753">
      <c r="A753" s="88" t="s">
        <v>3511</v>
      </c>
    </row>
    <row r="754">
      <c r="A754" s="88" t="s">
        <v>3511</v>
      </c>
    </row>
    <row r="755">
      <c r="A755" s="88" t="s">
        <v>3511</v>
      </c>
    </row>
    <row r="756">
      <c r="A756" s="88" t="s">
        <v>3511</v>
      </c>
    </row>
    <row r="757">
      <c r="A757" s="88" t="s">
        <v>3511</v>
      </c>
    </row>
    <row r="758">
      <c r="A758" s="88" t="s">
        <v>3511</v>
      </c>
    </row>
    <row r="759">
      <c r="A759" s="88" t="s">
        <v>3511</v>
      </c>
    </row>
    <row r="760">
      <c r="A760" s="88" t="s">
        <v>3511</v>
      </c>
    </row>
    <row r="761">
      <c r="A761" s="88" t="s">
        <v>3511</v>
      </c>
    </row>
    <row r="762">
      <c r="A762" s="88" t="s">
        <v>3511</v>
      </c>
    </row>
    <row r="763">
      <c r="A763" s="88" t="s">
        <v>3511</v>
      </c>
    </row>
    <row r="764">
      <c r="A764" s="88" t="s">
        <v>3511</v>
      </c>
    </row>
    <row r="765">
      <c r="A765" s="88" t="s">
        <v>3511</v>
      </c>
    </row>
    <row r="766">
      <c r="A766" s="88" t="s">
        <v>3511</v>
      </c>
    </row>
    <row r="767">
      <c r="A767" s="88" t="s">
        <v>3511</v>
      </c>
    </row>
    <row r="768">
      <c r="A768" s="88" t="s">
        <v>3511</v>
      </c>
    </row>
    <row r="769">
      <c r="A769" s="88" t="s">
        <v>3511</v>
      </c>
    </row>
    <row r="770">
      <c r="A770" s="88" t="s">
        <v>3511</v>
      </c>
    </row>
    <row r="771">
      <c r="A771" s="88" t="s">
        <v>3511</v>
      </c>
    </row>
    <row r="772">
      <c r="A772" s="88" t="s">
        <v>3511</v>
      </c>
    </row>
    <row r="773">
      <c r="A773" s="88" t="s">
        <v>3511</v>
      </c>
    </row>
    <row r="774">
      <c r="A774" s="88" t="s">
        <v>3511</v>
      </c>
    </row>
    <row r="775">
      <c r="A775" s="88" t="s">
        <v>3511</v>
      </c>
    </row>
    <row r="776">
      <c r="A776" s="88" t="s">
        <v>3511</v>
      </c>
    </row>
    <row r="777">
      <c r="A777" s="88" t="s">
        <v>3511</v>
      </c>
    </row>
    <row r="778">
      <c r="A778" s="88" t="s">
        <v>3511</v>
      </c>
    </row>
    <row r="779">
      <c r="A779" s="88" t="s">
        <v>3511</v>
      </c>
    </row>
    <row r="780">
      <c r="A780" s="88" t="s">
        <v>3511</v>
      </c>
    </row>
    <row r="781">
      <c r="A781" s="88" t="s">
        <v>3511</v>
      </c>
    </row>
    <row r="782">
      <c r="A782" s="88" t="s">
        <v>3511</v>
      </c>
    </row>
    <row r="783">
      <c r="A783" s="88" t="s">
        <v>3511</v>
      </c>
    </row>
    <row r="784">
      <c r="A784" s="88" t="s">
        <v>3511</v>
      </c>
    </row>
    <row r="785">
      <c r="A785" s="88" t="s">
        <v>3511</v>
      </c>
    </row>
    <row r="786">
      <c r="A786" s="88" t="s">
        <v>3511</v>
      </c>
    </row>
    <row r="787">
      <c r="A787" s="88" t="s">
        <v>3511</v>
      </c>
    </row>
    <row r="788">
      <c r="A788" s="88" t="s">
        <v>3511</v>
      </c>
    </row>
    <row r="789">
      <c r="A789" s="88" t="s">
        <v>3511</v>
      </c>
    </row>
    <row r="790">
      <c r="A790" s="88" t="s">
        <v>3511</v>
      </c>
    </row>
    <row r="791">
      <c r="A791" s="88" t="s">
        <v>3511</v>
      </c>
    </row>
    <row r="792">
      <c r="A792" s="88" t="s">
        <v>3511</v>
      </c>
    </row>
    <row r="793">
      <c r="A793" s="88" t="s">
        <v>3511</v>
      </c>
    </row>
    <row r="794">
      <c r="A794" s="88" t="s">
        <v>3511</v>
      </c>
    </row>
    <row r="795">
      <c r="A795" s="88" t="s">
        <v>3511</v>
      </c>
    </row>
    <row r="796">
      <c r="A796" s="88" t="s">
        <v>3511</v>
      </c>
    </row>
    <row r="797">
      <c r="A797" s="88" t="s">
        <v>3511</v>
      </c>
    </row>
    <row r="798">
      <c r="A798" s="88" t="s">
        <v>3511</v>
      </c>
    </row>
    <row r="799">
      <c r="A799" s="88" t="s">
        <v>3511</v>
      </c>
    </row>
    <row r="800">
      <c r="A800" s="88" t="s">
        <v>3511</v>
      </c>
    </row>
    <row r="801">
      <c r="A801" s="88" t="s">
        <v>3511</v>
      </c>
    </row>
    <row r="802">
      <c r="A802" s="88" t="s">
        <v>3511</v>
      </c>
    </row>
    <row r="803">
      <c r="A803" s="88" t="s">
        <v>3511</v>
      </c>
    </row>
    <row r="804">
      <c r="A804" s="88" t="s">
        <v>3511</v>
      </c>
    </row>
    <row r="805">
      <c r="A805" s="88" t="s">
        <v>3511</v>
      </c>
    </row>
    <row r="806">
      <c r="A806" s="88" t="s">
        <v>3511</v>
      </c>
    </row>
    <row r="807">
      <c r="A807" s="88" t="s">
        <v>3511</v>
      </c>
    </row>
    <row r="808">
      <c r="A808" s="88" t="s">
        <v>3511</v>
      </c>
    </row>
    <row r="809">
      <c r="A809" s="88" t="s">
        <v>3511</v>
      </c>
    </row>
    <row r="810">
      <c r="A810" s="88" t="s">
        <v>3511</v>
      </c>
    </row>
    <row r="811">
      <c r="A811" s="88" t="s">
        <v>3511</v>
      </c>
    </row>
    <row r="812">
      <c r="A812" s="88" t="s">
        <v>3511</v>
      </c>
    </row>
    <row r="813">
      <c r="A813" s="88" t="s">
        <v>3511</v>
      </c>
    </row>
    <row r="814">
      <c r="A814" s="88" t="s">
        <v>3511</v>
      </c>
    </row>
    <row r="815">
      <c r="A815" s="88" t="s">
        <v>3511</v>
      </c>
    </row>
    <row r="816">
      <c r="A816" s="88" t="s">
        <v>3511</v>
      </c>
    </row>
    <row r="817">
      <c r="A817" s="88" t="s">
        <v>3511</v>
      </c>
    </row>
    <row r="818">
      <c r="A818" s="88" t="s">
        <v>3511</v>
      </c>
    </row>
    <row r="819">
      <c r="A819" s="88" t="s">
        <v>3511</v>
      </c>
    </row>
    <row r="820">
      <c r="A820" s="88" t="s">
        <v>3511</v>
      </c>
    </row>
    <row r="821">
      <c r="A821" s="88" t="s">
        <v>3511</v>
      </c>
    </row>
    <row r="822">
      <c r="A822" s="88" t="s">
        <v>3511</v>
      </c>
    </row>
    <row r="823">
      <c r="A823" s="88" t="s">
        <v>3511</v>
      </c>
    </row>
    <row r="824">
      <c r="A824" s="88" t="s">
        <v>3511</v>
      </c>
    </row>
    <row r="825">
      <c r="A825" s="88" t="s">
        <v>3511</v>
      </c>
    </row>
    <row r="826">
      <c r="A826" s="88" t="s">
        <v>3511</v>
      </c>
    </row>
    <row r="827">
      <c r="A827" s="88" t="s">
        <v>3511</v>
      </c>
    </row>
    <row r="828">
      <c r="A828" s="88" t="s">
        <v>3511</v>
      </c>
    </row>
    <row r="829">
      <c r="A829" s="88" t="s">
        <v>3511</v>
      </c>
    </row>
    <row r="830">
      <c r="A830" s="88" t="s">
        <v>3511</v>
      </c>
    </row>
    <row r="831">
      <c r="A831" s="88" t="s">
        <v>3511</v>
      </c>
    </row>
    <row r="832">
      <c r="A832" s="88" t="s">
        <v>3511</v>
      </c>
    </row>
    <row r="833">
      <c r="A833" s="88" t="s">
        <v>3511</v>
      </c>
    </row>
    <row r="834">
      <c r="A834" s="88" t="s">
        <v>3511</v>
      </c>
    </row>
    <row r="835">
      <c r="A835" s="88" t="s">
        <v>3511</v>
      </c>
    </row>
    <row r="836">
      <c r="A836" s="88" t="s">
        <v>3511</v>
      </c>
    </row>
    <row r="837">
      <c r="A837" s="88" t="s">
        <v>3511</v>
      </c>
    </row>
    <row r="838">
      <c r="A838" s="88" t="s">
        <v>3511</v>
      </c>
    </row>
    <row r="839">
      <c r="A839" s="88" t="s">
        <v>3511</v>
      </c>
    </row>
    <row r="840">
      <c r="A840" s="88" t="s">
        <v>3511</v>
      </c>
    </row>
    <row r="841">
      <c r="A841" s="88" t="s">
        <v>3511</v>
      </c>
    </row>
    <row r="842">
      <c r="A842" s="88" t="s">
        <v>3511</v>
      </c>
    </row>
    <row r="843">
      <c r="A843" s="88" t="s">
        <v>3511</v>
      </c>
    </row>
    <row r="844">
      <c r="A844" s="88" t="s">
        <v>3511</v>
      </c>
    </row>
    <row r="845">
      <c r="A845" s="88" t="s">
        <v>3511</v>
      </c>
    </row>
    <row r="846">
      <c r="A846" s="88" t="s">
        <v>3511</v>
      </c>
    </row>
    <row r="847">
      <c r="A847" s="88" t="s">
        <v>3511</v>
      </c>
    </row>
    <row r="848">
      <c r="A848" s="88" t="s">
        <v>3511</v>
      </c>
    </row>
    <row r="849">
      <c r="A849" s="88" t="s">
        <v>3511</v>
      </c>
    </row>
    <row r="850">
      <c r="A850" s="88" t="s">
        <v>3511</v>
      </c>
    </row>
    <row r="851">
      <c r="A851" s="88" t="s">
        <v>3511</v>
      </c>
    </row>
    <row r="852">
      <c r="A852" s="88" t="s">
        <v>3511</v>
      </c>
    </row>
    <row r="853">
      <c r="A853" s="88" t="s">
        <v>3511</v>
      </c>
    </row>
    <row r="854">
      <c r="A854" s="88" t="s">
        <v>3511</v>
      </c>
    </row>
    <row r="855">
      <c r="A855" s="88" t="s">
        <v>3511</v>
      </c>
    </row>
    <row r="856">
      <c r="A856" s="88" t="s">
        <v>3511</v>
      </c>
    </row>
    <row r="857">
      <c r="A857" s="88" t="s">
        <v>3511</v>
      </c>
    </row>
    <row r="858">
      <c r="A858" s="88" t="s">
        <v>3511</v>
      </c>
    </row>
    <row r="859">
      <c r="A859" s="88" t="s">
        <v>3511</v>
      </c>
    </row>
    <row r="860">
      <c r="A860" s="88" t="s">
        <v>3511</v>
      </c>
    </row>
    <row r="861">
      <c r="A861" s="88" t="s">
        <v>3511</v>
      </c>
    </row>
    <row r="862">
      <c r="A862" s="88" t="s">
        <v>3511</v>
      </c>
    </row>
    <row r="863">
      <c r="A863" s="88" t="s">
        <v>3511</v>
      </c>
    </row>
    <row r="864">
      <c r="A864" s="88" t="s">
        <v>3511</v>
      </c>
    </row>
    <row r="865">
      <c r="A865" s="88" t="s">
        <v>3511</v>
      </c>
    </row>
    <row r="866">
      <c r="A866" s="88" t="s">
        <v>3511</v>
      </c>
    </row>
    <row r="867">
      <c r="A867" s="88" t="s">
        <v>3511</v>
      </c>
    </row>
    <row r="868">
      <c r="A868" s="88" t="s">
        <v>3511</v>
      </c>
    </row>
    <row r="869">
      <c r="A869" s="88" t="s">
        <v>3511</v>
      </c>
    </row>
    <row r="870">
      <c r="A870" s="88" t="s">
        <v>3511</v>
      </c>
    </row>
    <row r="871">
      <c r="A871" s="88" t="s">
        <v>3511</v>
      </c>
    </row>
    <row r="872">
      <c r="A872" s="88" t="s">
        <v>3511</v>
      </c>
    </row>
    <row r="873">
      <c r="A873" s="88" t="s">
        <v>3511</v>
      </c>
    </row>
    <row r="874">
      <c r="A874" s="88" t="s">
        <v>3511</v>
      </c>
    </row>
    <row r="875">
      <c r="A875" s="88" t="s">
        <v>3511</v>
      </c>
    </row>
    <row r="876">
      <c r="A876" s="88" t="s">
        <v>3511</v>
      </c>
    </row>
    <row r="877">
      <c r="A877" s="88" t="s">
        <v>3511</v>
      </c>
    </row>
    <row r="878">
      <c r="A878" s="88" t="s">
        <v>3511</v>
      </c>
    </row>
    <row r="879">
      <c r="A879" s="88" t="s">
        <v>3511</v>
      </c>
    </row>
    <row r="880">
      <c r="A880" s="88" t="s">
        <v>3511</v>
      </c>
    </row>
    <row r="881">
      <c r="A881" s="88" t="s">
        <v>3511</v>
      </c>
    </row>
    <row r="882">
      <c r="A882" s="88" t="s">
        <v>3511</v>
      </c>
    </row>
    <row r="883">
      <c r="A883" s="88" t="s">
        <v>3511</v>
      </c>
    </row>
    <row r="884">
      <c r="A884" s="88" t="s">
        <v>3511</v>
      </c>
    </row>
    <row r="885">
      <c r="A885" s="88" t="s">
        <v>3511</v>
      </c>
    </row>
    <row r="886">
      <c r="A886" s="88" t="s">
        <v>3511</v>
      </c>
    </row>
    <row r="887">
      <c r="A887" s="88" t="s">
        <v>3511</v>
      </c>
    </row>
    <row r="888">
      <c r="A888" s="88" t="s">
        <v>3511</v>
      </c>
    </row>
    <row r="889">
      <c r="A889" s="88" t="s">
        <v>3511</v>
      </c>
    </row>
    <row r="890">
      <c r="A890" s="88" t="s">
        <v>3511</v>
      </c>
    </row>
    <row r="891">
      <c r="A891" s="88" t="s">
        <v>3511</v>
      </c>
    </row>
    <row r="892">
      <c r="A892" s="88" t="s">
        <v>3511</v>
      </c>
    </row>
    <row r="893">
      <c r="A893" s="88" t="s">
        <v>3511</v>
      </c>
    </row>
    <row r="894">
      <c r="A894" s="88" t="s">
        <v>3511</v>
      </c>
    </row>
    <row r="895">
      <c r="A895" s="88" t="s">
        <v>3511</v>
      </c>
    </row>
    <row r="896">
      <c r="A896" s="88" t="s">
        <v>3511</v>
      </c>
    </row>
    <row r="897">
      <c r="A897" s="88" t="s">
        <v>3511</v>
      </c>
    </row>
    <row r="898">
      <c r="A898" s="88" t="s">
        <v>3511</v>
      </c>
    </row>
    <row r="899">
      <c r="A899" s="88" t="s">
        <v>3511</v>
      </c>
    </row>
    <row r="900">
      <c r="A900" s="88" t="s">
        <v>3511</v>
      </c>
    </row>
    <row r="901">
      <c r="A901" s="88" t="s">
        <v>3511</v>
      </c>
    </row>
    <row r="902">
      <c r="A902" s="88" t="s">
        <v>3511</v>
      </c>
    </row>
    <row r="903">
      <c r="A903" s="88" t="s">
        <v>3511</v>
      </c>
    </row>
    <row r="904">
      <c r="A904" s="88" t="s">
        <v>3511</v>
      </c>
    </row>
    <row r="905">
      <c r="A905" s="88" t="s">
        <v>3511</v>
      </c>
    </row>
    <row r="906">
      <c r="A906" s="88" t="s">
        <v>3511</v>
      </c>
    </row>
    <row r="907">
      <c r="A907" s="88" t="s">
        <v>3511</v>
      </c>
    </row>
    <row r="908">
      <c r="A908" s="88" t="s">
        <v>3511</v>
      </c>
    </row>
    <row r="909">
      <c r="A909" s="88" t="s">
        <v>3511</v>
      </c>
    </row>
    <row r="910">
      <c r="A910" s="88" t="s">
        <v>3511</v>
      </c>
    </row>
    <row r="911">
      <c r="A911" s="88" t="s">
        <v>3511</v>
      </c>
    </row>
    <row r="912">
      <c r="A912" s="88" t="s">
        <v>3511</v>
      </c>
    </row>
    <row r="913">
      <c r="A913" s="88" t="s">
        <v>3511</v>
      </c>
    </row>
    <row r="914">
      <c r="A914" s="88" t="s">
        <v>3511</v>
      </c>
    </row>
    <row r="915">
      <c r="A915" s="88" t="s">
        <v>3511</v>
      </c>
    </row>
    <row r="916">
      <c r="A916" s="88" t="s">
        <v>3511</v>
      </c>
    </row>
    <row r="917">
      <c r="A917" s="88" t="s">
        <v>3511</v>
      </c>
    </row>
    <row r="918">
      <c r="A918" s="88" t="s">
        <v>3511</v>
      </c>
    </row>
    <row r="919">
      <c r="A919" s="88" t="s">
        <v>3511</v>
      </c>
    </row>
    <row r="920">
      <c r="A920" s="88" t="s">
        <v>3511</v>
      </c>
    </row>
    <row r="921">
      <c r="A921" s="88" t="s">
        <v>3511</v>
      </c>
    </row>
    <row r="922">
      <c r="A922" s="88" t="s">
        <v>3511</v>
      </c>
    </row>
    <row r="923">
      <c r="A923" s="88" t="s">
        <v>3511</v>
      </c>
    </row>
    <row r="924">
      <c r="A924" s="88" t="s">
        <v>3511</v>
      </c>
    </row>
    <row r="925">
      <c r="A925" s="88" t="s">
        <v>3511</v>
      </c>
    </row>
    <row r="926">
      <c r="A926" s="88" t="s">
        <v>3511</v>
      </c>
    </row>
    <row r="927">
      <c r="A927" s="88" t="s">
        <v>3511</v>
      </c>
    </row>
    <row r="928">
      <c r="A928" s="88" t="s">
        <v>3511</v>
      </c>
    </row>
    <row r="929">
      <c r="A929" s="88" t="s">
        <v>3511</v>
      </c>
    </row>
    <row r="930">
      <c r="A930" s="88" t="s">
        <v>3511</v>
      </c>
    </row>
    <row r="931">
      <c r="A931" s="88" t="s">
        <v>3511</v>
      </c>
    </row>
    <row r="932">
      <c r="A932" s="88" t="s">
        <v>3511</v>
      </c>
    </row>
    <row r="933">
      <c r="A933" s="88" t="s">
        <v>3511</v>
      </c>
    </row>
    <row r="934">
      <c r="A934" s="88" t="s">
        <v>3511</v>
      </c>
    </row>
    <row r="935">
      <c r="A935" s="88" t="s">
        <v>3511</v>
      </c>
    </row>
    <row r="936">
      <c r="A936" s="88" t="s">
        <v>3511</v>
      </c>
    </row>
    <row r="937">
      <c r="A937" s="88" t="s">
        <v>3511</v>
      </c>
    </row>
    <row r="938">
      <c r="A938" s="88" t="s">
        <v>3511</v>
      </c>
    </row>
    <row r="939">
      <c r="A939" s="88" t="s">
        <v>3511</v>
      </c>
    </row>
    <row r="940">
      <c r="A940" s="88" t="s">
        <v>3511</v>
      </c>
    </row>
    <row r="941">
      <c r="A941" s="88" t="s">
        <v>3511</v>
      </c>
    </row>
    <row r="942">
      <c r="A942" s="88" t="s">
        <v>3511</v>
      </c>
    </row>
    <row r="943">
      <c r="A943" s="88" t="s">
        <v>3511</v>
      </c>
    </row>
    <row r="944">
      <c r="A944" s="88" t="s">
        <v>3511</v>
      </c>
    </row>
    <row r="945">
      <c r="A945" s="88" t="s">
        <v>3511</v>
      </c>
    </row>
    <row r="946">
      <c r="A946" s="88" t="s">
        <v>3511</v>
      </c>
    </row>
    <row r="947">
      <c r="A947" s="88" t="s">
        <v>3511</v>
      </c>
    </row>
    <row r="948">
      <c r="A948" s="88" t="s">
        <v>3511</v>
      </c>
    </row>
    <row r="949">
      <c r="A949" s="88" t="s">
        <v>3511</v>
      </c>
    </row>
    <row r="950">
      <c r="A950" s="88" t="s">
        <v>3511</v>
      </c>
    </row>
    <row r="951">
      <c r="A951" s="88" t="s">
        <v>3511</v>
      </c>
    </row>
    <row r="952">
      <c r="A952" s="88" t="s">
        <v>3511</v>
      </c>
    </row>
    <row r="953">
      <c r="A953" s="88" t="s">
        <v>3511</v>
      </c>
    </row>
    <row r="954">
      <c r="A954" s="88" t="s">
        <v>3511</v>
      </c>
    </row>
    <row r="955">
      <c r="A955" s="88" t="s">
        <v>3511</v>
      </c>
    </row>
    <row r="956">
      <c r="A956" s="88" t="s">
        <v>3511</v>
      </c>
    </row>
    <row r="957">
      <c r="A957" s="88" t="s">
        <v>3511</v>
      </c>
    </row>
    <row r="958">
      <c r="A958" s="88" t="s">
        <v>3511</v>
      </c>
    </row>
    <row r="959">
      <c r="A959" s="88" t="s">
        <v>3511</v>
      </c>
    </row>
    <row r="960">
      <c r="A960" s="88" t="s">
        <v>3511</v>
      </c>
    </row>
    <row r="961">
      <c r="A961" s="88" t="s">
        <v>3511</v>
      </c>
    </row>
    <row r="962">
      <c r="A962" s="88" t="s">
        <v>3511</v>
      </c>
    </row>
    <row r="963">
      <c r="A963" s="88" t="s">
        <v>3511</v>
      </c>
    </row>
    <row r="964">
      <c r="A964" s="88" t="s">
        <v>3511</v>
      </c>
    </row>
    <row r="965">
      <c r="A965" s="88" t="s">
        <v>3511</v>
      </c>
    </row>
    <row r="966">
      <c r="A966" s="88" t="s">
        <v>3511</v>
      </c>
    </row>
    <row r="967">
      <c r="A967" s="88" t="s">
        <v>3511</v>
      </c>
    </row>
    <row r="968">
      <c r="A968" s="88" t="s">
        <v>3511</v>
      </c>
    </row>
    <row r="969">
      <c r="A969" s="88" t="s">
        <v>3511</v>
      </c>
    </row>
    <row r="970">
      <c r="A970" s="88" t="s">
        <v>3511</v>
      </c>
    </row>
    <row r="971">
      <c r="A971" s="88" t="s">
        <v>3511</v>
      </c>
    </row>
    <row r="972">
      <c r="A972" s="88" t="s">
        <v>3511</v>
      </c>
    </row>
    <row r="973">
      <c r="A973" s="88" t="s">
        <v>3511</v>
      </c>
    </row>
    <row r="974">
      <c r="A974" s="88" t="s">
        <v>3511</v>
      </c>
    </row>
    <row r="975">
      <c r="A975" s="88" t="s">
        <v>3511</v>
      </c>
    </row>
    <row r="976">
      <c r="A976" s="88" t="s">
        <v>3511</v>
      </c>
    </row>
    <row r="977">
      <c r="A977" s="88" t="s">
        <v>3511</v>
      </c>
    </row>
    <row r="978">
      <c r="A978" s="88" t="s">
        <v>3511</v>
      </c>
    </row>
    <row r="979">
      <c r="A979" s="88" t="s">
        <v>3511</v>
      </c>
    </row>
    <row r="980">
      <c r="A980" s="88" t="s">
        <v>3511</v>
      </c>
    </row>
    <row r="981">
      <c r="A981" s="88" t="s">
        <v>3511</v>
      </c>
    </row>
    <row r="982">
      <c r="A982" s="88" t="s">
        <v>3511</v>
      </c>
    </row>
    <row r="983">
      <c r="A983" s="88" t="s">
        <v>3511</v>
      </c>
    </row>
    <row r="984">
      <c r="A984" s="88" t="s">
        <v>3511</v>
      </c>
    </row>
    <row r="985">
      <c r="A985" s="88" t="s">
        <v>3511</v>
      </c>
    </row>
    <row r="986">
      <c r="A986" s="88" t="s">
        <v>3511</v>
      </c>
    </row>
    <row r="987">
      <c r="A987" s="88" t="s">
        <v>3511</v>
      </c>
    </row>
    <row r="988">
      <c r="A988" s="88" t="s">
        <v>3511</v>
      </c>
    </row>
    <row r="989">
      <c r="A989" s="88" t="s">
        <v>3511</v>
      </c>
    </row>
    <row r="990">
      <c r="A990" s="88" t="s">
        <v>3511</v>
      </c>
    </row>
    <row r="991">
      <c r="A991" s="88" t="s">
        <v>3511</v>
      </c>
    </row>
    <row r="992">
      <c r="A992" s="88" t="s">
        <v>3511</v>
      </c>
    </row>
    <row r="993">
      <c r="A993" s="88" t="s">
        <v>3511</v>
      </c>
    </row>
    <row r="994">
      <c r="A994" s="88" t="s">
        <v>3511</v>
      </c>
    </row>
    <row r="995">
      <c r="A995" s="88" t="s">
        <v>3511</v>
      </c>
    </row>
    <row r="996">
      <c r="A996" s="88" t="s">
        <v>3511</v>
      </c>
    </row>
    <row r="997">
      <c r="A997" s="88" t="s">
        <v>3511</v>
      </c>
    </row>
    <row r="998">
      <c r="A998" s="88" t="s">
        <v>3511</v>
      </c>
    </row>
    <row r="999">
      <c r="A999" s="88" t="s">
        <v>3511</v>
      </c>
    </row>
    <row r="1000">
      <c r="A1000" s="88" t="s">
        <v>3511</v>
      </c>
    </row>
  </sheetData>
  <mergeCells count="2">
    <mergeCell ref="B1:L1"/>
    <mergeCell ref="B2:L2"/>
  </mergeCells>
  <conditionalFormatting sqref="M5:M500">
    <cfRule type="containsBlanks" dxfId="13" priority="1" stopIfTrue="1">
      <formula>LEN(TRIM(M5))=0</formula>
    </cfRule>
  </conditionalFormatting>
  <dataValidations>
    <dataValidation type="list" allowBlank="1" showErrorMessage="1" sqref="M5:M500">
      <formula1>"미확인,확인완료"</formula1>
    </dataValidation>
  </dataValidations>
  <hyperlinks>
    <hyperlink r:id="rId1" ref="G7"/>
    <hyperlink r:id="rId2" ref="G8"/>
    <hyperlink r:id="rId3" ref="G13"/>
    <hyperlink r:id="rId4" ref="G14"/>
    <hyperlink r:id="rId5" ref="G17"/>
    <hyperlink r:id="rId6" ref="G28"/>
    <hyperlink r:id="rId7" location="course-view-186298" ref="G29"/>
    <hyperlink r:id="rId8" ref="G33"/>
    <hyperlink r:id="rId9" ref="H52"/>
    <hyperlink r:id="rId10" ref="G60"/>
    <hyperlink r:id="rId11" ref="G61"/>
    <hyperlink r:id="rId12" ref="G63"/>
  </hyperlinks>
  <drawing r:id="rId1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346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5"/>
    <col customWidth="1" min="13" max="13" width="12.63"/>
  </cols>
  <sheetData>
    <row r="1" ht="24.0" customHeight="1">
      <c r="A1" s="752"/>
      <c r="B1" s="743" t="s">
        <v>4831</v>
      </c>
    </row>
    <row r="2" ht="21.0" customHeight="1">
      <c r="A2" s="753"/>
      <c r="B2" s="744" t="s">
        <v>4813</v>
      </c>
    </row>
    <row r="3">
      <c r="A3" s="88"/>
      <c r="M3" s="19" t="s">
        <v>4828</v>
      </c>
    </row>
    <row r="4">
      <c r="A4" s="756" t="s">
        <v>4814</v>
      </c>
      <c r="B4" s="325" t="str">
        <f>IFERROR(__xludf.DUMMYFUNCTION("IMPORTRANGE(""https://docs.google.com/spreadsheets/d/19m1C2PY54NfCtmTD_IrNVnSO4rJmnY2EIfp-okulMgI"",""설문지 응답 시트1!A:K"")"),"타임스탬프")</f>
        <v>타임스탬프</v>
      </c>
      <c r="C4" s="325" t="str">
        <f>IFERROR(__xludf.DUMMYFUNCTION("""COMPUTED_VALUE"""),"성함을 기입해주세요")</f>
        <v>성함을 기입해주세요</v>
      </c>
      <c r="D4" s="325" t="str">
        <f>IFERROR(__xludf.DUMMYFUNCTION("""COMPUTED_VALUE"""),"활동명 및 닉네임을 기입해주세요")</f>
        <v>활동명 및 닉네임을 기입해주세요</v>
      </c>
      <c r="E4" s="325" t="str">
        <f>IFERROR(__xludf.DUMMYFUNCTION("""COMPUTED_VALUE"""),"연락처를 적어주세요")</f>
        <v>연락처를 적어주세요</v>
      </c>
      <c r="F4" s="325" t="str">
        <f>IFERROR(__xludf.DUMMYFUNCTION("""COMPUTED_VALUE"""),"다른 사이트 혹은 강의를 진행하신 경험이 있으신가요?")</f>
        <v>다른 사이트 혹은 강의를 진행하신 경험이 있으신가요?</v>
      </c>
      <c r="G4" s="325" t="str">
        <f>IFERROR(__xludf.DUMMYFUNCTION("""COMPUTED_VALUE"""),"강의하고 싶은 주제를 구체적으로 작성해주세요. 
예시
1. 구매대행과 AI를 활용한 수익화 방법
2. 부동산 경매를 통해 돈을 버는 방법")</f>
        <v>강의하고 싶은 주제를 구체적으로 작성해주세요. 
예시
1. 구매대행과 AI를 활용한 수익화 방법
2. 부동산 경매를 통해 돈을 버는 방법</v>
      </c>
      <c r="H4" s="325" t="str">
        <f>IFERROR(__xludf.DUMMYFUNCTION("""COMPUTED_VALUE"""),"머니업클래스 강사로 지원하신 동기 및 계기는 무엇인가요? 본인의 장점과 함께 자유롭게 작성해주세요. ")</f>
        <v>머니업클래스 강사로 지원하신 동기 및 계기는 무엇인가요? 본인의 장점과 함께 자유롭게 작성해주세요. </v>
      </c>
      <c r="I4" s="325" t="str">
        <f>IFERROR(__xludf.DUMMYFUNCTION("""COMPUTED_VALUE"""),"경력과 어떤 성과를 만드셨는지 수치적으로 작성해주세요*
예시
1. 쿠팡을 통해 연매출 20억 달성
2. 부동산 경매로 순자산 30억 ")</f>
        <v>경력과 어떤 성과를 만드셨는지 수치적으로 작성해주세요*
예시
1. 쿠팡을 통해 연매출 20억 달성
2. 부동산 경매로 순자산 30억 </v>
      </c>
      <c r="J4" s="325" t="str">
        <f>IFERROR(__xludf.DUMMYFUNCTION("""COMPUTED_VALUE"""),"해당 분야에서 수강생의 성과를 만든 경험이 있다면 적어주세요.
1. 수강생이 부업으로 시작해 월 3천만 원 매출 달성
2. 부동산 경매를 알려줘 시세보다 1천만 원 싸게 구입")</f>
        <v>해당 분야에서 수강생의 성과를 만든 경험이 있다면 적어주세요.
1. 수강생이 부업으로 시작해 월 3천만 원 매출 달성
2. 부동산 경매를 알려줘 시세보다 1천만 원 싸게 구입</v>
      </c>
      <c r="K4" s="325" t="str">
        <f>IFERROR(__xludf.DUMMYFUNCTION("""COMPUTED_VALUE"""),"해당 주제를 통해 수강생이 무엇을 얻을 수 있는지 구체적으로 작성해주세요.
예시
1. 쿠팡 부업을 통해 50만원 정도의 순이익
2. 경매를 통해, 시세보다 저렴하게 부동산 구입")</f>
        <v>해당 주제를 통해 수강생이 무엇을 얻을 수 있는지 구체적으로 작성해주세요.
예시
1. 쿠팡 부업을 통해 50만원 정도의 순이익
2. 경매를 통해, 시세보다 저렴하게 부동산 구입</v>
      </c>
      <c r="L4" s="325" t="str">
        <f>IFERROR(__xludf.DUMMYFUNCTION("""COMPUTED_VALUE"""),"개인 SNS 채널 링크를 남겨주세요.
※ 유튜브, 인스타그램, 블로그, 카페")</f>
        <v>개인 SNS 채널 링크를 남겨주세요.
※ 유튜브, 인스타그램, 블로그, 카페</v>
      </c>
      <c r="M4" s="325"/>
    </row>
    <row r="5">
      <c r="A5" s="88">
        <f t="array" ref="A5:A1000">IF(B5:B1000&lt;&gt;"", ROW(B5:B1000)-4, "")</f>
        <v>1</v>
      </c>
      <c r="B5" s="754">
        <f>IFERROR(__xludf.DUMMYFUNCTION("""COMPUTED_VALUE"""),45877.64501039352)</f>
        <v>45877.64501</v>
      </c>
      <c r="C5" s="325" t="str">
        <f>IFERROR(__xludf.DUMMYFUNCTION("""COMPUTED_VALUE"""),"김중근")</f>
        <v>김중근</v>
      </c>
      <c r="D5" s="325" t="str">
        <f>IFERROR(__xludf.DUMMYFUNCTION("""COMPUTED_VALUE"""),"김중근소장 (쌤)")</f>
        <v>김중근소장 (쌤)</v>
      </c>
      <c r="E5" s="325" t="str">
        <f>IFERROR(__xludf.DUMMYFUNCTION("""COMPUTED_VALUE"""),"01064706635")</f>
        <v>01064706635</v>
      </c>
      <c r="F5"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G5" s="325" t="str">
        <f>IFERROR(__xludf.DUMMYFUNCTION("""COMPUTED_VALUE"""),"부동산경매로 돈버는방법")</f>
        <v>부동산경매로 돈버는방법</v>
      </c>
      <c r="H5" s="325" t="str">
        <f>IFERROR(__xludf.DUMMYFUNCTION("""COMPUTED_VALUE"""),"같이 성장")</f>
        <v>같이 성장</v>
      </c>
      <c r="I5" s="325" t="str">
        <f>IFERROR(__xludf.DUMMYFUNCTION("""COMPUTED_VALUE"""),"부동산경매로 순자산10억")</f>
        <v>부동산경매로 순자산10억</v>
      </c>
      <c r="J5" s="325" t="str">
        <f>IFERROR(__xludf.DUMMYFUNCTION("""COMPUTED_VALUE"""),"수강생 7~8천 차익
투자2억 차익")</f>
        <v>수강생 7~8천 차익
투자2억 차익</v>
      </c>
      <c r="K5" s="325" t="str">
        <f>IFERROR(__xludf.DUMMYFUNCTION("""COMPUTED_VALUE"""),"경매를 통해 시세보다 저렴하게 구입")</f>
        <v>경매를 통해 시세보다 저렴하게 구입</v>
      </c>
      <c r="L5" s="325" t="str">
        <f>IFERROR(__xludf.DUMMYFUNCTION("""COMPUTED_VALUE"""),"유튜브: 노블경매. 블로그 jjangkjkok2")</f>
        <v>유튜브: 노블경매. 블로그 jjangkjkok2</v>
      </c>
      <c r="M5" s="681" t="s">
        <v>29</v>
      </c>
    </row>
    <row r="6">
      <c r="A6" s="88">
        <v>2.0</v>
      </c>
      <c r="B6" s="754">
        <f>IFERROR(__xludf.DUMMYFUNCTION("""COMPUTED_VALUE"""),45896.92431195602)</f>
        <v>45896.92431</v>
      </c>
      <c r="C6" s="325" t="str">
        <f>IFERROR(__xludf.DUMMYFUNCTION("""COMPUTED_VALUE"""),"김민규")</f>
        <v>김민규</v>
      </c>
      <c r="D6" s="325" t="str">
        <f>IFERROR(__xludf.DUMMYFUNCTION("""COMPUTED_VALUE"""),"세원")</f>
        <v>세원</v>
      </c>
      <c r="E6" s="325" t="str">
        <f>IFERROR(__xludf.DUMMYFUNCTION("""COMPUTED_VALUE"""),"01021914895")</f>
        <v>01021914895</v>
      </c>
      <c r="F6" s="325" t="str">
        <f>IFERROR(__xludf.DUMMYFUNCTION("""COMPUTED_VALUE"""),"없음")</f>
        <v>없음</v>
      </c>
      <c r="G6" s="325" t="str">
        <f>IFERROR(__xludf.DUMMYFUNCTION("""COMPUTED_VALUE"""),"에어비앤비 부업 수익화")</f>
        <v>에어비앤비 부업 수익화</v>
      </c>
      <c r="H6" s="325" t="str">
        <f>IFERROR(__xludf.DUMMYFUNCTION("""COMPUTED_VALUE"""),"개인 브랜딩과 추가수익")</f>
        <v>개인 브랜딩과 추가수익</v>
      </c>
      <c r="I6" s="325" t="str">
        <f>IFERROR(__xludf.DUMMYFUNCTION("""COMPUTED_VALUE"""),"에어비앤비로 1년만에 월 1200매출 950수익")</f>
        <v>에어비앤비로 1년만에 월 1200매출 950수익</v>
      </c>
      <c r="J6" s="325" t="str">
        <f>IFERROR(__xludf.DUMMYFUNCTION("""COMPUTED_VALUE"""),"컨설팅 인원 3달만에 제로에서 2천만원 엑싯")</f>
        <v>컨설팅 인원 3달만에 제로에서 2천만원 엑싯</v>
      </c>
      <c r="K6" s="325" t="str">
        <f>IFERROR(__xludf.DUMMYFUNCTION("""COMPUTED_VALUE"""),"최소 월200자동화 세팅, 수강생 월500목표")</f>
        <v>최소 월200자동화 세팅, 수강생 월500목표</v>
      </c>
      <c r="L6" s="325" t="str">
        <f>IFERROR(__xludf.DUMMYFUNCTION("""COMPUTED_VALUE"""),"만들었으나 부실 곧 활성화예정")</f>
        <v>만들었으나 부실 곧 활성화예정</v>
      </c>
      <c r="M6" s="681" t="s">
        <v>29</v>
      </c>
    </row>
    <row r="7">
      <c r="A7" s="88">
        <v>3.0</v>
      </c>
      <c r="B7" s="754">
        <f>IFERROR(__xludf.DUMMYFUNCTION("""COMPUTED_VALUE"""),45902.58108474537)</f>
        <v>45902.58108</v>
      </c>
      <c r="C7" s="325" t="str">
        <f>IFERROR(__xludf.DUMMYFUNCTION("""COMPUTED_VALUE"""),"박지현")</f>
        <v>박지현</v>
      </c>
      <c r="D7" s="325" t="str">
        <f>IFERROR(__xludf.DUMMYFUNCTION("""COMPUTED_VALUE"""),"실행임당")</f>
        <v>실행임당</v>
      </c>
      <c r="E7" s="325" t="str">
        <f>IFERROR(__xludf.DUMMYFUNCTION("""COMPUTED_VALUE"""),"01038750902")</f>
        <v>01038750902</v>
      </c>
      <c r="F7"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G7" s="325" t="str">
        <f>IFERROR(__xludf.DUMMYFUNCTION("""COMPUTED_VALUE"""),"서울 소액 재개발(빌라) 투자 ")</f>
        <v>서울 소액 재개발(빌라) 투자 </v>
      </c>
      <c r="H7" s="325" t="str">
        <f>IFERROR(__xludf.DUMMYFUNCTION("""COMPUTED_VALUE"""),"피터팬에서 강사로 활동중 입니다 ~! 
서울 소액 재개발 투자에 대해 쉽게 알려드리고 있습니다. 
https://peterpanclass.liveklass.com/classes/262498 (피터팬공지) ")</f>
        <v>피터팬에서 강사로 활동중 입니다 ~! 
서울 소액 재개발 투자에 대해 쉽게 알려드리고 있습니다. 
https://peterpanclass.liveklass.com/classes/262498 (피터팬공지) </v>
      </c>
      <c r="I7" s="325" t="str">
        <f>IFERROR(__xludf.DUMMYFUNCTION("""COMPUTED_VALUE"""),"3년간 재개발 빌라투자 30채 , 현재 보유 재개발 빌라 6채 , 실투자금 1채당 2000만원 이하로 소액투자를 해서 단기매매를 하기도 하고 재개발 입주권을 받을수 있는 중장기 투자를 하기도 합니다.")</f>
        <v>3년간 재개발 빌라투자 30채 , 현재 보유 재개발 빌라 6채 , 실투자금 1채당 2000만원 이하로 소액투자를 해서 단기매매를 하기도 하고 재개발 입주권을 받을수 있는 중장기 투자를 하기도 합니다.</v>
      </c>
      <c r="J7" s="325" t="str">
        <f>IFERROR(__xludf.DUMMYFUNCTION("""COMPUTED_VALUE"""),"누적수강생 200명
매수연결 수강생 50명이상 
1년이내 단기매매 
실투자금 2000만원 매도 -&gt; 순수익 7000만원이상
실투금 1000만원 이하 다수 
2억6천매수 -&gt; 현재 5억5천 이상 ")</f>
        <v>누적수강생 200명
매수연결 수강생 50명이상 
1년이내 단기매매 
실투자금 2000만원 매도 -&gt; 순수익 7000만원이상
실투금 1000만원 이하 다수 
2억6천매수 -&gt; 현재 5억5천 이상 </v>
      </c>
      <c r="K7" s="325" t="str">
        <f>IFERROR(__xludf.DUMMYFUNCTION("""COMPUTED_VALUE"""),"서울에서 소액 으로 투자할수 있는 방법을 배우게 됩니다.
소액 으로 단기매매를 해서 수익화하는 방법을 배우게 됩니다. ")</f>
        <v>서울에서 소액 으로 투자할수 있는 방법을 배우게 됩니다.
소액 으로 단기매매를 해서 수익화하는 방법을 배우게 됩니다. </v>
      </c>
      <c r="L7" s="325" t="str">
        <f>IFERROR(__xludf.DUMMYFUNCTION("""COMPUTED_VALUE"""),"https://www.notion.so/1-22eb86282f3c8044b609e1ac448edd31(노션요약) , https://blog.naver.com/vanessa1020 (블로그) , 수강생전용카페운영")</f>
        <v>https://www.notion.so/1-22eb86282f3c8044b609e1ac448edd31(노션요약) , https://blog.naver.com/vanessa1020 (블로그) , 수강생전용카페운영</v>
      </c>
      <c r="M7" s="681" t="s">
        <v>29</v>
      </c>
    </row>
    <row r="8">
      <c r="A8" s="88">
        <v>4.0</v>
      </c>
      <c r="B8" s="754">
        <f>IFERROR(__xludf.DUMMYFUNCTION("""COMPUTED_VALUE"""),45906.97021407407)</f>
        <v>45906.97021</v>
      </c>
      <c r="C8" s="325" t="str">
        <f>IFERROR(__xludf.DUMMYFUNCTION("""COMPUTED_VALUE"""),"김중근")</f>
        <v>김중근</v>
      </c>
      <c r="D8" s="325" t="str">
        <f>IFERROR(__xludf.DUMMYFUNCTION("""COMPUTED_VALUE"""),"노블썜, 김중근소장")</f>
        <v>노블썜, 김중근소장</v>
      </c>
      <c r="E8" s="325" t="str">
        <f>IFERROR(__xludf.DUMMYFUNCTION("""COMPUTED_VALUE"""),"010-6470-6635")</f>
        <v>010-6470-6635</v>
      </c>
      <c r="F8"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G8" s="325" t="str">
        <f>IFERROR(__xludf.DUMMYFUNCTION("""COMPUTED_VALUE"""),"부동산 경매를 통해 돈을 버는 방법")</f>
        <v>부동산 경매를 통해 돈을 버는 방법</v>
      </c>
      <c r="H8" s="325" t="str">
        <f>IFERROR(__xludf.DUMMYFUNCTION("""COMPUTED_VALUE"""),"수강생 수익보는 모습에 희열감, 부동산12년차, 부동산중개10년차, 부동산경매12년차, 경매취하,분양대행, NPL 투자함")</f>
        <v>수강생 수익보는 모습에 희열감, 부동산12년차, 부동산중개10년차, 부동산경매12년차, 경매취하,분양대행, NPL 투자함</v>
      </c>
      <c r="I8" s="325" t="str">
        <f>IFERROR(__xludf.DUMMYFUNCTION("""COMPUTED_VALUE"""),"부동산 경매로 순자산 10억 ")</f>
        <v>부동산 경매로 순자산 10억 </v>
      </c>
      <c r="J8" s="325" t="str">
        <f>IFERROR(__xludf.DUMMYFUNCTION("""COMPUTED_VALUE"""),"부동산 경매를 알려줘 실거주 8천만원 차익 싸게 구입")</f>
        <v>부동산 경매를 알려줘 실거주 8천만원 차익 싸게 구입</v>
      </c>
      <c r="K8" s="325" t="str">
        <f>IFERROR(__xludf.DUMMYFUNCTION("""COMPUTED_VALUE""")," 경매를 통해, 시세보다 저렴하게 부동산 구입")</f>
        <v> 경매를 통해, 시세보다 저렴하게 부동산 구입</v>
      </c>
      <c r="L8" s="325" t="str">
        <f>IFERROR(__xludf.DUMMYFUNCTION("""COMPUTED_VALUE"""),"https://blog.naver.com/jjangkjkok2,  https://www.youtube.com/@akirarealty")</f>
        <v>https://blog.naver.com/jjangkjkok2,  https://www.youtube.com/@akirarealty</v>
      </c>
      <c r="M8" s="681" t="s">
        <v>29</v>
      </c>
    </row>
    <row r="9">
      <c r="A9" s="88">
        <v>5.0</v>
      </c>
      <c r="B9" s="754">
        <f>IFERROR(__xludf.DUMMYFUNCTION("""COMPUTED_VALUE"""),45911.688110682866)</f>
        <v>45911.68811</v>
      </c>
      <c r="C9" s="325" t="str">
        <f>IFERROR(__xludf.DUMMYFUNCTION("""COMPUTED_VALUE"""),"민지웅")</f>
        <v>민지웅</v>
      </c>
      <c r="D9" s="325" t="str">
        <f>IFERROR(__xludf.DUMMYFUNCTION("""COMPUTED_VALUE"""),"유캔몰")</f>
        <v>유캔몰</v>
      </c>
      <c r="E9" s="325" t="str">
        <f>IFERROR(__xludf.DUMMYFUNCTION("""COMPUTED_VALUE"""),"01093487163")</f>
        <v>01093487163</v>
      </c>
      <c r="F9" s="325" t="str">
        <f>IFERROR(__xludf.DUMMYFUNCTION("""COMPUTED_VALUE"""),"없음")</f>
        <v>없음</v>
      </c>
      <c r="G9" s="325" t="str">
        <f>IFERROR(__xludf.DUMMYFUNCTION("""COMPUTED_VALUE"""),"중국구매대행과 패션전문으로 돈버는방법")</f>
        <v>중국구매대행과 패션전문으로 돈버는방법</v>
      </c>
      <c r="H9" s="325" t="str">
        <f>IFERROR(__xludf.DUMMYFUNCTION("""COMPUTED_VALUE"""),"일년안되서 억대매출 전국 5위찍고 모든플랫폼에서 상위권 그리고 중국도매 대표이기도 하구요 얼마전에 휴먼스토리 촬영도 했네요")</f>
        <v>일년안되서 억대매출 전국 5위찍고 모든플랫폼에서 상위권 그리고 중국도매 대표이기도 하구요 얼마전에 휴먼스토리 촬영도 했네요</v>
      </c>
      <c r="I9" s="325" t="str">
        <f>IFERROR(__xludf.DUMMYFUNCTION("""COMPUTED_VALUE"""),"여러플랫폼 월3억매출 수강생 10억매출달성 ")</f>
        <v>여러플랫폼 월3억매출 수강생 10억매출달성 </v>
      </c>
      <c r="J9" s="325" t="str">
        <f>IFERROR(__xludf.DUMMYFUNCTION("""COMPUTED_VALUE"""),"10억매출 상반기만 달성")</f>
        <v>10억매출 상반기만 달성</v>
      </c>
      <c r="K9" s="325" t="str">
        <f>IFERROR(__xludf.DUMMYFUNCTION("""COMPUTED_VALUE"""),"모든플랫폼에 패션전문쪽 팔리는 로직과 꿀팁 그리고 제가 중국도매 대표가 소싱가격부터 넘사입니다")</f>
        <v>모든플랫폼에 패션전문쪽 팔리는 로직과 꿀팁 그리고 제가 중국도매 대표가 소싱가격부터 넘사입니다</v>
      </c>
      <c r="L9" s="755" t="str">
        <f>IFERROR(__xludf.DUMMYFUNCTION("""COMPUTED_VALUE"""),"https://www.tiktok.com/@youcanmall__?lang=ko-KR")</f>
        <v>https://www.tiktok.com/@youcanmall__?lang=ko-KR</v>
      </c>
      <c r="M9" s="681" t="s">
        <v>29</v>
      </c>
    </row>
    <row r="10">
      <c r="A10" s="88">
        <v>6.0</v>
      </c>
      <c r="B10" s="754">
        <f>IFERROR(__xludf.DUMMYFUNCTION("""COMPUTED_VALUE"""),45914.76964756944)</f>
        <v>45914.76965</v>
      </c>
      <c r="C10" s="325" t="str">
        <f>IFERROR(__xludf.DUMMYFUNCTION("""COMPUTED_VALUE"""),"회원탈퇴 가능하게 열어두세요")</f>
        <v>회원탈퇴 가능하게 열어두세요</v>
      </c>
      <c r="D10" s="325" t="str">
        <f>IFERROR(__xludf.DUMMYFUNCTION("""COMPUTED_VALUE"""),"일주일 내에도 고쳐지지 않을 경우 신고하겠습니다")</f>
        <v>일주일 내에도 고쳐지지 않을 경우 신고하겠습니다</v>
      </c>
      <c r="E10" s="325" t="str">
        <f>IFERROR(__xludf.DUMMYFUNCTION("""COMPUTED_VALUE"""),".")</f>
        <v>.</v>
      </c>
      <c r="F10" s="325" t="str">
        <f>IFERROR(__xludf.DUMMYFUNCTION("""COMPUTED_VALUE"""),"없음")</f>
        <v>없음</v>
      </c>
      <c r="G10" s="325" t="str">
        <f>IFERROR(__xludf.DUMMYFUNCTION("""COMPUTED_VALUE"""),".")</f>
        <v>.</v>
      </c>
      <c r="H10" s="325" t="str">
        <f>IFERROR(__xludf.DUMMYFUNCTION("""COMPUTED_VALUE"""),".")</f>
        <v>.</v>
      </c>
      <c r="I10" s="325" t="str">
        <f>IFERROR(__xludf.DUMMYFUNCTION("""COMPUTED_VALUE"""),".")</f>
        <v>.</v>
      </c>
      <c r="J10" s="325" t="str">
        <f>IFERROR(__xludf.DUMMYFUNCTION("""COMPUTED_VALUE"""),".")</f>
        <v>.</v>
      </c>
      <c r="K10" s="325" t="str">
        <f>IFERROR(__xludf.DUMMYFUNCTION("""COMPUTED_VALUE"""),".")</f>
        <v>.</v>
      </c>
      <c r="L10" s="325" t="str">
        <f>IFERROR(__xludf.DUMMYFUNCTION("""COMPUTED_VALUE"""),".")</f>
        <v>.</v>
      </c>
      <c r="M10" s="681" t="s">
        <v>29</v>
      </c>
    </row>
    <row r="11">
      <c r="A11" s="88">
        <v>7.0</v>
      </c>
      <c r="B11" s="754">
        <f>IFERROR(__xludf.DUMMYFUNCTION("""COMPUTED_VALUE"""),45916.804724270834)</f>
        <v>45916.80472</v>
      </c>
      <c r="C11" s="325" t="str">
        <f>IFERROR(__xludf.DUMMYFUNCTION("""COMPUTED_VALUE"""),"김태수")</f>
        <v>김태수</v>
      </c>
      <c r="D11" s="325" t="str">
        <f>IFERROR(__xludf.DUMMYFUNCTION("""COMPUTED_VALUE"""),"사주도령")</f>
        <v>사주도령</v>
      </c>
      <c r="E11" s="325" t="str">
        <f>IFERROR(__xludf.DUMMYFUNCTION("""COMPUTED_VALUE"""),"01088404877")</f>
        <v>01088404877</v>
      </c>
      <c r="F11" s="325" t="str">
        <f>IFERROR(__xludf.DUMMYFUNCTION("""COMPUTED_VALUE"""),"없음")</f>
        <v>없음</v>
      </c>
      <c r="G11" s="325" t="str">
        <f>IFERROR(__xludf.DUMMYFUNCTION("""COMPUTED_VALUE"""),"AI를 이용한 사주풀이 + SNS 성장방법
SNS활성화를 통해 홍보+ AI를 이용한사주풀이로
인터넷만 있다면 바로바로 수익화 가능
매출이 곧 순이익")</f>
        <v>AI를 이용한 사주풀이 + SNS 성장방법
SNS활성화를 통해 홍보+ AI를 이용한사주풀이로
인터넷만 있다면 바로바로 수익화 가능
매출이 곧 순이익</v>
      </c>
      <c r="H11" s="325" t="str">
        <f>IFERROR(__xludf.DUMMYFUNCTION("""COMPUTED_VALUE"""),"안녕하세요!
먼저 저는 사람 만나는것을 좋아하는 성격으로 이전에도 쇼핑몰을 운영하면서 수많은 강의를 듣고 그속에서 인사이트를 얻는것을 좋아했습니다 그러면서 강의를 듣는사람이아닌 강의를 하는사람이 되어보고싶다는 생각도 종종했었지만 사람들에게 도움이 될만한 인사이트가 없었기에 도전하지 못했습니다
하지만 AI로 사주를 볼 수 있다라는것을 찾게되었고, SNS성장부터 2억이라는 순이익 수익화까지 직접 하나하나 다 해보고 시행착오를 겪으면서 그속에서 얻은것들이 "&amp;"참 많았고 누군가에게 배운것이아닌 내가 직접 알아내고 실험하고 결과로 도출시켰던 내용들을 남들에게도 알려주면 좋을것같다 라는 생각이 들어 지원하게 되었습니다.")</f>
        <v>안녕하세요!
먼저 저는 사람 만나는것을 좋아하는 성격으로 이전에도 쇼핑몰을 운영하면서 수많은 강의를 듣고 그속에서 인사이트를 얻는것을 좋아했습니다 그러면서 강의를 듣는사람이아닌 강의를 하는사람이 되어보고싶다는 생각도 종종했었지만 사람들에게 도움이 될만한 인사이트가 없었기에 도전하지 못했습니다
하지만 AI로 사주를 볼 수 있다라는것을 찾게되었고, SNS성장부터 2억이라는 순이익 수익화까지 직접 하나하나 다 해보고 시행착오를 겪으면서 그속에서 얻은것들이 참 많았고 누군가에게 배운것이아닌 내가 직접 알아내고 실험하고 결과로 도출시켰던 내용들을 남들에게도 알려주면 좋을것같다 라는 생각이 들어 지원하게 되었습니다.</v>
      </c>
      <c r="I11" s="325" t="str">
        <f>IFERROR(__xludf.DUMMYFUNCTION("""COMPUTED_VALUE"""),"6개월 순이익 2억
3개월 인스타 팔로워 2.3만명,스레드 1.8만명")</f>
        <v>6개월 순이익 2억
3개월 인스타 팔로워 2.3만명,스레드 1.8만명</v>
      </c>
      <c r="J11" s="325" t="str">
        <f>IFERROR(__xludf.DUMMYFUNCTION("""COMPUTED_VALUE"""),"현재는 없지만 다마고치 수강생을 통해서 만들예정입니다.")</f>
        <v>현재는 없지만 다마고치 수강생을 통해서 만들예정입니다.</v>
      </c>
      <c r="K11" s="325" t="str">
        <f>IFERROR(__xludf.DUMMYFUNCTION("""COMPUTED_VALUE"""),"1.직접 만든 반자동화 AI프로그램을 제공해드립니다!
(매일 수작업으로하던 작업을 프로그램 하나로 끝냈습니다)
2.SNS활용법(다른 파이프라인 활용가능)
SNS를 직접 키워보면서 얻은 확실한 방법들을 알려드립니다!  
3.월300만원이상 순수익 가능합니다
저 또한 비수기인 현재도 월 1천만원이상 순이익을 꾸준히 내는중입니다")</f>
        <v>1.직접 만든 반자동화 AI프로그램을 제공해드립니다!
(매일 수작업으로하던 작업을 프로그램 하나로 끝냈습니다)
2.SNS활용법(다른 파이프라인 활용가능)
SNS를 직접 키워보면서 얻은 확실한 방법들을 알려드립니다!  
3.월300만원이상 순수익 가능합니다
저 또한 비수기인 현재도 월 1천만원이상 순이익을 꾸준히 내는중입니다</v>
      </c>
      <c r="L11" s="755" t="str">
        <f>IFERROR(__xludf.DUMMYFUNCTION("""COMPUTED_VALUE"""),"https://www.instagram.com/bachelor.saju")</f>
        <v>https://www.instagram.com/bachelor.saju</v>
      </c>
      <c r="M11" s="681" t="s">
        <v>29</v>
      </c>
    </row>
    <row r="12">
      <c r="A12" s="88">
        <v>8.0</v>
      </c>
      <c r="B12" s="754">
        <f>IFERROR(__xludf.DUMMYFUNCTION("""COMPUTED_VALUE"""),45923.06148809028)</f>
        <v>45923.06149</v>
      </c>
      <c r="C12" s="325" t="str">
        <f>IFERROR(__xludf.DUMMYFUNCTION("""COMPUTED_VALUE"""),"추은혜")</f>
        <v>추은혜</v>
      </c>
      <c r="D12" s="325" t="str">
        <f>IFERROR(__xludf.DUMMYFUNCTION("""COMPUTED_VALUE"""),"로레니")</f>
        <v>로레니</v>
      </c>
      <c r="E12" s="325" t="str">
        <f>IFERROR(__xludf.DUMMYFUNCTION("""COMPUTED_VALUE"""),"010-9249-7124")</f>
        <v>010-9249-7124</v>
      </c>
      <c r="F12" s="325" t="str">
        <f>IFERROR(__xludf.DUMMYFUNCTION("""COMPUTED_VALUE"""),"없음")</f>
        <v>없음</v>
      </c>
      <c r="G12" s="325" t="str">
        <f>IFERROR(__xludf.DUMMYFUNCTION("""COMPUTED_VALUE"""),"보도자료 쓰기 및 축사쓰기 카드뉴스")</f>
        <v>보도자료 쓰기 및 축사쓰기 카드뉴스</v>
      </c>
      <c r="H12" s="325" t="str">
        <f>IFERROR(__xludf.DUMMYFUNCTION("""COMPUTED_VALUE"""),"디지털홍보컨텐츠 및 소통업무를 주로했고 아이디어기획력 좋고 보도자료 잘쓴다는평가 카드뉴스제작총괄 다수")</f>
        <v>디지털홍보컨텐츠 및 소통업무를 주로했고 아이디어기획력 좋고 보도자료 잘쓴다는평가 카드뉴스제작총괄 다수</v>
      </c>
      <c r="I12" s="325" t="str">
        <f>IFERROR(__xludf.DUMMYFUNCTION("""COMPUTED_VALUE"""),"보도자료 조회수 6000회이상 한컷 및 카드뉴스 100건이상 제작 카피라이팅 및 축사 작성 디자인 다수")</f>
        <v>보도자료 조회수 6000회이상 한컷 및 카드뉴스 100건이상 제작 카피라이팅 및 축사 작성 디자인 다수</v>
      </c>
      <c r="J12" s="325" t="str">
        <f>IFERROR(__xludf.DUMMYFUNCTION("""COMPUTED_VALUE"""),"팜플렛 기획제작 국내외1500부이상배포 보도자료조회수 6000회이상 홍보컨텐츠 총괄 및 로고 배너포스터등 디자인다수")</f>
        <v>팜플렛 기획제작 국내외1500부이상배포 보도자료조회수 6000회이상 홍보컨텐츠 총괄 및 로고 배너포스터등 디자인다수</v>
      </c>
      <c r="K12" s="325" t="str">
        <f>IFERROR(__xludf.DUMMYFUNCTION("""COMPUTED_VALUE"""),"카드뉴스 제작기획 보도자료 작성 축사작성")</f>
        <v>카드뉴스 제작기획 보도자료 작성 축사작성</v>
      </c>
      <c r="L12" s="325" t="str">
        <f>IFERROR(__xludf.DUMMYFUNCTION("""COMPUTED_VALUE"""),"없음")</f>
        <v>없음</v>
      </c>
      <c r="M12" s="681" t="s">
        <v>29</v>
      </c>
    </row>
    <row r="13">
      <c r="A13" s="88">
        <v>9.0</v>
      </c>
      <c r="B13" s="754">
        <f>IFERROR(__xludf.DUMMYFUNCTION("""COMPUTED_VALUE"""),45931.01173979166)</f>
        <v>45931.01174</v>
      </c>
      <c r="C13" s="325" t="str">
        <f>IFERROR(__xludf.DUMMYFUNCTION("""COMPUTED_VALUE"""),"박상수 ")</f>
        <v>박상수 </v>
      </c>
      <c r="D13" s="325" t="str">
        <f>IFERROR(__xludf.DUMMYFUNCTION("""COMPUTED_VALUE"""),"밀양 ")</f>
        <v>밀양 </v>
      </c>
      <c r="E13" s="325" t="str">
        <f>IFERROR(__xludf.DUMMYFUNCTION("""COMPUTED_VALUE"""),"01093532698")</f>
        <v>01093532698</v>
      </c>
      <c r="F13" s="325" t="str">
        <f>IFERROR(__xludf.DUMMYFUNCTION("""COMPUTED_VALUE"""),"없음")</f>
        <v>없음</v>
      </c>
      <c r="G13" s="325" t="str">
        <f>IFERROR(__xludf.DUMMYFUNCTION("""COMPUTED_VALUE"""),"없음 ")</f>
        <v>없음 </v>
      </c>
      <c r="H13" s="325" t="str">
        <f>IFERROR(__xludf.DUMMYFUNCTION("""COMPUTED_VALUE"""),"나이 있서 조금더 학습후 도전 할꺼야 ")</f>
        <v>나이 있서 조금더 학습후 도전 할꺼야 </v>
      </c>
      <c r="I13" s="325" t="str">
        <f>IFERROR(__xludf.DUMMYFUNCTION("""COMPUTED_VALUE"""),"없음 ")</f>
        <v>없음 </v>
      </c>
      <c r="J13" s="325" t="str">
        <f>IFERROR(__xludf.DUMMYFUNCTION("""COMPUTED_VALUE"""),"없음 ")</f>
        <v>없음 </v>
      </c>
      <c r="K13" s="325" t="str">
        <f>IFERROR(__xludf.DUMMYFUNCTION("""COMPUTED_VALUE"""),"나도 할수있다는 자부심")</f>
        <v>나도 할수있다는 자부심</v>
      </c>
      <c r="L13" s="325" t="str">
        <f>IFERROR(__xludf.DUMMYFUNCTION("""COMPUTED_VALUE"""),"블로그 ")</f>
        <v>블로그 </v>
      </c>
      <c r="M13" s="681" t="s">
        <v>29</v>
      </c>
    </row>
    <row r="14">
      <c r="A14" s="88">
        <v>10.0</v>
      </c>
      <c r="B14" s="754">
        <f>IFERROR(__xludf.DUMMYFUNCTION("""COMPUTED_VALUE"""),45951.611745532406)</f>
        <v>45951.61175</v>
      </c>
      <c r="C14" s="325" t="str">
        <f>IFERROR(__xludf.DUMMYFUNCTION("""COMPUTED_VALUE"""),"복인기")</f>
        <v>복인기</v>
      </c>
      <c r="D14" s="325" t="str">
        <f>IFERROR(__xludf.DUMMYFUNCTION("""COMPUTED_VALUE"""),"복솔루")</f>
        <v>복솔루</v>
      </c>
      <c r="E14" s="325" t="str">
        <f>IFERROR(__xludf.DUMMYFUNCTION("""COMPUTED_VALUE"""),"01051218767")</f>
        <v>01051218767</v>
      </c>
      <c r="F14"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G14" s="325" t="str">
        <f>IFERROR(__xludf.DUMMYFUNCTION("""COMPUTED_VALUE"""),"""계륵같은 네이버시장, 당신만 손해보고 있습니다""")</f>
        <v>"계륵같은 네이버시장, 당신만 손해보고 있습니다"</v>
      </c>
      <c r="H14" s="325" t="str">
        <f>IFERROR(__xludf.DUMMYFUNCTION("""COMPUTED_VALUE"""),"제이름 세글자 걸고 네이버 유튜브 구글 인스타 시장을 넓혀서 많은 분들께 좋은 정보와 레퍼런스 공유를 드리고 싶습니다. ")</f>
        <v>제이름 세글자 걸고 네이버 유튜브 구글 인스타 시장을 넓혀서 많은 분들께 좋은 정보와 레퍼런스 공유를 드리고 싶습니다. </v>
      </c>
      <c r="I14" s="325" t="str">
        <f>IFERROR(__xludf.DUMMYFUNCTION("""COMPUTED_VALUE"""),"1. 혼자서 네이버광고 월 40억 광고비 사용
2. 1인 혼자서 광고비 45억 사용 레퍼런스 무료 공유!")</f>
        <v>1. 혼자서 네이버광고 월 40억 광고비 사용
2. 1인 혼자서 광고비 45억 사용 레퍼런스 무료 공유!</v>
      </c>
      <c r="J14" s="325" t="str">
        <f>IFERROR(__xludf.DUMMYFUNCTION("""COMPUTED_VALUE"""),"1. 수강생이 네이버 광고 아무것도 몰랐는데 올바르게 광고 세팅진행
2. 광고대행사 없이 광고 세팅 가능
3. 식당운영중인대표님 구글 해외로 타게팅 매출 상승")</f>
        <v>1. 수강생이 네이버 광고 아무것도 몰랐는데 올바르게 광고 세팅진행
2. 광고대행사 없이 광고 세팅 가능
3. 식당운영중인대표님 구글 해외로 타게팅 매출 상승</v>
      </c>
      <c r="K14" s="325" t="str">
        <f>IFERROR(__xludf.DUMMYFUNCTION("""COMPUTED_VALUE"""),"1. 네이버 광고비 더 이상 낭비하지마세요
2. 광고대행사에서도 안알려주는 비밀
")</f>
        <v>1. 네이버 광고비 더 이상 낭비하지마세요
2. 광고대행사에서도 안알려주는 비밀
</v>
      </c>
      <c r="L14" s="755" t="str">
        <f>IFERROR(__xludf.DUMMYFUNCTION("""COMPUTED_VALUE"""),"https://www.550.kr/boksolution")</f>
        <v>https://www.550.kr/boksolution</v>
      </c>
      <c r="M14" s="681" t="s">
        <v>29</v>
      </c>
    </row>
    <row r="15">
      <c r="A15" s="88">
        <v>11.0</v>
      </c>
      <c r="B15" s="754">
        <f>IFERROR(__xludf.DUMMYFUNCTION("""COMPUTED_VALUE"""),45953.35679445602)</f>
        <v>45953.35679</v>
      </c>
      <c r="C15" s="325" t="str">
        <f>IFERROR(__xludf.DUMMYFUNCTION("""COMPUTED_VALUE"""),"황연수")</f>
        <v>황연수</v>
      </c>
      <c r="D15" s="325" t="str">
        <f>IFERROR(__xludf.DUMMYFUNCTION("""COMPUTED_VALUE"""),"크리포스")</f>
        <v>크리포스</v>
      </c>
      <c r="E15" s="325" t="str">
        <f>IFERROR(__xludf.DUMMYFUNCTION("""COMPUTED_VALUE"""),"01092986192")</f>
        <v>01092986192</v>
      </c>
      <c r="F15" s="325" t="str">
        <f>IFERROR(__xludf.DUMMYFUNCTION("""COMPUTED_VALUE"""),"없음")</f>
        <v>없음</v>
      </c>
      <c r="G15" s="325" t="str">
        <f>IFERROR(__xludf.DUMMYFUNCTION("""COMPUTED_VALUE"""),"무자본에서 고시원 수익화 방법")</f>
        <v>무자본에서 고시원 수익화 방법</v>
      </c>
      <c r="H15" s="325" t="str">
        <f>IFERROR(__xludf.DUMMYFUNCTION("""COMPUTED_VALUE"""),"저는 심리학을 전공하고 청소년들을 가르치다가 싱글맘인데 독학으로 고시원 120개를 돌아다니며 공부했고 혐금흐름으로 월매출을 내고있습니다. 아이들을 키우며 무자본에서 고시원 운영하여 매출을 낸 경험이 있습니가.")</f>
        <v>저는 심리학을 전공하고 청소년들을 가르치다가 싱글맘인데 독학으로 고시원 120개를 돌아다니며 공부했고 혐금흐름으로 월매출을 내고있습니다. 아이들을 키우며 무자본에서 고시원 운영하여 매출을 낸 경험이 있습니가.</v>
      </c>
      <c r="I15" s="325" t="str">
        <f>IFERROR(__xludf.DUMMYFUNCTION("""COMPUTED_VALUE"""),"고시원으로 월 500이상벌기")</f>
        <v>고시원으로 월 500이상벌기</v>
      </c>
      <c r="J15" s="325" t="str">
        <f>IFERROR(__xludf.DUMMYFUNCTION("""COMPUTED_VALUE"""),"해당없음")</f>
        <v>해당없음</v>
      </c>
      <c r="K15" s="325" t="str">
        <f>IFERROR(__xludf.DUMMYFUNCTION("""COMPUTED_VALUE"""),"고시원으로 월 매출내고 현금흐름만들어 디지털노마드 되기")</f>
        <v>고시원으로 월 매출내고 현금흐름만들어 디지털노마드 되기</v>
      </c>
      <c r="L15" s="325" t="str">
        <f>IFERROR(__xludf.DUMMYFUNCTION("""COMPUTED_VALUE"""),"유튜브 개설예정")</f>
        <v>유튜브 개설예정</v>
      </c>
      <c r="M15" s="681" t="s">
        <v>29</v>
      </c>
    </row>
    <row r="16">
      <c r="A16" s="88">
        <v>12.0</v>
      </c>
      <c r="B16" s="754">
        <f>IFERROR(__xludf.DUMMYFUNCTION("""COMPUTED_VALUE"""),45963.51403077546)</f>
        <v>45963.51403</v>
      </c>
      <c r="C16" s="325" t="str">
        <f>IFERROR(__xludf.DUMMYFUNCTION("""COMPUTED_VALUE"""),"연두모")</f>
        <v>연두모</v>
      </c>
      <c r="D16" s="325" t="str">
        <f>IFERROR(__xludf.DUMMYFUNCTION("""COMPUTED_VALUE"""),"제우스타로")</f>
        <v>제우스타로</v>
      </c>
      <c r="E16" s="325" t="str">
        <f>IFERROR(__xludf.DUMMYFUNCTION("""COMPUTED_VALUE"""),"01092355883 /(연락안받으면) 01077521156")</f>
        <v>01092355883 /(연락안받으면) 01077521156</v>
      </c>
      <c r="F16" s="325" t="str">
        <f>IFERROR(__xludf.DUMMYFUNCTION("""COMPUTED_VALUE"""),"없음")</f>
        <v>없음</v>
      </c>
      <c r="G16" s="325" t="str">
        <f>IFERROR(__xludf.DUMMYFUNCTION("""COMPUTED_VALUE"""),"AI를 이용한 연애타로 상담으로 월 300만원 벌기 (오프라인 강의 경험 있습니다.)")</f>
        <v>AI를 이용한 연애타로 상담으로 월 300만원 벌기 (오프라인 강의 경험 있습니다.)</v>
      </c>
      <c r="H16" s="325" t="str">
        <f>IFERROR(__xludf.DUMMYFUNCTION("""COMPUTED_VALUE"""),"인스타 광고로 보고 지원하게 되었습니다. 강의수강료 300-500만원 1인당 받는 강사이지만, 
광고를 전문적으로 해주는 회사를 찾고 있어서 지원하게 되었습니다. ")</f>
        <v>인스타 광고로 보고 지원하게 되었습니다. 강의수강료 300-500만원 1인당 받는 강사이지만, 
광고를 전문적으로 해주는 회사를 찾고 있어서 지원하게 되었습니다. </v>
      </c>
      <c r="I16" s="325" t="str">
        <f>IFERROR(__xludf.DUMMYFUNCTION("""COMPUTED_VALUE"""),"타로 경력은 2년 되었습니다. 
전자책 펀딩도 했으며, 최근에는 90만원을 최종으로 하여 마감하였습니다. (90만원 달성)
그리고, 연애상담 누적 5천건 이상 되는 것 같습니다. 
타로를 이용해서 월 1133만원 정도 벌었습니다. 
타로상담으로만 월 300만원 정도 평균 벌고 있습니다. 교육으로 월800만원 정도 벌고 있습니다.
저는 본업이 타로가 아니고, 본업이 직장인이기에, 투잡으로 번 것임을 양해 부탁드립니다.")</f>
        <v>타로 경력은 2년 되었습니다. 
전자책 펀딩도 했으며, 최근에는 90만원을 최종으로 하여 마감하였습니다. (90만원 달성)
그리고, 연애상담 누적 5천건 이상 되는 것 같습니다. 
타로를 이용해서 월 1133만원 정도 벌었습니다. 
타로상담으로만 월 300만원 정도 평균 벌고 있습니다. 교육으로 월800만원 정도 벌고 있습니다.
저는 본업이 타로가 아니고, 본업이 직장인이기에, 투잡으로 번 것임을 양해 부탁드립니다.</v>
      </c>
      <c r="J16" s="325" t="str">
        <f>IFERROR(__xludf.DUMMYFUNCTION("""COMPUTED_VALUE"""),"수강생이 1시간만에 10만원 수익을 냈습니다. (타로 상담으로)")</f>
        <v>수강생이 1시간만에 10만원 수익을 냈습니다. (타로 상담으로)</v>
      </c>
      <c r="K16" s="325" t="str">
        <f>IFERROR(__xludf.DUMMYFUNCTION("""COMPUTED_VALUE"""),"1.누구나, 정말 남녀노소 가리지 않고 AI타로를 이용해서 복사 붙여넣기만으로 바로 상담이 가능합니다. 강의료 이상의 수익을 낼 수 있고, 휴대폰 하나만으로 무자본으로 수익화할 수 있다는 것이 큰 장점입니다. 
2.월세도 들지 않고 온라인으로 비대면으로 가능하며 타로에 대해서 깊이 있게 알지 못해도 바로 시작할 수 있습니다. 
")</f>
        <v>1.누구나, 정말 남녀노소 가리지 않고 AI타로를 이용해서 복사 붙여넣기만으로 바로 상담이 가능합니다. 강의료 이상의 수익을 낼 수 있고, 휴대폰 하나만으로 무자본으로 수익화할 수 있다는 것이 큰 장점입니다. 
2.월세도 들지 않고 온라인으로 비대면으로 가능하며 타로에 대해서 깊이 있게 알지 못해도 바로 시작할 수 있습니다. 
</v>
      </c>
      <c r="L16" s="755" t="str">
        <f>IFERROR(__xludf.DUMMYFUNCTION("""COMPUTED_VALUE"""),"https://www.daangn.com/kr/groups/VPBz7l1P?utm_medium=copy_link")</f>
        <v>https://www.daangn.com/kr/groups/VPBz7l1P?utm_medium=copy_link</v>
      </c>
      <c r="M16" s="681" t="s">
        <v>29</v>
      </c>
    </row>
    <row r="17">
      <c r="A17" s="88">
        <v>13.0</v>
      </c>
      <c r="B17" s="754">
        <f>IFERROR(__xludf.DUMMYFUNCTION("""COMPUTED_VALUE"""),45972.90806234954)</f>
        <v>45972.90806</v>
      </c>
      <c r="C17" s="325" t="str">
        <f>IFERROR(__xludf.DUMMYFUNCTION("""COMPUTED_VALUE"""),"마현규")</f>
        <v>마현규</v>
      </c>
      <c r="D17" s="325" t="str">
        <f>IFERROR(__xludf.DUMMYFUNCTION("""COMPUTED_VALUE"""),"홍노")</f>
        <v>홍노</v>
      </c>
      <c r="E17" s="325" t="str">
        <f>IFERROR(__xludf.DUMMYFUNCTION("""COMPUTED_VALUE"""),"01048240308")</f>
        <v>01048240308</v>
      </c>
      <c r="F17"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G17" s="325" t="str">
        <f>IFERROR(__xludf.DUMMYFUNCTION("""COMPUTED_VALUE"""),"포이즌 및 크림 자동화 리셀")</f>
        <v>포이즌 및 크림 자동화 리셀</v>
      </c>
      <c r="H17" s="325" t="str">
        <f>IFERROR(__xludf.DUMMYFUNCTION("""COMPUTED_VALUE"""),"현재 강의하는 리셀쪽 강사중에서는 가장 커리어 좋은편")</f>
        <v>현재 강의하는 리셀쪽 강사중에서는 가장 커리어 좋은편</v>
      </c>
      <c r="I17" s="325" t="str">
        <f>IFERROR(__xludf.DUMMYFUNCTION("""COMPUTED_VALUE"""),"지방대 출신
24살에 스타트업 투자유치 5억
신세계 그룹 모바일 그룹웨어 구축
삼성전자 생산라인 모바일 알림 시스템 개발 총괄
29살
- SW 연매출 10억 달성
- 카카오엔터프라이즈에 창업한 50억 매각
- 컴퓨터공학 관련특허 3건 발명 및 등록
2019~2025
카카오엔터프라이즈 블록체인 사업개발
카카오엔터프라이즈 인공지능 상담시스템 사업개발
2025~
현재 운영중인 회사 매출 20억 이상(리셀, SW 아마 25년은 30억 이상은 될거같네요)
"&amp;"포이즌 보세창고 수출 진행
중국 상하이 지사 운영
크림&amp;솔드아웃 관리프로그램 넘버원 개발 운영, 유료유저 650명, 전체 사용자 1위")</f>
        <v>지방대 출신
24살에 스타트업 투자유치 5억
신세계 그룹 모바일 그룹웨어 구축
삼성전자 생산라인 모바일 알림 시스템 개발 총괄
29살
- SW 연매출 10억 달성
- 카카오엔터프라이즈에 창업한 50억 매각
- 컴퓨터공학 관련특허 3건 발명 및 등록
2019~2025
카카오엔터프라이즈 블록체인 사업개발
카카오엔터프라이즈 인공지능 상담시스템 사업개발
2025~
현재 운영중인 회사 매출 20억 이상(리셀, SW 아마 25년은 30억 이상은 될거같네요)
포이즌 보세창고 수출 진행
중국 상하이 지사 운영
크림&amp;솔드아웃 관리프로그램 넘버원 개발 운영, 유료유저 650명, 전체 사용자 1위</v>
      </c>
      <c r="J17" s="325" t="str">
        <f>IFERROR(__xludf.DUMMYFUNCTION("""COMPUTED_VALUE"""),"리셀강의는 안했고 개인적으로 1:1 코칭만해서 3일만에 영업이익 100만원 만든적은 있습니다.")</f>
        <v>리셀강의는 안했고 개인적으로 1:1 코칭만해서 3일만에 영업이익 100만원 만든적은 있습니다.</v>
      </c>
      <c r="K17" s="325" t="str">
        <f>IFERROR(__xludf.DUMMYFUNCTION("""COMPUTED_VALUE"""),"포이즌 및 크림 자동소싱을 통해 즉각적인 수익
매출 1억이상, 자본 2억 이상시 보세창고 가이드 가능
크림&amp;포이즌 현존 최고 수준의 자동 소싱 프로그램 제공
")</f>
        <v>포이즌 및 크림 자동소싱을 통해 즉각적인 수익
매출 1억이상, 자본 2억 이상시 보세창고 가이드 가능
크림&amp;포이즌 현존 최고 수준의 자동 소싱 프로그램 제공
</v>
      </c>
      <c r="L17" s="755" t="str">
        <f>IFERROR(__xludf.DUMMYFUNCTION("""COMPUTED_VALUE"""),"https://www.linkedin.com/in/choi-ma/")</f>
        <v>https://www.linkedin.com/in/choi-ma/</v>
      </c>
      <c r="M17" s="681" t="s">
        <v>29</v>
      </c>
    </row>
    <row r="18">
      <c r="A18" s="88">
        <v>14.0</v>
      </c>
      <c r="B18" s="754">
        <f>IFERROR(__xludf.DUMMYFUNCTION("""COMPUTED_VALUE"""),45975.573535324074)</f>
        <v>45975.57354</v>
      </c>
      <c r="C18" s="325" t="str">
        <f>IFERROR(__xludf.DUMMYFUNCTION("""COMPUTED_VALUE"""),"2기김영순")</f>
        <v>2기김영순</v>
      </c>
      <c r="D18" s="325" t="str">
        <f>IFERROR(__xludf.DUMMYFUNCTION("""COMPUTED_VALUE"""),"2기김영순")</f>
        <v>2기김영순</v>
      </c>
      <c r="E18" s="325" t="str">
        <f>IFERROR(__xludf.DUMMYFUNCTION("""COMPUTED_VALUE"""),"01022000359")</f>
        <v>01022000359</v>
      </c>
      <c r="F18" s="325" t="str">
        <f>IFERROR(__xludf.DUMMYFUNCTION("""COMPUTED_VALUE"""),"없음")</f>
        <v>없음</v>
      </c>
      <c r="G18" s="325">
        <f>IFERROR(__xludf.DUMMYFUNCTION("""COMPUTED_VALUE"""),1.0)</f>
        <v>1</v>
      </c>
      <c r="H18" s="325" t="str">
        <f>IFERROR(__xludf.DUMMYFUNCTION("""COMPUTED_VALUE"""),"강의영상이  안보입니다")</f>
        <v>강의영상이  안보입니다</v>
      </c>
      <c r="I18" s="325" t="str">
        <f>IFERROR(__xludf.DUMMYFUNCTION("""COMPUTED_VALUE"""),"없음")</f>
        <v>없음</v>
      </c>
      <c r="J18" s="325" t="str">
        <f>IFERROR(__xludf.DUMMYFUNCTION("""COMPUTED_VALUE"""),"없음")</f>
        <v>없음</v>
      </c>
      <c r="K18" s="325">
        <f>IFERROR(__xludf.DUMMYFUNCTION("""COMPUTED_VALUE"""),1.0)</f>
        <v>1</v>
      </c>
      <c r="L18" s="325" t="str">
        <f>IFERROR(__xludf.DUMMYFUNCTION("""COMPUTED_VALUE"""),"유투브")</f>
        <v>유투브</v>
      </c>
      <c r="M18" s="681" t="s">
        <v>29</v>
      </c>
    </row>
    <row r="19">
      <c r="A19" s="88">
        <v>15.0</v>
      </c>
      <c r="B19" s="754">
        <f>IFERROR(__xludf.DUMMYFUNCTION("""COMPUTED_VALUE"""),45979.42004916667)</f>
        <v>45979.42005</v>
      </c>
      <c r="C19" s="325" t="str">
        <f>IFERROR(__xludf.DUMMYFUNCTION("""COMPUTED_VALUE"""),"이정법")</f>
        <v>이정법</v>
      </c>
      <c r="D19" s="325" t="str">
        <f>IFERROR(__xludf.DUMMYFUNCTION("""COMPUTED_VALUE"""),"하나 짓자면 해피크루즈")</f>
        <v>하나 짓자면 해피크루즈</v>
      </c>
      <c r="E19" s="325" t="str">
        <f>IFERROR(__xludf.DUMMYFUNCTION("""COMPUTED_VALUE"""),"010-6800-2979")</f>
        <v>010-6800-2979</v>
      </c>
      <c r="F19" s="325" t="str">
        <f>IFERROR(__xludf.DUMMYFUNCTION("""COMPUTED_VALUE"""),"없음")</f>
        <v>없음</v>
      </c>
      <c r="G19" s="325" t="str">
        <f>IFERROR(__xludf.DUMMYFUNCTION("""COMPUTED_VALUE"""),"중국 무역을 통한 사입, 쿠팡 로켓크로스 판매로 돈버는 법")</f>
        <v>중국 무역을 통한 사입, 쿠팡 로켓크로스 판매로 돈버는 법</v>
      </c>
      <c r="H19" s="325" t="str">
        <f>IFERROR(__xludf.DUMMYFUNCTION("""COMPUTED_VALUE"""),"■ 여러사업을 하며 강사를 해본 지인이 추천하여 지원하게 되었습니다. 
 - 약 3년의 C* 기업 해외영업
 - 6년의 중국 무역과 이커머스 경험
 -  실패 및 성공사례 有")</f>
        <v>■ 여러사업을 하며 강사를 해본 지인이 추천하여 지원하게 되었습니다. 
 - 약 3년의 C* 기업 해외영업
 - 6년의 중국 무역과 이커머스 경험
 -  실패 및 성공사례 有</v>
      </c>
      <c r="I19" s="325" t="str">
        <f>IFERROR(__xludf.DUMMYFUNCTION("""COMPUTED_VALUE"""),"2024년 쿠팡 연매출 59.8억(개인사업자+ 법인)
2025년 쿠팡 연매출 55억 (추정) (법인)")</f>
        <v>2024년 쿠팡 연매출 59.8억(개인사업자+ 법인)
2025년 쿠팡 연매출 55억 (추정) (법인)</v>
      </c>
      <c r="J19" s="325" t="str">
        <f>IFERROR(__xludf.DUMMYFUNCTION("""COMPUTED_VALUE"""),"현재까지 수강 경험은 없습니다.")</f>
        <v>현재까지 수강 경험은 없습니다.</v>
      </c>
      <c r="K19" s="325" t="str">
        <f>IFERROR(__xludf.DUMMYFUNCTION("""COMPUTED_VALUE"""),"역량에 따라 연 수억~수백억 매출 달성 가능. 
추가로 중국에서 사입시 방법을 알더라도 막히는 과정을 해소시켜주고자 합니다. (수강생에 한하여)")</f>
        <v>역량에 따라 연 수억~수백억 매출 달성 가능. 
추가로 중국에서 사입시 방법을 알더라도 막히는 과정을 해소시켜주고자 합니다. (수강생에 한하여)</v>
      </c>
      <c r="L19" s="325" t="str">
        <f>IFERROR(__xludf.DUMMYFUNCTION("""COMPUTED_VALUE"""),"sns는 현재 없습니다. ")</f>
        <v>sns는 현재 없습니다. </v>
      </c>
      <c r="M19" s="681" t="s">
        <v>29</v>
      </c>
    </row>
    <row r="20">
      <c r="A20" s="88">
        <v>16.0</v>
      </c>
      <c r="B20" s="754">
        <f>IFERROR(__xludf.DUMMYFUNCTION("""COMPUTED_VALUE"""),45980.98967991898)</f>
        <v>45980.98968</v>
      </c>
      <c r="C20" s="325" t="str">
        <f>IFERROR(__xludf.DUMMYFUNCTION("""COMPUTED_VALUE"""),"김호선")</f>
        <v>김호선</v>
      </c>
      <c r="D20" s="325" t="str">
        <f>IFERROR(__xludf.DUMMYFUNCTION("""COMPUTED_VALUE"""),"헌터스")</f>
        <v>헌터스</v>
      </c>
      <c r="E20" s="325" t="str">
        <f>IFERROR(__xludf.DUMMYFUNCTION("""COMPUTED_VALUE"""),"010-6369-7528")</f>
        <v>010-6369-7528</v>
      </c>
      <c r="F20"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G20" s="325" t="str">
        <f>IFERROR(__xludf.DUMMYFUNCTION("""COMPUTED_VALUE"""),"전공강의")</f>
        <v>전공강의</v>
      </c>
      <c r="H20" s="325" t="str">
        <f>IFERROR(__xludf.DUMMYFUNCTION("""COMPUTED_VALUE"""),"장사의 신 은현장대표님 믿고 와ㅛ어요")</f>
        <v>장사의 신 은현장대표님 믿고 와ㅛ어요</v>
      </c>
      <c r="I20" s="325" t="str">
        <f>IFERROR(__xludf.DUMMYFUNCTION("""COMPUTED_VALUE"""),"없어요")</f>
        <v>없어요</v>
      </c>
      <c r="J20" s="325" t="str">
        <f>IFERROR(__xludf.DUMMYFUNCTION("""COMPUTED_VALUE"""),"없습ㄴ다")</f>
        <v>없습ㄴ다</v>
      </c>
      <c r="K20" s="325" t="str">
        <f>IFERROR(__xludf.DUMMYFUNCTION("""COMPUTED_VALUE"""),"교육을통해서 합격할수이ㅛ다")</f>
        <v>교육을통해서 합격할수이ㅛ다</v>
      </c>
      <c r="L20" s="325" t="str">
        <f>IFERROR(__xludf.DUMMYFUNCTION("""COMPUTED_VALUE"""),"01063597528")</f>
        <v>01063597528</v>
      </c>
      <c r="M20" s="681" t="s">
        <v>29</v>
      </c>
    </row>
    <row r="21">
      <c r="A21" s="88">
        <v>17.0</v>
      </c>
      <c r="B21" s="754">
        <f>IFERROR(__xludf.DUMMYFUNCTION("""COMPUTED_VALUE"""),46010.43469807871)</f>
        <v>46010.4347</v>
      </c>
      <c r="C21" s="325" t="str">
        <f>IFERROR(__xludf.DUMMYFUNCTION("""COMPUTED_VALUE"""),"김영배")</f>
        <v>김영배</v>
      </c>
      <c r="D21" s="325" t="str">
        <f>IFERROR(__xludf.DUMMYFUNCTION("""COMPUTED_VALUE"""),"경매코치")</f>
        <v>경매코치</v>
      </c>
      <c r="E21" s="325" t="str">
        <f>IFERROR(__xludf.DUMMYFUNCTION("""COMPUTED_VALUE"""),"01029279336")</f>
        <v>01029279336</v>
      </c>
      <c r="F21" s="325" t="str">
        <f>IFERROR(__xludf.DUMMYFUNCTION("""COMPUTED_VALUE"""),"없음")</f>
        <v>없음</v>
      </c>
      <c r="G21" s="325" t="str">
        <f>IFERROR(__xludf.DUMMYFUNCTION("""COMPUTED_VALUE"""),"부동산 경매를 통해 돈을 버는 방법
*")</f>
        <v>부동산 경매를 통해 돈을 버는 방법
*</v>
      </c>
      <c r="H21" s="325" t="str">
        <f>IFERROR(__xludf.DUMMYFUNCTION("""COMPUTED_VALUE"""),"실제로 강의 경력이 많고 가지고 있는 해당 분야 커리어가 다른 강사들에 비해 월등히 좋은편이며, 실제 강의 매출 전환이 발생하고 있으나 강의 홍보에 대한 부분이 부족하여 이 부분만 보완한다면 큰 매출이 발생할 수 있을거라고 생각합니다. 실제로 웨비나 28명 중 수강인원전환 5명 (20%) 정도가 발생했으며 보통 실제 참여자 대비 수강인원 전환율 3~5%에 비해서 좋은 수치라고 생각합니다. 이 부분을 채워줄 협업 업체가 필요합니다 그리고 자체 유투브도 진"&amp;"행 중이며 몇개월 이내에 구독자 2000명가까이 보유하고 있습니다. 수강 인원수대비 낙찰 성과도 꾸준하게 발생하고 있으므로 향후 성공사례를 통한 마케팅 효과도 엄청난 효율이 발생할거라 생각합니다")</f>
        <v>실제로 강의 경력이 많고 가지고 있는 해당 분야 커리어가 다른 강사들에 비해 월등히 좋은편이며, 실제 강의 매출 전환이 발생하고 있으나 강의 홍보에 대한 부분이 부족하여 이 부분만 보완한다면 큰 매출이 발생할 수 있을거라고 생각합니다. 실제로 웨비나 28명 중 수강인원전환 5명 (20%) 정도가 발생했으며 보통 실제 참여자 대비 수강인원 전환율 3~5%에 비해서 좋은 수치라고 생각합니다. 이 부분을 채워줄 협업 업체가 필요합니다 그리고 자체 유투브도 진행 중이며 몇개월 이내에 구독자 2000명가까이 보유하고 있습니다. 수강 인원수대비 낙찰 성과도 꾸준하게 발생하고 있으므로 향후 성공사례를 통한 마케팅 효과도 엄청난 효율이 발생할거라 생각합니다</v>
      </c>
      <c r="I21" s="325" t="str">
        <f>IFERROR(__xludf.DUMMYFUNCTION("""COMPUTED_VALUE"""),"현재 제 이력에 대해서 말씀드립니다.
해당 이력은 단 1년만에 달성한 사례이며 경매 전문가 중 누구도 이렇게 하긴 힘듭니다.
아파트 투자 보유 =&gt; 2채 시세차익형 물건 낙찰 
빌라/재개발빌라 6건 매도매수 =&gt; 총 수익 2억 이상
수익형 건물 다가구 1채 낙찰 =&gt; 총 투자금 3천만원 대비 연 수익 3500만원 / 3억 저렴하게 매입
상업용 공장 낙찰(토지투자/현금흐름) =&gt; 시세차익형 물건 4억 안전마진 확보 및 월 250만원 현금흐름
단기임대 2"&amp;"개 운영중 =&gt; 월 150만원 순수익 발생
그외 회원 컨설팅 낙찰성공사례 20건 이상")</f>
        <v>현재 제 이력에 대해서 말씀드립니다.
해당 이력은 단 1년만에 달성한 사례이며 경매 전문가 중 누구도 이렇게 하긴 힘듭니다.
아파트 투자 보유 =&gt; 2채 시세차익형 물건 낙찰 
빌라/재개발빌라 6건 매도매수 =&gt; 총 수익 2억 이상
수익형 건물 다가구 1채 낙찰 =&gt; 총 투자금 3천만원 대비 연 수익 3500만원 / 3억 저렴하게 매입
상업용 공장 낙찰(토지투자/현금흐름) =&gt; 시세차익형 물건 4억 안전마진 확보 및 월 250만원 현금흐름
단기임대 2개 운영중 =&gt; 월 150만원 순수익 발생
그외 회원 컨설팅 낙찰성공사례 20건 이상</v>
      </c>
      <c r="J21" s="325" t="str">
        <f>IFERROR(__xludf.DUMMYFUNCTION("""COMPUTED_VALUE"""),"해당 분야에서 수강생의 성과를 만든 경험이 있다면 적어주세요.
1. 50대 어머님 2천만원 투자로 1억수익 (3개월 만에 1.7억낙찰 2.7억 매도) 
2. 그 외 4천만원 수익 다수 10건이상 
3. 내집마련 2억 저렴하게 마렴 / 7천만원 저렴하게 마렴 그외 내집마련 사례 5건이상")</f>
        <v>해당 분야에서 수강생의 성과를 만든 경험이 있다면 적어주세요.
1. 50대 어머님 2천만원 투자로 1억수익 (3개월 만에 1.7억낙찰 2.7억 매도) 
2. 그 외 4천만원 수익 다수 10건이상 
3. 내집마련 2억 저렴하게 마렴 / 7천만원 저렴하게 마렴 그외 내집마련 사례 5건이상</v>
      </c>
      <c r="K21" s="325" t="str">
        <f>IFERROR(__xludf.DUMMYFUNCTION("""COMPUTED_VALUE"""),"해당 주제를 통해 수강생이 무엇을 얻을 수 있는지 구체적으로 작성해주세요.
예시
1. 소액 내집마련을 통해 향후 중장기 보유에 따른 세후 1억이상 수익 가능 
2. 단기매도 투자를 활용한 투자금 확보 가능
3. 월현금흐름 상품 투자가능 =&gt; 다가구, 단기임대, 공장 ")</f>
        <v>해당 주제를 통해 수강생이 무엇을 얻을 수 있는지 구체적으로 작성해주세요.
예시
1. 소액 내집마련을 통해 향후 중장기 보유에 따른 세후 1억이상 수익 가능 
2. 단기매도 투자를 활용한 투자금 확보 가능
3. 월현금흐름 상품 투자가능 =&gt; 다가구, 단기임대, 공장 </v>
      </c>
      <c r="L21" s="325" t="str">
        <f>IFERROR(__xludf.DUMMYFUNCTION("""COMPUTED_VALUE"""),"유튜브:  https://www.youtube.com/@경매코치 8 인스타: https://www.instagram.com/auctioncoach/  카페: https://cafe.naver.com/auctioncoachkr  웨비나홈페이지:  https://auctioncoach.carrd.co/")</f>
        <v>유튜브:  https://www.youtube.com/@경매코치 8 인스타: https://www.instagram.com/auctioncoach/  카페: https://cafe.naver.com/auctioncoachkr  웨비나홈페이지:  https://auctioncoach.carrd.co/</v>
      </c>
      <c r="M21" s="681" t="s">
        <v>29</v>
      </c>
    </row>
    <row r="22">
      <c r="A22" s="88">
        <v>18.0</v>
      </c>
      <c r="B22" s="754">
        <f>IFERROR(__xludf.DUMMYFUNCTION("""COMPUTED_VALUE"""),46010.67526534722)</f>
        <v>46010.67527</v>
      </c>
      <c r="C22" s="325" t="str">
        <f>IFERROR(__xludf.DUMMYFUNCTION("""COMPUTED_VALUE"""),"김재범")</f>
        <v>김재범</v>
      </c>
      <c r="D22" s="325" t="str">
        <f>IFERROR(__xludf.DUMMYFUNCTION("""COMPUTED_VALUE"""),"Maro")</f>
        <v>Maro</v>
      </c>
      <c r="E22" s="325" t="str">
        <f>IFERROR(__xludf.DUMMYFUNCTION("""COMPUTED_VALUE"""),"01031343907")</f>
        <v>01031343907</v>
      </c>
      <c r="F22" s="325" t="str">
        <f>IFERROR(__xludf.DUMMYFUNCTION("""COMPUTED_VALUE"""),"없음")</f>
        <v>없음</v>
      </c>
      <c r="G22" s="325" t="str">
        <f>IFERROR(__xludf.DUMMYFUNCTION("""COMPUTED_VALUE"""),"월 300만원 버는법")</f>
        <v>월 300만원 버는법</v>
      </c>
      <c r="H22" s="325" t="str">
        <f>IFERROR(__xludf.DUMMYFUNCTION("""COMPUTED_VALUE"""),"잘하기위해서")</f>
        <v>잘하기위해서</v>
      </c>
      <c r="I22" s="325" t="str">
        <f>IFERROR(__xludf.DUMMYFUNCTION("""COMPUTED_VALUE"""),"꼭 성공할게요!")</f>
        <v>꼭 성공할게요!</v>
      </c>
      <c r="J22" s="325" t="str">
        <f>IFERROR(__xludf.DUMMYFUNCTION("""COMPUTED_VALUE"""),"없음")</f>
        <v>없음</v>
      </c>
      <c r="K22" s="325" t="str">
        <f>IFERROR(__xludf.DUMMYFUNCTION("""COMPUTED_VALUE"""),"없음")</f>
        <v>없음</v>
      </c>
      <c r="L22" s="325" t="str">
        <f>IFERROR(__xludf.DUMMYFUNCTION("""COMPUTED_VALUE"""),"인스타그램")</f>
        <v>인스타그램</v>
      </c>
      <c r="M22" s="681" t="s">
        <v>29</v>
      </c>
    </row>
    <row r="23">
      <c r="A23" s="88">
        <v>19.0</v>
      </c>
      <c r="B23" s="754">
        <f>IFERROR(__xludf.DUMMYFUNCTION("""COMPUTED_VALUE"""),46012.592702951384)</f>
        <v>46012.5927</v>
      </c>
      <c r="C23" s="325" t="str">
        <f>IFERROR(__xludf.DUMMYFUNCTION("""COMPUTED_VALUE"""),"최인균")</f>
        <v>최인균</v>
      </c>
      <c r="D23" s="325" t="str">
        <f>IFERROR(__xludf.DUMMYFUNCTION("""COMPUTED_VALUE"""),"우주인")</f>
        <v>우주인</v>
      </c>
      <c r="E23" s="325" t="str">
        <f>IFERROR(__xludf.DUMMYFUNCTION("""COMPUTED_VALUE"""),"01055341585")</f>
        <v>01055341585</v>
      </c>
      <c r="F23" s="325" t="str">
        <f>IFERROR(__xludf.DUMMYFUNCTION("""COMPUTED_VALUE"""),"없음")</f>
        <v>없음</v>
      </c>
      <c r="G23" s="325">
        <f>IFERROR(__xludf.DUMMYFUNCTION("""COMPUTED_VALUE"""),1.0)</f>
        <v>1</v>
      </c>
      <c r="H23" s="325" t="str">
        <f>IFERROR(__xludf.DUMMYFUNCTION("""COMPUTED_VALUE"""),"무")</f>
        <v>무</v>
      </c>
      <c r="I23" s="325" t="str">
        <f>IFERROR(__xludf.DUMMYFUNCTION("""COMPUTED_VALUE"""),"없음")</f>
        <v>없음</v>
      </c>
      <c r="J23" s="325" t="str">
        <f>IFERROR(__xludf.DUMMYFUNCTION("""COMPUTED_VALUE"""),"없음")</f>
        <v>없음</v>
      </c>
      <c r="K23" s="325">
        <f>IFERROR(__xludf.DUMMYFUNCTION("""COMPUTED_VALUE"""),1.0)</f>
        <v>1</v>
      </c>
      <c r="L23" s="325" t="str">
        <f>IFERROR(__xludf.DUMMYFUNCTION("""COMPUTED_VALUE"""),"kbbc11@naver.com")</f>
        <v>kbbc11@naver.com</v>
      </c>
      <c r="M23" s="681" t="s">
        <v>29</v>
      </c>
    </row>
    <row r="24">
      <c r="A24" s="88">
        <v>20.0</v>
      </c>
      <c r="B24" s="754">
        <f>IFERROR(__xludf.DUMMYFUNCTION("""COMPUTED_VALUE"""),46017.67543756944)</f>
        <v>46017.67544</v>
      </c>
      <c r="C24" s="325" t="str">
        <f>IFERROR(__xludf.DUMMYFUNCTION("""COMPUTED_VALUE"""),"장재우")</f>
        <v>장재우</v>
      </c>
      <c r="D24" s="325" t="str">
        <f>IFERROR(__xludf.DUMMYFUNCTION("""COMPUTED_VALUE"""),"코딩맨")</f>
        <v>코딩맨</v>
      </c>
      <c r="E24" s="325" t="str">
        <f>IFERROR(__xludf.DUMMYFUNCTION("""COMPUTED_VALUE"""),"01074795698")</f>
        <v>01074795698</v>
      </c>
      <c r="F24" s="325" t="str">
        <f>IFERROR(__xludf.DUMMYFUNCTION("""COMPUTED_VALUE"""),"없음")</f>
        <v>없음</v>
      </c>
      <c r="G24" s="325" t="str">
        <f>IFERROR(__xludf.DUMMYFUNCTION("""COMPUTED_VALUE"""),"코딩으로 만든 직관적 최적화 영상제작사이트입니다. 자신만의 캐릭터를생성해서 단몇분만에 영상화하는 구조입니다.")</f>
        <v>코딩으로 만든 직관적 최적화 영상제작사이트입니다. 자신만의 캐릭터를생성해서 단몇분만에 영상화하는 구조입니다.</v>
      </c>
      <c r="H24" s="325" t="str">
        <f>IFERROR(__xludf.DUMMYFUNCTION("""COMPUTED_VALUE"""),"수업내용이길고, 뭘해야하고, 등등 여러 많은작업들이 복잡해서직접만들어 봤습니다. 가르칠것은없습니다.그저이행하면됩니다.")</f>
        <v>수업내용이길고, 뭘해야하고, 등등 여러 많은작업들이 복잡해서직접만들어 봤습니다. 가르칠것은없습니다.그저이행하면됩니다.</v>
      </c>
      <c r="I24" s="325" t="str">
        <f>IFERROR(__xludf.DUMMYFUNCTION("""COMPUTED_VALUE"""),"성과없습니다. 사이트 자체가 성과입니다.")</f>
        <v>성과없습니다. 사이트 자체가 성과입니다.</v>
      </c>
      <c r="J24" s="325" t="str">
        <f>IFERROR(__xludf.DUMMYFUNCTION("""COMPUTED_VALUE"""),"없습니다.")</f>
        <v>없습니다.</v>
      </c>
      <c r="K24" s="325" t="str">
        <f>IFERROR(__xludf.DUMMYFUNCTION("""COMPUTED_VALUE"""),"퀄리티높은 영상을 정말간단하게 만들수있습니다.")</f>
        <v>퀄리티높은 영상을 정말간단하게 만들수있습니다.</v>
      </c>
      <c r="L24" s="325" t="str">
        <f>IFERROR(__xludf.DUMMYFUNCTION("""COMPUTED_VALUE"""),"없습니다.")</f>
        <v>없습니다.</v>
      </c>
      <c r="M24" s="681" t="s">
        <v>29</v>
      </c>
    </row>
    <row r="25">
      <c r="A25" s="88">
        <v>21.0</v>
      </c>
      <c r="B25" s="754">
        <f>IFERROR(__xludf.DUMMYFUNCTION("""COMPUTED_VALUE"""),46022.84903877314)</f>
        <v>46022.84904</v>
      </c>
      <c r="C25" s="325" t="str">
        <f>IFERROR(__xludf.DUMMYFUNCTION("""COMPUTED_VALUE"""),"최영민")</f>
        <v>최영민</v>
      </c>
      <c r="D25" s="325" t="str">
        <f>IFERROR(__xludf.DUMMYFUNCTION("""COMPUTED_VALUE"""),"걸리버")</f>
        <v>걸리버</v>
      </c>
      <c r="E25" s="325" t="str">
        <f>IFERROR(__xludf.DUMMYFUNCTION("""COMPUTED_VALUE"""),"01030114207")</f>
        <v>01030114207</v>
      </c>
      <c r="F25" s="325" t="str">
        <f>IFERROR(__xludf.DUMMYFUNCTION("""COMPUTED_VALUE"""),"없음")</f>
        <v>없음</v>
      </c>
      <c r="G25" s="325" t="str">
        <f>IFERROR(__xludf.DUMMYFUNCTION("""COMPUTED_VALUE"""),"시니어를 위한 사연 드라마 영상제작 AI를 활용한 수익화 방법")</f>
        <v>시니어를 위한 사연 드라마 영상제작 AI를 활용한 수익화 방법</v>
      </c>
      <c r="H25" s="325" t="str">
        <f>IFERROR(__xludf.DUMMYFUNCTION("""COMPUTED_VALUE"""),"저는 최첨단 AI 클로드와 시니어의 인생 경험을 결합해 실제 수익이 되는 콘텐츠를 만드는 디지털 스토리텔링 전문가입니다. 시니어의 연륜이 단순한 추억을 넘어 시장에서 소비되는 강력한 수익형 콘텐츠가 될 수 있음을 증명하고자 이 자리에 지원했습니다. 시니어 특유의 구수한 입담과 해학을 현대적 만담과 사연 드라마로 승화시키는 국내 유일의 독보적 커리큘럼을 보유하고 있습니다. AI를 단순한 도구가 아닌 시니어의 마음을 읽고 함께 대본을 집필하는 인생의 창작 "&amp;"파트너로 활용하는 것이 저의 강점입니다. 개인의 소소한 기억을 근현대사의 주요 사건과 결합하여 평범한 삶을 위대한 역사의 한 장면으로 격상시키는 서사를 구축합니다. 클로드의 필력을 빌려 투박한 메모를 라디오 드라마, 연극 대본 등 전문적인 예술 장르로 변주하여 창작의 성취감을 제공합니다. 내 삶을 객관적인 작품으로 바라보는 과정을 통해 과거의 상처를 치유하고 시니어 수강생의 자존감 회복을 돕습니다. 시니어가 디지털 소외를 극복하고 문화 생산자로서 자신만"&amp;"의 지식 콘텐츠를 수익화할 수 있는 실질적인 가이드를 제시합니다. 강사의 가치를 아는 머니업클래스와 저의 혁신적 콘텐츠가 만나 시니어 교육 시장의 새로운 패러다임을 제시하겠습니다. 시니어의 평범한 일생이 위대한 기록이 되고 다시 경제적 가치로 선순환되는 공생의 여정을 이곳에서 실현하고자 합니다. 시니어가 디지털 시대의 소외계층이 아닌 문화를 생산하고 수익을 창출하는 당당한 주체로 거듭나는 그날까지 함께하겠습니다. 머니업클래스가 저에게 기회를 주신다면, "&amp;"시니어 교육의 새로운 역사를 함께 쓰겠습니다")</f>
        <v>저는 최첨단 AI 클로드와 시니어의 인생 경험을 결합해 실제 수익이 되는 콘텐츠를 만드는 디지털 스토리텔링 전문가입니다. 시니어의 연륜이 단순한 추억을 넘어 시장에서 소비되는 강력한 수익형 콘텐츠가 될 수 있음을 증명하고자 이 자리에 지원했습니다. 시니어 특유의 구수한 입담과 해학을 현대적 만담과 사연 드라마로 승화시키는 국내 유일의 독보적 커리큘럼을 보유하고 있습니다. AI를 단순한 도구가 아닌 시니어의 마음을 읽고 함께 대본을 집필하는 인생의 창작 파트너로 활용하는 것이 저의 강점입니다. 개인의 소소한 기억을 근현대사의 주요 사건과 결합하여 평범한 삶을 위대한 역사의 한 장면으로 격상시키는 서사를 구축합니다. 클로드의 필력을 빌려 투박한 메모를 라디오 드라마, 연극 대본 등 전문적인 예술 장르로 변주하여 창작의 성취감을 제공합니다. 내 삶을 객관적인 작품으로 바라보는 과정을 통해 과거의 상처를 치유하고 시니어 수강생의 자존감 회복을 돕습니다. 시니어가 디지털 소외를 극복하고 문화 생산자로서 자신만의 지식 콘텐츠를 수익화할 수 있는 실질적인 가이드를 제시합니다. 강사의 가치를 아는 머니업클래스와 저의 혁신적 콘텐츠가 만나 시니어 교육 시장의 새로운 패러다임을 제시하겠습니다. 시니어의 평범한 일생이 위대한 기록이 되고 다시 경제적 가치로 선순환되는 공생의 여정을 이곳에서 실현하고자 합니다. 시니어가 디지털 시대의 소외계층이 아닌 문화를 생산하고 수익을 창출하는 당당한 주체로 거듭나는 그날까지 함께하겠습니다. 머니업클래스가 저에게 기회를 주신다면, 시니어 교육의 새로운 역사를 함께 쓰겠습니다</v>
      </c>
      <c r="I25" s="325" t="str">
        <f>IFERROR(__xludf.DUMMYFUNCTION("""COMPUTED_VALUE"""),"어플 판매와 전자책 어플 51개 개발 완료 클로드 스킬스 대본 자동 생성기 완료 월 매출 2500만원")</f>
        <v>어플 판매와 전자책 어플 51개 개발 완료 클로드 스킬스 대본 자동 생성기 완료 월 매출 2500만원</v>
      </c>
      <c r="J25" s="325" t="str">
        <f>IFERROR(__xludf.DUMMYFUNCTION("""COMPUTED_VALUE"""),"수강생이 다른  사이트에서 시니어 드라마 사연 수백원 쓰고 수창 안됬는데 저한테 어플 활용하고 배워서 2명 수창되었습니다.")</f>
        <v>수강생이 다른  사이트에서 시니어 드라마 사연 수백원 쓰고 수창 안됬는데 저한테 어플 활용하고 배워서 2명 수창되었습니다.</v>
      </c>
      <c r="K25" s="325" t="str">
        <f>IFERROR(__xludf.DUMMYFUNCTION("""COMPUTED_VALUE"""),"강의 듣고  부업을 통해 300만원 정도의 순이익")</f>
        <v>강의 듣고  부업을 통해 300만원 정도의 순이익</v>
      </c>
      <c r="L25" s="325" t="str">
        <f>IFERROR(__xludf.DUMMYFUNCTION("""COMPUTED_VALUE"""),"https://www.youtube.com/@걸리버길러잡이://cafe.naver.com/gulliverai,https://gulliverai.imweb.me/home")</f>
        <v>https://www.youtube.com/@걸리버길러잡이://cafe.naver.com/gulliverai,https://gulliverai.imweb.me/home</v>
      </c>
      <c r="M25" s="681" t="s">
        <v>29</v>
      </c>
    </row>
    <row r="26">
      <c r="A26" s="88">
        <v>22.0</v>
      </c>
      <c r="B26" s="754">
        <f>IFERROR(__xludf.DUMMYFUNCTION("""COMPUTED_VALUE"""),46038.90416168982)</f>
        <v>46038.90416</v>
      </c>
      <c r="C26" s="325" t="str">
        <f>IFERROR(__xludf.DUMMYFUNCTION("""COMPUTED_VALUE"""),"김남식")</f>
        <v>김남식</v>
      </c>
      <c r="D26" s="325" t="str">
        <f>IFERROR(__xludf.DUMMYFUNCTION("""COMPUTED_VALUE"""),"효심장묘")</f>
        <v>효심장묘</v>
      </c>
      <c r="E26" s="325" t="str">
        <f>IFERROR(__xludf.DUMMYFUNCTION("""COMPUTED_VALUE"""),"010 2931 0321")</f>
        <v>010 2931 0321</v>
      </c>
      <c r="F26" s="325" t="str">
        <f>IFERROR(__xludf.DUMMYFUNCTION("""COMPUTED_VALUE"""),"없음")</f>
        <v>없음</v>
      </c>
      <c r="G26" s="325" t="str">
        <f>IFERROR(__xludf.DUMMYFUNCTION("""COMPUTED_VALUE"""),"묘지이장, 파묘 등,   가족묘, 평장묘 등 ")</f>
        <v>묘지이장, 파묘 등,   가족묘, 평장묘 등 </v>
      </c>
      <c r="H26" s="325" t="str">
        <f>IFERROR(__xludf.DUMMYFUNCTION("""COMPUTED_VALUE"""),"20년 전 부터  화장문화로 바뀌어서  매장묘를 만드는 것 보다  화장 후 납골이나 평장을 합니다.
예전에는 한 부모 아래 자식들이 많이 있어서 조상들묘를 관리를 하였지만 이제는 자식들이 한 둘이다 보니  조상님들 묘를 관리하기가 힘들어집니다.  내 부모를 화장하였는데  그 위에 조부 조모 증조 고조 등의 묘를 그냥 방치하기가  마음에 걸리니  파묘하여 화장 후 평장등 가족묘지를 만드는 것입니다.
제 가 1953년생  74세이고  이일을 15년째 효심장"&amp;"묘를 하고 있는데  화장묘 기수는 매 년 두배를 늘어나고 있습니다.  문제는 제가 이 사업을  넘겨줄 사람이 없다는 것입니다.  젊은 사람들이 안 배우려고 합니다.
이 것도 전문적으로 해야 하는 일이 많습니다,  컴도해야 화장예약을 할 수 있고  묘를 보고 안에 어떻게 되었을 것이라 예상도 하는 등 등 경험이 많이 필요합니다.   저는 30년 장례지도사를 하고 있고 
 효심장묘는 15년 전에 개인사업으로 하고 있슴, 
현재는 장례부분은 각 상조회사들이 "&amp;" 많은 티브 홍보등 광고비를 쏘아가며 영업을 하고 있는데
이 장묘부분은  크게 광고를 하는 곳이 없습니다.  장묘부분도  충분히  전국적으로  네트워크를 가지고 
확장시킬 수가 있습니다. ")</f>
        <v>20년 전 부터  화장문화로 바뀌어서  매장묘를 만드는 것 보다  화장 후 납골이나 평장을 합니다.
예전에는 한 부모 아래 자식들이 많이 있어서 조상들묘를 관리를 하였지만 이제는 자식들이 한 둘이다 보니  조상님들 묘를 관리하기가 힘들어집니다.  내 부모를 화장하였는데  그 위에 조부 조모 증조 고조 등의 묘를 그냥 방치하기가  마음에 걸리니  파묘하여 화장 후 평장등 가족묘지를 만드는 것입니다.
제 가 1953년생  74세이고  이일을 15년째 효심장묘를 하고 있는데  화장묘 기수는 매 년 두배를 늘어나고 있습니다.  문제는 제가 이 사업을  넘겨줄 사람이 없다는 것입니다.  젊은 사람들이 안 배우려고 합니다.
이 것도 전문적으로 해야 하는 일이 많습니다,  컴도해야 화장예약을 할 수 있고  묘를 보고 안에 어떻게 되었을 것이라 예상도 하는 등 등 경험이 많이 필요합니다.   저는 30년 장례지도사를 하고 있고 
 효심장묘는 15년 전에 개인사업으로 하고 있슴, 
현재는 장례부분은 각 상조회사들이  많은 티브 홍보등 광고비를 쏘아가며 영업을 하고 있는데
이 장묘부분은  크게 광고를 하는 곳이 없습니다.  장묘부분도  충분히  전국적으로  네트워크를 가지고 
확장시킬 수가 있습니다. </v>
      </c>
      <c r="I26" s="325" t="str">
        <f>IFERROR(__xludf.DUMMYFUNCTION("""COMPUTED_VALUE"""),"윤달이 3년 반 마다 오고 있고   윤달 있을 때마다  묘를 정리하고자 하는 소비자가 두배가 늘어감
  ")</f>
        <v>윤달이 3년 반 마다 오고 있고   윤달 있을 때마다  묘를 정리하고자 하는 소비자가 두배가 늘어감
  </v>
      </c>
      <c r="J26" s="325">
        <f>IFERROR(__xludf.DUMMYFUNCTION("""COMPUTED_VALUE"""),11.0)</f>
        <v>11</v>
      </c>
      <c r="K26" s="325">
        <f>IFERROR(__xludf.DUMMYFUNCTION("""COMPUTED_VALUE"""),11.0)</f>
        <v>11</v>
      </c>
      <c r="L26" s="325" t="str">
        <f>IFERROR(__xludf.DUMMYFUNCTION("""COMPUTED_VALUE"""),"1522-1304 ,   홈페이지 * hyosimjm.com")</f>
        <v>1522-1304 ,   홈페이지 * hyosimjm.com</v>
      </c>
      <c r="M26" s="681" t="s">
        <v>29</v>
      </c>
    </row>
    <row r="27">
      <c r="A27" s="88">
        <v>23.0</v>
      </c>
      <c r="B27" s="754">
        <f>IFERROR(__xludf.DUMMYFUNCTION("""COMPUTED_VALUE"""),46040.29052966435)</f>
        <v>46040.29053</v>
      </c>
      <c r="C27" s="325" t="str">
        <f>IFERROR(__xludf.DUMMYFUNCTION("""COMPUTED_VALUE"""),"윤정우")</f>
        <v>윤정우</v>
      </c>
      <c r="D27" s="325" t="str">
        <f>IFERROR(__xludf.DUMMYFUNCTION("""COMPUTED_VALUE"""),"사상최강의 경영자")</f>
        <v>사상최강의 경영자</v>
      </c>
      <c r="E27" s="325" t="str">
        <f>IFERROR(__xludf.DUMMYFUNCTION("""COMPUTED_VALUE"""),"01047081234")</f>
        <v>01047081234</v>
      </c>
      <c r="F27" s="325" t="str">
        <f>IFERROR(__xludf.DUMMYFUNCTION("""COMPUTED_VALUE"""),"없음")</f>
        <v>없음</v>
      </c>
      <c r="G27" s="325" t="str">
        <f>IFERROR(__xludf.DUMMYFUNCTION("""COMPUTED_VALUE"""),"소자본창업")</f>
        <v>소자본창업</v>
      </c>
      <c r="H27" s="325" t="str">
        <f>IFERROR(__xludf.DUMMYFUNCTION("""COMPUTED_VALUE"""),"유튜브를 해보기로 결심했는데 그 전에 컨텐츠에대한 확신을 갖고자")</f>
        <v>유튜브를 해보기로 결심했는데 그 전에 컨텐츠에대한 확신을 갖고자</v>
      </c>
      <c r="I27" s="325" t="str">
        <f>IFERROR(__xludf.DUMMYFUNCTION("""COMPUTED_VALUE"""),"자본없이 월매출 3.3억원의 대형횟집 인수")</f>
        <v>자본없이 월매출 3.3억원의 대형횟집 인수</v>
      </c>
      <c r="J27" s="325" t="str">
        <f>IFERROR(__xludf.DUMMYFUNCTION("""COMPUTED_VALUE"""),"소자본으로 시작해 몇억원 상당의 매장을 확보")</f>
        <v>소자본으로 시작해 몇억원 상당의 매장을 확보</v>
      </c>
      <c r="K27" s="325" t="str">
        <f>IFERROR(__xludf.DUMMYFUNCTION("""COMPUTED_VALUE"""),"소자본으로 창업가능")</f>
        <v>소자본으로 창업가능</v>
      </c>
      <c r="L27" s="755" t="str">
        <f>IFERROR(__xludf.DUMMYFUNCTION("""COMPUTED_VALUE"""),"https://www.instagram.com/always_hungry92?igsh=MXhodnZvNzdpaWZlMA==")</f>
        <v>https://www.instagram.com/always_hungry92?igsh=MXhodnZvNzdpaWZlMA==</v>
      </c>
      <c r="M27" s="681" t="s">
        <v>29</v>
      </c>
    </row>
    <row r="28">
      <c r="A28" s="88">
        <v>24.0</v>
      </c>
      <c r="B28" s="754">
        <f>IFERROR(__xludf.DUMMYFUNCTION("""COMPUTED_VALUE"""),46040.917326469906)</f>
        <v>46040.91733</v>
      </c>
      <c r="C28" s="325" t="str">
        <f>IFERROR(__xludf.DUMMYFUNCTION("""COMPUTED_VALUE"""),"정태옥")</f>
        <v>정태옥</v>
      </c>
      <c r="D28" s="325" t="str">
        <f>IFERROR(__xludf.DUMMYFUNCTION("""COMPUTED_VALUE"""),"월드유니")</f>
        <v>월드유니</v>
      </c>
      <c r="E28" s="325" t="str">
        <f>IFERROR(__xludf.DUMMYFUNCTION("""COMPUTED_VALUE"""),"01057529004")</f>
        <v>01057529004</v>
      </c>
      <c r="F28" s="325" t="str">
        <f>IFERROR(__xludf.DUMMYFUNCTION("""COMPUTED_VALUE"""),"없음")</f>
        <v>없음</v>
      </c>
      <c r="G28" s="325">
        <f>IFERROR(__xludf.DUMMYFUNCTION("""COMPUTED_VALUE"""),1.0)</f>
        <v>1</v>
      </c>
      <c r="H28" s="325" t="str">
        <f>IFERROR(__xludf.DUMMYFUNCTION("""COMPUTED_VALUE"""),"부업하고싶어서요 나 답게 살고싶어요")</f>
        <v>부업하고싶어서요 나 답게 살고싶어요</v>
      </c>
      <c r="I28" s="325" t="str">
        <f>IFERROR(__xludf.DUMMYFUNCTION("""COMPUTED_VALUE"""),"없음")</f>
        <v>없음</v>
      </c>
      <c r="J28" s="325" t="str">
        <f>IFERROR(__xludf.DUMMYFUNCTION("""COMPUTED_VALUE"""),"없음")</f>
        <v>없음</v>
      </c>
      <c r="K28" s="325" t="str">
        <f>IFERROR(__xludf.DUMMYFUNCTION("""COMPUTED_VALUE"""),"없음")</f>
        <v>없음</v>
      </c>
      <c r="L28" s="325" t="str">
        <f>IFERROR(__xludf.DUMMYFUNCTION("""COMPUTED_VALUE"""),"인스타그램과 페이스북에 글올리기")</f>
        <v>인스타그램과 페이스북에 글올리기</v>
      </c>
      <c r="M28" s="681" t="s">
        <v>29</v>
      </c>
    </row>
    <row r="29">
      <c r="A29" s="88">
        <v>25.0</v>
      </c>
      <c r="B29" s="754">
        <f>IFERROR(__xludf.DUMMYFUNCTION("""COMPUTED_VALUE"""),46040.9483262963)</f>
        <v>46040.94833</v>
      </c>
      <c r="C29" s="325" t="str">
        <f>IFERROR(__xludf.DUMMYFUNCTION("""COMPUTED_VALUE"""),"최성복")</f>
        <v>최성복</v>
      </c>
      <c r="D29" s="325" t="str">
        <f>IFERROR(__xludf.DUMMYFUNCTION("""COMPUTED_VALUE"""),"아토")</f>
        <v>아토</v>
      </c>
      <c r="E29" s="325" t="str">
        <f>IFERROR(__xludf.DUMMYFUNCTION("""COMPUTED_VALUE"""),"01086494141")</f>
        <v>01086494141</v>
      </c>
      <c r="F29" s="325" t="str">
        <f>IFERROR(__xludf.DUMMYFUNCTION("""COMPUTED_VALUE"""),"없음")</f>
        <v>없음</v>
      </c>
      <c r="G29" s="325" t="str">
        <f>IFERROR(__xludf.DUMMYFUNCTION("""COMPUTED_VALUE"""),"법무사 사무장으로 2006년부터 20년 정도 근무했고, 전라북도 전주에서 일반 부동산경매 &amp; NPL 경매
컨설팅을 현재  오프라인으로 현업을 하고 있습니다
이론보다는  실무에서는 100%  경험을 바탕으로 강의 가능합니다^^
유튜로 홍보영상  관심가지고 있다가
요즘 쇼츠에 관심이 있다보니  수강도 하게 되었습니다
2번은  지금도 가능하고
1번은 이번에 수강했으니  수료후  수익창출되면 가능하지 않을까요?^^")</f>
        <v>법무사 사무장으로 2006년부터 20년 정도 근무했고, 전라북도 전주에서 일반 부동산경매 &amp; NPL 경매
컨설팅을 현재  오프라인으로 현업을 하고 있습니다
이론보다는  실무에서는 100%  경험을 바탕으로 강의 가능합니다^^
유튜로 홍보영상  관심가지고 있다가
요즘 쇼츠에 관심이 있다보니  수강도 하게 되었습니다
2번은  지금도 가능하고
1번은 이번에 수강했으니  수료후  수익창출되면 가능하지 않을까요?^^</v>
      </c>
      <c r="H29" s="325" t="str">
        <f>IFERROR(__xludf.DUMMYFUNCTION("""COMPUTED_VALUE"""),"특별한게 있을줄 알고  호기심등으로  부동산 강의를 들어 봤는데
실무에 대한 경험들이  너무 부족함에 아쉬웠습니다
동기는 실무경험이 아닌  이론등 만을  제공함에 안따까움이  있었습니다
한두번 투자 경험이 전부인듯  강의함에 아쉬움이  있었습니다
장점은  전라도 사투리로 100%경험을 바탕으로 강의를 할 수 있다는게 장점으로 생각됩니다
단 커리큘럼을  만드는건 자신이 없습니다")</f>
        <v>특별한게 있을줄 알고  호기심등으로  부동산 강의를 들어 봤는데
실무에 대한 경험들이  너무 부족함에 아쉬웠습니다
동기는 실무경험이 아닌  이론등 만을  제공함에 안따까움이  있었습니다
한두번 투자 경험이 전부인듯  강의함에 아쉬움이  있었습니다
장점은  전라도 사투리로 100%경험을 바탕으로 강의를 할 수 있다는게 장점으로 생각됩니다
단 커리큘럼을  만드는건 자신이 없습니다</v>
      </c>
      <c r="I29" s="325" t="str">
        <f>IFERROR(__xludf.DUMMYFUNCTION("""COMPUTED_VALUE"""),"2. 2006년부터  법무사, 변호사  사무실의  사무장으로 근무하면서
고객들  자산  증진에  상담및 견설팅을 하다가
저도 돈벌고 싶어서  저를 위한 경매, 급매, npl  시작하여
현재는 
(주)아토종합건설  :  건설업 /  현  대표이사
포레온(주)  : 골프카트 제조업 /  현 대표이사
(주)나비테크 :  부동산 컨설팅  /  현 대표이사
부동산은 개인 법인포함  자산 250억  /  순자산 60억")</f>
        <v>2. 2006년부터  법무사, 변호사  사무실의  사무장으로 근무하면서
고객들  자산  증진에  상담및 견설팅을 하다가
저도 돈벌고 싶어서  저를 위한 경매, 급매, npl  시작하여
현재는 
(주)아토종합건설  :  건설업 /  현  대표이사
포레온(주)  : 골프카트 제조업 /  현 대표이사
(주)나비테크 :  부동산 컨설팅  /  현 대표이사
부동산은 개인 법인포함  자산 250억  /  순자산 60억</v>
      </c>
      <c r="J29" s="325" t="str">
        <f>IFERROR(__xludf.DUMMYFUNCTION("""COMPUTED_VALUE"""),"1번은 이제  첫수강
2번:  많은  사례 있음")</f>
        <v>1번은 이제  첫수강
2번:  많은  사례 있음</v>
      </c>
      <c r="K29" s="325" t="str">
        <f>IFERROR(__xludf.DUMMYFUNCTION("""COMPUTED_VALUE"""),"2 . 실질적인  실전 투자 방법 제시 :  현재도 주변에서 하고 있는 방법  실시간 경험 및  사례")</f>
        <v>2 . 실질적인  실전 투자 방법 제시 :  현재도 주변에서 하고 있는 방법  실시간 경험 및  사례</v>
      </c>
      <c r="L29" s="325" t="str">
        <f>IFERROR(__xludf.DUMMYFUNCTION("""COMPUTED_VALUE"""),"별도 활동 없음")</f>
        <v>별도 활동 없음</v>
      </c>
      <c r="M29" s="681" t="s">
        <v>29</v>
      </c>
    </row>
    <row r="30">
      <c r="A30" s="88">
        <v>26.0</v>
      </c>
      <c r="B30" s="754">
        <f>IFERROR(__xludf.DUMMYFUNCTION("""COMPUTED_VALUE"""),46041.6688696875)</f>
        <v>46041.66887</v>
      </c>
      <c r="C30" s="325" t="str">
        <f>IFERROR(__xludf.DUMMYFUNCTION("""COMPUTED_VALUE"""),"조헌탁")</f>
        <v>조헌탁</v>
      </c>
      <c r="D30" s="325" t="str">
        <f>IFERROR(__xludf.DUMMYFUNCTION("""COMPUTED_VALUE"""),"머나야")</f>
        <v>머나야</v>
      </c>
      <c r="E30" s="325" t="str">
        <f>IFERROR(__xludf.DUMMYFUNCTION("""COMPUTED_VALUE"""),"01044284077")</f>
        <v>01044284077</v>
      </c>
      <c r="F30"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G30" s="325" t="str">
        <f>IFERROR(__xludf.DUMMYFUNCTION("""COMPUTED_VALUE"""),"유튜브수익승인채널증정과 동시에 유튜브크리에터 레슨(곧바로 수익)")</f>
        <v>유튜브수익승인채널증정과 동시에 유튜브크리에터 레슨(곧바로 수익)</v>
      </c>
      <c r="H30" s="325" t="str">
        <f>IFERROR(__xludf.DUMMYFUNCTION("""COMPUTED_VALUE"""),"네이버에 제 이름 치면 저서들이 있고 그것들로 강의하다 최근 숨고에서 수익채널증정및 1:1레슨 두달 하니 수익이 좋았습니다. 도중에, 그룹레슨을 한번하다보니 수익이 점프하길래 수강생 잘 모아주실 곳을 찾다 여기에 신청하게 되었습니다.")</f>
        <v>네이버에 제 이름 치면 저서들이 있고 그것들로 강의하다 최근 숨고에서 수익채널증정및 1:1레슨 두달 하니 수익이 좋았습니다. 도중에, 그룹레슨을 한번하다보니 수익이 점프하길래 수강생 잘 모아주실 곳을 찾다 여기에 신청하게 되었습니다.</v>
      </c>
      <c r="I30" s="325" t="str">
        <f>IFERROR(__xludf.DUMMYFUNCTION("""COMPUTED_VALUE"""),"저서 두권
머니야마니야 파블로 운영
월천 블로그 운영")</f>
        <v>저서 두권
머니야마니야 파블로 운영
월천 블로그 운영</v>
      </c>
      <c r="J30" s="325" t="str">
        <f>IFERROR(__xludf.DUMMYFUNCTION("""COMPUTED_VALUE"""),"강의 시작동시에 수익채널 확보
지금은 수익채널로 구독자 80만등 만드는 방법 제시
Ai툴 사용 및 자동화 교육 가능(make)")</f>
        <v>강의 시작동시에 수익채널 확보
지금은 수익채널로 구독자 80만등 만드는 방법 제시
Ai툴 사용 및 자동화 교육 가능(make)</v>
      </c>
      <c r="K30" s="325" t="str">
        <f>IFERROR(__xludf.DUMMYFUNCTION("""COMPUTED_VALUE"""),"강의 시작동시에 수익채널 확보
지금은 수익채널로 구독자 80만등 만드는 방법 제시
Ai툴 사용 및 자동화 교육 가능(make)")</f>
        <v>강의 시작동시에 수익채널 확보
지금은 수익채널로 구독자 80만등 만드는 방법 제시
Ai툴 사용 및 자동화 교육 가능(make)</v>
      </c>
      <c r="L30" s="755" t="str">
        <f>IFERROR(__xludf.DUMMYFUNCTION("""COMPUTED_VALUE"""),"https://aistein24.com")</f>
        <v>https://aistein24.com</v>
      </c>
      <c r="M30" s="681" t="s">
        <v>29</v>
      </c>
    </row>
    <row r="31">
      <c r="A31" s="88">
        <v>27.0</v>
      </c>
      <c r="B31" s="754">
        <f>IFERROR(__xludf.DUMMYFUNCTION("""COMPUTED_VALUE"""),46043.55970467592)</f>
        <v>46043.5597</v>
      </c>
      <c r="C31" s="325" t="str">
        <f>IFERROR(__xludf.DUMMYFUNCTION("""COMPUTED_VALUE"""),"김동훈")</f>
        <v>김동훈</v>
      </c>
      <c r="D31" s="325" t="str">
        <f>IFERROR(__xludf.DUMMYFUNCTION("""COMPUTED_VALUE"""),"김싸부")</f>
        <v>김싸부</v>
      </c>
      <c r="E31" s="325" t="str">
        <f>IFERROR(__xludf.DUMMYFUNCTION("""COMPUTED_VALUE"""),"01093477264")</f>
        <v>01093477264</v>
      </c>
      <c r="F31"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G31" s="325" t="str">
        <f>IFERROR(__xludf.DUMMYFUNCTION("""COMPUTED_VALUE"""),"1) AI를 활용한 (건강식품) 온라인 판매의 모든 것 
2) ""남는재고까지 케어? 제조부터 재고 0개까지 보장락!""
3) 역대급 마진! 아무나 못파는 상품으로 연금만들기  
4) 노베이스도 가능한 AI 건강식품의 모든 것  ")</f>
        <v>1) AI를 활용한 (건강식품) 온라인 판매의 모든 것 
2) "남는재고까지 케어? 제조부터 재고 0개까지 보장락!"
3) 역대급 마진! 아무나 못파는 상품으로 연금만들기  
4) 노베이스도 가능한 AI 건강식품의 모든 것  </v>
      </c>
      <c r="H31" s="325" t="str">
        <f>IFERROR(__xludf.DUMMYFUNCTION("""COMPUTED_VALUE"""),"업력 17년차로 약 2천명이 넘는 회원들을 직접 교육하고, 월 8억 이상 매출의 
도매몰을 운영중입니다.
그 과정에서 ‘수백~수천 개 재고를 떠안은 채 OEM 제조를 진행했지만,
마케팅 부족과 경험 부족으로 온라인 시장에서 어려움을 겪는 수많은 
초보 판매자들’을 직접 마주해왔습니다
그분들이 제조 이후 시장에 혼자 내몰려 피드백도, 조언도 없이 방황하는 현실을 보며,
실질적으로 ‘끝까지 책임지는 교육’을 제공해야겠다는 확신이 "&amp;"들었습니다.
그래서 재고와 비용 부담 없이 자신의 브랜드를 안정적으로 런칭할 수 있도록 
돕기 위해 지원하게 되었습니다.
요즘 수많은 부업의 종류가 나오면서 많은 분들이 유튜브, 블로그, 쿠팡, 이커머스를 도전하고 있기에 저는 온라인 시장은 꼭 한 번 경험해봐야 한다고 생각합니다 특히 경제적인 수익을 
만들고자 하시는 분들이라면 더욱 그렇습니다 
많은 분들이 돈을 못 버는 게 아니라 단지 방법을 몰라서 지금까지 벌지 못했을 뿐이라고 
느낍니"&amp;"다  그동안 기회를 알지 못해 그냥 지나쳤을 뿐이고 한 번 구조를 이해하고 나면 충분히 누구나 결과를 만들 수 있습니다 
실제로 부업이나 사업을 통해 월 1000만원 이상 성과를 내고 계신 분들을
제 눈으로 계속 보고 있습니다
중요한 건 무엇을 하느냐 보다 어떻게 하느냐 라고 생각합니다 
온라인 판매 부업 시장의 가장 큰 문제는 기초·심화 교육의 부재와 재고에 대한 
실질적 리스크입니다
일부 강의는 커리큘럼 이후 단톡방이나 메일 등 제한적인 방식으"&amp;"로만 소통하며,
정작 가장 현실적인 문제인 제조 후 재고 처리, 유통, 법적 대응에 대해서는
온전히 판매자 개인의 책임으로 돌아가는 것이 현재상황인것 같습니다.
하지만 저희는 oem제조는 끝이아닌 시작이라고 생각합니다.
제조 이후부터가 본격적인 책임의 시작이라 생각하며 도매몰을 통한 제품판매기회와 함께
추후 남은 물량을 재사입함으로써 끝까지 사후관리까지 체계적으로 제공함으로써,
수강생이 처음부터 끝까지 실제로 제품을 만들고, 팔고, 성장할 수"&amp;" 있는 구조를 만들어드립니다.
이런 실전형 시스템이 저의 가장 큰 강점이며, 바로 이것이 제가 강사로 
지원하게 된 가장 큰 계기입니다.
저희는 노베이스 왕초보를 대상으로 진행을 하고 있기 때문에 수강생들은
건강식품 뿐만 아니라 온라인에서 나는 무엇이든 팔 수 있겠다 라는 자신감을 
심어줄 자신이 있습니다
또한 부업으로 100만원 이상의 수익 더 나아가 나만의 제품으로 연금처럼 나오는 
수익화를 만들어낼 수 있습니다. ")</f>
        <v>업력 17년차로 약 2천명이 넘는 회원들을 직접 교육하고, 월 8억 이상 매출의 
도매몰을 운영중입니다.
그 과정에서 ‘수백~수천 개 재고를 떠안은 채 OEM 제조를 진행했지만,
마케팅 부족과 경험 부족으로 온라인 시장에서 어려움을 겪는 수많은 
초보 판매자들’을 직접 마주해왔습니다
그분들이 제조 이후 시장에 혼자 내몰려 피드백도, 조언도 없이 방황하는 현실을 보며,
실질적으로 ‘끝까지 책임지는 교육’을 제공해야겠다는 확신이 들었습니다.
그래서 재고와 비용 부담 없이 자신의 브랜드를 안정적으로 런칭할 수 있도록 
돕기 위해 지원하게 되었습니다.
요즘 수많은 부업의 종류가 나오면서 많은 분들이 유튜브, 블로그, 쿠팡, 이커머스를 도전하고 있기에 저는 온라인 시장은 꼭 한 번 경험해봐야 한다고 생각합니다 특히 경제적인 수익을 
만들고자 하시는 분들이라면 더욱 그렇습니다 
많은 분들이 돈을 못 버는 게 아니라 단지 방법을 몰라서 지금까지 벌지 못했을 뿐이라고 
느낍니다  그동안 기회를 알지 못해 그냥 지나쳤을 뿐이고 한 번 구조를 이해하고 나면 충분히 누구나 결과를 만들 수 있습니다 
실제로 부업이나 사업을 통해 월 1000만원 이상 성과를 내고 계신 분들을
제 눈으로 계속 보고 있습니다
중요한 건 무엇을 하느냐 보다 어떻게 하느냐 라고 생각합니다 
온라인 판매 부업 시장의 가장 큰 문제는 기초·심화 교육의 부재와 재고에 대한 
실질적 리스크입니다
일부 강의는 커리큘럼 이후 단톡방이나 메일 등 제한적인 방식으로만 소통하며,
정작 가장 현실적인 문제인 제조 후 재고 처리, 유통, 법적 대응에 대해서는
온전히 판매자 개인의 책임으로 돌아가는 것이 현재상황인것 같습니다.
하지만 저희는 oem제조는 끝이아닌 시작이라고 생각합니다.
제조 이후부터가 본격적인 책임의 시작이라 생각하며 도매몰을 통한 제품판매기회와 함께
추후 남은 물량을 재사입함으로써 끝까지 사후관리까지 체계적으로 제공함으로써,
수강생이 처음부터 끝까지 실제로 제품을 만들고, 팔고, 성장할 수 있는 구조를 만들어드립니다.
이런 실전형 시스템이 저의 가장 큰 강점이며, 바로 이것이 제가 강사로 
지원하게 된 가장 큰 계기입니다.
저희는 노베이스 왕초보를 대상으로 진행을 하고 있기 때문에 수강생들은
건강식품 뿐만 아니라 온라인에서 나는 무엇이든 팔 수 있겠다 라는 자신감을 
심어줄 자신이 있습니다
또한 부업으로 100만원 이상의 수익 더 나아가 나만의 제품으로 연금처럼 나오는 
수익화를 만들어낼 수 있습니다. </v>
      </c>
      <c r="I31" s="325" t="str">
        <f>IFERROR(__xludf.DUMMYFUNCTION("""COMPUTED_VALUE"""),"저희는 자체 건강식품 도매몰을 통해 위탁 및 소량 oem을 진행하고 있습니다.
현재기준 최대 연매출: 100억 이상
최대 월매출: 9억
현재 월매출: 8억")</f>
        <v>저희는 자체 건강식품 도매몰을 통해 위탁 및 소량 oem을 진행하고 있습니다.
현재기준 최대 연매출: 100억 이상
최대 월매출: 9억
현재 월매출: 8억</v>
      </c>
      <c r="J31" s="325" t="str">
        <f>IFERROR(__xludf.DUMMYFUNCTION("""COMPUTED_VALUE"""),"그리고 직접 교육 및 컨설팅했던 판매자분들 매출은 아래와 같습니다.
판매자1: 24년 10.18 ~ 11.17일 기준 - 약 1억 5천만원
판매자2: 25년 1월기준 - 약 1억 9천 / 2월기준 - 약 2억 4천
판매자3: 25년 2월 기준 - 약 1억
판매자4: 24년 1월 기준 - 약 1억
판매자5 : 25년 8월 기준 - 약 5천만원
판매자6 : 25년 9월 기준 - 약 3천만원
판매자7 : 25년 10월 기준 - 약 5천만원
*이 외에도 수많"&amp;"은 수강생들이 계속해서 성과를 내고 있습니다!")</f>
        <v>그리고 직접 교육 및 컨설팅했던 판매자분들 매출은 아래와 같습니다.
판매자1: 24년 10.18 ~ 11.17일 기준 - 약 1억 5천만원
판매자2: 25년 1월기준 - 약 1억 9천 / 2월기준 - 약 2억 4천
판매자3: 25년 2월 기준 - 약 1억
판매자4: 24년 1월 기준 - 약 1억
판매자5 : 25년 8월 기준 - 약 5천만원
판매자6 : 25년 9월 기준 - 약 3천만원
판매자7 : 25년 10월 기준 - 약 5천만원
*이 외에도 수많은 수강생들이 계속해서 성과를 내고 있습니다!</v>
      </c>
      <c r="K31" s="325" t="str">
        <f>IFERROR(__xludf.DUMMYFUNCTION("""COMPUTED_VALUE"""),"수강생은 단순히 OEM 제조 방법이나 이론 지식이 아닌,
실제로 제품을 만들고, 유통시키고, 수익을 창출하는 전 과정을 경험할 수 있습니다
 1. 소량 OEM으로 자신만의 브랜드 제품을 직접 출시하게 되며,
 단순 제작에 그치지 않고 실제 도매몰에 입점하여 판매까지 연결됩니다
2. 재고 리스크 없는 안심 구조로 제품이 남더라도 자사 도매몰에서 재사입 시스템을 운영하여,초보자들이 가장 두려워하는 ‘재고 부담’ 없이 안정적으로 사업을 시작"&amp;"할 수 있습니다
3. 1:1 맞춤 피드백과 실전 중심 교육
제조 전 단계부터 전문가의 개별 피드백을 받을 수 있습니다
저희는 제조 이후까지 책임지는 '사후관리형 교육' 입니다
강의 이후에도 단순한 소통이 아닌, 실질적인 판매 기회 제공과 운영 지원을 통해
제조만 해놓고 끝나는 강의’와는 다른 진짜 창업 경험을 제공합니다
이 강의를 수강한 분들은 단순한 지식 전달이 아닌,
경쟁력 있는 판매자로서 온라인창업과 마케팅까지 온라인 관"&amp;"련 정보를 함께 얻을 수 있어,
건강식품 뿐만 아니라 다른 카테고리의 상품들에게 적용하여 추가적인 수입을 얻을 수 있습니다.
")</f>
        <v>수강생은 단순히 OEM 제조 방법이나 이론 지식이 아닌,
실제로 제품을 만들고, 유통시키고, 수익을 창출하는 전 과정을 경험할 수 있습니다
 1. 소량 OEM으로 자신만의 브랜드 제품을 직접 출시하게 되며,
 단순 제작에 그치지 않고 실제 도매몰에 입점하여 판매까지 연결됩니다
2. 재고 리스크 없는 안심 구조로 제품이 남더라도 자사 도매몰에서 재사입 시스템을 운영하여,초보자들이 가장 두려워하는 ‘재고 부담’ 없이 안정적으로 사업을 시작할 수 있습니다
3. 1:1 맞춤 피드백과 실전 중심 교육
제조 전 단계부터 전문가의 개별 피드백을 받을 수 있습니다
저희는 제조 이후까지 책임지는 '사후관리형 교육' 입니다
강의 이후에도 단순한 소통이 아닌, 실질적인 판매 기회 제공과 운영 지원을 통해
제조만 해놓고 끝나는 강의’와는 다른 진짜 창업 경험을 제공합니다
이 강의를 수강한 분들은 단순한 지식 전달이 아닌,
경쟁력 있는 판매자로서 온라인창업과 마케팅까지 온라인 관련 정보를 함께 얻을 수 있어,
건강식품 뿐만 아니라 다른 카테고리의 상품들에게 적용하여 추가적인 수입을 얻을 수 있습니다.
</v>
      </c>
      <c r="L31" s="325" t="str">
        <f>IFERROR(__xludf.DUMMYFUNCTION("""COMPUTED_VALUE"""),"1. 네이버카페 : https://cafe.naver.com/mskorea2010 2. 유튜브 : https://www.youtube.com/@msgood4u1 3. 인스타 : https://www.instagram.com/ms._.center 4. 자체 도매몰 : https://www.msgood4u.com")</f>
        <v>1. 네이버카페 : https://cafe.naver.com/mskorea2010 2. 유튜브 : https://www.youtube.com/@msgood4u1 3. 인스타 : https://www.instagram.com/ms._.center 4. 자체 도매몰 : https://www.msgood4u.com</v>
      </c>
      <c r="M31" s="681" t="s">
        <v>29</v>
      </c>
    </row>
    <row r="32">
      <c r="A32" s="88">
        <v>28.0</v>
      </c>
      <c r="B32" s="754">
        <f>IFERROR(__xludf.DUMMYFUNCTION("""COMPUTED_VALUE"""),46048.743111539356)</f>
        <v>46048.74311</v>
      </c>
      <c r="C32" s="325" t="str">
        <f>IFERROR(__xludf.DUMMYFUNCTION("""COMPUTED_VALUE"""),"서미선")</f>
        <v>서미선</v>
      </c>
      <c r="D32" s="325" t="str">
        <f>IFERROR(__xludf.DUMMYFUNCTION("""COMPUTED_VALUE"""),"소규모 유튜브 / 별님")</f>
        <v>소규모 유튜브 / 별님</v>
      </c>
      <c r="E32" s="325" t="str">
        <f>IFERROR(__xludf.DUMMYFUNCTION("""COMPUTED_VALUE"""),"010-5296-1215")</f>
        <v>010-5296-1215</v>
      </c>
      <c r="F32" s="325" t="str">
        <f>IFERROR(__xludf.DUMMYFUNCTION("""COMPUTED_VALUE"""),"없음")</f>
        <v>없음</v>
      </c>
      <c r="G32" s="325" t="str">
        <f>IFERROR(__xludf.DUMMYFUNCTION("""COMPUTED_VALUE"""),"유튜브 수익화(슈퍼챗·후원)와 구매대행, AI를 활용한 실행 중심의 현실적인 수익화 방법")</f>
        <v>유튜브 수익화(슈퍼챗·후원)와 구매대행, AI를 활용한 실행 중심의 현실적인 수익화 방법</v>
      </c>
      <c r="H32" s="325" t="str">
        <f>IFERROR(__xludf.DUMMYFUNCTION("""COMPUTED_VALUE"""),"1) 지원동기 및 계기: 수익화 강의들을 수강하며, 단순한 정보 전달을 넘어 이 내용을 어떻게 하면 수강생이 실제 실행까지 이어갈 수 있을지를 계속 고민하게 되었습니다.
강의를 들으며 많은 수강생들이 의지는 있지만, 시작 방법을 몰라 망설이거나 중간에 포기하는 경우가 많다는 점을 느꼈고, 이 부분에서 수강생의 눈높이에 맞춰 구조를 정리하고 실행을 돕는 역할이 필요하다고 생각했습니다.
그 계기로 머니업클래스 강사에 지원하게 되었습니다.
2) 장점 :"&amp;" 저는 항공사 객실승무원으로 입사하여 한 회사에서 35년간 근무하며, 고객 응대와 서비스 교육, 조직 관리 업무를 수행해 왔습니다.
특히 최근 몇 년간은 승무원 관리 및 멘토링 역할을 맡아, 사람을 이해하고 성장 방향을 제시하는 역할을 지속해 왔습니다.
또한 주일학교 교사 및 각종 행사 진행 경험을 통해, 연령과 수준에 맞게 내용을 전달하고 분위기를 이끄는 데 익숙합니다.
이러한 경험은 강의 전달력과 수강생 공감 능력이라는 강점으로 이어졌다고 생각"&amp;"합니다.
강사로 지원한 이유는 단순한 강의 진행을 넘어, 수익화 강의 운영 구조와 노하우를 직접 체득하고, 향후 제가 경험한 시행착오와 실전 과정을 바탕으로 보다 현실적인 수익화 강의를 만들고 싶었으며,
이론 중심이 아닌, 실제 삶과 병행 가능한 수익화 방법을 전달하는 강사가 되고자 지원하게 되었습니다.")</f>
        <v>1) 지원동기 및 계기: 수익화 강의들을 수강하며, 단순한 정보 전달을 넘어 이 내용을 어떻게 하면 수강생이 실제 실행까지 이어갈 수 있을지를 계속 고민하게 되었습니다.
강의를 들으며 많은 수강생들이 의지는 있지만, 시작 방법을 몰라 망설이거나 중간에 포기하는 경우가 많다는 점을 느꼈고, 이 부분에서 수강생의 눈높이에 맞춰 구조를 정리하고 실행을 돕는 역할이 필요하다고 생각했습니다.
그 계기로 머니업클래스 강사에 지원하게 되었습니다.
2) 장점 : 저는 항공사 객실승무원으로 입사하여 한 회사에서 35년간 근무하며, 고객 응대와 서비스 교육, 조직 관리 업무를 수행해 왔습니다.
특히 최근 몇 년간은 승무원 관리 및 멘토링 역할을 맡아, 사람을 이해하고 성장 방향을 제시하는 역할을 지속해 왔습니다.
또한 주일학교 교사 및 각종 행사 진행 경험을 통해, 연령과 수준에 맞게 내용을 전달하고 분위기를 이끄는 데 익숙합니다.
이러한 경험은 강의 전달력과 수강생 공감 능력이라는 강점으로 이어졌다고 생각합니다.
강사로 지원한 이유는 단순한 강의 진행을 넘어, 수익화 강의 운영 구조와 노하우를 직접 체득하고, 향후 제가 경험한 시행착오와 실전 과정을 바탕으로 보다 현실적인 수익화 강의를 만들고 싶었으며,
이론 중심이 아닌, 실제 삶과 병행 가능한 수익화 방법을 전달하는 강사가 되고자 지원하게 되었습니다.</v>
      </c>
      <c r="I32" s="325" t="str">
        <f>IFERROR(__xludf.DUMMYFUNCTION("""COMPUTED_VALUE"""),"1)항공사 객실승무원으로 입사 후 다양한 파트 업무 경험 및 35년간 동일 회사 근무, 고객 응대 및 현장 운영 경험 축적
2)신입 및 경력 승무원 수백 명 이상 교육·코칭·멘토링 수행
3)최근 몇 년간 승무원 관리 담당으로 고충 상담 지속 수행
4)주일학교 교사 및 행사 진행 경험을 통해 연령대가 다른 인원 수십~수백 명 대상 교육·진행 경험 다수
5)장기간 근무 및 관리 경험을 바탕으로 조직 내 서비스 품질 유지와 현장 안정화에 기여")</f>
        <v>1)항공사 객실승무원으로 입사 후 다양한 파트 업무 경험 및 35년간 동일 회사 근무, 고객 응대 및 현장 운영 경험 축적
2)신입 및 경력 승무원 수백 명 이상 교육·코칭·멘토링 수행
3)최근 몇 년간 승무원 관리 담당으로 고충 상담 지속 수행
4)주일학교 교사 및 행사 진행 경험을 통해 연령대가 다른 인원 수십~수백 명 대상 교육·진행 경험 다수
5)장기간 근무 및 관리 경험을 바탕으로 조직 내 서비스 품질 유지와 현장 안정화에 기여</v>
      </c>
      <c r="J32" s="325" t="str">
        <f>IFERROR(__xludf.DUMMYFUNCTION("""COMPUTED_VALUE"""),"현재는 수익화 강의를 본격적으로 적용하고 검증하는 초기 단계로, 수강생의 매출 성과를 수치로 만들어낸 사례는 아직 없습니다.
다만 개인적으로 유튜브 활동을 통해, 라이브 방송 중 슈퍼챗 및 계좌 후원 형태의 자발적 수익을 경험하였고, 콘텐츠에 대한 공감과 신뢰가 실제 수익으로 연결될 수 있다는 가능성을 직접 확인한 바 있습니다.
현재는 수익화 강의 내용을 기반으로 실행 구조를 정리하며, 향후 파일럿 형태의 적용과 성과 사례를 만들어 가는 단계에 있습"&amp;"니다.
")</f>
        <v>현재는 수익화 강의를 본격적으로 적용하고 검증하는 초기 단계로, 수강생의 매출 성과를 수치로 만들어낸 사례는 아직 없습니다.
다만 개인적으로 유튜브 활동을 통해, 라이브 방송 중 슈퍼챗 및 계좌 후원 형태의 자발적 수익을 경험하였고, 콘텐츠에 대한 공감과 신뢰가 실제 수익으로 연결될 수 있다는 가능성을 직접 확인한 바 있습니다.
현재는 수익화 강의 내용을 기반으로 실행 구조를 정리하며, 향후 파일럿 형태의 적용과 성과 사례를 만들어 가는 단계에 있습니다.
</v>
      </c>
      <c r="K32" s="325" t="str">
        <f>IFERROR(__xludf.DUMMYFUNCTION("""COMPUTED_VALUE"""),"1) 수익화 구조에 대한 이해를 통해, 본인 상황에 맞는 실행 가능한 수익화 방향을 설정할 수 있습니다.
2) 유튜브 및 콘텐츠 활동을 통해
‘콘텐츠 제작 → 공감 형성 → 신뢰 → 수익으로 연결되는 과정’을 이해하고, 슈퍼챗·후원·계좌 후원 등 초기 수익화 경험을 만들 수 있습니다.
3) 어디서부터 시작해야 할지 막막한 상태에서 벗어나, 단계별 실행 기준과 체크리스트를 통해 중간에 포기하지 않고 지속할 수 있는 힘을 얻게 됩니다.")</f>
        <v>1) 수익화 구조에 대한 이해를 통해, 본인 상황에 맞는 실행 가능한 수익화 방향을 설정할 수 있습니다.
2) 유튜브 및 콘텐츠 활동을 통해
‘콘텐츠 제작 → 공감 형성 → 신뢰 → 수익으로 연결되는 과정’을 이해하고, 슈퍼챗·후원·계좌 후원 등 초기 수익화 경험을 만들 수 있습니다.
3) 어디서부터 시작해야 할지 막막한 상태에서 벗어나, 단계별 실행 기준과 체크리스트를 통해 중간에 포기하지 않고 지속할 수 있는 힘을 얻게 됩니다.</v>
      </c>
      <c r="L32" s="325" t="str">
        <f>IFERROR(__xludf.DUMMYFUNCTION("""COMPUTED_VALUE"""),"https://www.youtube.com/@친절한별님 (추후 인스타그램 / 블로그 연계 예정)")</f>
        <v>https://www.youtube.com/@친절한별님 (추후 인스타그램 / 블로그 연계 예정)</v>
      </c>
      <c r="M32" s="681" t="s">
        <v>29</v>
      </c>
    </row>
    <row r="33">
      <c r="A33" s="88">
        <v>29.0</v>
      </c>
      <c r="B33" s="754">
        <f>IFERROR(__xludf.DUMMYFUNCTION("""COMPUTED_VALUE"""),46069.718399895835)</f>
        <v>46069.7184</v>
      </c>
      <c r="C33" s="325" t="str">
        <f>IFERROR(__xludf.DUMMYFUNCTION("""COMPUTED_VALUE"""),"정종섭")</f>
        <v>정종섭</v>
      </c>
      <c r="D33" s="325" t="str">
        <f>IFERROR(__xludf.DUMMYFUNCTION("""COMPUTED_VALUE"""),"서비쌤")</f>
        <v>서비쌤</v>
      </c>
      <c r="E33" s="325" t="str">
        <f>IFERROR(__xludf.DUMMYFUNCTION("""COMPUTED_VALUE"""),"010-5157-0072")</f>
        <v>010-5157-0072</v>
      </c>
      <c r="F33" s="325" t="str">
        <f>IFERROR(__xludf.DUMMYFUNCTION("""COMPUTED_VALUE"""),"없음")</f>
        <v>없음</v>
      </c>
      <c r="G33" s="325" t="str">
        <f>IFERROR(__xludf.DUMMYFUNCTION("""COMPUTED_VALUE"""),"라이브방송으로  돈을 버는 방법")</f>
        <v>라이브방송으로  돈을 버는 방법</v>
      </c>
      <c r="H33" s="325" t="str">
        <f>IFERROR(__xludf.DUMMYFUNCTION("""COMPUTED_VALUE"""),"남녀노소 누구나 라이브 방송으로 돈을 버는 방법을 쉽게 알려드리고자  지원하게  되었습니다.
  2010년 운동중 부상으로 6개월간 병원입원 및 허리수술 4회 받고 하반신 마비 판정으로 1년6개월 기어다니면서 재활로  지금은 일반 사람과 같이 생활하고  있습니다.
장점은 긍적적인 마이드와 꾸준함입니다 .
*맨발수상스키 방송출연*
2010년 독일 rbb공영방송 출연
2016년sbs 세상의 이런일이
kbs,mbc,nbn 등 다수 방송출연 
")</f>
        <v>남녀노소 누구나 라이브 방송으로 돈을 버는 방법을 쉽게 알려드리고자  지원하게  되었습니다.
  2010년 운동중 부상으로 6개월간 병원입원 및 허리수술 4회 받고 하반신 마비 판정으로 1년6개월 기어다니면서 재활로  지금은 일반 사람과 같이 생활하고  있습니다.
장점은 긍적적인 마이드와 꾸준함입니다 .
*맨발수상스키 방송출연*
2010년 독일 rbb공영방송 출연
2016년sbs 세상의 이런일이
kbs,mbc,nbn 등 다수 방송출연 
</v>
      </c>
      <c r="I33" s="325" t="str">
        <f>IFERROR(__xludf.DUMMYFUNCTION("""COMPUTED_VALUE"""),"라이브방송으로  연매출 10억 ")</f>
        <v>라이브방송으로  연매출 10억 </v>
      </c>
      <c r="J33" s="325" t="str">
        <f>IFERROR(__xludf.DUMMYFUNCTION("""COMPUTED_VALUE"""),"라이브방송으로 월1천만원 수입달성")</f>
        <v>라이브방송으로 월1천만원 수입달성</v>
      </c>
      <c r="K33" s="325" t="str">
        <f>IFERROR(__xludf.DUMMYFUNCTION("""COMPUTED_VALUE"""),"1.자본금 없이 월1천 수입
2.자사몰 쉽게 만들기 
3.Ai를 이용한 상세페이지 만들기 
3.숏폼 쉽게 만드는 방법")</f>
        <v>1.자본금 없이 월1천 수입
2.자사몰 쉽게 만들기 
3.Ai를 이용한 상세페이지 만들기 
3.숏폼 쉽게 만드는 방법</v>
      </c>
      <c r="L33" s="325" t="str">
        <f>IFERROR(__xludf.DUMMYFUNCTION("""COMPUTED_VALUE"""),"https://www.youtube.com/@서비쌤")</f>
        <v>https://www.youtube.com/@서비쌤</v>
      </c>
      <c r="M33" s="681" t="s">
        <v>29</v>
      </c>
    </row>
    <row r="34">
      <c r="A34" s="88">
        <v>30.0</v>
      </c>
      <c r="B34" s="754">
        <f>IFERROR(__xludf.DUMMYFUNCTION("""COMPUTED_VALUE"""),46089.95031043982)</f>
        <v>46089.95031</v>
      </c>
      <c r="C34" s="325" t="str">
        <f>IFERROR(__xludf.DUMMYFUNCTION("""COMPUTED_VALUE"""),"최송이")</f>
        <v>최송이</v>
      </c>
      <c r="D34" s="325" t="str">
        <f>IFERROR(__xludf.DUMMYFUNCTION("""COMPUTED_VALUE"""),"현재없음 (배추도사로 할까 고민중)")</f>
        <v>현재없음 (배추도사로 할까 고민중)</v>
      </c>
      <c r="E34" s="325" t="str">
        <f>IFERROR(__xludf.DUMMYFUNCTION("""COMPUTED_VALUE"""),"01058778528")</f>
        <v>01058778528</v>
      </c>
      <c r="F34" s="325" t="str">
        <f>IFERROR(__xludf.DUMMYFUNCTION("""COMPUTED_VALUE"""),"없음")</f>
        <v>없음</v>
      </c>
      <c r="G34" s="325" t="str">
        <f>IFERROR(__xludf.DUMMYFUNCTION("""COMPUTED_VALUE"""),"무상정부지원금으로 5억받는 방법")</f>
        <v>무상정부지원금으로 5억받는 방법</v>
      </c>
      <c r="H34" s="325" t="str">
        <f>IFERROR(__xludf.DUMMYFUNCTION("""COMPUTED_VALUE"""),"다른 강사분강의를 보다가 ")</f>
        <v>다른 강사분강의를 보다가 </v>
      </c>
      <c r="I34" s="325" t="str">
        <f>IFERROR(__xludf.DUMMYFUNCTION("""COMPUTED_VALUE"""),"무자본으로 시작한 마케팅 대행사 연매출 5억달성/ 무상지원금 업체당 1억달성")</f>
        <v>무자본으로 시작한 마케팅 대행사 연매출 5억달성/ 무상지원금 업체당 1억달성</v>
      </c>
      <c r="J34" s="325" t="str">
        <f>IFERROR(__xludf.DUMMYFUNCTION("""COMPUTED_VALUE"""),"마케팅부업으로 개인 한달1000만원 매출달성/ 무상지원금 1억달성")</f>
        <v>마케팅부업으로 개인 한달1000만원 매출달성/ 무상지원금 1억달성</v>
      </c>
      <c r="K34" s="325" t="str">
        <f>IFERROR(__xludf.DUMMYFUNCTION("""COMPUTED_VALUE"""),"마케팅부업 한달 100-1000만원매출달성/ 무상지원금 1000만원달성")</f>
        <v>마케팅부업 한달 100-1000만원매출달성/ 무상지원금 1000만원달성</v>
      </c>
      <c r="L34" s="325" t="str">
        <f>IFERROR(__xludf.DUMMYFUNCTION("""COMPUTED_VALUE"""),"chois_rich")</f>
        <v>chois_rich</v>
      </c>
      <c r="M34" s="681" t="s">
        <v>29</v>
      </c>
    </row>
    <row r="35">
      <c r="A35" s="88">
        <v>31.0</v>
      </c>
      <c r="B35" s="754">
        <f>IFERROR(__xludf.DUMMYFUNCTION("""COMPUTED_VALUE"""),46090.485150416665)</f>
        <v>46090.48515</v>
      </c>
      <c r="C35" s="325" t="str">
        <f>IFERROR(__xludf.DUMMYFUNCTION("""COMPUTED_VALUE"""),"김성군")</f>
        <v>김성군</v>
      </c>
      <c r="D35" s="325" t="str">
        <f>IFERROR(__xludf.DUMMYFUNCTION("""COMPUTED_VALUE"""),"감성군")</f>
        <v>감성군</v>
      </c>
      <c r="E35" s="325" t="str">
        <f>IFERROR(__xludf.DUMMYFUNCTION("""COMPUTED_VALUE"""),"01053738803")</f>
        <v>01053738803</v>
      </c>
      <c r="F35" s="325" t="str">
        <f>IFERROR(__xludf.DUMMYFUNCTION("""COMPUTED_VALUE"""),"없음")</f>
        <v>없음</v>
      </c>
      <c r="G35" s="325" t="str">
        <f>IFERROR(__xludf.DUMMYFUNCTION("""COMPUTED_VALUE"""),"다배우고 싶어요")</f>
        <v>다배우고 싶어요</v>
      </c>
      <c r="H35" s="325" t="str">
        <f>IFERROR(__xludf.DUMMYFUNCTION("""COMPUTED_VALUE"""),"오프라인 강의")</f>
        <v>오프라인 강의</v>
      </c>
      <c r="I35" s="325" t="str">
        <f>IFERROR(__xludf.DUMMYFUNCTION("""COMPUTED_VALUE"""),"없음")</f>
        <v>없음</v>
      </c>
      <c r="J35" s="325" t="str">
        <f>IFERROR(__xludf.DUMMYFUNCTION("""COMPUTED_VALUE"""),"없어요")</f>
        <v>없어요</v>
      </c>
      <c r="K35" s="325" t="str">
        <f>IFERROR(__xludf.DUMMYFUNCTION("""COMPUTED_VALUE"""),"수익")</f>
        <v>수익</v>
      </c>
      <c r="L35" s="325" t="str">
        <f>IFERROR(__xludf.DUMMYFUNCTION("""COMPUTED_VALUE"""),"카톡")</f>
        <v>카톡</v>
      </c>
      <c r="M35" s="681" t="s">
        <v>29</v>
      </c>
    </row>
    <row r="36">
      <c r="A36" s="88">
        <v>32.0</v>
      </c>
      <c r="B36" s="754">
        <f>IFERROR(__xludf.DUMMYFUNCTION("""COMPUTED_VALUE"""),46096.7078606713)</f>
        <v>46096.70786</v>
      </c>
      <c r="C36" s="325" t="str">
        <f>IFERROR(__xludf.DUMMYFUNCTION("""COMPUTED_VALUE"""),"성병호")</f>
        <v>성병호</v>
      </c>
      <c r="D36" s="325" t="str">
        <f>IFERROR(__xludf.DUMMYFUNCTION("""COMPUTED_VALUE"""),"제주도준이")</f>
        <v>제주도준이</v>
      </c>
      <c r="E36" s="325" t="str">
        <f>IFERROR(__xludf.DUMMYFUNCTION("""COMPUTED_VALUE"""),"01035531828")</f>
        <v>01035531828</v>
      </c>
      <c r="F36" s="325" t="str">
        <f>IFERROR(__xludf.DUMMYFUNCTION("""COMPUTED_VALUE"""),"없음")</f>
        <v>없음</v>
      </c>
      <c r="G36" s="325" t="str">
        <f>IFERROR(__xludf.DUMMYFUNCTION("""COMPUTED_VALUE"""),"판매")</f>
        <v>판매</v>
      </c>
      <c r="H36" s="325" t="str">
        <f>IFERROR(__xludf.DUMMYFUNCTION("""COMPUTED_VALUE"""),"감귤판매")</f>
        <v>감귤판매</v>
      </c>
      <c r="I36" s="325" t="str">
        <f>IFERROR(__xludf.DUMMYFUNCTION("""COMPUTED_VALUE"""),"2억")</f>
        <v>2억</v>
      </c>
      <c r="J36" s="325" t="str">
        <f>IFERROR(__xludf.DUMMYFUNCTION("""COMPUTED_VALUE"""),"없음")</f>
        <v>없음</v>
      </c>
      <c r="K36" s="325" t="str">
        <f>IFERROR(__xludf.DUMMYFUNCTION("""COMPUTED_VALUE"""),"없음")</f>
        <v>없음</v>
      </c>
      <c r="L36" s="325" t="str">
        <f>IFERROR(__xludf.DUMMYFUNCTION("""COMPUTED_VALUE"""),"다음카페")</f>
        <v>다음카페</v>
      </c>
      <c r="M36" s="681" t="s">
        <v>29</v>
      </c>
    </row>
    <row r="37">
      <c r="A37" s="88">
        <v>33.0</v>
      </c>
      <c r="B37" s="754">
        <f>IFERROR(__xludf.DUMMYFUNCTION("""COMPUTED_VALUE"""),46106.99711943287)</f>
        <v>46106.99712</v>
      </c>
      <c r="C37" s="325" t="str">
        <f>IFERROR(__xludf.DUMMYFUNCTION("""COMPUTED_VALUE"""),"노진혁")</f>
        <v>노진혁</v>
      </c>
      <c r="D37" s="325" t="str">
        <f>IFERROR(__xludf.DUMMYFUNCTION("""COMPUTED_VALUE"""),"리치빌더")</f>
        <v>리치빌더</v>
      </c>
      <c r="E37" s="325" t="str">
        <f>IFERROR(__xludf.DUMMYFUNCTION("""COMPUTED_VALUE"""),"01036598533")</f>
        <v>01036598533</v>
      </c>
      <c r="F37"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G37" s="325" t="str">
        <f>IFERROR(__xludf.DUMMYFUNCTION("""COMPUTED_VALUE"""),"부동산 경매를 통해 주택 단기매도로 수익내는 방벚")</f>
        <v>부동산 경매를 통해 주택 단기매도로 수익내는 방벚</v>
      </c>
      <c r="H37" s="325" t="str">
        <f>IFERROR(__xludf.DUMMYFUNCTION("""COMPUTED_VALUE"""),"성과를 내는 것에 분명히 자신이 있고 확신이 있어 강의를 시작하게 되었습니다.
자체적으로 SNS를 통해 모객을 하였는데 생각만큼 모객이 잘 되지는 않았습니다.
제가 자체 제작한 플랫폼을 이용하여 수강생들은 수익을 내고 있습니다. 이를 SNS에 알리며 모객을 하였음에도 모객이 너무 안되어서 머니업클래스 강사로 지원하게 되었습니다.")</f>
        <v>성과를 내는 것에 분명히 자신이 있고 확신이 있어 강의를 시작하게 되었습니다.
자체적으로 SNS를 통해 모객을 하였는데 생각만큼 모객이 잘 되지는 않았습니다.
제가 자체 제작한 플랫폼을 이용하여 수강생들은 수익을 내고 있습니다. 이를 SNS에 알리며 모객을 하였음에도 모객이 너무 안되어서 머니업클래스 강사로 지원하게 되었습니다.</v>
      </c>
      <c r="I37" s="325" t="str">
        <f>IFERROR(__xludf.DUMMYFUNCTION("""COMPUTED_VALUE"""),"부동산 경매 시작한지 1년 반만에 30살에 건물주가 되었습니다.")</f>
        <v>부동산 경매 시작한지 1년 반만에 30살에 건물주가 되었습니다.</v>
      </c>
      <c r="J37" s="325" t="str">
        <f>IFERROR(__xludf.DUMMYFUNCTION("""COMPUTED_VALUE"""),"현재 수강생은 총 33명이고 성과사례는 31건입니다.
수익은 물건마다 천차만별이지만 최소 3천만원에서 7500만원까지 수익이 나셨습니다")</f>
        <v>현재 수강생은 총 33명이고 성과사례는 31건입니다.
수익은 물건마다 천차만별이지만 최소 3천만원에서 7500만원까지 수익이 나셨습니다</v>
      </c>
      <c r="K37" s="325" t="str">
        <f>IFERROR(__xludf.DUMMYFUNCTION("""COMPUTED_VALUE"""),"우선 부동산 경매로 주택 단기매도를 하여 단기간에 큰 수익을 얻을수 있으며 실거주 목적으로 집을 알아볼때에도 저렴하게 구매가 가능합니다.
또, 무엇보다 저와 다른 경매 강사님들과의 차별점이라 하면 물건추천인데 이제는 자체 제작한 플랫폼에서 클릭 한 번으로 돈 되는 물건만 리스트업된걸 볼 수 있으니 스스로 물건을 찾아서 입찰할수가 있습니다.
저도 과거엔 누군가의 수강생이었습니다. 그러나 항상 들었던 생각이 돈 벌려고 돈을 들여 강의를 들었는데 수익을 "&amp;"내려고 보니 이제는 내 시간을 들여 물건 찾는 방법을 고민해야 했고 내 시간을 들여 몇천개나 되는 매물들을 다 분석해야만 했습니다.
비싼 돈 들여 강의를 들었으나 이후 성과의 성공여부는 오로지 나의 몫이었습니다. 그게 굉장히 불합리하다 생각되어 제가 강의를 하고부터는 수강생들에게 물건 추천을 해주었고 이제는 자체 제작한 플랫폼을 이용하여 스스로 투자를 할 수 있는 환경을 만들었습니다.
수강생이 얻을수 있는 가장 큰게 무엇이냐 물으면 보장된 수익입니다"&amp;".
저는 그것을 실현시켜줄 자신이 있습니다.")</f>
        <v>우선 부동산 경매로 주택 단기매도를 하여 단기간에 큰 수익을 얻을수 있으며 실거주 목적으로 집을 알아볼때에도 저렴하게 구매가 가능합니다.
또, 무엇보다 저와 다른 경매 강사님들과의 차별점이라 하면 물건추천인데 이제는 자체 제작한 플랫폼에서 클릭 한 번으로 돈 되는 물건만 리스트업된걸 볼 수 있으니 스스로 물건을 찾아서 입찰할수가 있습니다.
저도 과거엔 누군가의 수강생이었습니다. 그러나 항상 들었던 생각이 돈 벌려고 돈을 들여 강의를 들었는데 수익을 내려고 보니 이제는 내 시간을 들여 물건 찾는 방법을 고민해야 했고 내 시간을 들여 몇천개나 되는 매물들을 다 분석해야만 했습니다.
비싼 돈 들여 강의를 들었으나 이후 성과의 성공여부는 오로지 나의 몫이었습니다. 그게 굉장히 불합리하다 생각되어 제가 강의를 하고부터는 수강생들에게 물건 추천을 해주었고 이제는 자체 제작한 플랫폼을 이용하여 스스로 투자를 할 수 있는 환경을 만들었습니다.
수강생이 얻을수 있는 가장 큰게 무엇이냐 물으면 보장된 수익입니다.
저는 그것을 실현시켜줄 자신이 있습니다.</v>
      </c>
      <c r="L37" s="325" t="str">
        <f>IFERROR(__xludf.DUMMYFUNCTION("""COMPUTED_VALUE"""),"스레드 : https://www.threads.com/@builder.rich     자체 운영 플랫폼 : https://handsomely-class-87c.notion.site/JH-3275d840623980cab999e08f77faa04b")</f>
        <v>스레드 : https://www.threads.com/@builder.rich     자체 운영 플랫폼 : https://handsomely-class-87c.notion.site/JH-3275d840623980cab999e08f77faa04b</v>
      </c>
      <c r="M37" s="325"/>
    </row>
    <row r="38">
      <c r="A38" s="88">
        <v>34.0</v>
      </c>
      <c r="B38" s="754">
        <f>IFERROR(__xludf.DUMMYFUNCTION("""COMPUTED_VALUE"""),46112.046992488424)</f>
        <v>46112.04699</v>
      </c>
      <c r="C38" s="325" t="str">
        <f>IFERROR(__xludf.DUMMYFUNCTION("""COMPUTED_VALUE"""),"유승훈")</f>
        <v>유승훈</v>
      </c>
      <c r="D38" s="325" t="str">
        <f>IFERROR(__xludf.DUMMYFUNCTION("""COMPUTED_VALUE"""),"토미")</f>
        <v>토미</v>
      </c>
      <c r="E38" s="325" t="str">
        <f>IFERROR(__xludf.DUMMYFUNCTION("""COMPUTED_VALUE"""),"01082542182")</f>
        <v>01082542182</v>
      </c>
      <c r="F38" s="325" t="str">
        <f>IFERROR(__xludf.DUMMYFUNCTION("""COMPUTED_VALUE"""),"없음")</f>
        <v>없음</v>
      </c>
      <c r="G38" s="325" t="str">
        <f>IFERROR(__xludf.DUMMYFUNCTION("""COMPUTED_VALUE"""),"부동산 경매를 통해 0원으로 통건물(빌딩) 사는 방법")</f>
        <v>부동산 경매를 통해 0원으로 통건물(빌딩) 사는 방법</v>
      </c>
      <c r="H38" s="325" t="str">
        <f>IFERROR(__xludf.DUMMYFUNCTION("""COMPUTED_VALUE"""),"이런 강의를 하는 사람이 없는 것 같아서, 너무 좋은 방법인데 알려주고 싶어도 저렴한 강의를 하고 싶진 않아서요. 제 장점은 다양한 분야의 경험이 많습니다. 부동산, 임대업, 인테리어, 요식업, 자영업, 사업, 영상제작, 특허, 정부지원사업 2억원 무상받기, IT기업 운영 등등")</f>
        <v>이런 강의를 하는 사람이 없는 것 같아서, 너무 좋은 방법인데 알려주고 싶어도 저렴한 강의를 하고 싶진 않아서요. 제 장점은 다양한 분야의 경험이 많습니다. 부동산, 임대업, 인테리어, 요식업, 자영업, 사업, 영상제작, 특허, 정부지원사업 2억원 무상받기, IT기업 운영 등등</v>
      </c>
      <c r="I38" s="325" t="str">
        <f>IFERROR(__xludf.DUMMYFUNCTION("""COMPUTED_VALUE"""),"부동산 투자 및 경매를 통해 소액으로 자산 30억, 일은 하고싶은 것만 하고 싶을때 취미로 하거나 사업구상")</f>
        <v>부동산 투자 및 경매를 통해 소액으로 자산 30억, 일은 하고싶은 것만 하고 싶을때 취미로 하거나 사업구상</v>
      </c>
      <c r="J38" s="325" t="str">
        <f>IFERROR(__xludf.DUMMYFUNCTION("""COMPUTED_VALUE"""),"부동산 경매를 알려줘 대학교 앞의 5억대 통건물을 사실상 0원에 경매로 구매해 세팅시 매달 500만원 평생 수익")</f>
        <v>부동산 경매를 알려줘 대학교 앞의 5억대 통건물을 사실상 0원에 경매로 구매해 세팅시 매달 500만원 평생 수익</v>
      </c>
      <c r="K38" s="325" t="str">
        <f>IFERROR(__xludf.DUMMYFUNCTION("""COMPUTED_VALUE"""),"경맬르 통해, 수익률 1,000% 이상 찍기")</f>
        <v>경맬르 통해, 수익률 1,000% 이상 찍기</v>
      </c>
      <c r="L38" s="325" t="str">
        <f>IFERROR(__xludf.DUMMYFUNCTION("""COMPUTED_VALUE"""),"따로 개인 sns는 하지 않고 있습니다. ")</f>
        <v>따로 개인 sns는 하지 않고 있습니다. </v>
      </c>
      <c r="M38" s="325"/>
    </row>
    <row r="39">
      <c r="A39" s="88" t="s">
        <v>3511</v>
      </c>
      <c r="B39" s="325"/>
      <c r="C39" s="325"/>
      <c r="D39" s="325"/>
      <c r="E39" s="325"/>
      <c r="F39" s="325"/>
      <c r="G39" s="325"/>
      <c r="H39" s="325"/>
      <c r="I39" s="325"/>
      <c r="J39" s="325"/>
      <c r="K39" s="325"/>
      <c r="L39" s="325"/>
      <c r="M39" s="325"/>
    </row>
    <row r="40">
      <c r="A40" s="88" t="s">
        <v>3511</v>
      </c>
      <c r="B40" s="325"/>
      <c r="C40" s="325"/>
      <c r="D40" s="325"/>
      <c r="E40" s="325"/>
      <c r="F40" s="325"/>
      <c r="G40" s="325"/>
      <c r="H40" s="325"/>
      <c r="I40" s="325"/>
      <c r="J40" s="325"/>
      <c r="K40" s="325"/>
      <c r="L40" s="325"/>
      <c r="M40" s="325"/>
    </row>
    <row r="41">
      <c r="A41" s="88" t="s">
        <v>3511</v>
      </c>
      <c r="B41" s="325"/>
      <c r="C41" s="325"/>
      <c r="D41" s="325"/>
      <c r="E41" s="325"/>
      <c r="F41" s="325"/>
      <c r="G41" s="325"/>
      <c r="H41" s="325"/>
      <c r="I41" s="325"/>
      <c r="J41" s="325"/>
      <c r="K41" s="325"/>
      <c r="L41" s="325"/>
      <c r="M41" s="325"/>
    </row>
    <row r="42">
      <c r="A42" s="88" t="s">
        <v>3511</v>
      </c>
      <c r="B42" s="325"/>
      <c r="C42" s="325"/>
      <c r="D42" s="325"/>
      <c r="E42" s="325"/>
      <c r="F42" s="325"/>
      <c r="G42" s="325"/>
      <c r="H42" s="325"/>
      <c r="I42" s="325"/>
      <c r="J42" s="325"/>
      <c r="K42" s="325"/>
      <c r="L42" s="325"/>
      <c r="M42" s="325"/>
    </row>
    <row r="43">
      <c r="A43" s="88" t="s">
        <v>3511</v>
      </c>
      <c r="B43" s="325"/>
      <c r="C43" s="325"/>
      <c r="D43" s="325"/>
      <c r="E43" s="325"/>
      <c r="F43" s="325"/>
      <c r="G43" s="325"/>
      <c r="H43" s="325"/>
      <c r="I43" s="325"/>
      <c r="J43" s="325"/>
      <c r="K43" s="325"/>
      <c r="L43" s="325"/>
      <c r="M43" s="325"/>
    </row>
    <row r="44">
      <c r="A44" s="88" t="s">
        <v>3511</v>
      </c>
      <c r="B44" s="325"/>
      <c r="C44" s="325"/>
      <c r="D44" s="325"/>
      <c r="E44" s="325"/>
      <c r="F44" s="325"/>
      <c r="G44" s="325"/>
      <c r="H44" s="325"/>
      <c r="I44" s="325"/>
      <c r="J44" s="325"/>
      <c r="K44" s="325"/>
      <c r="L44" s="325"/>
      <c r="M44" s="325"/>
    </row>
    <row r="45">
      <c r="A45" s="88" t="s">
        <v>3511</v>
      </c>
      <c r="B45" s="325"/>
      <c r="C45" s="325"/>
      <c r="D45" s="325"/>
      <c r="E45" s="325"/>
      <c r="F45" s="325"/>
      <c r="G45" s="325"/>
      <c r="H45" s="325"/>
      <c r="I45" s="325"/>
      <c r="J45" s="325"/>
      <c r="K45" s="325"/>
      <c r="L45" s="325"/>
      <c r="M45" s="325"/>
    </row>
    <row r="46">
      <c r="A46" s="88" t="s">
        <v>3511</v>
      </c>
      <c r="B46" s="325"/>
      <c r="C46" s="325"/>
      <c r="D46" s="325"/>
      <c r="E46" s="325"/>
      <c r="F46" s="325"/>
      <c r="G46" s="325"/>
      <c r="H46" s="325"/>
      <c r="I46" s="325"/>
      <c r="J46" s="325"/>
      <c r="K46" s="325"/>
      <c r="L46" s="325"/>
      <c r="M46" s="325"/>
    </row>
    <row r="47">
      <c r="A47" s="88" t="s">
        <v>3511</v>
      </c>
      <c r="B47" s="325"/>
      <c r="C47" s="325"/>
      <c r="D47" s="325"/>
      <c r="E47" s="325"/>
      <c r="F47" s="325"/>
      <c r="G47" s="325"/>
      <c r="H47" s="325"/>
      <c r="I47" s="325"/>
      <c r="J47" s="325"/>
      <c r="K47" s="325"/>
      <c r="L47" s="325"/>
      <c r="M47" s="325"/>
    </row>
    <row r="48">
      <c r="A48" s="88" t="s">
        <v>3511</v>
      </c>
      <c r="B48" s="325"/>
      <c r="C48" s="325"/>
      <c r="D48" s="325"/>
      <c r="E48" s="325"/>
      <c r="F48" s="325"/>
      <c r="G48" s="325"/>
      <c r="H48" s="325"/>
      <c r="I48" s="325"/>
      <c r="J48" s="325"/>
      <c r="K48" s="325"/>
      <c r="L48" s="325"/>
      <c r="M48" s="325"/>
    </row>
    <row r="49">
      <c r="A49" s="88" t="s">
        <v>3511</v>
      </c>
      <c r="B49" s="325"/>
      <c r="C49" s="325"/>
      <c r="D49" s="325"/>
      <c r="E49" s="325"/>
      <c r="F49" s="325"/>
      <c r="G49" s="325"/>
      <c r="H49" s="325"/>
      <c r="I49" s="325"/>
      <c r="J49" s="325"/>
      <c r="K49" s="325"/>
      <c r="L49" s="325"/>
      <c r="M49" s="325"/>
    </row>
    <row r="50">
      <c r="A50" s="88" t="s">
        <v>3511</v>
      </c>
      <c r="B50" s="325"/>
      <c r="C50" s="325"/>
      <c r="D50" s="325"/>
      <c r="E50" s="325"/>
      <c r="F50" s="325"/>
      <c r="G50" s="325"/>
      <c r="H50" s="325"/>
      <c r="I50" s="325"/>
      <c r="J50" s="325"/>
      <c r="K50" s="325"/>
      <c r="L50" s="325"/>
      <c r="M50" s="325"/>
    </row>
    <row r="51">
      <c r="A51" s="88" t="s">
        <v>3511</v>
      </c>
      <c r="B51" s="325"/>
      <c r="C51" s="325"/>
      <c r="D51" s="325"/>
      <c r="E51" s="325"/>
      <c r="F51" s="325"/>
      <c r="G51" s="325"/>
      <c r="H51" s="325"/>
      <c r="I51" s="325"/>
      <c r="J51" s="325"/>
      <c r="K51" s="325"/>
      <c r="L51" s="325"/>
      <c r="M51" s="325"/>
    </row>
    <row r="52">
      <c r="A52" s="88" t="s">
        <v>3511</v>
      </c>
      <c r="B52" s="325"/>
      <c r="C52" s="325"/>
      <c r="D52" s="325"/>
      <c r="E52" s="325"/>
      <c r="F52" s="325"/>
      <c r="G52" s="325"/>
      <c r="H52" s="325"/>
      <c r="I52" s="325"/>
      <c r="J52" s="325"/>
      <c r="K52" s="325"/>
      <c r="L52" s="325"/>
      <c r="M52" s="325"/>
    </row>
    <row r="53">
      <c r="A53" s="88" t="s">
        <v>3511</v>
      </c>
      <c r="B53" s="325"/>
      <c r="C53" s="325"/>
      <c r="D53" s="325"/>
      <c r="E53" s="325"/>
      <c r="F53" s="325"/>
      <c r="G53" s="325"/>
      <c r="H53" s="325"/>
      <c r="I53" s="325"/>
      <c r="J53" s="325"/>
      <c r="K53" s="325"/>
      <c r="L53" s="325"/>
      <c r="M53" s="325"/>
    </row>
    <row r="54">
      <c r="A54" s="88" t="s">
        <v>3511</v>
      </c>
      <c r="B54" s="325"/>
      <c r="C54" s="325"/>
      <c r="D54" s="325"/>
      <c r="E54" s="325"/>
      <c r="F54" s="325"/>
      <c r="G54" s="325"/>
      <c r="H54" s="325"/>
      <c r="I54" s="325"/>
      <c r="J54" s="325"/>
      <c r="K54" s="325"/>
      <c r="L54" s="325"/>
      <c r="M54" s="325"/>
    </row>
    <row r="55">
      <c r="A55" s="88" t="s">
        <v>3511</v>
      </c>
      <c r="B55" s="325"/>
      <c r="C55" s="325"/>
      <c r="D55" s="325"/>
      <c r="E55" s="325"/>
      <c r="F55" s="325"/>
      <c r="G55" s="325"/>
      <c r="H55" s="325"/>
      <c r="I55" s="325"/>
      <c r="J55" s="325"/>
      <c r="K55" s="325"/>
      <c r="L55" s="325"/>
      <c r="M55" s="325"/>
    </row>
    <row r="56">
      <c r="A56" s="88" t="s">
        <v>3511</v>
      </c>
      <c r="B56" s="325"/>
      <c r="C56" s="325"/>
      <c r="D56" s="325"/>
      <c r="E56" s="325"/>
      <c r="F56" s="325"/>
      <c r="G56" s="325"/>
      <c r="H56" s="325"/>
      <c r="I56" s="325"/>
      <c r="J56" s="325"/>
      <c r="K56" s="325"/>
      <c r="L56" s="325"/>
      <c r="M56" s="325"/>
    </row>
    <row r="57">
      <c r="A57" s="88" t="s">
        <v>3511</v>
      </c>
      <c r="B57" s="325"/>
      <c r="C57" s="325"/>
      <c r="D57" s="325"/>
      <c r="E57" s="325"/>
      <c r="F57" s="325"/>
      <c r="G57" s="325"/>
      <c r="H57" s="325"/>
      <c r="I57" s="325"/>
      <c r="J57" s="325"/>
      <c r="K57" s="325"/>
      <c r="L57" s="325"/>
      <c r="M57" s="325"/>
    </row>
    <row r="58">
      <c r="A58" s="88" t="s">
        <v>3511</v>
      </c>
      <c r="B58" s="325"/>
      <c r="C58" s="325"/>
      <c r="D58" s="325"/>
      <c r="E58" s="325"/>
      <c r="F58" s="325"/>
      <c r="G58" s="325"/>
      <c r="H58" s="325"/>
      <c r="I58" s="325"/>
      <c r="J58" s="325"/>
      <c r="K58" s="325"/>
      <c r="L58" s="325"/>
      <c r="M58" s="325"/>
    </row>
    <row r="59">
      <c r="A59" s="88" t="s">
        <v>3511</v>
      </c>
      <c r="B59" s="325"/>
      <c r="C59" s="325"/>
      <c r="D59" s="325"/>
      <c r="E59" s="325"/>
      <c r="F59" s="325"/>
      <c r="G59" s="325"/>
      <c r="H59" s="325"/>
      <c r="I59" s="325"/>
      <c r="J59" s="325"/>
      <c r="K59" s="325"/>
      <c r="L59" s="325"/>
      <c r="M59" s="325"/>
    </row>
    <row r="60">
      <c r="A60" s="88" t="s">
        <v>3511</v>
      </c>
      <c r="B60" s="325"/>
      <c r="C60" s="325"/>
      <c r="D60" s="325"/>
      <c r="E60" s="325"/>
      <c r="F60" s="325"/>
      <c r="G60" s="325"/>
      <c r="H60" s="325"/>
      <c r="I60" s="325"/>
      <c r="J60" s="325"/>
      <c r="K60" s="325"/>
      <c r="L60" s="325"/>
      <c r="M60" s="325"/>
    </row>
    <row r="61">
      <c r="A61" s="88" t="s">
        <v>3511</v>
      </c>
      <c r="B61" s="325"/>
      <c r="C61" s="325"/>
      <c r="D61" s="325"/>
      <c r="E61" s="325"/>
      <c r="F61" s="325"/>
      <c r="G61" s="325"/>
      <c r="H61" s="325"/>
      <c r="I61" s="325"/>
      <c r="J61" s="325"/>
      <c r="K61" s="325"/>
      <c r="L61" s="325"/>
      <c r="M61" s="325"/>
    </row>
    <row r="62">
      <c r="A62" s="88" t="s">
        <v>3511</v>
      </c>
      <c r="B62" s="325"/>
      <c r="C62" s="325"/>
      <c r="D62" s="325"/>
      <c r="E62" s="325"/>
      <c r="F62" s="325"/>
      <c r="G62" s="325"/>
      <c r="H62" s="325"/>
      <c r="I62" s="325"/>
      <c r="J62" s="325"/>
      <c r="K62" s="325"/>
      <c r="L62" s="325"/>
      <c r="M62" s="325"/>
    </row>
    <row r="63">
      <c r="A63" s="88" t="s">
        <v>3511</v>
      </c>
      <c r="B63" s="325"/>
      <c r="C63" s="325"/>
      <c r="D63" s="325"/>
      <c r="E63" s="325"/>
      <c r="F63" s="325"/>
      <c r="G63" s="325"/>
      <c r="H63" s="325"/>
      <c r="I63" s="325"/>
      <c r="J63" s="325"/>
      <c r="K63" s="325"/>
      <c r="L63" s="325"/>
      <c r="M63" s="325"/>
    </row>
    <row r="64">
      <c r="A64" s="88" t="s">
        <v>3511</v>
      </c>
      <c r="B64" s="325"/>
      <c r="C64" s="325"/>
      <c r="D64" s="325"/>
      <c r="E64" s="325"/>
      <c r="F64" s="325"/>
      <c r="G64" s="325"/>
      <c r="H64" s="325"/>
      <c r="I64" s="325"/>
      <c r="J64" s="325"/>
      <c r="K64" s="325"/>
      <c r="L64" s="325"/>
      <c r="M64" s="325"/>
    </row>
    <row r="65">
      <c r="A65" s="88" t="s">
        <v>3511</v>
      </c>
      <c r="B65" s="325"/>
      <c r="C65" s="325"/>
      <c r="D65" s="325"/>
      <c r="E65" s="325"/>
      <c r="F65" s="325"/>
      <c r="G65" s="325"/>
      <c r="H65" s="325"/>
      <c r="I65" s="325"/>
      <c r="J65" s="325"/>
      <c r="K65" s="325"/>
      <c r="L65" s="325"/>
      <c r="M65" s="325"/>
    </row>
    <row r="66">
      <c r="A66" s="88" t="s">
        <v>3511</v>
      </c>
      <c r="B66" s="325"/>
      <c r="C66" s="325"/>
      <c r="D66" s="325"/>
      <c r="E66" s="325"/>
      <c r="F66" s="325"/>
      <c r="G66" s="325"/>
      <c r="H66" s="325"/>
      <c r="I66" s="325"/>
      <c r="J66" s="325"/>
      <c r="K66" s="325"/>
      <c r="L66" s="325"/>
      <c r="M66" s="325"/>
    </row>
    <row r="67">
      <c r="A67" s="88" t="s">
        <v>3511</v>
      </c>
      <c r="B67" s="325"/>
      <c r="C67" s="325"/>
      <c r="D67" s="325"/>
      <c r="E67" s="325"/>
      <c r="F67" s="325"/>
      <c r="G67" s="325"/>
      <c r="H67" s="325"/>
      <c r="I67" s="325"/>
      <c r="J67" s="325"/>
      <c r="K67" s="325"/>
      <c r="L67" s="325"/>
      <c r="M67" s="325"/>
    </row>
    <row r="68">
      <c r="A68" s="88" t="s">
        <v>3511</v>
      </c>
      <c r="B68" s="325"/>
      <c r="C68" s="325"/>
      <c r="D68" s="325"/>
      <c r="E68" s="325"/>
      <c r="F68" s="325"/>
      <c r="G68" s="325"/>
      <c r="H68" s="325"/>
      <c r="I68" s="325"/>
      <c r="J68" s="325"/>
      <c r="K68" s="325"/>
      <c r="L68" s="325"/>
      <c r="M68" s="325"/>
    </row>
    <row r="69">
      <c r="A69" s="88" t="s">
        <v>3511</v>
      </c>
      <c r="B69" s="325"/>
      <c r="C69" s="325"/>
      <c r="D69" s="325"/>
      <c r="E69" s="325"/>
      <c r="F69" s="325"/>
      <c r="G69" s="325"/>
      <c r="H69" s="325"/>
      <c r="I69" s="325"/>
      <c r="J69" s="325"/>
      <c r="K69" s="325"/>
      <c r="L69" s="325"/>
      <c r="M69" s="325"/>
    </row>
    <row r="70">
      <c r="A70" s="88" t="s">
        <v>3511</v>
      </c>
      <c r="B70" s="325"/>
      <c r="C70" s="325"/>
      <c r="D70" s="325"/>
      <c r="E70" s="325"/>
      <c r="F70" s="325"/>
      <c r="G70" s="325"/>
      <c r="H70" s="325"/>
      <c r="I70" s="325"/>
      <c r="J70" s="325"/>
      <c r="K70" s="325"/>
      <c r="L70" s="325"/>
      <c r="M70" s="325"/>
    </row>
    <row r="71">
      <c r="A71" s="88" t="s">
        <v>3511</v>
      </c>
      <c r="B71" s="325"/>
      <c r="C71" s="325"/>
      <c r="D71" s="325"/>
      <c r="E71" s="325"/>
      <c r="F71" s="325"/>
      <c r="G71" s="325"/>
      <c r="H71" s="325"/>
      <c r="I71" s="325"/>
      <c r="J71" s="325"/>
      <c r="K71" s="325"/>
      <c r="L71" s="325"/>
      <c r="M71" s="325"/>
    </row>
    <row r="72">
      <c r="A72" s="88" t="s">
        <v>3511</v>
      </c>
      <c r="B72" s="325"/>
      <c r="C72" s="325"/>
      <c r="D72" s="325"/>
      <c r="E72" s="325"/>
      <c r="F72" s="325"/>
      <c r="G72" s="325"/>
      <c r="H72" s="325"/>
      <c r="I72" s="325"/>
      <c r="J72" s="325"/>
      <c r="K72" s="325"/>
      <c r="L72" s="325"/>
      <c r="M72" s="325"/>
    </row>
    <row r="73">
      <c r="A73" s="88" t="s">
        <v>3511</v>
      </c>
      <c r="B73" s="325"/>
      <c r="C73" s="325"/>
      <c r="D73" s="325"/>
      <c r="E73" s="325"/>
      <c r="F73" s="325"/>
      <c r="G73" s="325"/>
      <c r="H73" s="325"/>
      <c r="I73" s="325"/>
      <c r="J73" s="325"/>
      <c r="K73" s="325"/>
      <c r="L73" s="325"/>
      <c r="M73" s="325"/>
    </row>
    <row r="74">
      <c r="A74" s="88" t="s">
        <v>3511</v>
      </c>
      <c r="B74" s="325"/>
      <c r="C74" s="325"/>
      <c r="D74" s="325"/>
      <c r="E74" s="325"/>
      <c r="F74" s="325"/>
      <c r="G74" s="325"/>
      <c r="H74" s="325"/>
      <c r="I74" s="325"/>
      <c r="J74" s="325"/>
      <c r="K74" s="325"/>
      <c r="L74" s="325"/>
      <c r="M74" s="325"/>
    </row>
    <row r="75">
      <c r="A75" s="88" t="s">
        <v>3511</v>
      </c>
      <c r="B75" s="325"/>
      <c r="C75" s="325"/>
      <c r="D75" s="325"/>
      <c r="E75" s="325"/>
      <c r="F75" s="325"/>
      <c r="G75" s="325"/>
      <c r="H75" s="325"/>
      <c r="I75" s="325"/>
      <c r="J75" s="325"/>
      <c r="K75" s="325"/>
      <c r="L75" s="325"/>
      <c r="M75" s="325"/>
    </row>
    <row r="76">
      <c r="A76" s="88" t="s">
        <v>3511</v>
      </c>
      <c r="B76" s="325"/>
      <c r="C76" s="325"/>
      <c r="D76" s="325"/>
      <c r="E76" s="325"/>
      <c r="F76" s="325"/>
      <c r="G76" s="325"/>
      <c r="H76" s="325"/>
      <c r="I76" s="325"/>
      <c r="J76" s="325"/>
      <c r="K76" s="325"/>
      <c r="L76" s="325"/>
      <c r="M76" s="325"/>
    </row>
    <row r="77">
      <c r="A77" s="88" t="s">
        <v>3511</v>
      </c>
      <c r="B77" s="325"/>
      <c r="C77" s="325"/>
      <c r="D77" s="325"/>
      <c r="E77" s="325"/>
      <c r="F77" s="325"/>
      <c r="G77" s="325"/>
      <c r="H77" s="325"/>
      <c r="I77" s="325"/>
      <c r="J77" s="325"/>
      <c r="K77" s="325"/>
      <c r="L77" s="325"/>
      <c r="M77" s="325"/>
    </row>
    <row r="78">
      <c r="A78" s="88" t="s">
        <v>3511</v>
      </c>
      <c r="B78" s="325"/>
      <c r="C78" s="325"/>
      <c r="D78" s="325"/>
      <c r="E78" s="325"/>
      <c r="F78" s="325"/>
      <c r="G78" s="325"/>
      <c r="H78" s="325"/>
      <c r="I78" s="325"/>
      <c r="J78" s="325"/>
      <c r="K78" s="325"/>
      <c r="L78" s="325"/>
      <c r="M78" s="325"/>
    </row>
    <row r="79">
      <c r="A79" s="88" t="s">
        <v>3511</v>
      </c>
      <c r="B79" s="325"/>
      <c r="C79" s="325"/>
      <c r="D79" s="325"/>
      <c r="E79" s="325"/>
      <c r="F79" s="325"/>
      <c r="G79" s="325"/>
      <c r="H79" s="325"/>
      <c r="I79" s="325"/>
      <c r="J79" s="325"/>
      <c r="K79" s="325"/>
      <c r="L79" s="325"/>
      <c r="M79" s="325"/>
    </row>
    <row r="80">
      <c r="A80" s="88" t="s">
        <v>3511</v>
      </c>
      <c r="B80" s="325"/>
      <c r="C80" s="325"/>
      <c r="D80" s="325"/>
      <c r="E80" s="325"/>
      <c r="F80" s="325"/>
      <c r="G80" s="325"/>
      <c r="H80" s="325"/>
      <c r="I80" s="325"/>
      <c r="J80" s="325"/>
      <c r="K80" s="325"/>
      <c r="L80" s="325"/>
      <c r="M80" s="325"/>
    </row>
    <row r="81">
      <c r="A81" s="88" t="s">
        <v>3511</v>
      </c>
      <c r="B81" s="325"/>
      <c r="C81" s="325"/>
      <c r="D81" s="325"/>
      <c r="E81" s="325"/>
      <c r="F81" s="325"/>
      <c r="G81" s="325"/>
      <c r="H81" s="325"/>
      <c r="I81" s="325"/>
      <c r="J81" s="325"/>
      <c r="K81" s="325"/>
      <c r="L81" s="325"/>
      <c r="M81" s="325"/>
    </row>
    <row r="82">
      <c r="A82" s="88" t="s">
        <v>3511</v>
      </c>
      <c r="B82" s="325"/>
      <c r="C82" s="325"/>
      <c r="D82" s="325"/>
      <c r="E82" s="325"/>
      <c r="F82" s="325"/>
      <c r="G82" s="325"/>
      <c r="H82" s="325"/>
      <c r="I82" s="325"/>
      <c r="J82" s="325"/>
      <c r="K82" s="325"/>
      <c r="L82" s="325"/>
      <c r="M82" s="325"/>
    </row>
    <row r="83">
      <c r="A83" s="88" t="s">
        <v>3511</v>
      </c>
      <c r="B83" s="325"/>
      <c r="C83" s="325"/>
      <c r="D83" s="325"/>
      <c r="E83" s="325"/>
      <c r="F83" s="325"/>
      <c r="G83" s="325"/>
      <c r="H83" s="325"/>
      <c r="I83" s="325"/>
      <c r="J83" s="325"/>
      <c r="K83" s="325"/>
      <c r="L83" s="325"/>
      <c r="M83" s="325"/>
    </row>
    <row r="84">
      <c r="A84" s="88" t="s">
        <v>3511</v>
      </c>
      <c r="B84" s="325"/>
      <c r="C84" s="325"/>
      <c r="D84" s="325"/>
      <c r="E84" s="325"/>
      <c r="F84" s="325"/>
      <c r="G84" s="325"/>
      <c r="H84" s="325"/>
      <c r="I84" s="325"/>
      <c r="J84" s="325"/>
      <c r="K84" s="325"/>
      <c r="L84" s="325"/>
      <c r="M84" s="325"/>
    </row>
    <row r="85">
      <c r="A85" s="88" t="s">
        <v>3511</v>
      </c>
      <c r="B85" s="325"/>
      <c r="C85" s="325"/>
      <c r="D85" s="325"/>
      <c r="E85" s="325"/>
      <c r="F85" s="325"/>
      <c r="G85" s="325"/>
      <c r="H85" s="325"/>
      <c r="I85" s="325"/>
      <c r="J85" s="325"/>
      <c r="K85" s="325"/>
      <c r="L85" s="325"/>
      <c r="M85" s="325"/>
    </row>
    <row r="86">
      <c r="A86" s="88" t="s">
        <v>3511</v>
      </c>
      <c r="B86" s="325"/>
      <c r="C86" s="325"/>
      <c r="D86" s="325"/>
      <c r="E86" s="325"/>
      <c r="F86" s="325"/>
      <c r="G86" s="325"/>
      <c r="H86" s="325"/>
      <c r="I86" s="325"/>
      <c r="J86" s="325"/>
      <c r="K86" s="325"/>
      <c r="L86" s="325"/>
      <c r="M86" s="325"/>
    </row>
    <row r="87">
      <c r="A87" s="88" t="s">
        <v>3511</v>
      </c>
      <c r="B87" s="325"/>
      <c r="C87" s="325"/>
      <c r="D87" s="325"/>
      <c r="E87" s="325"/>
      <c r="F87" s="325"/>
      <c r="G87" s="325"/>
      <c r="H87" s="325"/>
      <c r="I87" s="325"/>
      <c r="J87" s="325"/>
      <c r="K87" s="325"/>
      <c r="L87" s="325"/>
      <c r="M87" s="325"/>
    </row>
    <row r="88">
      <c r="A88" s="88" t="s">
        <v>3511</v>
      </c>
      <c r="B88" s="325"/>
      <c r="C88" s="325"/>
      <c r="D88" s="325"/>
      <c r="E88" s="325"/>
      <c r="F88" s="325"/>
      <c r="G88" s="325"/>
      <c r="H88" s="325"/>
      <c r="I88" s="325"/>
      <c r="J88" s="325"/>
      <c r="K88" s="325"/>
      <c r="L88" s="325"/>
      <c r="M88" s="325"/>
    </row>
    <row r="89">
      <c r="A89" s="88" t="s">
        <v>3511</v>
      </c>
      <c r="B89" s="325"/>
      <c r="C89" s="325"/>
      <c r="D89" s="325"/>
      <c r="E89" s="325"/>
      <c r="F89" s="325"/>
      <c r="G89" s="325"/>
      <c r="H89" s="325"/>
      <c r="I89" s="325"/>
      <c r="J89" s="325"/>
      <c r="K89" s="325"/>
      <c r="L89" s="325"/>
      <c r="M89" s="325"/>
    </row>
    <row r="90">
      <c r="A90" s="88" t="s">
        <v>3511</v>
      </c>
      <c r="B90" s="325"/>
      <c r="C90" s="325"/>
      <c r="D90" s="325"/>
      <c r="E90" s="325"/>
      <c r="F90" s="325"/>
      <c r="G90" s="325"/>
      <c r="H90" s="325"/>
      <c r="I90" s="325"/>
      <c r="J90" s="325"/>
      <c r="K90" s="325"/>
      <c r="L90" s="325"/>
      <c r="M90" s="325"/>
    </row>
    <row r="91">
      <c r="A91" s="88" t="s">
        <v>3511</v>
      </c>
      <c r="B91" s="325"/>
      <c r="C91" s="325"/>
      <c r="D91" s="325"/>
      <c r="E91" s="325"/>
      <c r="F91" s="325"/>
      <c r="G91" s="325"/>
      <c r="H91" s="325"/>
      <c r="I91" s="325"/>
      <c r="J91" s="325"/>
      <c r="K91" s="325"/>
      <c r="L91" s="325"/>
      <c r="M91" s="325"/>
    </row>
    <row r="92">
      <c r="A92" s="88" t="s">
        <v>3511</v>
      </c>
      <c r="B92" s="325"/>
      <c r="C92" s="325"/>
      <c r="D92" s="325"/>
      <c r="E92" s="325"/>
      <c r="F92" s="325"/>
      <c r="G92" s="325"/>
      <c r="H92" s="325"/>
      <c r="I92" s="325"/>
      <c r="J92" s="325"/>
      <c r="K92" s="325"/>
      <c r="L92" s="325"/>
      <c r="M92" s="325"/>
    </row>
    <row r="93">
      <c r="A93" s="88" t="s">
        <v>3511</v>
      </c>
      <c r="B93" s="325"/>
      <c r="C93" s="325"/>
      <c r="D93" s="325"/>
      <c r="E93" s="325"/>
      <c r="F93" s="325"/>
      <c r="G93" s="325"/>
      <c r="H93" s="325"/>
      <c r="I93" s="325"/>
      <c r="J93" s="325"/>
      <c r="K93" s="325"/>
      <c r="L93" s="325"/>
      <c r="M93" s="325"/>
    </row>
    <row r="94">
      <c r="A94" s="88" t="s">
        <v>3511</v>
      </c>
      <c r="B94" s="325"/>
      <c r="C94" s="325"/>
      <c r="D94" s="325"/>
      <c r="E94" s="325"/>
      <c r="F94" s="325"/>
      <c r="G94" s="325"/>
      <c r="H94" s="325"/>
      <c r="I94" s="325"/>
      <c r="J94" s="325"/>
      <c r="K94" s="325"/>
      <c r="L94" s="325"/>
      <c r="M94" s="325"/>
    </row>
    <row r="95">
      <c r="A95" s="88" t="s">
        <v>3511</v>
      </c>
      <c r="B95" s="325"/>
      <c r="C95" s="325"/>
      <c r="D95" s="325"/>
      <c r="E95" s="325"/>
      <c r="F95" s="325"/>
      <c r="G95" s="325"/>
      <c r="H95" s="325"/>
      <c r="I95" s="325"/>
      <c r="J95" s="325"/>
      <c r="K95" s="325"/>
      <c r="L95" s="325"/>
      <c r="M95" s="325"/>
    </row>
    <row r="96">
      <c r="A96" s="88" t="s">
        <v>3511</v>
      </c>
      <c r="B96" s="325"/>
      <c r="C96" s="325"/>
      <c r="D96" s="325"/>
      <c r="E96" s="325"/>
      <c r="F96" s="325"/>
      <c r="G96" s="325"/>
      <c r="H96" s="325"/>
      <c r="I96" s="325"/>
      <c r="J96" s="325"/>
      <c r="K96" s="325"/>
      <c r="L96" s="325"/>
      <c r="M96" s="325"/>
    </row>
    <row r="97">
      <c r="A97" s="88" t="s">
        <v>3511</v>
      </c>
      <c r="B97" s="325"/>
      <c r="C97" s="325"/>
      <c r="D97" s="325"/>
      <c r="E97" s="325"/>
      <c r="F97" s="325"/>
      <c r="G97" s="325"/>
      <c r="H97" s="325"/>
      <c r="I97" s="325"/>
      <c r="J97" s="325"/>
      <c r="K97" s="325"/>
      <c r="L97" s="325"/>
      <c r="M97" s="325"/>
    </row>
    <row r="98">
      <c r="A98" s="88" t="s">
        <v>3511</v>
      </c>
      <c r="B98" s="325"/>
      <c r="C98" s="325"/>
      <c r="D98" s="325"/>
      <c r="E98" s="325"/>
      <c r="F98" s="325"/>
      <c r="G98" s="325"/>
      <c r="H98" s="325"/>
      <c r="I98" s="325"/>
      <c r="J98" s="325"/>
      <c r="K98" s="325"/>
      <c r="L98" s="325"/>
      <c r="M98" s="325"/>
    </row>
    <row r="99">
      <c r="A99" s="88" t="s">
        <v>3511</v>
      </c>
      <c r="B99" s="325"/>
      <c r="C99" s="325"/>
      <c r="D99" s="325"/>
      <c r="E99" s="325"/>
      <c r="F99" s="325"/>
      <c r="G99" s="325"/>
      <c r="H99" s="325"/>
      <c r="I99" s="325"/>
      <c r="J99" s="325"/>
      <c r="K99" s="325"/>
      <c r="L99" s="325"/>
      <c r="M99" s="325"/>
    </row>
    <row r="100">
      <c r="A100" s="88" t="s">
        <v>3511</v>
      </c>
      <c r="B100" s="325"/>
      <c r="C100" s="325"/>
      <c r="D100" s="325"/>
      <c r="E100" s="325"/>
      <c r="F100" s="325"/>
      <c r="G100" s="325"/>
      <c r="H100" s="325"/>
      <c r="I100" s="325"/>
      <c r="J100" s="325"/>
      <c r="K100" s="325"/>
      <c r="L100" s="325"/>
      <c r="M100" s="325"/>
    </row>
    <row r="101">
      <c r="A101" s="88" t="s">
        <v>3511</v>
      </c>
      <c r="B101" s="325"/>
      <c r="C101" s="325"/>
      <c r="D101" s="325"/>
      <c r="E101" s="325"/>
      <c r="F101" s="325"/>
      <c r="G101" s="325"/>
      <c r="H101" s="325"/>
      <c r="I101" s="325"/>
      <c r="J101" s="325"/>
      <c r="K101" s="325"/>
      <c r="L101" s="325"/>
      <c r="M101" s="325"/>
    </row>
    <row r="102">
      <c r="A102" s="88" t="s">
        <v>3511</v>
      </c>
      <c r="B102" s="325"/>
      <c r="C102" s="325"/>
      <c r="D102" s="325"/>
      <c r="E102" s="325"/>
      <c r="F102" s="325"/>
      <c r="G102" s="325"/>
      <c r="H102" s="325"/>
      <c r="I102" s="325"/>
      <c r="J102" s="325"/>
      <c r="K102" s="325"/>
      <c r="L102" s="325"/>
      <c r="M102" s="325"/>
    </row>
    <row r="103">
      <c r="A103" s="88" t="s">
        <v>3511</v>
      </c>
      <c r="B103" s="325"/>
      <c r="C103" s="325"/>
      <c r="D103" s="325"/>
      <c r="E103" s="325"/>
      <c r="F103" s="325"/>
      <c r="G103" s="325"/>
      <c r="H103" s="325"/>
      <c r="I103" s="325"/>
      <c r="J103" s="325"/>
      <c r="K103" s="325"/>
      <c r="L103" s="325"/>
      <c r="M103" s="325"/>
    </row>
    <row r="104">
      <c r="A104" s="88" t="s">
        <v>3511</v>
      </c>
      <c r="B104" s="325"/>
      <c r="C104" s="325"/>
      <c r="D104" s="325"/>
      <c r="E104" s="325"/>
      <c r="F104" s="325"/>
      <c r="G104" s="325"/>
      <c r="H104" s="325"/>
      <c r="I104" s="325"/>
      <c r="J104" s="325"/>
      <c r="K104" s="325"/>
      <c r="L104" s="325"/>
      <c r="M104" s="325"/>
    </row>
    <row r="105">
      <c r="A105" s="88" t="s">
        <v>3511</v>
      </c>
      <c r="B105" s="325"/>
      <c r="C105" s="325"/>
      <c r="D105" s="325"/>
      <c r="E105" s="325"/>
      <c r="F105" s="325"/>
      <c r="G105" s="325"/>
      <c r="H105" s="325"/>
      <c r="I105" s="325"/>
      <c r="J105" s="325"/>
      <c r="K105" s="325"/>
      <c r="L105" s="325"/>
      <c r="M105" s="325"/>
    </row>
    <row r="106">
      <c r="A106" s="88" t="s">
        <v>3511</v>
      </c>
      <c r="B106" s="325"/>
      <c r="C106" s="325"/>
      <c r="D106" s="325"/>
      <c r="E106" s="325"/>
      <c r="F106" s="325"/>
      <c r="G106" s="325"/>
      <c r="H106" s="325"/>
      <c r="I106" s="325"/>
      <c r="J106" s="325"/>
      <c r="K106" s="325"/>
      <c r="L106" s="325"/>
      <c r="M106" s="325"/>
    </row>
    <row r="107">
      <c r="A107" s="88" t="s">
        <v>3511</v>
      </c>
      <c r="B107" s="325"/>
      <c r="C107" s="325"/>
      <c r="D107" s="325"/>
      <c r="E107" s="325"/>
      <c r="F107" s="325"/>
      <c r="G107" s="325"/>
      <c r="H107" s="325"/>
      <c r="I107" s="325"/>
      <c r="J107" s="325"/>
      <c r="K107" s="325"/>
      <c r="L107" s="325"/>
      <c r="M107" s="325"/>
    </row>
    <row r="108">
      <c r="A108" s="88" t="s">
        <v>3511</v>
      </c>
      <c r="B108" s="325"/>
      <c r="C108" s="325"/>
      <c r="D108" s="325"/>
      <c r="E108" s="325"/>
      <c r="F108" s="325"/>
      <c r="G108" s="325"/>
      <c r="H108" s="325"/>
      <c r="I108" s="325"/>
      <c r="J108" s="325"/>
      <c r="K108" s="325"/>
      <c r="L108" s="325"/>
      <c r="M108" s="325"/>
    </row>
    <row r="109">
      <c r="A109" s="88" t="s">
        <v>3511</v>
      </c>
      <c r="B109" s="325"/>
      <c r="C109" s="325"/>
      <c r="D109" s="325"/>
      <c r="E109" s="325"/>
      <c r="F109" s="325"/>
      <c r="G109" s="325"/>
      <c r="H109" s="325"/>
      <c r="I109" s="325"/>
      <c r="J109" s="325"/>
      <c r="K109" s="325"/>
      <c r="L109" s="325"/>
      <c r="M109" s="325"/>
    </row>
    <row r="110">
      <c r="A110" s="88" t="s">
        <v>3511</v>
      </c>
      <c r="B110" s="325"/>
      <c r="C110" s="325"/>
      <c r="D110" s="325"/>
      <c r="E110" s="325"/>
      <c r="F110" s="325"/>
      <c r="G110" s="325"/>
      <c r="H110" s="325"/>
      <c r="I110" s="325"/>
      <c r="J110" s="325"/>
      <c r="K110" s="325"/>
      <c r="L110" s="325"/>
      <c r="M110" s="325"/>
    </row>
    <row r="111">
      <c r="A111" s="88" t="s">
        <v>3511</v>
      </c>
      <c r="B111" s="325"/>
      <c r="C111" s="325"/>
      <c r="D111" s="325"/>
      <c r="E111" s="325"/>
      <c r="F111" s="325"/>
      <c r="G111" s="325"/>
      <c r="H111" s="325"/>
      <c r="I111" s="325"/>
      <c r="J111" s="325"/>
      <c r="K111" s="325"/>
      <c r="L111" s="325"/>
      <c r="M111" s="325"/>
    </row>
    <row r="112">
      <c r="A112" s="88" t="s">
        <v>3511</v>
      </c>
      <c r="B112" s="325"/>
      <c r="C112" s="325"/>
      <c r="D112" s="325"/>
      <c r="E112" s="325"/>
      <c r="F112" s="325"/>
      <c r="G112" s="325"/>
      <c r="H112" s="325"/>
      <c r="I112" s="325"/>
      <c r="J112" s="325"/>
      <c r="K112" s="325"/>
      <c r="L112" s="325"/>
      <c r="M112" s="325"/>
    </row>
    <row r="113">
      <c r="A113" s="88" t="s">
        <v>3511</v>
      </c>
      <c r="B113" s="325"/>
      <c r="C113" s="325"/>
      <c r="D113" s="325"/>
      <c r="E113" s="325"/>
      <c r="F113" s="325"/>
      <c r="G113" s="325"/>
      <c r="H113" s="325"/>
      <c r="I113" s="325"/>
      <c r="J113" s="325"/>
      <c r="K113" s="325"/>
      <c r="L113" s="325"/>
      <c r="M113" s="325"/>
    </row>
    <row r="114">
      <c r="A114" s="88" t="s">
        <v>3511</v>
      </c>
      <c r="B114" s="325"/>
      <c r="C114" s="325"/>
      <c r="D114" s="325"/>
      <c r="E114" s="325"/>
      <c r="F114" s="325"/>
      <c r="G114" s="325"/>
      <c r="H114" s="325"/>
      <c r="I114" s="325"/>
      <c r="J114" s="325"/>
      <c r="K114" s="325"/>
      <c r="L114" s="325"/>
      <c r="M114" s="325"/>
    </row>
    <row r="115">
      <c r="A115" s="88" t="s">
        <v>3511</v>
      </c>
      <c r="B115" s="325"/>
      <c r="C115" s="325"/>
      <c r="D115" s="325"/>
      <c r="E115" s="325"/>
      <c r="F115" s="325"/>
      <c r="G115" s="325"/>
      <c r="H115" s="325"/>
      <c r="I115" s="325"/>
      <c r="J115" s="325"/>
      <c r="K115" s="325"/>
      <c r="L115" s="325"/>
      <c r="M115" s="325"/>
    </row>
    <row r="116">
      <c r="A116" s="88" t="s">
        <v>3511</v>
      </c>
      <c r="B116" s="325"/>
      <c r="C116" s="325"/>
      <c r="D116" s="325"/>
      <c r="E116" s="325"/>
      <c r="F116" s="325"/>
      <c r="G116" s="325"/>
      <c r="H116" s="325"/>
      <c r="I116" s="325"/>
      <c r="J116" s="325"/>
      <c r="K116" s="325"/>
      <c r="L116" s="325"/>
      <c r="M116" s="325"/>
    </row>
    <row r="117">
      <c r="A117" s="88" t="s">
        <v>3511</v>
      </c>
      <c r="B117" s="325"/>
      <c r="C117" s="325"/>
      <c r="D117" s="325"/>
      <c r="E117" s="325"/>
      <c r="F117" s="325"/>
      <c r="G117" s="325"/>
      <c r="H117" s="325"/>
      <c r="I117" s="325"/>
      <c r="J117" s="325"/>
      <c r="K117" s="325"/>
      <c r="L117" s="325"/>
      <c r="M117" s="325"/>
    </row>
    <row r="118">
      <c r="A118" s="88" t="s">
        <v>3511</v>
      </c>
      <c r="B118" s="325"/>
      <c r="C118" s="325"/>
      <c r="D118" s="325"/>
      <c r="E118" s="325"/>
      <c r="F118" s="325"/>
      <c r="G118" s="325"/>
      <c r="H118" s="325"/>
      <c r="I118" s="325"/>
      <c r="J118" s="325"/>
      <c r="K118" s="325"/>
      <c r="L118" s="325"/>
      <c r="M118" s="325"/>
    </row>
    <row r="119">
      <c r="A119" s="88" t="s">
        <v>3511</v>
      </c>
      <c r="B119" s="325"/>
      <c r="C119" s="325"/>
      <c r="D119" s="325"/>
      <c r="E119" s="325"/>
      <c r="F119" s="325"/>
      <c r="G119" s="325"/>
      <c r="H119" s="325"/>
      <c r="I119" s="325"/>
      <c r="J119" s="325"/>
      <c r="K119" s="325"/>
      <c r="L119" s="325"/>
      <c r="M119" s="325"/>
    </row>
    <row r="120">
      <c r="A120" s="88" t="s">
        <v>3511</v>
      </c>
      <c r="B120" s="325"/>
      <c r="C120" s="325"/>
      <c r="D120" s="325"/>
      <c r="E120" s="325"/>
      <c r="F120" s="325"/>
      <c r="G120" s="325"/>
      <c r="H120" s="325"/>
      <c r="I120" s="325"/>
      <c r="J120" s="325"/>
      <c r="K120" s="325"/>
      <c r="L120" s="325"/>
      <c r="M120" s="325"/>
    </row>
    <row r="121">
      <c r="A121" s="88" t="s">
        <v>3511</v>
      </c>
      <c r="B121" s="325"/>
      <c r="C121" s="325"/>
      <c r="D121" s="325"/>
      <c r="E121" s="325"/>
      <c r="F121" s="325"/>
      <c r="G121" s="325"/>
      <c r="H121" s="325"/>
      <c r="I121" s="325"/>
      <c r="J121" s="325"/>
      <c r="K121" s="325"/>
      <c r="L121" s="325"/>
      <c r="M121" s="325"/>
    </row>
    <row r="122">
      <c r="A122" s="88" t="s">
        <v>3511</v>
      </c>
      <c r="B122" s="325"/>
      <c r="C122" s="325"/>
      <c r="D122" s="325"/>
      <c r="E122" s="325"/>
      <c r="F122" s="325"/>
      <c r="G122" s="325"/>
      <c r="H122" s="325"/>
      <c r="I122" s="325"/>
      <c r="J122" s="325"/>
      <c r="K122" s="325"/>
      <c r="L122" s="325"/>
      <c r="M122" s="325"/>
    </row>
    <row r="123">
      <c r="A123" s="88" t="s">
        <v>3511</v>
      </c>
      <c r="B123" s="325"/>
      <c r="C123" s="325"/>
      <c r="D123" s="325"/>
      <c r="E123" s="325"/>
      <c r="F123" s="325"/>
      <c r="G123" s="325"/>
      <c r="H123" s="325"/>
      <c r="I123" s="325"/>
      <c r="J123" s="325"/>
      <c r="K123" s="325"/>
      <c r="L123" s="325"/>
      <c r="M123" s="325"/>
    </row>
    <row r="124">
      <c r="A124" s="88" t="s">
        <v>3511</v>
      </c>
      <c r="B124" s="325"/>
      <c r="C124" s="325"/>
      <c r="D124" s="325"/>
      <c r="E124" s="325"/>
      <c r="F124" s="325"/>
      <c r="G124" s="325"/>
      <c r="H124" s="325"/>
      <c r="I124" s="325"/>
      <c r="J124" s="325"/>
      <c r="K124" s="325"/>
      <c r="L124" s="325"/>
      <c r="M124" s="325"/>
    </row>
    <row r="125">
      <c r="A125" s="88" t="s">
        <v>3511</v>
      </c>
      <c r="B125" s="325"/>
      <c r="C125" s="325"/>
      <c r="D125" s="325"/>
      <c r="E125" s="325"/>
      <c r="F125" s="325"/>
      <c r="G125" s="325"/>
      <c r="H125" s="325"/>
      <c r="I125" s="325"/>
      <c r="J125" s="325"/>
      <c r="K125" s="325"/>
      <c r="L125" s="325"/>
      <c r="M125" s="325"/>
    </row>
    <row r="126">
      <c r="A126" s="88" t="s">
        <v>3511</v>
      </c>
      <c r="B126" s="325"/>
      <c r="C126" s="325"/>
      <c r="D126" s="325"/>
      <c r="E126" s="325"/>
      <c r="F126" s="325"/>
      <c r="G126" s="325"/>
      <c r="H126" s="325"/>
      <c r="I126" s="325"/>
      <c r="J126" s="325"/>
      <c r="K126" s="325"/>
      <c r="L126" s="325"/>
      <c r="M126" s="325"/>
    </row>
    <row r="127">
      <c r="A127" s="88" t="s">
        <v>3511</v>
      </c>
      <c r="B127" s="325"/>
      <c r="C127" s="325"/>
      <c r="D127" s="325"/>
      <c r="E127" s="325"/>
      <c r="F127" s="325"/>
      <c r="G127" s="325"/>
      <c r="H127" s="325"/>
      <c r="I127" s="325"/>
      <c r="J127" s="325"/>
      <c r="K127" s="325"/>
      <c r="L127" s="325"/>
      <c r="M127" s="325"/>
    </row>
    <row r="128">
      <c r="A128" s="88" t="s">
        <v>3511</v>
      </c>
      <c r="B128" s="325"/>
      <c r="C128" s="325"/>
      <c r="D128" s="325"/>
      <c r="E128" s="325"/>
      <c r="F128" s="325"/>
      <c r="G128" s="325"/>
      <c r="H128" s="325"/>
      <c r="I128" s="325"/>
      <c r="J128" s="325"/>
      <c r="K128" s="325"/>
      <c r="L128" s="325"/>
      <c r="M128" s="325"/>
    </row>
    <row r="129">
      <c r="A129" s="88" t="s">
        <v>3511</v>
      </c>
      <c r="B129" s="325"/>
      <c r="C129" s="325"/>
      <c r="D129" s="325"/>
      <c r="E129" s="325"/>
      <c r="F129" s="325"/>
      <c r="G129" s="325"/>
      <c r="H129" s="325"/>
      <c r="I129" s="325"/>
      <c r="J129" s="325"/>
      <c r="K129" s="325"/>
      <c r="L129" s="325"/>
      <c r="M129" s="325"/>
    </row>
    <row r="130">
      <c r="A130" s="88" t="s">
        <v>3511</v>
      </c>
      <c r="B130" s="325"/>
      <c r="C130" s="325"/>
      <c r="D130" s="325"/>
      <c r="E130" s="325"/>
      <c r="F130" s="325"/>
      <c r="G130" s="325"/>
      <c r="H130" s="325"/>
      <c r="I130" s="325"/>
      <c r="J130" s="325"/>
      <c r="K130" s="325"/>
      <c r="L130" s="325"/>
      <c r="M130" s="325"/>
    </row>
    <row r="131">
      <c r="A131" s="88" t="s">
        <v>3511</v>
      </c>
      <c r="B131" s="325"/>
      <c r="C131" s="325"/>
      <c r="D131" s="325"/>
      <c r="E131" s="325"/>
      <c r="F131" s="325"/>
      <c r="G131" s="325"/>
      <c r="H131" s="325"/>
      <c r="I131" s="325"/>
      <c r="J131" s="325"/>
      <c r="K131" s="325"/>
      <c r="L131" s="325"/>
      <c r="M131" s="325"/>
    </row>
    <row r="132">
      <c r="A132" s="88" t="s">
        <v>3511</v>
      </c>
      <c r="B132" s="325"/>
      <c r="C132" s="325"/>
      <c r="D132" s="325"/>
      <c r="E132" s="325"/>
      <c r="F132" s="325"/>
      <c r="G132" s="325"/>
      <c r="H132" s="325"/>
      <c r="I132" s="325"/>
      <c r="J132" s="325"/>
      <c r="K132" s="325"/>
      <c r="L132" s="325"/>
      <c r="M132" s="325"/>
    </row>
    <row r="133">
      <c r="A133" s="88" t="s">
        <v>3511</v>
      </c>
      <c r="B133" s="325"/>
      <c r="C133" s="325"/>
      <c r="D133" s="325"/>
      <c r="E133" s="325"/>
      <c r="F133" s="325"/>
      <c r="G133" s="325"/>
      <c r="H133" s="325"/>
      <c r="I133" s="325"/>
      <c r="J133" s="325"/>
      <c r="K133" s="325"/>
      <c r="L133" s="325"/>
      <c r="M133" s="325"/>
    </row>
    <row r="134">
      <c r="A134" s="88" t="s">
        <v>3511</v>
      </c>
      <c r="B134" s="325"/>
      <c r="C134" s="325"/>
      <c r="D134" s="325"/>
      <c r="E134" s="325"/>
      <c r="F134" s="325"/>
      <c r="G134" s="325"/>
      <c r="H134" s="325"/>
      <c r="I134" s="325"/>
      <c r="J134" s="325"/>
      <c r="K134" s="325"/>
      <c r="L134" s="325"/>
      <c r="M134" s="325"/>
    </row>
    <row r="135">
      <c r="A135" s="88" t="s">
        <v>3511</v>
      </c>
      <c r="B135" s="325"/>
      <c r="C135" s="325"/>
      <c r="D135" s="325"/>
      <c r="E135" s="325"/>
      <c r="F135" s="325"/>
      <c r="G135" s="325"/>
      <c r="H135" s="325"/>
      <c r="I135" s="325"/>
      <c r="J135" s="325"/>
      <c r="K135" s="325"/>
      <c r="L135" s="325"/>
      <c r="M135" s="325"/>
    </row>
    <row r="136">
      <c r="A136" s="88" t="s">
        <v>3511</v>
      </c>
      <c r="B136" s="325"/>
      <c r="C136" s="325"/>
      <c r="D136" s="325"/>
      <c r="E136" s="325"/>
      <c r="F136" s="325"/>
      <c r="G136" s="325"/>
      <c r="H136" s="325"/>
      <c r="I136" s="325"/>
      <c r="J136" s="325"/>
      <c r="K136" s="325"/>
      <c r="L136" s="325"/>
      <c r="M136" s="325"/>
    </row>
    <row r="137">
      <c r="A137" s="88" t="s">
        <v>3511</v>
      </c>
      <c r="B137" s="325"/>
      <c r="C137" s="325"/>
      <c r="D137" s="325"/>
      <c r="E137" s="325"/>
      <c r="F137" s="325"/>
      <c r="G137" s="325"/>
      <c r="H137" s="325"/>
      <c r="I137" s="325"/>
      <c r="J137" s="325"/>
      <c r="K137" s="325"/>
      <c r="L137" s="325"/>
      <c r="M137" s="325"/>
    </row>
    <row r="138">
      <c r="A138" s="88" t="s">
        <v>3511</v>
      </c>
      <c r="B138" s="325"/>
      <c r="C138" s="325"/>
      <c r="D138" s="325"/>
      <c r="E138" s="325"/>
      <c r="F138" s="325"/>
      <c r="G138" s="325"/>
      <c r="H138" s="325"/>
      <c r="I138" s="325"/>
      <c r="J138" s="325"/>
      <c r="K138" s="325"/>
      <c r="L138" s="325"/>
      <c r="M138" s="325"/>
    </row>
    <row r="139">
      <c r="A139" s="88" t="s">
        <v>3511</v>
      </c>
      <c r="M139" s="325"/>
    </row>
    <row r="140">
      <c r="A140" s="88" t="s">
        <v>3511</v>
      </c>
      <c r="M140" s="325"/>
    </row>
    <row r="141">
      <c r="A141" s="88" t="s">
        <v>3511</v>
      </c>
      <c r="M141" s="325"/>
    </row>
    <row r="142">
      <c r="A142" s="88" t="s">
        <v>3511</v>
      </c>
      <c r="M142" s="325"/>
    </row>
    <row r="143">
      <c r="A143" s="88" t="s">
        <v>3511</v>
      </c>
      <c r="M143" s="325"/>
    </row>
    <row r="144">
      <c r="A144" s="88" t="s">
        <v>3511</v>
      </c>
      <c r="M144" s="325"/>
    </row>
    <row r="145">
      <c r="A145" s="88" t="s">
        <v>3511</v>
      </c>
      <c r="M145" s="325"/>
    </row>
    <row r="146">
      <c r="A146" s="88" t="s">
        <v>3511</v>
      </c>
      <c r="M146" s="325"/>
    </row>
    <row r="147">
      <c r="A147" s="88" t="s">
        <v>3511</v>
      </c>
      <c r="M147" s="325"/>
    </row>
    <row r="148">
      <c r="A148" s="88" t="s">
        <v>3511</v>
      </c>
      <c r="M148" s="325"/>
    </row>
    <row r="149">
      <c r="A149" s="88" t="s">
        <v>3511</v>
      </c>
      <c r="M149" s="325"/>
    </row>
    <row r="150">
      <c r="A150" s="88" t="s">
        <v>3511</v>
      </c>
      <c r="M150" s="325"/>
    </row>
    <row r="151">
      <c r="A151" s="88" t="s">
        <v>3511</v>
      </c>
      <c r="M151" s="325"/>
    </row>
    <row r="152">
      <c r="A152" s="88" t="s">
        <v>3511</v>
      </c>
      <c r="M152" s="325"/>
    </row>
    <row r="153">
      <c r="A153" s="88" t="s">
        <v>3511</v>
      </c>
      <c r="M153" s="325"/>
    </row>
    <row r="154">
      <c r="A154" s="88" t="s">
        <v>3511</v>
      </c>
      <c r="M154" s="325"/>
    </row>
    <row r="155">
      <c r="A155" s="88" t="s">
        <v>3511</v>
      </c>
      <c r="M155" s="325"/>
    </row>
    <row r="156">
      <c r="A156" s="88" t="s">
        <v>3511</v>
      </c>
      <c r="M156" s="325"/>
    </row>
    <row r="157">
      <c r="A157" s="88" t="s">
        <v>3511</v>
      </c>
      <c r="M157" s="325"/>
    </row>
    <row r="158">
      <c r="A158" s="88" t="s">
        <v>3511</v>
      </c>
      <c r="M158" s="325"/>
    </row>
    <row r="159">
      <c r="A159" s="88" t="s">
        <v>3511</v>
      </c>
      <c r="M159" s="325"/>
    </row>
    <row r="160">
      <c r="A160" s="88" t="s">
        <v>3511</v>
      </c>
      <c r="M160" s="325"/>
    </row>
    <row r="161">
      <c r="A161" s="88" t="s">
        <v>3511</v>
      </c>
      <c r="M161" s="325"/>
    </row>
    <row r="162">
      <c r="A162" s="88" t="s">
        <v>3511</v>
      </c>
      <c r="M162" s="325"/>
    </row>
    <row r="163">
      <c r="A163" s="88" t="s">
        <v>3511</v>
      </c>
      <c r="M163" s="325"/>
    </row>
    <row r="164">
      <c r="A164" s="88" t="s">
        <v>3511</v>
      </c>
      <c r="M164" s="325"/>
    </row>
    <row r="165">
      <c r="A165" s="88" t="s">
        <v>3511</v>
      </c>
      <c r="M165" s="325"/>
    </row>
    <row r="166">
      <c r="A166" s="88" t="s">
        <v>3511</v>
      </c>
      <c r="M166" s="325"/>
    </row>
    <row r="167">
      <c r="A167" s="88" t="s">
        <v>3511</v>
      </c>
      <c r="M167" s="325"/>
    </row>
    <row r="168">
      <c r="A168" s="88" t="s">
        <v>3511</v>
      </c>
      <c r="M168" s="325"/>
    </row>
    <row r="169">
      <c r="A169" s="88" t="s">
        <v>3511</v>
      </c>
      <c r="M169" s="325"/>
    </row>
    <row r="170">
      <c r="A170" s="88" t="s">
        <v>3511</v>
      </c>
      <c r="M170" s="325"/>
    </row>
    <row r="171">
      <c r="A171" s="88" t="s">
        <v>3511</v>
      </c>
      <c r="M171" s="325"/>
    </row>
    <row r="172">
      <c r="A172" s="88" t="s">
        <v>3511</v>
      </c>
      <c r="M172" s="325"/>
    </row>
    <row r="173">
      <c r="A173" s="88" t="s">
        <v>3511</v>
      </c>
      <c r="M173" s="325"/>
    </row>
    <row r="174">
      <c r="A174" s="88" t="s">
        <v>3511</v>
      </c>
      <c r="M174" s="325"/>
    </row>
    <row r="175">
      <c r="A175" s="88" t="s">
        <v>3511</v>
      </c>
      <c r="M175" s="325"/>
    </row>
    <row r="176">
      <c r="A176" s="88" t="s">
        <v>3511</v>
      </c>
      <c r="M176" s="325"/>
    </row>
    <row r="177">
      <c r="A177" s="88" t="s">
        <v>3511</v>
      </c>
      <c r="M177" s="325"/>
    </row>
    <row r="178">
      <c r="A178" s="88" t="s">
        <v>3511</v>
      </c>
      <c r="M178" s="325"/>
    </row>
    <row r="179">
      <c r="A179" s="88" t="s">
        <v>3511</v>
      </c>
      <c r="M179" s="325"/>
    </row>
    <row r="180">
      <c r="A180" s="88" t="s">
        <v>3511</v>
      </c>
      <c r="M180" s="325"/>
    </row>
    <row r="181">
      <c r="A181" s="88" t="s">
        <v>3511</v>
      </c>
      <c r="M181" s="325"/>
    </row>
    <row r="182">
      <c r="A182" s="88" t="s">
        <v>3511</v>
      </c>
      <c r="M182" s="325"/>
    </row>
    <row r="183">
      <c r="A183" s="88" t="s">
        <v>3511</v>
      </c>
      <c r="M183" s="325"/>
    </row>
    <row r="184">
      <c r="A184" s="88" t="s">
        <v>3511</v>
      </c>
      <c r="M184" s="325"/>
    </row>
    <row r="185">
      <c r="A185" s="88" t="s">
        <v>3511</v>
      </c>
      <c r="M185" s="325"/>
    </row>
    <row r="186">
      <c r="A186" s="88" t="s">
        <v>3511</v>
      </c>
      <c r="M186" s="325"/>
    </row>
    <row r="187">
      <c r="A187" s="88" t="s">
        <v>3511</v>
      </c>
      <c r="M187" s="325"/>
    </row>
    <row r="188">
      <c r="A188" s="88" t="s">
        <v>3511</v>
      </c>
      <c r="M188" s="325"/>
    </row>
    <row r="189">
      <c r="A189" s="88" t="s">
        <v>3511</v>
      </c>
      <c r="M189" s="325"/>
    </row>
    <row r="190">
      <c r="A190" s="88" t="s">
        <v>3511</v>
      </c>
      <c r="M190" s="325"/>
    </row>
    <row r="191">
      <c r="A191" s="88" t="s">
        <v>3511</v>
      </c>
      <c r="M191" s="325"/>
    </row>
    <row r="192">
      <c r="A192" s="88" t="s">
        <v>3511</v>
      </c>
      <c r="M192" s="325"/>
    </row>
    <row r="193">
      <c r="A193" s="88" t="s">
        <v>3511</v>
      </c>
      <c r="M193" s="325"/>
    </row>
    <row r="194">
      <c r="A194" s="88" t="s">
        <v>3511</v>
      </c>
      <c r="M194" s="325"/>
    </row>
    <row r="195">
      <c r="A195" s="88" t="s">
        <v>3511</v>
      </c>
      <c r="M195" s="325"/>
    </row>
    <row r="196">
      <c r="A196" s="88" t="s">
        <v>3511</v>
      </c>
      <c r="M196" s="325"/>
    </row>
    <row r="197">
      <c r="A197" s="88" t="s">
        <v>3511</v>
      </c>
      <c r="M197" s="325"/>
    </row>
    <row r="198">
      <c r="A198" s="88" t="s">
        <v>3511</v>
      </c>
      <c r="M198" s="325"/>
    </row>
    <row r="199">
      <c r="A199" s="88" t="s">
        <v>3511</v>
      </c>
      <c r="M199" s="325"/>
    </row>
    <row r="200">
      <c r="A200" s="88" t="s">
        <v>3511</v>
      </c>
      <c r="M200" s="325"/>
    </row>
    <row r="201">
      <c r="A201" s="88" t="s">
        <v>3511</v>
      </c>
      <c r="M201" s="325"/>
    </row>
    <row r="202">
      <c r="A202" s="88" t="s">
        <v>3511</v>
      </c>
      <c r="M202" s="325"/>
    </row>
    <row r="203">
      <c r="A203" s="88" t="s">
        <v>3511</v>
      </c>
      <c r="M203" s="325"/>
    </row>
    <row r="204">
      <c r="A204" s="88" t="s">
        <v>3511</v>
      </c>
      <c r="M204" s="325"/>
    </row>
    <row r="205">
      <c r="A205" s="88" t="s">
        <v>3511</v>
      </c>
      <c r="M205" s="325"/>
    </row>
    <row r="206">
      <c r="A206" s="88" t="s">
        <v>3511</v>
      </c>
      <c r="M206" s="325"/>
    </row>
    <row r="207">
      <c r="A207" s="88" t="s">
        <v>3511</v>
      </c>
      <c r="M207" s="325"/>
    </row>
    <row r="208">
      <c r="A208" s="88" t="s">
        <v>3511</v>
      </c>
      <c r="M208" s="325"/>
    </row>
    <row r="209">
      <c r="A209" s="88" t="s">
        <v>3511</v>
      </c>
      <c r="M209" s="325"/>
    </row>
    <row r="210">
      <c r="A210" s="88" t="s">
        <v>3511</v>
      </c>
      <c r="M210" s="325"/>
    </row>
    <row r="211">
      <c r="A211" s="88" t="s">
        <v>3511</v>
      </c>
      <c r="M211" s="325"/>
    </row>
    <row r="212">
      <c r="A212" s="88" t="s">
        <v>3511</v>
      </c>
      <c r="M212" s="325"/>
    </row>
    <row r="213">
      <c r="A213" s="88" t="s">
        <v>3511</v>
      </c>
      <c r="M213" s="325"/>
    </row>
    <row r="214">
      <c r="A214" s="88" t="s">
        <v>3511</v>
      </c>
      <c r="M214" s="325"/>
    </row>
    <row r="215">
      <c r="A215" s="88" t="s">
        <v>3511</v>
      </c>
      <c r="M215" s="325"/>
    </row>
    <row r="216">
      <c r="A216" s="88" t="s">
        <v>3511</v>
      </c>
      <c r="M216" s="325"/>
    </row>
    <row r="217">
      <c r="A217" s="88" t="s">
        <v>3511</v>
      </c>
      <c r="M217" s="325"/>
    </row>
    <row r="218">
      <c r="A218" s="88" t="s">
        <v>3511</v>
      </c>
      <c r="M218" s="325"/>
    </row>
    <row r="219">
      <c r="A219" s="88" t="s">
        <v>3511</v>
      </c>
      <c r="M219" s="325"/>
    </row>
    <row r="220">
      <c r="A220" s="88" t="s">
        <v>3511</v>
      </c>
      <c r="M220" s="325"/>
    </row>
    <row r="221">
      <c r="A221" s="88" t="s">
        <v>3511</v>
      </c>
      <c r="M221" s="325"/>
    </row>
    <row r="222">
      <c r="A222" s="88" t="s">
        <v>3511</v>
      </c>
      <c r="M222" s="325"/>
    </row>
    <row r="223">
      <c r="A223" s="88" t="s">
        <v>3511</v>
      </c>
      <c r="M223" s="325"/>
    </row>
    <row r="224">
      <c r="A224" s="88" t="s">
        <v>3511</v>
      </c>
      <c r="M224" s="325"/>
    </row>
    <row r="225">
      <c r="A225" s="88" t="s">
        <v>3511</v>
      </c>
      <c r="M225" s="325"/>
    </row>
    <row r="226">
      <c r="A226" s="88" t="s">
        <v>3511</v>
      </c>
      <c r="M226" s="325"/>
    </row>
    <row r="227">
      <c r="A227" s="88" t="s">
        <v>3511</v>
      </c>
      <c r="M227" s="325"/>
    </row>
    <row r="228">
      <c r="A228" s="88" t="s">
        <v>3511</v>
      </c>
      <c r="M228" s="325"/>
    </row>
    <row r="229">
      <c r="A229" s="88" t="s">
        <v>3511</v>
      </c>
      <c r="M229" s="325"/>
    </row>
    <row r="230">
      <c r="A230" s="88" t="s">
        <v>3511</v>
      </c>
      <c r="M230" s="325"/>
    </row>
    <row r="231">
      <c r="A231" s="88" t="s">
        <v>3511</v>
      </c>
      <c r="M231" s="325"/>
    </row>
    <row r="232">
      <c r="A232" s="88" t="s">
        <v>3511</v>
      </c>
      <c r="M232" s="325"/>
    </row>
    <row r="233">
      <c r="A233" s="88" t="s">
        <v>3511</v>
      </c>
      <c r="M233" s="325"/>
    </row>
    <row r="234">
      <c r="A234" s="88" t="s">
        <v>3511</v>
      </c>
      <c r="M234" s="325"/>
    </row>
    <row r="235">
      <c r="A235" s="88" t="s">
        <v>3511</v>
      </c>
      <c r="M235" s="325"/>
    </row>
    <row r="236">
      <c r="A236" s="88" t="s">
        <v>3511</v>
      </c>
      <c r="M236" s="325"/>
    </row>
    <row r="237">
      <c r="A237" s="88" t="s">
        <v>3511</v>
      </c>
      <c r="M237" s="325"/>
    </row>
    <row r="238">
      <c r="A238" s="88" t="s">
        <v>3511</v>
      </c>
      <c r="M238" s="325"/>
    </row>
    <row r="239">
      <c r="A239" s="88" t="s">
        <v>3511</v>
      </c>
      <c r="M239" s="325"/>
    </row>
    <row r="240">
      <c r="A240" s="88" t="s">
        <v>3511</v>
      </c>
      <c r="M240" s="325"/>
    </row>
    <row r="241">
      <c r="A241" s="88" t="s">
        <v>3511</v>
      </c>
      <c r="M241" s="325"/>
    </row>
    <row r="242">
      <c r="A242" s="88" t="s">
        <v>3511</v>
      </c>
      <c r="M242" s="325"/>
    </row>
    <row r="243">
      <c r="A243" s="88" t="s">
        <v>3511</v>
      </c>
      <c r="M243" s="325"/>
    </row>
    <row r="244">
      <c r="A244" s="88" t="s">
        <v>3511</v>
      </c>
      <c r="M244" s="325"/>
    </row>
    <row r="245">
      <c r="A245" s="88" t="s">
        <v>3511</v>
      </c>
      <c r="M245" s="325"/>
    </row>
    <row r="246">
      <c r="A246" s="88" t="s">
        <v>3511</v>
      </c>
      <c r="M246" s="325"/>
    </row>
    <row r="247">
      <c r="A247" s="88" t="s">
        <v>3511</v>
      </c>
      <c r="M247" s="325"/>
    </row>
    <row r="248">
      <c r="A248" s="88" t="s">
        <v>3511</v>
      </c>
      <c r="M248" s="325"/>
    </row>
    <row r="249">
      <c r="A249" s="88" t="s">
        <v>3511</v>
      </c>
      <c r="M249" s="325"/>
    </row>
    <row r="250">
      <c r="A250" s="88" t="s">
        <v>3511</v>
      </c>
      <c r="M250" s="325"/>
    </row>
    <row r="251">
      <c r="A251" s="88" t="s">
        <v>3511</v>
      </c>
      <c r="M251" s="325"/>
    </row>
    <row r="252">
      <c r="A252" s="88" t="s">
        <v>3511</v>
      </c>
      <c r="M252" s="325"/>
    </row>
    <row r="253">
      <c r="A253" s="88" t="s">
        <v>3511</v>
      </c>
      <c r="M253" s="325"/>
    </row>
    <row r="254">
      <c r="A254" s="88" t="s">
        <v>3511</v>
      </c>
      <c r="M254" s="325"/>
    </row>
    <row r="255">
      <c r="A255" s="88" t="s">
        <v>3511</v>
      </c>
      <c r="M255" s="325"/>
    </row>
    <row r="256">
      <c r="A256" s="88" t="s">
        <v>3511</v>
      </c>
      <c r="M256" s="325"/>
    </row>
    <row r="257">
      <c r="A257" s="88" t="s">
        <v>3511</v>
      </c>
      <c r="M257" s="325"/>
    </row>
    <row r="258">
      <c r="A258" s="88" t="s">
        <v>3511</v>
      </c>
      <c r="M258" s="325"/>
    </row>
    <row r="259">
      <c r="A259" s="88" t="s">
        <v>3511</v>
      </c>
      <c r="M259" s="325"/>
    </row>
    <row r="260">
      <c r="A260" s="88" t="s">
        <v>3511</v>
      </c>
      <c r="M260" s="325"/>
    </row>
    <row r="261">
      <c r="A261" s="88" t="s">
        <v>3511</v>
      </c>
      <c r="M261" s="325"/>
    </row>
    <row r="262">
      <c r="A262" s="88" t="s">
        <v>3511</v>
      </c>
      <c r="M262" s="325"/>
    </row>
    <row r="263">
      <c r="A263" s="88" t="s">
        <v>3511</v>
      </c>
      <c r="M263" s="325"/>
    </row>
    <row r="264">
      <c r="A264" s="88" t="s">
        <v>3511</v>
      </c>
      <c r="M264" s="325"/>
    </row>
    <row r="265">
      <c r="A265" s="88" t="s">
        <v>3511</v>
      </c>
      <c r="M265" s="325"/>
    </row>
    <row r="266">
      <c r="A266" s="88" t="s">
        <v>3511</v>
      </c>
      <c r="M266" s="325"/>
    </row>
    <row r="267">
      <c r="A267" s="88" t="s">
        <v>3511</v>
      </c>
      <c r="M267" s="325"/>
    </row>
    <row r="268">
      <c r="A268" s="88" t="s">
        <v>3511</v>
      </c>
      <c r="M268" s="325"/>
    </row>
    <row r="269">
      <c r="A269" s="88" t="s">
        <v>3511</v>
      </c>
      <c r="M269" s="325"/>
    </row>
    <row r="270">
      <c r="A270" s="88" t="s">
        <v>3511</v>
      </c>
      <c r="M270" s="325"/>
    </row>
    <row r="271">
      <c r="A271" s="88" t="s">
        <v>3511</v>
      </c>
      <c r="M271" s="325"/>
    </row>
    <row r="272">
      <c r="A272" s="88" t="s">
        <v>3511</v>
      </c>
      <c r="M272" s="325"/>
    </row>
    <row r="273">
      <c r="A273" s="88" t="s">
        <v>3511</v>
      </c>
      <c r="M273" s="325"/>
    </row>
    <row r="274">
      <c r="A274" s="88" t="s">
        <v>3511</v>
      </c>
      <c r="M274" s="325"/>
    </row>
    <row r="275">
      <c r="A275" s="88" t="s">
        <v>3511</v>
      </c>
      <c r="M275" s="325"/>
    </row>
    <row r="276">
      <c r="A276" s="88" t="s">
        <v>3511</v>
      </c>
      <c r="M276" s="325"/>
    </row>
    <row r="277">
      <c r="A277" s="88" t="s">
        <v>3511</v>
      </c>
      <c r="M277" s="325"/>
    </row>
    <row r="278">
      <c r="A278" s="88" t="s">
        <v>3511</v>
      </c>
      <c r="M278" s="325"/>
    </row>
    <row r="279">
      <c r="A279" s="88" t="s">
        <v>3511</v>
      </c>
      <c r="M279" s="325"/>
    </row>
    <row r="280">
      <c r="A280" s="88" t="s">
        <v>3511</v>
      </c>
      <c r="M280" s="325"/>
    </row>
    <row r="281">
      <c r="A281" s="88" t="s">
        <v>3511</v>
      </c>
      <c r="M281" s="325"/>
    </row>
    <row r="282">
      <c r="A282" s="88" t="s">
        <v>3511</v>
      </c>
      <c r="M282" s="325"/>
    </row>
    <row r="283">
      <c r="A283" s="88" t="s">
        <v>3511</v>
      </c>
      <c r="M283" s="325"/>
    </row>
    <row r="284">
      <c r="A284" s="88" t="s">
        <v>3511</v>
      </c>
      <c r="M284" s="325"/>
    </row>
    <row r="285">
      <c r="A285" s="88" t="s">
        <v>3511</v>
      </c>
      <c r="M285" s="325"/>
    </row>
    <row r="286">
      <c r="A286" s="88" t="s">
        <v>3511</v>
      </c>
      <c r="M286" s="325"/>
    </row>
    <row r="287">
      <c r="A287" s="88" t="s">
        <v>3511</v>
      </c>
      <c r="M287" s="325"/>
    </row>
    <row r="288">
      <c r="A288" s="88" t="s">
        <v>3511</v>
      </c>
      <c r="M288" s="325"/>
    </row>
    <row r="289">
      <c r="A289" s="88" t="s">
        <v>3511</v>
      </c>
      <c r="M289" s="325"/>
    </row>
    <row r="290">
      <c r="A290" s="88" t="s">
        <v>3511</v>
      </c>
      <c r="M290" s="325"/>
    </row>
    <row r="291">
      <c r="A291" s="88" t="s">
        <v>3511</v>
      </c>
      <c r="M291" s="325"/>
    </row>
    <row r="292">
      <c r="A292" s="88" t="s">
        <v>3511</v>
      </c>
      <c r="M292" s="325"/>
    </row>
    <row r="293">
      <c r="A293" s="88" t="s">
        <v>3511</v>
      </c>
      <c r="M293" s="325"/>
    </row>
    <row r="294">
      <c r="A294" s="88" t="s">
        <v>3511</v>
      </c>
      <c r="M294" s="325"/>
    </row>
    <row r="295">
      <c r="A295" s="88" t="s">
        <v>3511</v>
      </c>
      <c r="M295" s="325"/>
    </row>
    <row r="296">
      <c r="A296" s="88" t="s">
        <v>3511</v>
      </c>
      <c r="M296" s="325"/>
    </row>
    <row r="297">
      <c r="A297" s="88" t="s">
        <v>3511</v>
      </c>
      <c r="M297" s="325"/>
    </row>
    <row r="298">
      <c r="A298" s="88" t="s">
        <v>3511</v>
      </c>
      <c r="M298" s="325"/>
    </row>
    <row r="299">
      <c r="A299" s="88" t="s">
        <v>3511</v>
      </c>
      <c r="M299" s="325"/>
    </row>
    <row r="300">
      <c r="A300" s="88" t="s">
        <v>3511</v>
      </c>
      <c r="M300" s="325"/>
    </row>
    <row r="301">
      <c r="A301" s="88" t="s">
        <v>3511</v>
      </c>
      <c r="M301" s="325"/>
    </row>
    <row r="302">
      <c r="A302" s="88" t="s">
        <v>3511</v>
      </c>
      <c r="M302" s="325"/>
    </row>
    <row r="303">
      <c r="A303" s="88" t="s">
        <v>3511</v>
      </c>
      <c r="M303" s="325"/>
    </row>
    <row r="304">
      <c r="A304" s="88" t="s">
        <v>3511</v>
      </c>
      <c r="M304" s="325"/>
    </row>
    <row r="305">
      <c r="A305" s="88" t="s">
        <v>3511</v>
      </c>
      <c r="M305" s="325"/>
    </row>
    <row r="306">
      <c r="A306" s="88" t="s">
        <v>3511</v>
      </c>
      <c r="M306" s="325"/>
    </row>
    <row r="307">
      <c r="A307" s="88" t="s">
        <v>3511</v>
      </c>
      <c r="M307" s="325"/>
    </row>
    <row r="308">
      <c r="A308" s="88" t="s">
        <v>3511</v>
      </c>
      <c r="M308" s="325"/>
    </row>
    <row r="309">
      <c r="A309" s="88" t="s">
        <v>3511</v>
      </c>
      <c r="M309" s="325"/>
    </row>
    <row r="310">
      <c r="A310" s="88" t="s">
        <v>3511</v>
      </c>
      <c r="M310" s="325"/>
    </row>
    <row r="311">
      <c r="A311" s="88" t="s">
        <v>3511</v>
      </c>
      <c r="M311" s="325"/>
    </row>
    <row r="312">
      <c r="A312" s="88" t="s">
        <v>3511</v>
      </c>
      <c r="M312" s="325"/>
    </row>
    <row r="313">
      <c r="A313" s="88" t="s">
        <v>3511</v>
      </c>
      <c r="M313" s="325"/>
    </row>
    <row r="314">
      <c r="A314" s="88" t="s">
        <v>3511</v>
      </c>
      <c r="M314" s="325"/>
    </row>
    <row r="315">
      <c r="A315" s="88" t="s">
        <v>3511</v>
      </c>
      <c r="M315" s="325"/>
    </row>
    <row r="316">
      <c r="A316" s="88" t="s">
        <v>3511</v>
      </c>
      <c r="M316" s="325"/>
    </row>
    <row r="317">
      <c r="A317" s="88" t="s">
        <v>3511</v>
      </c>
      <c r="M317" s="325"/>
    </row>
    <row r="318">
      <c r="A318" s="88" t="s">
        <v>3511</v>
      </c>
      <c r="M318" s="325"/>
    </row>
    <row r="319">
      <c r="A319" s="88" t="s">
        <v>3511</v>
      </c>
      <c r="M319" s="325"/>
    </row>
    <row r="320">
      <c r="A320" s="88" t="s">
        <v>3511</v>
      </c>
      <c r="M320" s="325"/>
    </row>
    <row r="321">
      <c r="A321" s="88" t="s">
        <v>3511</v>
      </c>
      <c r="M321" s="325"/>
    </row>
    <row r="322">
      <c r="A322" s="88" t="s">
        <v>3511</v>
      </c>
      <c r="M322" s="325"/>
    </row>
    <row r="323">
      <c r="A323" s="88" t="s">
        <v>3511</v>
      </c>
      <c r="M323" s="325"/>
    </row>
    <row r="324">
      <c r="A324" s="88" t="s">
        <v>3511</v>
      </c>
      <c r="M324" s="325"/>
    </row>
    <row r="325">
      <c r="A325" s="88" t="s">
        <v>3511</v>
      </c>
      <c r="M325" s="325"/>
    </row>
    <row r="326">
      <c r="A326" s="88" t="s">
        <v>3511</v>
      </c>
      <c r="M326" s="325"/>
    </row>
    <row r="327">
      <c r="A327" s="88" t="s">
        <v>3511</v>
      </c>
      <c r="M327" s="325"/>
    </row>
    <row r="328">
      <c r="A328" s="88" t="s">
        <v>3511</v>
      </c>
      <c r="M328" s="325"/>
    </row>
    <row r="329">
      <c r="A329" s="88" t="s">
        <v>3511</v>
      </c>
      <c r="M329" s="325"/>
    </row>
    <row r="330">
      <c r="A330" s="88" t="s">
        <v>3511</v>
      </c>
      <c r="M330" s="325"/>
    </row>
    <row r="331">
      <c r="A331" s="88" t="s">
        <v>3511</v>
      </c>
      <c r="M331" s="325"/>
    </row>
    <row r="332">
      <c r="A332" s="88" t="s">
        <v>3511</v>
      </c>
      <c r="M332" s="325"/>
    </row>
    <row r="333">
      <c r="A333" s="88" t="s">
        <v>3511</v>
      </c>
      <c r="M333" s="325"/>
    </row>
    <row r="334">
      <c r="A334" s="88" t="s">
        <v>3511</v>
      </c>
      <c r="M334" s="325"/>
    </row>
    <row r="335">
      <c r="A335" s="88" t="s">
        <v>3511</v>
      </c>
      <c r="M335" s="325"/>
    </row>
    <row r="336">
      <c r="A336" s="88" t="s">
        <v>3511</v>
      </c>
      <c r="M336" s="325"/>
    </row>
    <row r="337">
      <c r="A337" s="88" t="s">
        <v>3511</v>
      </c>
      <c r="M337" s="325"/>
    </row>
    <row r="338">
      <c r="A338" s="88" t="s">
        <v>3511</v>
      </c>
      <c r="M338" s="325"/>
    </row>
    <row r="339">
      <c r="A339" s="88" t="s">
        <v>3511</v>
      </c>
      <c r="M339" s="325"/>
    </row>
    <row r="340">
      <c r="A340" s="88" t="s">
        <v>3511</v>
      </c>
      <c r="M340" s="325"/>
    </row>
    <row r="341">
      <c r="A341" s="88" t="s">
        <v>3511</v>
      </c>
      <c r="M341" s="325"/>
    </row>
    <row r="342">
      <c r="A342" s="88" t="s">
        <v>3511</v>
      </c>
      <c r="M342" s="325"/>
    </row>
    <row r="343">
      <c r="A343" s="88" t="s">
        <v>3511</v>
      </c>
      <c r="M343" s="325"/>
    </row>
    <row r="344">
      <c r="A344" s="88" t="s">
        <v>3511</v>
      </c>
      <c r="M344" s="325"/>
    </row>
    <row r="345">
      <c r="A345" s="88" t="s">
        <v>3511</v>
      </c>
      <c r="M345" s="325"/>
    </row>
    <row r="346">
      <c r="A346" s="88" t="s">
        <v>3511</v>
      </c>
      <c r="M346" s="325"/>
    </row>
    <row r="347">
      <c r="A347" s="88" t="s">
        <v>3511</v>
      </c>
      <c r="M347" s="325"/>
    </row>
    <row r="348">
      <c r="A348" s="88" t="s">
        <v>3511</v>
      </c>
      <c r="M348" s="325"/>
    </row>
    <row r="349">
      <c r="A349" s="88" t="s">
        <v>3511</v>
      </c>
      <c r="M349" s="325"/>
    </row>
    <row r="350">
      <c r="A350" s="88" t="s">
        <v>3511</v>
      </c>
      <c r="M350" s="325"/>
    </row>
    <row r="351">
      <c r="A351" s="88" t="s">
        <v>3511</v>
      </c>
      <c r="M351" s="325"/>
    </row>
    <row r="352">
      <c r="A352" s="88" t="s">
        <v>3511</v>
      </c>
      <c r="M352" s="325"/>
    </row>
    <row r="353">
      <c r="A353" s="88" t="s">
        <v>3511</v>
      </c>
      <c r="M353" s="325"/>
    </row>
    <row r="354">
      <c r="A354" s="88" t="s">
        <v>3511</v>
      </c>
      <c r="M354" s="325"/>
    </row>
    <row r="355">
      <c r="A355" s="88" t="s">
        <v>3511</v>
      </c>
      <c r="M355" s="325"/>
    </row>
    <row r="356">
      <c r="A356" s="88" t="s">
        <v>3511</v>
      </c>
      <c r="M356" s="325"/>
    </row>
    <row r="357">
      <c r="A357" s="88" t="s">
        <v>3511</v>
      </c>
      <c r="M357" s="325"/>
    </row>
    <row r="358">
      <c r="A358" s="88" t="s">
        <v>3511</v>
      </c>
      <c r="M358" s="325"/>
    </row>
    <row r="359">
      <c r="A359" s="88" t="s">
        <v>3511</v>
      </c>
      <c r="M359" s="325"/>
    </row>
    <row r="360">
      <c r="A360" s="88" t="s">
        <v>3511</v>
      </c>
      <c r="M360" s="325"/>
    </row>
    <row r="361">
      <c r="A361" s="88" t="s">
        <v>3511</v>
      </c>
      <c r="M361" s="325"/>
    </row>
    <row r="362">
      <c r="A362" s="88" t="s">
        <v>3511</v>
      </c>
      <c r="M362" s="325"/>
    </row>
    <row r="363">
      <c r="A363" s="88" t="s">
        <v>3511</v>
      </c>
      <c r="M363" s="325"/>
    </row>
    <row r="364">
      <c r="A364" s="88" t="s">
        <v>3511</v>
      </c>
      <c r="M364" s="325"/>
    </row>
    <row r="365">
      <c r="A365" s="88" t="s">
        <v>3511</v>
      </c>
      <c r="M365" s="325"/>
    </row>
    <row r="366">
      <c r="A366" s="88" t="s">
        <v>3511</v>
      </c>
      <c r="M366" s="325"/>
    </row>
    <row r="367">
      <c r="A367" s="88" t="s">
        <v>3511</v>
      </c>
      <c r="M367" s="325"/>
    </row>
    <row r="368">
      <c r="A368" s="88" t="s">
        <v>3511</v>
      </c>
      <c r="M368" s="325"/>
    </row>
    <row r="369">
      <c r="A369" s="88" t="s">
        <v>3511</v>
      </c>
      <c r="M369" s="325"/>
    </row>
    <row r="370">
      <c r="A370" s="88" t="s">
        <v>3511</v>
      </c>
      <c r="M370" s="325"/>
    </row>
    <row r="371">
      <c r="A371" s="88" t="s">
        <v>3511</v>
      </c>
      <c r="M371" s="325"/>
    </row>
    <row r="372">
      <c r="A372" s="88" t="s">
        <v>3511</v>
      </c>
      <c r="M372" s="325"/>
    </row>
    <row r="373">
      <c r="A373" s="88" t="s">
        <v>3511</v>
      </c>
      <c r="M373" s="325"/>
    </row>
    <row r="374">
      <c r="A374" s="88" t="s">
        <v>3511</v>
      </c>
      <c r="M374" s="325"/>
    </row>
    <row r="375">
      <c r="A375" s="88" t="s">
        <v>3511</v>
      </c>
      <c r="M375" s="325"/>
    </row>
    <row r="376">
      <c r="A376" s="88" t="s">
        <v>3511</v>
      </c>
      <c r="M376" s="325"/>
    </row>
    <row r="377">
      <c r="A377" s="88" t="s">
        <v>3511</v>
      </c>
      <c r="M377" s="325"/>
    </row>
    <row r="378">
      <c r="A378" s="88" t="s">
        <v>3511</v>
      </c>
      <c r="M378" s="325"/>
    </row>
    <row r="379">
      <c r="A379" s="88" t="s">
        <v>3511</v>
      </c>
      <c r="M379" s="325"/>
    </row>
    <row r="380">
      <c r="A380" s="88" t="s">
        <v>3511</v>
      </c>
      <c r="M380" s="325"/>
    </row>
    <row r="381">
      <c r="A381" s="88" t="s">
        <v>3511</v>
      </c>
      <c r="M381" s="325"/>
    </row>
    <row r="382">
      <c r="A382" s="88" t="s">
        <v>3511</v>
      </c>
      <c r="M382" s="325"/>
    </row>
    <row r="383">
      <c r="A383" s="88" t="s">
        <v>3511</v>
      </c>
      <c r="M383" s="325"/>
    </row>
    <row r="384">
      <c r="A384" s="88" t="s">
        <v>3511</v>
      </c>
      <c r="M384" s="325"/>
    </row>
    <row r="385">
      <c r="A385" s="88" t="s">
        <v>3511</v>
      </c>
      <c r="M385" s="325"/>
    </row>
    <row r="386">
      <c r="A386" s="88" t="s">
        <v>3511</v>
      </c>
      <c r="M386" s="325"/>
    </row>
    <row r="387">
      <c r="A387" s="88" t="s">
        <v>3511</v>
      </c>
      <c r="M387" s="325"/>
    </row>
    <row r="388">
      <c r="A388" s="88" t="s">
        <v>3511</v>
      </c>
      <c r="M388" s="325"/>
    </row>
    <row r="389">
      <c r="A389" s="88" t="s">
        <v>3511</v>
      </c>
      <c r="M389" s="325"/>
    </row>
    <row r="390">
      <c r="A390" s="88" t="s">
        <v>3511</v>
      </c>
      <c r="M390" s="325"/>
    </row>
    <row r="391">
      <c r="A391" s="88" t="s">
        <v>3511</v>
      </c>
      <c r="M391" s="325"/>
    </row>
    <row r="392">
      <c r="A392" s="88" t="s">
        <v>3511</v>
      </c>
      <c r="M392" s="325"/>
    </row>
    <row r="393">
      <c r="A393" s="88" t="s">
        <v>3511</v>
      </c>
      <c r="M393" s="325"/>
    </row>
    <row r="394">
      <c r="A394" s="88" t="s">
        <v>3511</v>
      </c>
      <c r="M394" s="325"/>
    </row>
    <row r="395">
      <c r="A395" s="88" t="s">
        <v>3511</v>
      </c>
      <c r="M395" s="325"/>
    </row>
    <row r="396">
      <c r="A396" s="88" t="s">
        <v>3511</v>
      </c>
      <c r="M396" s="325"/>
    </row>
    <row r="397">
      <c r="A397" s="88" t="s">
        <v>3511</v>
      </c>
      <c r="M397" s="325"/>
    </row>
    <row r="398">
      <c r="A398" s="88" t="s">
        <v>3511</v>
      </c>
      <c r="M398" s="325"/>
    </row>
    <row r="399">
      <c r="A399" s="88" t="s">
        <v>3511</v>
      </c>
      <c r="M399" s="325"/>
    </row>
    <row r="400">
      <c r="A400" s="88" t="s">
        <v>3511</v>
      </c>
      <c r="M400" s="325"/>
    </row>
    <row r="401">
      <c r="A401" s="88" t="s">
        <v>3511</v>
      </c>
      <c r="M401" s="325"/>
    </row>
    <row r="402">
      <c r="A402" s="88" t="s">
        <v>3511</v>
      </c>
      <c r="M402" s="325"/>
    </row>
    <row r="403">
      <c r="A403" s="88" t="s">
        <v>3511</v>
      </c>
      <c r="M403" s="325"/>
    </row>
    <row r="404">
      <c r="A404" s="88" t="s">
        <v>3511</v>
      </c>
      <c r="M404" s="325"/>
    </row>
    <row r="405">
      <c r="A405" s="88" t="s">
        <v>3511</v>
      </c>
      <c r="M405" s="325"/>
    </row>
    <row r="406">
      <c r="A406" s="88" t="s">
        <v>3511</v>
      </c>
      <c r="M406" s="325"/>
    </row>
    <row r="407">
      <c r="A407" s="88" t="s">
        <v>3511</v>
      </c>
      <c r="M407" s="325"/>
    </row>
    <row r="408">
      <c r="A408" s="88" t="s">
        <v>3511</v>
      </c>
      <c r="M408" s="325"/>
    </row>
    <row r="409">
      <c r="A409" s="88" t="s">
        <v>3511</v>
      </c>
      <c r="M409" s="325"/>
    </row>
    <row r="410">
      <c r="A410" s="88" t="s">
        <v>3511</v>
      </c>
      <c r="M410" s="325"/>
    </row>
    <row r="411">
      <c r="A411" s="88" t="s">
        <v>3511</v>
      </c>
      <c r="M411" s="325"/>
    </row>
    <row r="412">
      <c r="A412" s="88" t="s">
        <v>3511</v>
      </c>
      <c r="M412" s="325"/>
    </row>
    <row r="413">
      <c r="A413" s="88" t="s">
        <v>3511</v>
      </c>
      <c r="M413" s="325"/>
    </row>
    <row r="414">
      <c r="A414" s="88" t="s">
        <v>3511</v>
      </c>
      <c r="M414" s="325"/>
    </row>
    <row r="415">
      <c r="A415" s="88" t="s">
        <v>3511</v>
      </c>
      <c r="M415" s="325"/>
    </row>
    <row r="416">
      <c r="A416" s="88" t="s">
        <v>3511</v>
      </c>
      <c r="M416" s="325"/>
    </row>
    <row r="417">
      <c r="A417" s="88" t="s">
        <v>3511</v>
      </c>
      <c r="M417" s="325"/>
    </row>
    <row r="418">
      <c r="A418" s="88" t="s">
        <v>3511</v>
      </c>
      <c r="M418" s="325"/>
    </row>
    <row r="419">
      <c r="A419" s="88" t="s">
        <v>3511</v>
      </c>
      <c r="M419" s="325"/>
    </row>
    <row r="420">
      <c r="A420" s="88" t="s">
        <v>3511</v>
      </c>
      <c r="M420" s="325"/>
    </row>
    <row r="421">
      <c r="A421" s="88" t="s">
        <v>3511</v>
      </c>
      <c r="M421" s="325"/>
    </row>
    <row r="422">
      <c r="A422" s="88" t="s">
        <v>3511</v>
      </c>
      <c r="M422" s="325"/>
    </row>
    <row r="423">
      <c r="A423" s="88" t="s">
        <v>3511</v>
      </c>
      <c r="M423" s="325"/>
    </row>
    <row r="424">
      <c r="A424" s="88" t="s">
        <v>3511</v>
      </c>
      <c r="M424" s="325"/>
    </row>
    <row r="425">
      <c r="A425" s="88" t="s">
        <v>3511</v>
      </c>
      <c r="M425" s="325"/>
    </row>
    <row r="426">
      <c r="A426" s="88" t="s">
        <v>3511</v>
      </c>
      <c r="M426" s="325"/>
    </row>
    <row r="427">
      <c r="A427" s="88" t="s">
        <v>3511</v>
      </c>
      <c r="M427" s="325"/>
    </row>
    <row r="428">
      <c r="A428" s="88" t="s">
        <v>3511</v>
      </c>
      <c r="M428" s="325"/>
    </row>
    <row r="429">
      <c r="A429" s="88" t="s">
        <v>3511</v>
      </c>
      <c r="M429" s="325"/>
    </row>
    <row r="430">
      <c r="A430" s="88" t="s">
        <v>3511</v>
      </c>
      <c r="M430" s="325"/>
    </row>
    <row r="431">
      <c r="A431" s="88" t="s">
        <v>3511</v>
      </c>
      <c r="M431" s="325"/>
    </row>
    <row r="432">
      <c r="A432" s="88" t="s">
        <v>3511</v>
      </c>
      <c r="M432" s="325"/>
    </row>
    <row r="433">
      <c r="A433" s="88" t="s">
        <v>3511</v>
      </c>
      <c r="M433" s="325"/>
    </row>
    <row r="434">
      <c r="A434" s="88" t="s">
        <v>3511</v>
      </c>
      <c r="M434" s="325"/>
    </row>
    <row r="435">
      <c r="A435" s="88" t="s">
        <v>3511</v>
      </c>
      <c r="M435" s="325"/>
    </row>
    <row r="436">
      <c r="A436" s="88" t="s">
        <v>3511</v>
      </c>
      <c r="M436" s="325"/>
    </row>
    <row r="437">
      <c r="A437" s="88" t="s">
        <v>3511</v>
      </c>
      <c r="M437" s="325"/>
    </row>
    <row r="438">
      <c r="A438" s="88" t="s">
        <v>3511</v>
      </c>
      <c r="M438" s="325"/>
    </row>
    <row r="439">
      <c r="A439" s="88" t="s">
        <v>3511</v>
      </c>
      <c r="M439" s="325"/>
    </row>
    <row r="440">
      <c r="A440" s="88" t="s">
        <v>3511</v>
      </c>
      <c r="M440" s="325"/>
    </row>
    <row r="441">
      <c r="A441" s="88" t="s">
        <v>3511</v>
      </c>
      <c r="M441" s="325"/>
    </row>
    <row r="442">
      <c r="A442" s="88" t="s">
        <v>3511</v>
      </c>
      <c r="M442" s="325"/>
    </row>
    <row r="443">
      <c r="A443" s="88" t="s">
        <v>3511</v>
      </c>
      <c r="M443" s="325"/>
    </row>
    <row r="444">
      <c r="A444" s="88" t="s">
        <v>3511</v>
      </c>
      <c r="M444" s="325"/>
    </row>
    <row r="445">
      <c r="A445" s="88" t="s">
        <v>3511</v>
      </c>
      <c r="M445" s="325"/>
    </row>
    <row r="446">
      <c r="A446" s="88" t="s">
        <v>3511</v>
      </c>
      <c r="M446" s="325"/>
    </row>
    <row r="447">
      <c r="A447" s="88" t="s">
        <v>3511</v>
      </c>
      <c r="M447" s="325"/>
    </row>
    <row r="448">
      <c r="A448" s="88" t="s">
        <v>3511</v>
      </c>
      <c r="M448" s="325"/>
    </row>
    <row r="449">
      <c r="A449" s="88" t="s">
        <v>3511</v>
      </c>
      <c r="M449" s="325"/>
    </row>
    <row r="450">
      <c r="A450" s="88" t="s">
        <v>3511</v>
      </c>
      <c r="M450" s="325"/>
    </row>
    <row r="451">
      <c r="A451" s="88" t="s">
        <v>3511</v>
      </c>
      <c r="M451" s="325"/>
    </row>
    <row r="452">
      <c r="A452" s="88" t="s">
        <v>3511</v>
      </c>
      <c r="M452" s="325"/>
    </row>
    <row r="453">
      <c r="A453" s="88" t="s">
        <v>3511</v>
      </c>
      <c r="M453" s="325"/>
    </row>
    <row r="454">
      <c r="A454" s="88" t="s">
        <v>3511</v>
      </c>
      <c r="M454" s="325"/>
    </row>
    <row r="455">
      <c r="A455" s="88" t="s">
        <v>3511</v>
      </c>
      <c r="M455" s="325"/>
    </row>
    <row r="456">
      <c r="A456" s="88" t="s">
        <v>3511</v>
      </c>
      <c r="M456" s="325"/>
    </row>
    <row r="457">
      <c r="A457" s="88" t="s">
        <v>3511</v>
      </c>
      <c r="M457" s="325"/>
    </row>
    <row r="458">
      <c r="A458" s="88" t="s">
        <v>3511</v>
      </c>
      <c r="M458" s="325"/>
    </row>
    <row r="459">
      <c r="A459" s="88" t="s">
        <v>3511</v>
      </c>
      <c r="M459" s="325"/>
    </row>
    <row r="460">
      <c r="A460" s="88" t="s">
        <v>3511</v>
      </c>
      <c r="M460" s="325"/>
    </row>
    <row r="461">
      <c r="A461" s="88" t="s">
        <v>3511</v>
      </c>
      <c r="M461" s="325"/>
    </row>
    <row r="462">
      <c r="A462" s="88" t="s">
        <v>3511</v>
      </c>
      <c r="M462" s="325"/>
    </row>
    <row r="463">
      <c r="A463" s="88" t="s">
        <v>3511</v>
      </c>
      <c r="M463" s="325"/>
    </row>
    <row r="464">
      <c r="A464" s="88" t="s">
        <v>3511</v>
      </c>
      <c r="M464" s="325"/>
    </row>
    <row r="465">
      <c r="A465" s="88" t="s">
        <v>3511</v>
      </c>
      <c r="M465" s="325"/>
    </row>
    <row r="466">
      <c r="A466" s="88" t="s">
        <v>3511</v>
      </c>
      <c r="M466" s="325"/>
    </row>
    <row r="467">
      <c r="A467" s="88" t="s">
        <v>3511</v>
      </c>
      <c r="M467" s="325"/>
    </row>
    <row r="468">
      <c r="A468" s="88" t="s">
        <v>3511</v>
      </c>
      <c r="M468" s="325"/>
    </row>
    <row r="469">
      <c r="A469" s="88" t="s">
        <v>3511</v>
      </c>
      <c r="M469" s="325"/>
    </row>
    <row r="470">
      <c r="A470" s="88" t="s">
        <v>3511</v>
      </c>
      <c r="M470" s="325"/>
    </row>
    <row r="471">
      <c r="A471" s="88" t="s">
        <v>3511</v>
      </c>
      <c r="M471" s="325"/>
    </row>
    <row r="472">
      <c r="A472" s="88" t="s">
        <v>3511</v>
      </c>
      <c r="M472" s="325"/>
    </row>
    <row r="473">
      <c r="A473" s="88" t="s">
        <v>3511</v>
      </c>
      <c r="M473" s="325"/>
    </row>
    <row r="474">
      <c r="A474" s="88" t="s">
        <v>3511</v>
      </c>
      <c r="M474" s="325"/>
    </row>
    <row r="475">
      <c r="A475" s="88" t="s">
        <v>3511</v>
      </c>
      <c r="M475" s="325"/>
    </row>
    <row r="476">
      <c r="A476" s="88" t="s">
        <v>3511</v>
      </c>
      <c r="M476" s="325"/>
    </row>
    <row r="477">
      <c r="A477" s="88" t="s">
        <v>3511</v>
      </c>
      <c r="M477" s="325"/>
    </row>
    <row r="478">
      <c r="A478" s="88" t="s">
        <v>3511</v>
      </c>
      <c r="M478" s="325"/>
    </row>
    <row r="479">
      <c r="A479" s="88" t="s">
        <v>3511</v>
      </c>
      <c r="M479" s="325"/>
    </row>
    <row r="480">
      <c r="A480" s="88" t="s">
        <v>3511</v>
      </c>
      <c r="M480" s="325"/>
    </row>
    <row r="481">
      <c r="A481" s="88" t="s">
        <v>3511</v>
      </c>
      <c r="M481" s="325"/>
    </row>
    <row r="482">
      <c r="A482" s="88" t="s">
        <v>3511</v>
      </c>
      <c r="M482" s="325"/>
    </row>
    <row r="483">
      <c r="A483" s="88" t="s">
        <v>3511</v>
      </c>
      <c r="M483" s="325"/>
    </row>
    <row r="484">
      <c r="A484" s="88" t="s">
        <v>3511</v>
      </c>
      <c r="M484" s="325"/>
    </row>
    <row r="485">
      <c r="A485" s="88" t="s">
        <v>3511</v>
      </c>
      <c r="M485" s="325"/>
    </row>
    <row r="486">
      <c r="A486" s="88" t="s">
        <v>3511</v>
      </c>
      <c r="M486" s="325"/>
    </row>
    <row r="487">
      <c r="A487" s="88" t="s">
        <v>3511</v>
      </c>
      <c r="M487" s="325"/>
    </row>
    <row r="488">
      <c r="A488" s="88" t="s">
        <v>3511</v>
      </c>
      <c r="M488" s="325"/>
    </row>
    <row r="489">
      <c r="A489" s="88" t="s">
        <v>3511</v>
      </c>
      <c r="M489" s="325"/>
    </row>
    <row r="490">
      <c r="A490" s="88" t="s">
        <v>3511</v>
      </c>
      <c r="M490" s="325"/>
    </row>
    <row r="491">
      <c r="A491" s="88" t="s">
        <v>3511</v>
      </c>
      <c r="M491" s="325"/>
    </row>
    <row r="492">
      <c r="A492" s="88" t="s">
        <v>3511</v>
      </c>
      <c r="M492" s="325"/>
    </row>
    <row r="493">
      <c r="A493" s="88" t="s">
        <v>3511</v>
      </c>
      <c r="M493" s="325"/>
    </row>
    <row r="494">
      <c r="A494" s="88" t="s">
        <v>3511</v>
      </c>
      <c r="M494" s="325"/>
    </row>
    <row r="495">
      <c r="A495" s="88" t="s">
        <v>3511</v>
      </c>
      <c r="M495" s="325"/>
    </row>
    <row r="496">
      <c r="A496" s="88" t="s">
        <v>3511</v>
      </c>
      <c r="M496" s="325"/>
    </row>
    <row r="497">
      <c r="A497" s="88" t="s">
        <v>3511</v>
      </c>
      <c r="M497" s="325"/>
    </row>
    <row r="498">
      <c r="A498" s="88" t="s">
        <v>3511</v>
      </c>
      <c r="M498" s="325"/>
    </row>
    <row r="499">
      <c r="A499" s="88" t="s">
        <v>3511</v>
      </c>
      <c r="M499" s="325"/>
    </row>
    <row r="500">
      <c r="A500" s="88" t="s">
        <v>3511</v>
      </c>
      <c r="M500" s="325"/>
    </row>
    <row r="501">
      <c r="A501" s="88" t="s">
        <v>3511</v>
      </c>
    </row>
    <row r="502">
      <c r="A502" s="88" t="s">
        <v>3511</v>
      </c>
    </row>
    <row r="503">
      <c r="A503" s="88" t="s">
        <v>3511</v>
      </c>
    </row>
    <row r="504">
      <c r="A504" s="88" t="s">
        <v>3511</v>
      </c>
    </row>
    <row r="505">
      <c r="A505" s="88" t="s">
        <v>3511</v>
      </c>
    </row>
    <row r="506">
      <c r="A506" s="88" t="s">
        <v>3511</v>
      </c>
    </row>
    <row r="507">
      <c r="A507" s="88" t="s">
        <v>3511</v>
      </c>
    </row>
    <row r="508">
      <c r="A508" s="88" t="s">
        <v>3511</v>
      </c>
    </row>
    <row r="509">
      <c r="A509" s="88" t="s">
        <v>3511</v>
      </c>
    </row>
    <row r="510">
      <c r="A510" s="88" t="s">
        <v>3511</v>
      </c>
    </row>
    <row r="511">
      <c r="A511" s="88" t="s">
        <v>3511</v>
      </c>
    </row>
    <row r="512">
      <c r="A512" s="88" t="s">
        <v>3511</v>
      </c>
    </row>
    <row r="513">
      <c r="A513" s="88" t="s">
        <v>3511</v>
      </c>
    </row>
    <row r="514">
      <c r="A514" s="88" t="s">
        <v>3511</v>
      </c>
    </row>
    <row r="515">
      <c r="A515" s="88" t="s">
        <v>3511</v>
      </c>
    </row>
    <row r="516">
      <c r="A516" s="88" t="s">
        <v>3511</v>
      </c>
    </row>
    <row r="517">
      <c r="A517" s="88" t="s">
        <v>3511</v>
      </c>
    </row>
    <row r="518">
      <c r="A518" s="88" t="s">
        <v>3511</v>
      </c>
    </row>
    <row r="519">
      <c r="A519" s="88" t="s">
        <v>3511</v>
      </c>
    </row>
    <row r="520">
      <c r="A520" s="88" t="s">
        <v>3511</v>
      </c>
    </row>
    <row r="521">
      <c r="A521" s="88" t="s">
        <v>3511</v>
      </c>
    </row>
    <row r="522">
      <c r="A522" s="88" t="s">
        <v>3511</v>
      </c>
    </row>
    <row r="523">
      <c r="A523" s="88" t="s">
        <v>3511</v>
      </c>
    </row>
    <row r="524">
      <c r="A524" s="88" t="s">
        <v>3511</v>
      </c>
    </row>
    <row r="525">
      <c r="A525" s="88" t="s">
        <v>3511</v>
      </c>
    </row>
    <row r="526">
      <c r="A526" s="88" t="s">
        <v>3511</v>
      </c>
    </row>
    <row r="527">
      <c r="A527" s="88" t="s">
        <v>3511</v>
      </c>
    </row>
    <row r="528">
      <c r="A528" s="88" t="s">
        <v>3511</v>
      </c>
    </row>
    <row r="529">
      <c r="A529" s="88" t="s">
        <v>3511</v>
      </c>
    </row>
    <row r="530">
      <c r="A530" s="88" t="s">
        <v>3511</v>
      </c>
    </row>
    <row r="531">
      <c r="A531" s="88" t="s">
        <v>3511</v>
      </c>
    </row>
    <row r="532">
      <c r="A532" s="88" t="s">
        <v>3511</v>
      </c>
    </row>
    <row r="533">
      <c r="A533" s="88" t="s">
        <v>3511</v>
      </c>
    </row>
    <row r="534">
      <c r="A534" s="88" t="s">
        <v>3511</v>
      </c>
    </row>
    <row r="535">
      <c r="A535" s="88" t="s">
        <v>3511</v>
      </c>
    </row>
    <row r="536">
      <c r="A536" s="88" t="s">
        <v>3511</v>
      </c>
    </row>
    <row r="537">
      <c r="A537" s="88" t="s">
        <v>3511</v>
      </c>
    </row>
    <row r="538">
      <c r="A538" s="88" t="s">
        <v>3511</v>
      </c>
    </row>
    <row r="539">
      <c r="A539" s="88" t="s">
        <v>3511</v>
      </c>
    </row>
    <row r="540">
      <c r="A540" s="88" t="s">
        <v>3511</v>
      </c>
    </row>
    <row r="541">
      <c r="A541" s="88" t="s">
        <v>3511</v>
      </c>
    </row>
    <row r="542">
      <c r="A542" s="88" t="s">
        <v>3511</v>
      </c>
    </row>
    <row r="543">
      <c r="A543" s="88" t="s">
        <v>3511</v>
      </c>
    </row>
    <row r="544">
      <c r="A544" s="88" t="s">
        <v>3511</v>
      </c>
    </row>
    <row r="545">
      <c r="A545" s="88" t="s">
        <v>3511</v>
      </c>
    </row>
    <row r="546">
      <c r="A546" s="88" t="s">
        <v>3511</v>
      </c>
    </row>
    <row r="547">
      <c r="A547" s="88" t="s">
        <v>3511</v>
      </c>
    </row>
    <row r="548">
      <c r="A548" s="88" t="s">
        <v>3511</v>
      </c>
    </row>
    <row r="549">
      <c r="A549" s="88" t="s">
        <v>3511</v>
      </c>
    </row>
    <row r="550">
      <c r="A550" s="88" t="s">
        <v>3511</v>
      </c>
    </row>
    <row r="551">
      <c r="A551" s="88" t="s">
        <v>3511</v>
      </c>
    </row>
    <row r="552">
      <c r="A552" s="88" t="s">
        <v>3511</v>
      </c>
    </row>
    <row r="553">
      <c r="A553" s="88" t="s">
        <v>3511</v>
      </c>
    </row>
    <row r="554">
      <c r="A554" s="88" t="s">
        <v>3511</v>
      </c>
    </row>
    <row r="555">
      <c r="A555" s="88" t="s">
        <v>3511</v>
      </c>
    </row>
    <row r="556">
      <c r="A556" s="88" t="s">
        <v>3511</v>
      </c>
    </row>
    <row r="557">
      <c r="A557" s="88" t="s">
        <v>3511</v>
      </c>
    </row>
    <row r="558">
      <c r="A558" s="88" t="s">
        <v>3511</v>
      </c>
    </row>
    <row r="559">
      <c r="A559" s="88" t="s">
        <v>3511</v>
      </c>
    </row>
    <row r="560">
      <c r="A560" s="88" t="s">
        <v>3511</v>
      </c>
    </row>
    <row r="561">
      <c r="A561" s="88" t="s">
        <v>3511</v>
      </c>
    </row>
    <row r="562">
      <c r="A562" s="88" t="s">
        <v>3511</v>
      </c>
    </row>
    <row r="563">
      <c r="A563" s="88" t="s">
        <v>3511</v>
      </c>
    </row>
    <row r="564">
      <c r="A564" s="88" t="s">
        <v>3511</v>
      </c>
    </row>
    <row r="565">
      <c r="A565" s="88" t="s">
        <v>3511</v>
      </c>
    </row>
    <row r="566">
      <c r="A566" s="88" t="s">
        <v>3511</v>
      </c>
    </row>
    <row r="567">
      <c r="A567" s="88" t="s">
        <v>3511</v>
      </c>
    </row>
    <row r="568">
      <c r="A568" s="88" t="s">
        <v>3511</v>
      </c>
    </row>
    <row r="569">
      <c r="A569" s="88" t="s">
        <v>3511</v>
      </c>
    </row>
    <row r="570">
      <c r="A570" s="88" t="s">
        <v>3511</v>
      </c>
    </row>
    <row r="571">
      <c r="A571" s="88" t="s">
        <v>3511</v>
      </c>
    </row>
    <row r="572">
      <c r="A572" s="88" t="s">
        <v>3511</v>
      </c>
    </row>
    <row r="573">
      <c r="A573" s="88" t="s">
        <v>3511</v>
      </c>
    </row>
    <row r="574">
      <c r="A574" s="88" t="s">
        <v>3511</v>
      </c>
    </row>
    <row r="575">
      <c r="A575" s="88" t="s">
        <v>3511</v>
      </c>
    </row>
    <row r="576">
      <c r="A576" s="88" t="s">
        <v>3511</v>
      </c>
    </row>
    <row r="577">
      <c r="A577" s="88" t="s">
        <v>3511</v>
      </c>
    </row>
    <row r="578">
      <c r="A578" s="88" t="s">
        <v>3511</v>
      </c>
    </row>
    <row r="579">
      <c r="A579" s="88" t="s">
        <v>3511</v>
      </c>
    </row>
    <row r="580">
      <c r="A580" s="88" t="s">
        <v>3511</v>
      </c>
    </row>
    <row r="581">
      <c r="A581" s="88" t="s">
        <v>3511</v>
      </c>
    </row>
    <row r="582">
      <c r="A582" s="88" t="s">
        <v>3511</v>
      </c>
    </row>
    <row r="583">
      <c r="A583" s="88" t="s">
        <v>3511</v>
      </c>
    </row>
    <row r="584">
      <c r="A584" s="88" t="s">
        <v>3511</v>
      </c>
    </row>
    <row r="585">
      <c r="A585" s="88" t="s">
        <v>3511</v>
      </c>
    </row>
    <row r="586">
      <c r="A586" s="88" t="s">
        <v>3511</v>
      </c>
    </row>
    <row r="587">
      <c r="A587" s="88" t="s">
        <v>3511</v>
      </c>
    </row>
    <row r="588">
      <c r="A588" s="88" t="s">
        <v>3511</v>
      </c>
    </row>
    <row r="589">
      <c r="A589" s="88" t="s">
        <v>3511</v>
      </c>
    </row>
    <row r="590">
      <c r="A590" s="88" t="s">
        <v>3511</v>
      </c>
    </row>
    <row r="591">
      <c r="A591" s="88" t="s">
        <v>3511</v>
      </c>
    </row>
    <row r="592">
      <c r="A592" s="88" t="s">
        <v>3511</v>
      </c>
    </row>
    <row r="593">
      <c r="A593" s="88" t="s">
        <v>3511</v>
      </c>
    </row>
    <row r="594">
      <c r="A594" s="88" t="s">
        <v>3511</v>
      </c>
    </row>
    <row r="595">
      <c r="A595" s="88" t="s">
        <v>3511</v>
      </c>
    </row>
    <row r="596">
      <c r="A596" s="88" t="s">
        <v>3511</v>
      </c>
    </row>
    <row r="597">
      <c r="A597" s="88" t="s">
        <v>3511</v>
      </c>
    </row>
    <row r="598">
      <c r="A598" s="88" t="s">
        <v>3511</v>
      </c>
    </row>
    <row r="599">
      <c r="A599" s="88" t="s">
        <v>3511</v>
      </c>
    </row>
    <row r="600">
      <c r="A600" s="88" t="s">
        <v>3511</v>
      </c>
    </row>
    <row r="601">
      <c r="A601" s="88" t="s">
        <v>3511</v>
      </c>
    </row>
    <row r="602">
      <c r="A602" s="88" t="s">
        <v>3511</v>
      </c>
    </row>
    <row r="603">
      <c r="A603" s="88" t="s">
        <v>3511</v>
      </c>
    </row>
    <row r="604">
      <c r="A604" s="88" t="s">
        <v>3511</v>
      </c>
    </row>
    <row r="605">
      <c r="A605" s="88" t="s">
        <v>3511</v>
      </c>
    </row>
    <row r="606">
      <c r="A606" s="88" t="s">
        <v>3511</v>
      </c>
    </row>
    <row r="607">
      <c r="A607" s="88" t="s">
        <v>3511</v>
      </c>
    </row>
    <row r="608">
      <c r="A608" s="88" t="s">
        <v>3511</v>
      </c>
    </row>
    <row r="609">
      <c r="A609" s="88" t="s">
        <v>3511</v>
      </c>
    </row>
    <row r="610">
      <c r="A610" s="88" t="s">
        <v>3511</v>
      </c>
    </row>
    <row r="611">
      <c r="A611" s="88" t="s">
        <v>3511</v>
      </c>
    </row>
    <row r="612">
      <c r="A612" s="88" t="s">
        <v>3511</v>
      </c>
    </row>
    <row r="613">
      <c r="A613" s="88" t="s">
        <v>3511</v>
      </c>
    </row>
    <row r="614">
      <c r="A614" s="88" t="s">
        <v>3511</v>
      </c>
    </row>
    <row r="615">
      <c r="A615" s="88" t="s">
        <v>3511</v>
      </c>
    </row>
    <row r="616">
      <c r="A616" s="88" t="s">
        <v>3511</v>
      </c>
    </row>
    <row r="617">
      <c r="A617" s="88" t="s">
        <v>3511</v>
      </c>
    </row>
    <row r="618">
      <c r="A618" s="88" t="s">
        <v>3511</v>
      </c>
    </row>
    <row r="619">
      <c r="A619" s="88" t="s">
        <v>3511</v>
      </c>
    </row>
    <row r="620">
      <c r="A620" s="88" t="s">
        <v>3511</v>
      </c>
    </row>
    <row r="621">
      <c r="A621" s="88" t="s">
        <v>3511</v>
      </c>
    </row>
    <row r="622">
      <c r="A622" s="88" t="s">
        <v>3511</v>
      </c>
    </row>
    <row r="623">
      <c r="A623" s="88" t="s">
        <v>3511</v>
      </c>
    </row>
    <row r="624">
      <c r="A624" s="88" t="s">
        <v>3511</v>
      </c>
    </row>
    <row r="625">
      <c r="A625" s="88" t="s">
        <v>3511</v>
      </c>
    </row>
    <row r="626">
      <c r="A626" s="88" t="s">
        <v>3511</v>
      </c>
    </row>
    <row r="627">
      <c r="A627" s="88" t="s">
        <v>3511</v>
      </c>
    </row>
    <row r="628">
      <c r="A628" s="88" t="s">
        <v>3511</v>
      </c>
    </row>
    <row r="629">
      <c r="A629" s="88" t="s">
        <v>3511</v>
      </c>
    </row>
    <row r="630">
      <c r="A630" s="88" t="s">
        <v>3511</v>
      </c>
    </row>
    <row r="631">
      <c r="A631" s="88" t="s">
        <v>3511</v>
      </c>
    </row>
    <row r="632">
      <c r="A632" s="88" t="s">
        <v>3511</v>
      </c>
    </row>
    <row r="633">
      <c r="A633" s="88" t="s">
        <v>3511</v>
      </c>
    </row>
    <row r="634">
      <c r="A634" s="88" t="s">
        <v>3511</v>
      </c>
    </row>
    <row r="635">
      <c r="A635" s="88" t="s">
        <v>3511</v>
      </c>
    </row>
    <row r="636">
      <c r="A636" s="88" t="s">
        <v>3511</v>
      </c>
    </row>
    <row r="637">
      <c r="A637" s="88" t="s">
        <v>3511</v>
      </c>
    </row>
    <row r="638">
      <c r="A638" s="88" t="s">
        <v>3511</v>
      </c>
    </row>
    <row r="639">
      <c r="A639" s="88" t="s">
        <v>3511</v>
      </c>
    </row>
    <row r="640">
      <c r="A640" s="88" t="s">
        <v>3511</v>
      </c>
    </row>
    <row r="641">
      <c r="A641" s="88" t="s">
        <v>3511</v>
      </c>
    </row>
    <row r="642">
      <c r="A642" s="88" t="s">
        <v>3511</v>
      </c>
    </row>
    <row r="643">
      <c r="A643" s="88" t="s">
        <v>3511</v>
      </c>
    </row>
    <row r="644">
      <c r="A644" s="88" t="s">
        <v>3511</v>
      </c>
    </row>
    <row r="645">
      <c r="A645" s="88" t="s">
        <v>3511</v>
      </c>
    </row>
    <row r="646">
      <c r="A646" s="88" t="s">
        <v>3511</v>
      </c>
    </row>
    <row r="647">
      <c r="A647" s="88" t="s">
        <v>3511</v>
      </c>
    </row>
    <row r="648">
      <c r="A648" s="88" t="s">
        <v>3511</v>
      </c>
    </row>
    <row r="649">
      <c r="A649" s="88" t="s">
        <v>3511</v>
      </c>
    </row>
    <row r="650">
      <c r="A650" s="88" t="s">
        <v>3511</v>
      </c>
    </row>
    <row r="651">
      <c r="A651" s="88" t="s">
        <v>3511</v>
      </c>
    </row>
    <row r="652">
      <c r="A652" s="88" t="s">
        <v>3511</v>
      </c>
    </row>
    <row r="653">
      <c r="A653" s="88" t="s">
        <v>3511</v>
      </c>
    </row>
    <row r="654">
      <c r="A654" s="88" t="s">
        <v>3511</v>
      </c>
    </row>
    <row r="655">
      <c r="A655" s="88" t="s">
        <v>3511</v>
      </c>
    </row>
    <row r="656">
      <c r="A656" s="88" t="s">
        <v>3511</v>
      </c>
    </row>
    <row r="657">
      <c r="A657" s="88" t="s">
        <v>3511</v>
      </c>
    </row>
    <row r="658">
      <c r="A658" s="88" t="s">
        <v>3511</v>
      </c>
    </row>
    <row r="659">
      <c r="A659" s="88" t="s">
        <v>3511</v>
      </c>
    </row>
    <row r="660">
      <c r="A660" s="88" t="s">
        <v>3511</v>
      </c>
    </row>
    <row r="661">
      <c r="A661" s="88" t="s">
        <v>3511</v>
      </c>
    </row>
    <row r="662">
      <c r="A662" s="88" t="s">
        <v>3511</v>
      </c>
    </row>
    <row r="663">
      <c r="A663" s="88" t="s">
        <v>3511</v>
      </c>
    </row>
    <row r="664">
      <c r="A664" s="88" t="s">
        <v>3511</v>
      </c>
    </row>
    <row r="665">
      <c r="A665" s="88" t="s">
        <v>3511</v>
      </c>
    </row>
    <row r="666">
      <c r="A666" s="88" t="s">
        <v>3511</v>
      </c>
    </row>
    <row r="667">
      <c r="A667" s="88" t="s">
        <v>3511</v>
      </c>
    </row>
    <row r="668">
      <c r="A668" s="88" t="s">
        <v>3511</v>
      </c>
    </row>
    <row r="669">
      <c r="A669" s="88" t="s">
        <v>3511</v>
      </c>
    </row>
    <row r="670">
      <c r="A670" s="88" t="s">
        <v>3511</v>
      </c>
    </row>
    <row r="671">
      <c r="A671" s="88" t="s">
        <v>3511</v>
      </c>
    </row>
    <row r="672">
      <c r="A672" s="88" t="s">
        <v>3511</v>
      </c>
    </row>
    <row r="673">
      <c r="A673" s="88" t="s">
        <v>3511</v>
      </c>
    </row>
    <row r="674">
      <c r="A674" s="88" t="s">
        <v>3511</v>
      </c>
    </row>
    <row r="675">
      <c r="A675" s="88" t="s">
        <v>3511</v>
      </c>
    </row>
    <row r="676">
      <c r="A676" s="88" t="s">
        <v>3511</v>
      </c>
    </row>
    <row r="677">
      <c r="A677" s="88" t="s">
        <v>3511</v>
      </c>
    </row>
    <row r="678">
      <c r="A678" s="88" t="s">
        <v>3511</v>
      </c>
    </row>
    <row r="679">
      <c r="A679" s="88" t="s">
        <v>3511</v>
      </c>
    </row>
    <row r="680">
      <c r="A680" s="88" t="s">
        <v>3511</v>
      </c>
    </row>
    <row r="681">
      <c r="A681" s="88" t="s">
        <v>3511</v>
      </c>
    </row>
    <row r="682">
      <c r="A682" s="88" t="s">
        <v>3511</v>
      </c>
    </row>
    <row r="683">
      <c r="A683" s="88" t="s">
        <v>3511</v>
      </c>
    </row>
    <row r="684">
      <c r="A684" s="88" t="s">
        <v>3511</v>
      </c>
    </row>
    <row r="685">
      <c r="A685" s="88" t="s">
        <v>3511</v>
      </c>
    </row>
    <row r="686">
      <c r="A686" s="88" t="s">
        <v>3511</v>
      </c>
    </row>
    <row r="687">
      <c r="A687" s="88" t="s">
        <v>3511</v>
      </c>
    </row>
    <row r="688">
      <c r="A688" s="88" t="s">
        <v>3511</v>
      </c>
    </row>
    <row r="689">
      <c r="A689" s="88" t="s">
        <v>3511</v>
      </c>
    </row>
    <row r="690">
      <c r="A690" s="88" t="s">
        <v>3511</v>
      </c>
    </row>
    <row r="691">
      <c r="A691" s="88" t="s">
        <v>3511</v>
      </c>
    </row>
    <row r="692">
      <c r="A692" s="88" t="s">
        <v>3511</v>
      </c>
    </row>
    <row r="693">
      <c r="A693" s="88" t="s">
        <v>3511</v>
      </c>
    </row>
    <row r="694">
      <c r="A694" s="88" t="s">
        <v>3511</v>
      </c>
    </row>
    <row r="695">
      <c r="A695" s="88" t="s">
        <v>3511</v>
      </c>
    </row>
    <row r="696">
      <c r="A696" s="88" t="s">
        <v>3511</v>
      </c>
    </row>
    <row r="697">
      <c r="A697" s="88" t="s">
        <v>3511</v>
      </c>
    </row>
    <row r="698">
      <c r="A698" s="88" t="s">
        <v>3511</v>
      </c>
    </row>
    <row r="699">
      <c r="A699" s="88" t="s">
        <v>3511</v>
      </c>
    </row>
    <row r="700">
      <c r="A700" s="88" t="s">
        <v>3511</v>
      </c>
    </row>
    <row r="701">
      <c r="A701" s="88" t="s">
        <v>3511</v>
      </c>
    </row>
    <row r="702">
      <c r="A702" s="88" t="s">
        <v>3511</v>
      </c>
    </row>
    <row r="703">
      <c r="A703" s="88" t="s">
        <v>3511</v>
      </c>
    </row>
    <row r="704">
      <c r="A704" s="88" t="s">
        <v>3511</v>
      </c>
    </row>
    <row r="705">
      <c r="A705" s="88" t="s">
        <v>3511</v>
      </c>
    </row>
    <row r="706">
      <c r="A706" s="88" t="s">
        <v>3511</v>
      </c>
    </row>
    <row r="707">
      <c r="A707" s="88" t="s">
        <v>3511</v>
      </c>
    </row>
    <row r="708">
      <c r="A708" s="88" t="s">
        <v>3511</v>
      </c>
    </row>
    <row r="709">
      <c r="A709" s="88" t="s">
        <v>3511</v>
      </c>
    </row>
    <row r="710">
      <c r="A710" s="88" t="s">
        <v>3511</v>
      </c>
    </row>
    <row r="711">
      <c r="A711" s="88" t="s">
        <v>3511</v>
      </c>
    </row>
    <row r="712">
      <c r="A712" s="88" t="s">
        <v>3511</v>
      </c>
    </row>
    <row r="713">
      <c r="A713" s="88" t="s">
        <v>3511</v>
      </c>
    </row>
    <row r="714">
      <c r="A714" s="88" t="s">
        <v>3511</v>
      </c>
    </row>
    <row r="715">
      <c r="A715" s="88" t="s">
        <v>3511</v>
      </c>
    </row>
    <row r="716">
      <c r="A716" s="88" t="s">
        <v>3511</v>
      </c>
    </row>
    <row r="717">
      <c r="A717" s="88" t="s">
        <v>3511</v>
      </c>
    </row>
    <row r="718">
      <c r="A718" s="88" t="s">
        <v>3511</v>
      </c>
    </row>
    <row r="719">
      <c r="A719" s="88" t="s">
        <v>3511</v>
      </c>
    </row>
    <row r="720">
      <c r="A720" s="88" t="s">
        <v>3511</v>
      </c>
    </row>
    <row r="721">
      <c r="A721" s="88" t="s">
        <v>3511</v>
      </c>
    </row>
    <row r="722">
      <c r="A722" s="88" t="s">
        <v>3511</v>
      </c>
    </row>
    <row r="723">
      <c r="A723" s="88" t="s">
        <v>3511</v>
      </c>
    </row>
    <row r="724">
      <c r="A724" s="88" t="s">
        <v>3511</v>
      </c>
    </row>
    <row r="725">
      <c r="A725" s="88" t="s">
        <v>3511</v>
      </c>
    </row>
    <row r="726">
      <c r="A726" s="88" t="s">
        <v>3511</v>
      </c>
    </row>
    <row r="727">
      <c r="A727" s="88" t="s">
        <v>3511</v>
      </c>
    </row>
    <row r="728">
      <c r="A728" s="88" t="s">
        <v>3511</v>
      </c>
    </row>
    <row r="729">
      <c r="A729" s="88" t="s">
        <v>3511</v>
      </c>
    </row>
    <row r="730">
      <c r="A730" s="88" t="s">
        <v>3511</v>
      </c>
    </row>
    <row r="731">
      <c r="A731" s="88" t="s">
        <v>3511</v>
      </c>
    </row>
    <row r="732">
      <c r="A732" s="88" t="s">
        <v>3511</v>
      </c>
    </row>
    <row r="733">
      <c r="A733" s="88" t="s">
        <v>3511</v>
      </c>
    </row>
    <row r="734">
      <c r="A734" s="88" t="s">
        <v>3511</v>
      </c>
    </row>
    <row r="735">
      <c r="A735" s="88" t="s">
        <v>3511</v>
      </c>
    </row>
    <row r="736">
      <c r="A736" s="88" t="s">
        <v>3511</v>
      </c>
    </row>
    <row r="737">
      <c r="A737" s="88" t="s">
        <v>3511</v>
      </c>
    </row>
    <row r="738">
      <c r="A738" s="88" t="s">
        <v>3511</v>
      </c>
    </row>
    <row r="739">
      <c r="A739" s="88" t="s">
        <v>3511</v>
      </c>
    </row>
    <row r="740">
      <c r="A740" s="88" t="s">
        <v>3511</v>
      </c>
    </row>
    <row r="741">
      <c r="A741" s="88" t="s">
        <v>3511</v>
      </c>
    </row>
    <row r="742">
      <c r="A742" s="88" t="s">
        <v>3511</v>
      </c>
    </row>
    <row r="743">
      <c r="A743" s="88" t="s">
        <v>3511</v>
      </c>
    </row>
    <row r="744">
      <c r="A744" s="88" t="s">
        <v>3511</v>
      </c>
    </row>
    <row r="745">
      <c r="A745" s="88" t="s">
        <v>3511</v>
      </c>
    </row>
    <row r="746">
      <c r="A746" s="88" t="s">
        <v>3511</v>
      </c>
    </row>
    <row r="747">
      <c r="A747" s="88" t="s">
        <v>3511</v>
      </c>
    </row>
    <row r="748">
      <c r="A748" s="88" t="s">
        <v>3511</v>
      </c>
    </row>
    <row r="749">
      <c r="A749" s="88" t="s">
        <v>3511</v>
      </c>
    </row>
    <row r="750">
      <c r="A750" s="88" t="s">
        <v>3511</v>
      </c>
    </row>
    <row r="751">
      <c r="A751" s="88" t="s">
        <v>3511</v>
      </c>
    </row>
    <row r="752">
      <c r="A752" s="88" t="s">
        <v>3511</v>
      </c>
    </row>
    <row r="753">
      <c r="A753" s="88" t="s">
        <v>3511</v>
      </c>
    </row>
    <row r="754">
      <c r="A754" s="88" t="s">
        <v>3511</v>
      </c>
    </row>
    <row r="755">
      <c r="A755" s="88" t="s">
        <v>3511</v>
      </c>
    </row>
    <row r="756">
      <c r="A756" s="88" t="s">
        <v>3511</v>
      </c>
    </row>
    <row r="757">
      <c r="A757" s="88" t="s">
        <v>3511</v>
      </c>
    </row>
    <row r="758">
      <c r="A758" s="88" t="s">
        <v>3511</v>
      </c>
    </row>
    <row r="759">
      <c r="A759" s="88" t="s">
        <v>3511</v>
      </c>
    </row>
    <row r="760">
      <c r="A760" s="88" t="s">
        <v>3511</v>
      </c>
    </row>
    <row r="761">
      <c r="A761" s="88" t="s">
        <v>3511</v>
      </c>
    </row>
    <row r="762">
      <c r="A762" s="88" t="s">
        <v>3511</v>
      </c>
    </row>
    <row r="763">
      <c r="A763" s="88" t="s">
        <v>3511</v>
      </c>
    </row>
    <row r="764">
      <c r="A764" s="88" t="s">
        <v>3511</v>
      </c>
    </row>
    <row r="765">
      <c r="A765" s="88" t="s">
        <v>3511</v>
      </c>
    </row>
    <row r="766">
      <c r="A766" s="88" t="s">
        <v>3511</v>
      </c>
    </row>
    <row r="767">
      <c r="A767" s="88" t="s">
        <v>3511</v>
      </c>
    </row>
    <row r="768">
      <c r="A768" s="88" t="s">
        <v>3511</v>
      </c>
    </row>
    <row r="769">
      <c r="A769" s="88" t="s">
        <v>3511</v>
      </c>
    </row>
    <row r="770">
      <c r="A770" s="88" t="s">
        <v>3511</v>
      </c>
    </row>
    <row r="771">
      <c r="A771" s="88" t="s">
        <v>3511</v>
      </c>
    </row>
    <row r="772">
      <c r="A772" s="88" t="s">
        <v>3511</v>
      </c>
    </row>
    <row r="773">
      <c r="A773" s="88" t="s">
        <v>3511</v>
      </c>
    </row>
    <row r="774">
      <c r="A774" s="88" t="s">
        <v>3511</v>
      </c>
    </row>
    <row r="775">
      <c r="A775" s="88" t="s">
        <v>3511</v>
      </c>
    </row>
    <row r="776">
      <c r="A776" s="88" t="s">
        <v>3511</v>
      </c>
    </row>
    <row r="777">
      <c r="A777" s="88" t="s">
        <v>3511</v>
      </c>
    </row>
    <row r="778">
      <c r="A778" s="88" t="s">
        <v>3511</v>
      </c>
    </row>
    <row r="779">
      <c r="A779" s="88" t="s">
        <v>3511</v>
      </c>
    </row>
    <row r="780">
      <c r="A780" s="88" t="s">
        <v>3511</v>
      </c>
    </row>
    <row r="781">
      <c r="A781" s="88" t="s">
        <v>3511</v>
      </c>
    </row>
    <row r="782">
      <c r="A782" s="88" t="s">
        <v>3511</v>
      </c>
    </row>
    <row r="783">
      <c r="A783" s="88" t="s">
        <v>3511</v>
      </c>
    </row>
    <row r="784">
      <c r="A784" s="88" t="s">
        <v>3511</v>
      </c>
    </row>
    <row r="785">
      <c r="A785" s="88" t="s">
        <v>3511</v>
      </c>
    </row>
    <row r="786">
      <c r="A786" s="88" t="s">
        <v>3511</v>
      </c>
    </row>
    <row r="787">
      <c r="A787" s="88" t="s">
        <v>3511</v>
      </c>
    </row>
    <row r="788">
      <c r="A788" s="88" t="s">
        <v>3511</v>
      </c>
    </row>
    <row r="789">
      <c r="A789" s="88" t="s">
        <v>3511</v>
      </c>
    </row>
    <row r="790">
      <c r="A790" s="88" t="s">
        <v>3511</v>
      </c>
    </row>
    <row r="791">
      <c r="A791" s="88" t="s">
        <v>3511</v>
      </c>
    </row>
    <row r="792">
      <c r="A792" s="88" t="s">
        <v>3511</v>
      </c>
    </row>
    <row r="793">
      <c r="A793" s="88" t="s">
        <v>3511</v>
      </c>
    </row>
    <row r="794">
      <c r="A794" s="88" t="s">
        <v>3511</v>
      </c>
    </row>
    <row r="795">
      <c r="A795" s="88" t="s">
        <v>3511</v>
      </c>
    </row>
    <row r="796">
      <c r="A796" s="88" t="s">
        <v>3511</v>
      </c>
    </row>
    <row r="797">
      <c r="A797" s="88" t="s">
        <v>3511</v>
      </c>
    </row>
    <row r="798">
      <c r="A798" s="88" t="s">
        <v>3511</v>
      </c>
    </row>
    <row r="799">
      <c r="A799" s="88" t="s">
        <v>3511</v>
      </c>
    </row>
    <row r="800">
      <c r="A800" s="88" t="s">
        <v>3511</v>
      </c>
    </row>
    <row r="801">
      <c r="A801" s="88" t="s">
        <v>3511</v>
      </c>
    </row>
    <row r="802">
      <c r="A802" s="88" t="s">
        <v>3511</v>
      </c>
    </row>
    <row r="803">
      <c r="A803" s="88" t="s">
        <v>3511</v>
      </c>
    </row>
    <row r="804">
      <c r="A804" s="88" t="s">
        <v>3511</v>
      </c>
    </row>
    <row r="805">
      <c r="A805" s="88" t="s">
        <v>3511</v>
      </c>
    </row>
    <row r="806">
      <c r="A806" s="88" t="s">
        <v>3511</v>
      </c>
    </row>
    <row r="807">
      <c r="A807" s="88" t="s">
        <v>3511</v>
      </c>
    </row>
    <row r="808">
      <c r="A808" s="88" t="s">
        <v>3511</v>
      </c>
    </row>
    <row r="809">
      <c r="A809" s="88" t="s">
        <v>3511</v>
      </c>
    </row>
    <row r="810">
      <c r="A810" s="88" t="s">
        <v>3511</v>
      </c>
    </row>
    <row r="811">
      <c r="A811" s="88" t="s">
        <v>3511</v>
      </c>
    </row>
    <row r="812">
      <c r="A812" s="88" t="s">
        <v>3511</v>
      </c>
    </row>
    <row r="813">
      <c r="A813" s="88" t="s">
        <v>3511</v>
      </c>
    </row>
    <row r="814">
      <c r="A814" s="88" t="s">
        <v>3511</v>
      </c>
    </row>
    <row r="815">
      <c r="A815" s="88" t="s">
        <v>3511</v>
      </c>
    </row>
    <row r="816">
      <c r="A816" s="88" t="s">
        <v>3511</v>
      </c>
    </row>
    <row r="817">
      <c r="A817" s="88" t="s">
        <v>3511</v>
      </c>
    </row>
    <row r="818">
      <c r="A818" s="88" t="s">
        <v>3511</v>
      </c>
    </row>
    <row r="819">
      <c r="A819" s="88" t="s">
        <v>3511</v>
      </c>
    </row>
    <row r="820">
      <c r="A820" s="88" t="s">
        <v>3511</v>
      </c>
    </row>
    <row r="821">
      <c r="A821" s="88" t="s">
        <v>3511</v>
      </c>
    </row>
    <row r="822">
      <c r="A822" s="88" t="s">
        <v>3511</v>
      </c>
    </row>
    <row r="823">
      <c r="A823" s="88" t="s">
        <v>3511</v>
      </c>
    </row>
    <row r="824">
      <c r="A824" s="88" t="s">
        <v>3511</v>
      </c>
    </row>
    <row r="825">
      <c r="A825" s="88" t="s">
        <v>3511</v>
      </c>
    </row>
    <row r="826">
      <c r="A826" s="88" t="s">
        <v>3511</v>
      </c>
    </row>
    <row r="827">
      <c r="A827" s="88" t="s">
        <v>3511</v>
      </c>
    </row>
    <row r="828">
      <c r="A828" s="88" t="s">
        <v>3511</v>
      </c>
    </row>
    <row r="829">
      <c r="A829" s="88" t="s">
        <v>3511</v>
      </c>
    </row>
    <row r="830">
      <c r="A830" s="88" t="s">
        <v>3511</v>
      </c>
    </row>
    <row r="831">
      <c r="A831" s="88" t="s">
        <v>3511</v>
      </c>
    </row>
    <row r="832">
      <c r="A832" s="88" t="s">
        <v>3511</v>
      </c>
    </row>
    <row r="833">
      <c r="A833" s="88" t="s">
        <v>3511</v>
      </c>
    </row>
    <row r="834">
      <c r="A834" s="88" t="s">
        <v>3511</v>
      </c>
    </row>
    <row r="835">
      <c r="A835" s="88" t="s">
        <v>3511</v>
      </c>
    </row>
    <row r="836">
      <c r="A836" s="88" t="s">
        <v>3511</v>
      </c>
    </row>
    <row r="837">
      <c r="A837" s="88" t="s">
        <v>3511</v>
      </c>
    </row>
    <row r="838">
      <c r="A838" s="88" t="s">
        <v>3511</v>
      </c>
    </row>
    <row r="839">
      <c r="A839" s="88" t="s">
        <v>3511</v>
      </c>
    </row>
    <row r="840">
      <c r="A840" s="88" t="s">
        <v>3511</v>
      </c>
    </row>
    <row r="841">
      <c r="A841" s="88" t="s">
        <v>3511</v>
      </c>
    </row>
    <row r="842">
      <c r="A842" s="88" t="s">
        <v>3511</v>
      </c>
    </row>
    <row r="843">
      <c r="A843" s="88" t="s">
        <v>3511</v>
      </c>
    </row>
    <row r="844">
      <c r="A844" s="88" t="s">
        <v>3511</v>
      </c>
    </row>
    <row r="845">
      <c r="A845" s="88" t="s">
        <v>3511</v>
      </c>
    </row>
    <row r="846">
      <c r="A846" s="88" t="s">
        <v>3511</v>
      </c>
    </row>
    <row r="847">
      <c r="A847" s="88" t="s">
        <v>3511</v>
      </c>
    </row>
    <row r="848">
      <c r="A848" s="88" t="s">
        <v>3511</v>
      </c>
    </row>
    <row r="849">
      <c r="A849" s="88" t="s">
        <v>3511</v>
      </c>
    </row>
    <row r="850">
      <c r="A850" s="88" t="s">
        <v>3511</v>
      </c>
    </row>
    <row r="851">
      <c r="A851" s="88" t="s">
        <v>3511</v>
      </c>
    </row>
    <row r="852">
      <c r="A852" s="88" t="s">
        <v>3511</v>
      </c>
    </row>
    <row r="853">
      <c r="A853" s="88" t="s">
        <v>3511</v>
      </c>
    </row>
    <row r="854">
      <c r="A854" s="88" t="s">
        <v>3511</v>
      </c>
    </row>
    <row r="855">
      <c r="A855" s="88" t="s">
        <v>3511</v>
      </c>
    </row>
    <row r="856">
      <c r="A856" s="88" t="s">
        <v>3511</v>
      </c>
    </row>
    <row r="857">
      <c r="A857" s="88" t="s">
        <v>3511</v>
      </c>
    </row>
    <row r="858">
      <c r="A858" s="88" t="s">
        <v>3511</v>
      </c>
    </row>
    <row r="859">
      <c r="A859" s="88" t="s">
        <v>3511</v>
      </c>
    </row>
    <row r="860">
      <c r="A860" s="88" t="s">
        <v>3511</v>
      </c>
    </row>
    <row r="861">
      <c r="A861" s="88" t="s">
        <v>3511</v>
      </c>
    </row>
    <row r="862">
      <c r="A862" s="88" t="s">
        <v>3511</v>
      </c>
    </row>
    <row r="863">
      <c r="A863" s="88" t="s">
        <v>3511</v>
      </c>
    </row>
    <row r="864">
      <c r="A864" s="88" t="s">
        <v>3511</v>
      </c>
    </row>
    <row r="865">
      <c r="A865" s="88" t="s">
        <v>3511</v>
      </c>
    </row>
    <row r="866">
      <c r="A866" s="88" t="s">
        <v>3511</v>
      </c>
    </row>
    <row r="867">
      <c r="A867" s="88" t="s">
        <v>3511</v>
      </c>
    </row>
    <row r="868">
      <c r="A868" s="88" t="s">
        <v>3511</v>
      </c>
    </row>
    <row r="869">
      <c r="A869" s="88" t="s">
        <v>3511</v>
      </c>
    </row>
    <row r="870">
      <c r="A870" s="88" t="s">
        <v>3511</v>
      </c>
    </row>
    <row r="871">
      <c r="A871" s="88" t="s">
        <v>3511</v>
      </c>
    </row>
    <row r="872">
      <c r="A872" s="88" t="s">
        <v>3511</v>
      </c>
    </row>
    <row r="873">
      <c r="A873" s="88" t="s">
        <v>3511</v>
      </c>
    </row>
    <row r="874">
      <c r="A874" s="88" t="s">
        <v>3511</v>
      </c>
    </row>
    <row r="875">
      <c r="A875" s="88" t="s">
        <v>3511</v>
      </c>
    </row>
    <row r="876">
      <c r="A876" s="88" t="s">
        <v>3511</v>
      </c>
    </row>
    <row r="877">
      <c r="A877" s="88" t="s">
        <v>3511</v>
      </c>
    </row>
    <row r="878">
      <c r="A878" s="88" t="s">
        <v>3511</v>
      </c>
    </row>
    <row r="879">
      <c r="A879" s="88" t="s">
        <v>3511</v>
      </c>
    </row>
    <row r="880">
      <c r="A880" s="88" t="s">
        <v>3511</v>
      </c>
    </row>
    <row r="881">
      <c r="A881" s="88" t="s">
        <v>3511</v>
      </c>
    </row>
    <row r="882">
      <c r="A882" s="88" t="s">
        <v>3511</v>
      </c>
    </row>
    <row r="883">
      <c r="A883" s="88" t="s">
        <v>3511</v>
      </c>
    </row>
    <row r="884">
      <c r="A884" s="88" t="s">
        <v>3511</v>
      </c>
    </row>
    <row r="885">
      <c r="A885" s="88" t="s">
        <v>3511</v>
      </c>
    </row>
    <row r="886">
      <c r="A886" s="88" t="s">
        <v>3511</v>
      </c>
    </row>
    <row r="887">
      <c r="A887" s="88" t="s">
        <v>3511</v>
      </c>
    </row>
    <row r="888">
      <c r="A888" s="88" t="s">
        <v>3511</v>
      </c>
    </row>
    <row r="889">
      <c r="A889" s="88" t="s">
        <v>3511</v>
      </c>
    </row>
    <row r="890">
      <c r="A890" s="88" t="s">
        <v>3511</v>
      </c>
    </row>
    <row r="891">
      <c r="A891" s="88" t="s">
        <v>3511</v>
      </c>
    </row>
    <row r="892">
      <c r="A892" s="88" t="s">
        <v>3511</v>
      </c>
    </row>
    <row r="893">
      <c r="A893" s="88" t="s">
        <v>3511</v>
      </c>
    </row>
    <row r="894">
      <c r="A894" s="88" t="s">
        <v>3511</v>
      </c>
    </row>
    <row r="895">
      <c r="A895" s="88" t="s">
        <v>3511</v>
      </c>
    </row>
    <row r="896">
      <c r="A896" s="88" t="s">
        <v>3511</v>
      </c>
    </row>
    <row r="897">
      <c r="A897" s="88" t="s">
        <v>3511</v>
      </c>
    </row>
    <row r="898">
      <c r="A898" s="88" t="s">
        <v>3511</v>
      </c>
    </row>
    <row r="899">
      <c r="A899" s="88" t="s">
        <v>3511</v>
      </c>
    </row>
    <row r="900">
      <c r="A900" s="88" t="s">
        <v>3511</v>
      </c>
    </row>
    <row r="901">
      <c r="A901" s="88" t="s">
        <v>3511</v>
      </c>
    </row>
    <row r="902">
      <c r="A902" s="88" t="s">
        <v>3511</v>
      </c>
    </row>
    <row r="903">
      <c r="A903" s="88" t="s">
        <v>3511</v>
      </c>
    </row>
    <row r="904">
      <c r="A904" s="88" t="s">
        <v>3511</v>
      </c>
    </row>
    <row r="905">
      <c r="A905" s="88" t="s">
        <v>3511</v>
      </c>
    </row>
    <row r="906">
      <c r="A906" s="88" t="s">
        <v>3511</v>
      </c>
    </row>
    <row r="907">
      <c r="A907" s="88" t="s">
        <v>3511</v>
      </c>
    </row>
    <row r="908">
      <c r="A908" s="88" t="s">
        <v>3511</v>
      </c>
    </row>
    <row r="909">
      <c r="A909" s="88" t="s">
        <v>3511</v>
      </c>
    </row>
    <row r="910">
      <c r="A910" s="88" t="s">
        <v>3511</v>
      </c>
    </row>
    <row r="911">
      <c r="A911" s="88" t="s">
        <v>3511</v>
      </c>
    </row>
    <row r="912">
      <c r="A912" s="88" t="s">
        <v>3511</v>
      </c>
    </row>
    <row r="913">
      <c r="A913" s="88" t="s">
        <v>3511</v>
      </c>
    </row>
    <row r="914">
      <c r="A914" s="88" t="s">
        <v>3511</v>
      </c>
    </row>
    <row r="915">
      <c r="A915" s="88" t="s">
        <v>3511</v>
      </c>
    </row>
    <row r="916">
      <c r="A916" s="88" t="s">
        <v>3511</v>
      </c>
    </row>
    <row r="917">
      <c r="A917" s="88" t="s">
        <v>3511</v>
      </c>
    </row>
    <row r="918">
      <c r="A918" s="88" t="s">
        <v>3511</v>
      </c>
    </row>
    <row r="919">
      <c r="A919" s="88" t="s">
        <v>3511</v>
      </c>
    </row>
    <row r="920">
      <c r="A920" s="88" t="s">
        <v>3511</v>
      </c>
    </row>
    <row r="921">
      <c r="A921" s="88" t="s">
        <v>3511</v>
      </c>
    </row>
    <row r="922">
      <c r="A922" s="88" t="s">
        <v>3511</v>
      </c>
    </row>
    <row r="923">
      <c r="A923" s="88" t="s">
        <v>3511</v>
      </c>
    </row>
    <row r="924">
      <c r="A924" s="88" t="s">
        <v>3511</v>
      </c>
    </row>
    <row r="925">
      <c r="A925" s="88" t="s">
        <v>3511</v>
      </c>
    </row>
    <row r="926">
      <c r="A926" s="88" t="s">
        <v>3511</v>
      </c>
    </row>
    <row r="927">
      <c r="A927" s="88" t="s">
        <v>3511</v>
      </c>
    </row>
    <row r="928">
      <c r="A928" s="88" t="s">
        <v>3511</v>
      </c>
    </row>
    <row r="929">
      <c r="A929" s="88" t="s">
        <v>3511</v>
      </c>
    </row>
    <row r="930">
      <c r="A930" s="88" t="s">
        <v>3511</v>
      </c>
    </row>
    <row r="931">
      <c r="A931" s="88" t="s">
        <v>3511</v>
      </c>
    </row>
    <row r="932">
      <c r="A932" s="88" t="s">
        <v>3511</v>
      </c>
    </row>
    <row r="933">
      <c r="A933" s="88" t="s">
        <v>3511</v>
      </c>
    </row>
    <row r="934">
      <c r="A934" s="88" t="s">
        <v>3511</v>
      </c>
    </row>
    <row r="935">
      <c r="A935" s="88" t="s">
        <v>3511</v>
      </c>
    </row>
    <row r="936">
      <c r="A936" s="88" t="s">
        <v>3511</v>
      </c>
    </row>
    <row r="937">
      <c r="A937" s="88" t="s">
        <v>3511</v>
      </c>
    </row>
    <row r="938">
      <c r="A938" s="88" t="s">
        <v>3511</v>
      </c>
    </row>
    <row r="939">
      <c r="A939" s="88" t="s">
        <v>3511</v>
      </c>
    </row>
    <row r="940">
      <c r="A940" s="88" t="s">
        <v>3511</v>
      </c>
    </row>
    <row r="941">
      <c r="A941" s="88" t="s">
        <v>3511</v>
      </c>
    </row>
    <row r="942">
      <c r="A942" s="88" t="s">
        <v>3511</v>
      </c>
    </row>
    <row r="943">
      <c r="A943" s="88" t="s">
        <v>3511</v>
      </c>
    </row>
    <row r="944">
      <c r="A944" s="88" t="s">
        <v>3511</v>
      </c>
    </row>
    <row r="945">
      <c r="A945" s="88" t="s">
        <v>3511</v>
      </c>
    </row>
    <row r="946">
      <c r="A946" s="88" t="s">
        <v>3511</v>
      </c>
    </row>
    <row r="947">
      <c r="A947" s="88" t="s">
        <v>3511</v>
      </c>
    </row>
    <row r="948">
      <c r="A948" s="88" t="s">
        <v>3511</v>
      </c>
    </row>
    <row r="949">
      <c r="A949" s="88" t="s">
        <v>3511</v>
      </c>
    </row>
    <row r="950">
      <c r="A950" s="88" t="s">
        <v>3511</v>
      </c>
    </row>
    <row r="951">
      <c r="A951" s="88" t="s">
        <v>3511</v>
      </c>
    </row>
    <row r="952">
      <c r="A952" s="88" t="s">
        <v>3511</v>
      </c>
    </row>
    <row r="953">
      <c r="A953" s="88" t="s">
        <v>3511</v>
      </c>
    </row>
    <row r="954">
      <c r="A954" s="88" t="s">
        <v>3511</v>
      </c>
    </row>
    <row r="955">
      <c r="A955" s="88" t="s">
        <v>3511</v>
      </c>
    </row>
    <row r="956">
      <c r="A956" s="88" t="s">
        <v>3511</v>
      </c>
    </row>
    <row r="957">
      <c r="A957" s="88" t="s">
        <v>3511</v>
      </c>
    </row>
    <row r="958">
      <c r="A958" s="88" t="s">
        <v>3511</v>
      </c>
    </row>
    <row r="959">
      <c r="A959" s="88" t="s">
        <v>3511</v>
      </c>
    </row>
    <row r="960">
      <c r="A960" s="88" t="s">
        <v>3511</v>
      </c>
    </row>
    <row r="961">
      <c r="A961" s="88" t="s">
        <v>3511</v>
      </c>
    </row>
    <row r="962">
      <c r="A962" s="88" t="s">
        <v>3511</v>
      </c>
    </row>
    <row r="963">
      <c r="A963" s="88" t="s">
        <v>3511</v>
      </c>
    </row>
    <row r="964">
      <c r="A964" s="88" t="s">
        <v>3511</v>
      </c>
    </row>
    <row r="965">
      <c r="A965" s="88" t="s">
        <v>3511</v>
      </c>
    </row>
    <row r="966">
      <c r="A966" s="88" t="s">
        <v>3511</v>
      </c>
    </row>
    <row r="967">
      <c r="A967" s="88" t="s">
        <v>3511</v>
      </c>
    </row>
    <row r="968">
      <c r="A968" s="88" t="s">
        <v>3511</v>
      </c>
    </row>
    <row r="969">
      <c r="A969" s="88" t="s">
        <v>3511</v>
      </c>
    </row>
    <row r="970">
      <c r="A970" s="88" t="s">
        <v>3511</v>
      </c>
    </row>
    <row r="971">
      <c r="A971" s="88" t="s">
        <v>3511</v>
      </c>
    </row>
    <row r="972">
      <c r="A972" s="88" t="s">
        <v>3511</v>
      </c>
    </row>
    <row r="973">
      <c r="A973" s="88" t="s">
        <v>3511</v>
      </c>
    </row>
    <row r="974">
      <c r="A974" s="88" t="s">
        <v>3511</v>
      </c>
    </row>
    <row r="975">
      <c r="A975" s="88" t="s">
        <v>3511</v>
      </c>
    </row>
    <row r="976">
      <c r="A976" s="88" t="s">
        <v>3511</v>
      </c>
    </row>
    <row r="977">
      <c r="A977" s="88" t="s">
        <v>3511</v>
      </c>
    </row>
    <row r="978">
      <c r="A978" s="88" t="s">
        <v>3511</v>
      </c>
    </row>
    <row r="979">
      <c r="A979" s="88" t="s">
        <v>3511</v>
      </c>
    </row>
    <row r="980">
      <c r="A980" s="88" t="s">
        <v>3511</v>
      </c>
    </row>
    <row r="981">
      <c r="A981" s="88" t="s">
        <v>3511</v>
      </c>
    </row>
    <row r="982">
      <c r="A982" s="88" t="s">
        <v>3511</v>
      </c>
    </row>
    <row r="983">
      <c r="A983" s="88" t="s">
        <v>3511</v>
      </c>
    </row>
    <row r="984">
      <c r="A984" s="88" t="s">
        <v>3511</v>
      </c>
    </row>
    <row r="985">
      <c r="A985" s="88" t="s">
        <v>3511</v>
      </c>
    </row>
    <row r="986">
      <c r="A986" s="88" t="s">
        <v>3511</v>
      </c>
    </row>
    <row r="987">
      <c r="A987" s="88" t="s">
        <v>3511</v>
      </c>
    </row>
    <row r="988">
      <c r="A988" s="88" t="s">
        <v>3511</v>
      </c>
    </row>
    <row r="989">
      <c r="A989" s="88" t="s">
        <v>3511</v>
      </c>
    </row>
    <row r="990">
      <c r="A990" s="88" t="s">
        <v>3511</v>
      </c>
    </row>
    <row r="991">
      <c r="A991" s="88" t="s">
        <v>3511</v>
      </c>
    </row>
    <row r="992">
      <c r="A992" s="88" t="s">
        <v>3511</v>
      </c>
    </row>
    <row r="993">
      <c r="A993" s="88" t="s">
        <v>3511</v>
      </c>
    </row>
    <row r="994">
      <c r="A994" s="88" t="s">
        <v>3511</v>
      </c>
    </row>
    <row r="995">
      <c r="A995" s="88" t="s">
        <v>3511</v>
      </c>
    </row>
    <row r="996">
      <c r="A996" s="88" t="s">
        <v>3511</v>
      </c>
    </row>
    <row r="997">
      <c r="A997" s="88" t="s">
        <v>3511</v>
      </c>
    </row>
    <row r="998">
      <c r="A998" s="88" t="s">
        <v>3511</v>
      </c>
    </row>
    <row r="999">
      <c r="A999" s="88" t="s">
        <v>3511</v>
      </c>
    </row>
    <row r="1000">
      <c r="A1000" s="88" t="s">
        <v>3511</v>
      </c>
    </row>
  </sheetData>
  <mergeCells count="2">
    <mergeCell ref="B1:L1"/>
    <mergeCell ref="B2:L2"/>
  </mergeCells>
  <conditionalFormatting sqref="M4:M500">
    <cfRule type="containsBlanks" dxfId="13" priority="1" stopIfTrue="1">
      <formula>LEN(TRIM(M4))=0</formula>
    </cfRule>
  </conditionalFormatting>
  <dataValidations>
    <dataValidation type="list" allowBlank="1" showErrorMessage="1" sqref="M4:M500">
      <formula1>"미확인,확인완료"</formula1>
    </dataValidation>
  </dataValidations>
  <hyperlinks>
    <hyperlink r:id="rId1" ref="L9"/>
    <hyperlink r:id="rId2" ref="L11"/>
    <hyperlink r:id="rId3" ref="L14"/>
    <hyperlink r:id="rId4" ref="L16"/>
    <hyperlink r:id="rId5" ref="L17"/>
    <hyperlink r:id="rId6" ref="L27"/>
    <hyperlink r:id="rId7" ref="L30"/>
  </hyperlinks>
  <drawing r:id="rId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346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2" max="12" width="12.63"/>
  </cols>
  <sheetData>
    <row r="1" ht="24.0" customHeight="1">
      <c r="A1" s="743" t="s">
        <v>4832</v>
      </c>
    </row>
    <row r="2" ht="21.0" customHeight="1">
      <c r="A2" s="744" t="s">
        <v>4813</v>
      </c>
    </row>
    <row r="3">
      <c r="L3" s="19" t="s">
        <v>4828</v>
      </c>
    </row>
    <row r="4">
      <c r="A4" s="325" t="str">
        <f>IFERROR(__xludf.DUMMYFUNCTION("IMPORTRANGE(""https://docs.google.com/spreadsheets/d/1n5BfYhdwsDrQ-JlL1ytcSyM0C96xhYLpPtCU-Q2VAis"",""설문지 응답 시트1!A:K"")"),"타임스탬프")</f>
        <v>타임스탬프</v>
      </c>
      <c r="B4" s="325" t="str">
        <f>IFERROR(__xludf.DUMMYFUNCTION("""COMPUTED_VALUE"""),"성함을 기입해주세요")</f>
        <v>성함을 기입해주세요</v>
      </c>
      <c r="C4" s="325" t="str">
        <f>IFERROR(__xludf.DUMMYFUNCTION("""COMPUTED_VALUE"""),"활동명 및 닉네임을 기입해주세요")</f>
        <v>활동명 및 닉네임을 기입해주세요</v>
      </c>
      <c r="D4" s="325" t="str">
        <f>IFERROR(__xludf.DUMMYFUNCTION("""COMPUTED_VALUE"""),"연락처를 적어주세요")</f>
        <v>연락처를 적어주세요</v>
      </c>
      <c r="E4" s="325" t="str">
        <f>IFERROR(__xludf.DUMMYFUNCTION("""COMPUTED_VALUE"""),"다른 사이트 혹은 강의를 진행하신 경험이 있으신가요?")</f>
        <v>다른 사이트 혹은 강의를 진행하신 경험이 있으신가요?</v>
      </c>
      <c r="F4" s="325" t="str">
        <f>IFERROR(__xludf.DUMMYFUNCTION("""COMPUTED_VALUE"""),"강의하고 싶은 주제를 구체적으로 작성해주세요. 
예시
1. 구매대행과 AI를 활용한 수익화 방법
2. 부동산 경매를 통해 돈을 버는 방법")</f>
        <v>강의하고 싶은 주제를 구체적으로 작성해주세요. 
예시
1. 구매대행과 AI를 활용한 수익화 방법
2. 부동산 경매를 통해 돈을 버는 방법</v>
      </c>
      <c r="G4" s="325" t="str">
        <f>IFERROR(__xludf.DUMMYFUNCTION("""COMPUTED_VALUE"""),"핏크닉 강사로 지원하신 동기 및 계기는 무엇인가요? 본인의 장점과 함께 자유롭게 작성해주세요. ")</f>
        <v>핏크닉 강사로 지원하신 동기 및 계기는 무엇인가요? 본인의 장점과 함께 자유롭게 작성해주세요. </v>
      </c>
      <c r="H4" s="325" t="str">
        <f>IFERROR(__xludf.DUMMYFUNCTION("""COMPUTED_VALUE"""),"경력과 어떤 성과를 만드셨는지 수치적으로 작성해주세요*
예시
1. 쿠팡을 통해 연매출 20억 달성
2. 부동산 경매로 순자산 30억 ")</f>
        <v>경력과 어떤 성과를 만드셨는지 수치적으로 작성해주세요*
예시
1. 쿠팡을 통해 연매출 20억 달성
2. 부동산 경매로 순자산 30억 </v>
      </c>
      <c r="I4" s="325" t="str">
        <f>IFERROR(__xludf.DUMMYFUNCTION("""COMPUTED_VALUE"""),"해당 분야에서 수강생의 성과를 만든 경험이 있다면 적어주세요.
1. 수강생이 부업으로 시작해 월 3천만 원 매출 달성
2. 부동산 경매를 알려줘 시세보다 1천만 원 싸게 구입")</f>
        <v>해당 분야에서 수강생의 성과를 만든 경험이 있다면 적어주세요.
1. 수강생이 부업으로 시작해 월 3천만 원 매출 달성
2. 부동산 경매를 알려줘 시세보다 1천만 원 싸게 구입</v>
      </c>
      <c r="J4" s="325" t="str">
        <f>IFERROR(__xludf.DUMMYFUNCTION("""COMPUTED_VALUE"""),"해당 주제를 통해 수강생이 무엇을 얻을 수 있는지 구체적으로 작성해주세요.
예시
1. 쿠팡 부업을 통해 50만원 정도의 순이익
2. 경매를 통해, 시세보다 저렴하게 부동산 구입")</f>
        <v>해당 주제를 통해 수강생이 무엇을 얻을 수 있는지 구체적으로 작성해주세요.
예시
1. 쿠팡 부업을 통해 50만원 정도의 순이익
2. 경매를 통해, 시세보다 저렴하게 부동산 구입</v>
      </c>
      <c r="K4" s="325" t="str">
        <f>IFERROR(__xludf.DUMMYFUNCTION("""COMPUTED_VALUE"""),"개인 SNS 채널 링크를 남겨주세요.
※ 유튜브, 인스타그램, 블로그, 카페")</f>
        <v>개인 SNS 채널 링크를 남겨주세요.
※ 유튜브, 인스타그램, 블로그, 카페</v>
      </c>
      <c r="L4" s="325"/>
    </row>
    <row r="5">
      <c r="A5" s="754">
        <f>IFERROR(__xludf.DUMMYFUNCTION("""COMPUTED_VALUE"""),46029.786060706014)</f>
        <v>46029.78606</v>
      </c>
      <c r="B5" s="325" t="str">
        <f>IFERROR(__xludf.DUMMYFUNCTION("""COMPUTED_VALUE"""),"한상혁")</f>
        <v>한상혁</v>
      </c>
      <c r="C5" s="325" t="str">
        <f>IFERROR(__xludf.DUMMYFUNCTION("""COMPUTED_VALUE"""),"F.VIP10기 한상혁/yougive89")</f>
        <v>F.VIP10기 한상혁/yougive89</v>
      </c>
      <c r="D5" s="325" t="str">
        <f>IFERROR(__xludf.DUMMYFUNCTION("""COMPUTED_VALUE"""),"010-8270-7673")</f>
        <v>010-8270-7673</v>
      </c>
      <c r="E5" s="325" t="str">
        <f>IFERROR(__xludf.DUMMYFUNCTION("""COMPUTED_VALUE"""),"링크 없이 오프라인 강의로만 진행하였습니다.(국내 화원협회 전국강의, 제주 한라대학교 초청강의)")</f>
        <v>링크 없이 오프라인 강의로만 진행하였습니다.(국내 화원협회 전국강의, 제주 한라대학교 초청강의)</v>
      </c>
      <c r="F5" s="325" t="str">
        <f>IFERROR(__xludf.DUMMYFUNCTION("""COMPUTED_VALUE"""),"1. 출장업종의 이기는 판을 설계하는 블로그 마케팅 / 2. AI 시대에 살아남는 기술 유리창 청소, 방충망 교체 시공 (마진율 99% 유리창 청소, 마진율 90% 방충망 교체)")</f>
        <v>1. 출장업종의 이기는 판을 설계하는 블로그 마케팅 / 2. AI 시대에 살아남는 기술 유리창 청소, 방충망 교체 시공 (마진율 99% 유리창 청소, 마진율 90% 방충망 교체)</v>
      </c>
      <c r="G5" s="325" t="str">
        <f>IFERROR(__xludf.DUMMYFUNCTION("""COMPUTED_VALUE"""),"블로그 관리대행 수익화 강의를 들었으나 블로그를 대신 작성해주는 것에 흥미가 없고 직접 테스트한 자료를 통해 블로그 강의 PPT 파일을 만들었고 전국을 돌며 초청강의를 했을때 그저 즐거웠기 때문입니다. 그리고 강점은 카더라가 아닌 경험을 토대로 작성된 자료이고 쉽게 이해할 수 있어서 좋았다는 의견이 많았습니다. 유리창청소 기술은 99%마진율과 최저가 장비셋팅, 초효율 작업 방식을 통해 경쟁력을 갖출 수 있는 오프라인 기술교육이 가능합니다. 방충망의 경우"&amp;" 하자 없이 시공 가능한 기술을 쉽게 전수할 수 있습니다.(방충망 마진율 90%)")</f>
        <v>블로그 관리대행 수익화 강의를 들었으나 블로그를 대신 작성해주는 것에 흥미가 없고 직접 테스트한 자료를 통해 블로그 강의 PPT 파일을 만들었고 전국을 돌며 초청강의를 했을때 그저 즐거웠기 때문입니다. 그리고 강점은 카더라가 아닌 경험을 토대로 작성된 자료이고 쉽게 이해할 수 있어서 좋았다는 의견이 많았습니다. 유리창청소 기술은 99%마진율과 최저가 장비셋팅, 초효율 작업 방식을 통해 경쟁력을 갖출 수 있는 오프라인 기술교육이 가능합니다. 방충망의 경우 하자 없이 시공 가능한 기술을 쉽게 전수할 수 있습니다.(방충망 마진율 90%)</v>
      </c>
      <c r="H5" s="325" t="str">
        <f>IFERROR(__xludf.DUMMYFUNCTION("""COMPUTED_VALUE"""),"2025년 한 해 동안 서울, 대전, 강원, 전남광주, 김해, 창원, 부산, 제주를 돌며 전국적으로 300명 이상에게 강의를 진행 / 청소 사업은 창업 2년만에 월 순수익 1,200만원 돌파")</f>
        <v>2025년 한 해 동안 서울, 대전, 강원, 전남광주, 김해, 창원, 부산, 제주를 돌며 전국적으로 300명 이상에게 강의를 진행 / 청소 사업은 창업 2년만에 월 순수익 1,200만원 돌파</v>
      </c>
      <c r="I5" s="325" t="str">
        <f>IFERROR(__xludf.DUMMYFUNCTION("""COMPUTED_VALUE"""),"출장업종 및 지역내 소상공인 블로그 상위노출은 이제 습관이 되었습니다.")</f>
        <v>출장업종 및 지역내 소상공인 블로그 상위노출은 이제 습관이 되었습니다.</v>
      </c>
      <c r="J5" s="325" t="str">
        <f>IFERROR(__xludf.DUMMYFUNCTION("""COMPUTED_VALUE"""),"1. 출장업종의 블로그 마케팅은 레드오션이 아닌 블루오션, 기술창업을 통한 경제적 자유")</f>
        <v>1. 출장업종의 블로그 마케팅은 레드오션이 아닌 블루오션, 기술창업을 통한 경제적 자유</v>
      </c>
      <c r="K5" s="755" t="str">
        <f>IFERROR(__xludf.DUMMYFUNCTION("""COMPUTED_VALUE"""),"https://blog.naver.com/yougive89")</f>
        <v>https://blog.naver.com/yougive89</v>
      </c>
      <c r="L5" s="681" t="s">
        <v>29</v>
      </c>
    </row>
    <row r="6">
      <c r="A6" s="754">
        <f>IFERROR(__xludf.DUMMYFUNCTION("""COMPUTED_VALUE"""),46057.41825371528)</f>
        <v>46057.41825</v>
      </c>
      <c r="B6" s="325" t="str">
        <f>IFERROR(__xludf.DUMMYFUNCTION("""COMPUTED_VALUE"""),"나현순")</f>
        <v>나현순</v>
      </c>
      <c r="C6" s="325" t="str">
        <f>IFERROR(__xludf.DUMMYFUNCTION("""COMPUTED_VALUE"""),"운동박사나박사 ")</f>
        <v>운동박사나박사 </v>
      </c>
      <c r="D6" s="325" t="str">
        <f>IFERROR(__xludf.DUMMYFUNCTION("""COMPUTED_VALUE"""),"01033997646")</f>
        <v>01033997646</v>
      </c>
      <c r="E6"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F6" s="325" t="str">
        <f>IFERROR(__xludf.DUMMYFUNCTION("""COMPUTED_VALUE"""),"건강하게 상해없이 운동하는 방법(체육학박사이면서 현장에서 줌바댄스,시니어 건강댄스강사")</f>
        <v>건강하게 상해없이 운동하는 방법(체육학박사이면서 현장에서 줌바댄스,시니어 건강댄스강사</v>
      </c>
      <c r="G6" s="325" t="str">
        <f>IFERROR(__xludf.DUMMYFUNCTION("""COMPUTED_VALUE"""),"현장에서 34년차 방송댄스 강사경력과 체육학박사로 실질적인 이론과 실기를 겸비한 강사로서 건강한 삶을 원하는 분들에게 실질적인 건강운동 비법을 소개하고 싶습니다.")</f>
        <v>현장에서 34년차 방송댄스 강사경력과 체육학박사로 실질적인 이론과 실기를 겸비한 강사로서 건강한 삶을 원하는 분들에게 실질적인 건강운동 비법을 소개하고 싶습니다.</v>
      </c>
      <c r="H6" s="325" t="str">
        <f>IFERROR(__xludf.DUMMYFUNCTION("""COMPUTED_VALUE"""),"인스타와 블로그로 수익 달성")</f>
        <v>인스타와 블로그로 수익 달성</v>
      </c>
      <c r="I6" s="325" t="str">
        <f>IFERROR(__xludf.DUMMYFUNCTION("""COMPUTED_VALUE"""),"오프라인 강의로 1년만에 갑상선암, 자궁암 완치 사례 있음")</f>
        <v>오프라인 강의로 1년만에 갑상선암, 자궁암 완치 사례 있음</v>
      </c>
      <c r="J6" s="325" t="str">
        <f>IFERROR(__xludf.DUMMYFUNCTION("""COMPUTED_VALUE"""),"인생의 최대 목표인 건강한 삶을 평생 유지하여 삶의 질을 향상 시킬 수 있음 ")</f>
        <v>인생의 최대 목표인 건강한 삶을 평생 유지하여 삶의 질을 향상 시킬 수 있음 </v>
      </c>
      <c r="K6" s="755" t="str">
        <f>IFERROR(__xludf.DUMMYFUNCTION("""COMPUTED_VALUE"""),"https://www.instagram.com/reel/DTPUCAegUln/?igsh=MWQ3M25lNmludW9xOQ==")</f>
        <v>https://www.instagram.com/reel/DTPUCAegUln/?igsh=MWQ3M25lNmludW9xOQ==</v>
      </c>
      <c r="L6" s="681" t="s">
        <v>29</v>
      </c>
    </row>
    <row r="7">
      <c r="A7" s="754">
        <f>IFERROR(__xludf.DUMMYFUNCTION("""COMPUTED_VALUE"""),46105.87346059028)</f>
        <v>46105.87346</v>
      </c>
      <c r="B7" s="325" t="str">
        <f>IFERROR(__xludf.DUMMYFUNCTION("""COMPUTED_VALUE"""),"테스트")</f>
        <v>테스트</v>
      </c>
      <c r="C7" s="325" t="str">
        <f>IFERROR(__xludf.DUMMYFUNCTION("""COMPUTED_VALUE"""),"테스트")</f>
        <v>테스트</v>
      </c>
      <c r="D7" s="325" t="str">
        <f>IFERROR(__xludf.DUMMYFUNCTION("""COMPUTED_VALUE"""),"테스트")</f>
        <v>테스트</v>
      </c>
      <c r="E7" s="325" t="str">
        <f>IFERROR(__xludf.DUMMYFUNCTION("""COMPUTED_VALUE"""),"없음")</f>
        <v>없음</v>
      </c>
      <c r="F7" s="325" t="str">
        <f>IFERROR(__xludf.DUMMYFUNCTION("""COMPUTED_VALUE"""),"테스트")</f>
        <v>테스트</v>
      </c>
      <c r="G7" s="325" t="str">
        <f>IFERROR(__xludf.DUMMYFUNCTION("""COMPUTED_VALUE"""),"테스트")</f>
        <v>테스트</v>
      </c>
      <c r="H7" s="325" t="str">
        <f>IFERROR(__xludf.DUMMYFUNCTION("""COMPUTED_VALUE"""),"테스트")</f>
        <v>테스트</v>
      </c>
      <c r="I7" s="325" t="str">
        <f>IFERROR(__xludf.DUMMYFUNCTION("""COMPUTED_VALUE"""),"테스트")</f>
        <v>테스트</v>
      </c>
      <c r="J7" s="325" t="str">
        <f>IFERROR(__xludf.DUMMYFUNCTION("""COMPUTED_VALUE"""),"테스트")</f>
        <v>테스트</v>
      </c>
      <c r="K7" s="325" t="str">
        <f>IFERROR(__xludf.DUMMYFUNCTION("""COMPUTED_VALUE"""),"테스트")</f>
        <v>테스트</v>
      </c>
      <c r="L7" s="325"/>
    </row>
    <row r="8">
      <c r="A8" s="325"/>
      <c r="B8" s="325"/>
      <c r="C8" s="325"/>
      <c r="D8" s="325"/>
      <c r="E8" s="325"/>
      <c r="F8" s="325"/>
      <c r="G8" s="325"/>
      <c r="H8" s="325"/>
      <c r="I8" s="325"/>
      <c r="J8" s="325"/>
      <c r="K8" s="325"/>
      <c r="L8" s="325"/>
    </row>
    <row r="9">
      <c r="A9" s="325"/>
      <c r="B9" s="325"/>
      <c r="C9" s="325"/>
      <c r="D9" s="325"/>
      <c r="E9" s="325"/>
      <c r="F9" s="325"/>
      <c r="G9" s="325"/>
      <c r="H9" s="325"/>
      <c r="I9" s="325"/>
      <c r="J9" s="325"/>
      <c r="K9" s="325"/>
      <c r="L9" s="325"/>
    </row>
    <row r="10">
      <c r="A10" s="325"/>
      <c r="B10" s="325"/>
      <c r="C10" s="325"/>
      <c r="D10" s="325"/>
      <c r="E10" s="325"/>
      <c r="F10" s="325"/>
      <c r="G10" s="325"/>
      <c r="H10" s="325"/>
      <c r="I10" s="325"/>
      <c r="J10" s="325"/>
      <c r="K10" s="325"/>
      <c r="L10" s="325"/>
    </row>
    <row r="11">
      <c r="A11" s="325"/>
      <c r="B11" s="325"/>
      <c r="C11" s="325"/>
      <c r="D11" s="325"/>
      <c r="E11" s="325"/>
      <c r="F11" s="325"/>
      <c r="G11" s="325"/>
      <c r="H11" s="325"/>
      <c r="I11" s="325"/>
      <c r="J11" s="325"/>
      <c r="K11" s="325"/>
      <c r="L11" s="325"/>
    </row>
    <row r="12">
      <c r="A12" s="325"/>
      <c r="B12" s="325"/>
      <c r="C12" s="325"/>
      <c r="D12" s="325"/>
      <c r="E12" s="325"/>
      <c r="F12" s="325"/>
      <c r="G12" s="325"/>
      <c r="H12" s="325"/>
      <c r="I12" s="325"/>
      <c r="J12" s="325"/>
      <c r="K12" s="325"/>
      <c r="L12" s="325"/>
    </row>
    <row r="13">
      <c r="A13" s="325"/>
      <c r="B13" s="325"/>
      <c r="C13" s="325"/>
      <c r="D13" s="325"/>
      <c r="E13" s="325"/>
      <c r="F13" s="325"/>
      <c r="G13" s="325"/>
      <c r="H13" s="325"/>
      <c r="I13" s="325"/>
      <c r="J13" s="325"/>
      <c r="K13" s="325"/>
      <c r="L13" s="325"/>
    </row>
    <row r="14">
      <c r="A14" s="325"/>
      <c r="B14" s="325"/>
      <c r="C14" s="325"/>
      <c r="D14" s="325"/>
      <c r="E14" s="325"/>
      <c r="F14" s="325"/>
      <c r="G14" s="325"/>
      <c r="H14" s="325"/>
      <c r="I14" s="325"/>
      <c r="J14" s="325"/>
      <c r="K14" s="325"/>
      <c r="L14" s="325"/>
    </row>
    <row r="15">
      <c r="A15" s="325"/>
      <c r="B15" s="325"/>
      <c r="C15" s="325"/>
      <c r="D15" s="325"/>
      <c r="E15" s="325"/>
      <c r="F15" s="325"/>
      <c r="G15" s="325"/>
      <c r="H15" s="325"/>
      <c r="I15" s="325"/>
      <c r="J15" s="325"/>
      <c r="K15" s="325"/>
      <c r="L15" s="325"/>
    </row>
    <row r="16">
      <c r="A16" s="325"/>
      <c r="B16" s="325"/>
      <c r="C16" s="325"/>
      <c r="D16" s="325"/>
      <c r="E16" s="325"/>
      <c r="F16" s="325"/>
      <c r="G16" s="325"/>
      <c r="H16" s="325"/>
      <c r="I16" s="325"/>
      <c r="J16" s="325"/>
      <c r="K16" s="325"/>
      <c r="L16" s="325"/>
    </row>
    <row r="17">
      <c r="A17" s="325"/>
      <c r="B17" s="325"/>
      <c r="C17" s="325"/>
      <c r="D17" s="325"/>
      <c r="E17" s="325"/>
      <c r="F17" s="325"/>
      <c r="G17" s="325"/>
      <c r="H17" s="325"/>
      <c r="I17" s="325"/>
      <c r="J17" s="325"/>
      <c r="K17" s="325"/>
      <c r="L17" s="325"/>
    </row>
    <row r="18">
      <c r="A18" s="325"/>
      <c r="B18" s="325"/>
      <c r="C18" s="325"/>
      <c r="D18" s="325"/>
      <c r="E18" s="325"/>
      <c r="F18" s="325"/>
      <c r="G18" s="325"/>
      <c r="H18" s="325"/>
      <c r="I18" s="325"/>
      <c r="J18" s="325"/>
      <c r="K18" s="325"/>
      <c r="L18" s="325"/>
    </row>
    <row r="19">
      <c r="A19" s="325"/>
      <c r="B19" s="325"/>
      <c r="C19" s="325"/>
      <c r="D19" s="325"/>
      <c r="E19" s="325"/>
      <c r="F19" s="325"/>
      <c r="G19" s="325"/>
      <c r="H19" s="325"/>
      <c r="I19" s="325"/>
      <c r="J19" s="325"/>
      <c r="K19" s="325"/>
      <c r="L19" s="325"/>
    </row>
    <row r="20">
      <c r="A20" s="325"/>
      <c r="B20" s="325"/>
      <c r="C20" s="325"/>
      <c r="D20" s="325"/>
      <c r="E20" s="325"/>
      <c r="F20" s="325"/>
      <c r="G20" s="325"/>
      <c r="H20" s="325"/>
      <c r="I20" s="325"/>
      <c r="J20" s="325"/>
      <c r="K20" s="325"/>
      <c r="L20" s="325"/>
    </row>
    <row r="21">
      <c r="A21" s="325"/>
      <c r="B21" s="325"/>
      <c r="C21" s="325"/>
      <c r="D21" s="325"/>
      <c r="E21" s="325"/>
      <c r="F21" s="325"/>
      <c r="G21" s="325"/>
      <c r="H21" s="325"/>
      <c r="I21" s="325"/>
      <c r="J21" s="325"/>
      <c r="K21" s="325"/>
      <c r="L21" s="325"/>
    </row>
    <row r="22">
      <c r="A22" s="325"/>
      <c r="B22" s="325"/>
      <c r="C22" s="325"/>
      <c r="D22" s="325"/>
      <c r="E22" s="325"/>
      <c r="F22" s="325"/>
      <c r="G22" s="325"/>
      <c r="H22" s="325"/>
      <c r="I22" s="325"/>
      <c r="J22" s="325"/>
      <c r="K22" s="325"/>
      <c r="L22" s="325"/>
    </row>
    <row r="23">
      <c r="A23" s="325"/>
      <c r="B23" s="325"/>
      <c r="C23" s="325"/>
      <c r="D23" s="325"/>
      <c r="E23" s="325"/>
      <c r="F23" s="325"/>
      <c r="G23" s="325"/>
      <c r="H23" s="325"/>
      <c r="I23" s="325"/>
      <c r="J23" s="325"/>
      <c r="K23" s="325"/>
      <c r="L23" s="325"/>
    </row>
    <row r="24">
      <c r="A24" s="325"/>
      <c r="B24" s="325"/>
      <c r="C24" s="325"/>
      <c r="D24" s="325"/>
      <c r="E24" s="325"/>
      <c r="F24" s="325"/>
      <c r="G24" s="325"/>
      <c r="H24" s="325"/>
      <c r="I24" s="325"/>
      <c r="J24" s="325"/>
      <c r="K24" s="325"/>
      <c r="L24" s="325"/>
    </row>
    <row r="25">
      <c r="A25" s="325"/>
      <c r="B25" s="325"/>
      <c r="C25" s="325"/>
      <c r="D25" s="325"/>
      <c r="E25" s="325"/>
      <c r="F25" s="325"/>
      <c r="G25" s="325"/>
      <c r="H25" s="325"/>
      <c r="I25" s="325"/>
      <c r="J25" s="325"/>
      <c r="K25" s="325"/>
      <c r="L25" s="325"/>
    </row>
    <row r="26">
      <c r="A26" s="325"/>
      <c r="B26" s="325"/>
      <c r="C26" s="325"/>
      <c r="D26" s="325"/>
      <c r="E26" s="325"/>
      <c r="F26" s="325"/>
      <c r="G26" s="325"/>
      <c r="H26" s="325"/>
      <c r="I26" s="325"/>
      <c r="J26" s="325"/>
      <c r="K26" s="325"/>
      <c r="L26" s="325"/>
    </row>
    <row r="27">
      <c r="A27" s="325"/>
      <c r="B27" s="325"/>
      <c r="C27" s="325"/>
      <c r="D27" s="325"/>
      <c r="E27" s="325"/>
      <c r="F27" s="325"/>
      <c r="G27" s="325"/>
      <c r="H27" s="325"/>
      <c r="I27" s="325"/>
      <c r="J27" s="325"/>
      <c r="K27" s="325"/>
      <c r="L27" s="325"/>
    </row>
    <row r="28">
      <c r="A28" s="325"/>
      <c r="B28" s="325"/>
      <c r="C28" s="325"/>
      <c r="D28" s="325"/>
      <c r="E28" s="325"/>
      <c r="F28" s="325"/>
      <c r="G28" s="325"/>
      <c r="H28" s="325"/>
      <c r="I28" s="325"/>
      <c r="J28" s="325"/>
      <c r="K28" s="325"/>
      <c r="L28" s="325"/>
    </row>
    <row r="29">
      <c r="A29" s="325"/>
      <c r="B29" s="325"/>
      <c r="C29" s="325"/>
      <c r="D29" s="325"/>
      <c r="E29" s="325"/>
      <c r="F29" s="325"/>
      <c r="G29" s="325"/>
      <c r="H29" s="325"/>
      <c r="I29" s="325"/>
      <c r="J29" s="325"/>
      <c r="K29" s="325"/>
      <c r="L29" s="325"/>
    </row>
    <row r="30">
      <c r="A30" s="325"/>
      <c r="B30" s="325"/>
      <c r="C30" s="325"/>
      <c r="D30" s="325"/>
      <c r="E30" s="325"/>
      <c r="F30" s="325"/>
      <c r="G30" s="325"/>
      <c r="H30" s="325"/>
      <c r="I30" s="325"/>
      <c r="J30" s="325"/>
      <c r="K30" s="325"/>
      <c r="L30" s="325"/>
    </row>
    <row r="31">
      <c r="A31" s="325"/>
      <c r="B31" s="325"/>
      <c r="C31" s="325"/>
      <c r="D31" s="325"/>
      <c r="E31" s="325"/>
      <c r="F31" s="325"/>
      <c r="G31" s="325"/>
      <c r="H31" s="325"/>
      <c r="I31" s="325"/>
      <c r="J31" s="325"/>
      <c r="K31" s="325"/>
      <c r="L31" s="325"/>
    </row>
    <row r="32">
      <c r="A32" s="325"/>
      <c r="B32" s="325"/>
      <c r="C32" s="325"/>
      <c r="D32" s="325"/>
      <c r="E32" s="325"/>
      <c r="F32" s="325"/>
      <c r="G32" s="325"/>
      <c r="H32" s="325"/>
      <c r="I32" s="325"/>
      <c r="J32" s="325"/>
      <c r="K32" s="325"/>
      <c r="L32" s="325"/>
    </row>
    <row r="33">
      <c r="A33" s="325"/>
      <c r="B33" s="325"/>
      <c r="C33" s="325"/>
      <c r="D33" s="325"/>
      <c r="E33" s="325"/>
      <c r="F33" s="325"/>
      <c r="G33" s="325"/>
      <c r="H33" s="325"/>
      <c r="I33" s="325"/>
      <c r="J33" s="325"/>
      <c r="K33" s="325"/>
      <c r="L33" s="325"/>
    </row>
    <row r="34">
      <c r="A34" s="325"/>
      <c r="B34" s="325"/>
      <c r="C34" s="325"/>
      <c r="D34" s="325"/>
      <c r="E34" s="325"/>
      <c r="F34" s="325"/>
      <c r="G34" s="325"/>
      <c r="H34" s="325"/>
      <c r="I34" s="325"/>
      <c r="J34" s="325"/>
      <c r="K34" s="325"/>
      <c r="L34" s="325"/>
    </row>
    <row r="35">
      <c r="A35" s="325"/>
      <c r="B35" s="325"/>
      <c r="C35" s="325"/>
      <c r="D35" s="325"/>
      <c r="E35" s="325"/>
      <c r="F35" s="325"/>
      <c r="G35" s="325"/>
      <c r="H35" s="325"/>
      <c r="I35" s="325"/>
      <c r="J35" s="325"/>
      <c r="K35" s="325"/>
      <c r="L35" s="325"/>
    </row>
    <row r="36">
      <c r="A36" s="325"/>
      <c r="B36" s="325"/>
      <c r="C36" s="325"/>
      <c r="D36" s="325"/>
      <c r="E36" s="325"/>
      <c r="F36" s="325"/>
      <c r="G36" s="325"/>
      <c r="H36" s="325"/>
      <c r="I36" s="325"/>
      <c r="J36" s="325"/>
      <c r="K36" s="325"/>
      <c r="L36" s="325"/>
    </row>
    <row r="37">
      <c r="A37" s="325"/>
      <c r="B37" s="325"/>
      <c r="C37" s="325"/>
      <c r="D37" s="325"/>
      <c r="E37" s="325"/>
      <c r="F37" s="325"/>
      <c r="G37" s="325"/>
      <c r="H37" s="325"/>
      <c r="I37" s="325"/>
      <c r="J37" s="325"/>
      <c r="K37" s="325"/>
      <c r="L37" s="325"/>
    </row>
    <row r="38">
      <c r="A38" s="325"/>
      <c r="B38" s="325"/>
      <c r="C38" s="325"/>
      <c r="D38" s="325"/>
      <c r="E38" s="325"/>
      <c r="F38" s="325"/>
      <c r="G38" s="325"/>
      <c r="H38" s="325"/>
      <c r="I38" s="325"/>
      <c r="J38" s="325"/>
      <c r="K38" s="325"/>
      <c r="L38" s="325"/>
    </row>
    <row r="39">
      <c r="A39" s="325"/>
      <c r="B39" s="325"/>
      <c r="C39" s="325"/>
      <c r="D39" s="325"/>
      <c r="E39" s="325"/>
      <c r="F39" s="325"/>
      <c r="G39" s="325"/>
      <c r="H39" s="325"/>
      <c r="I39" s="325"/>
      <c r="J39" s="325"/>
      <c r="K39" s="325"/>
      <c r="L39" s="325"/>
    </row>
    <row r="40">
      <c r="A40" s="325"/>
      <c r="B40" s="325"/>
      <c r="C40" s="325"/>
      <c r="D40" s="325"/>
      <c r="E40" s="325"/>
      <c r="F40" s="325"/>
      <c r="G40" s="325"/>
      <c r="H40" s="325"/>
      <c r="I40" s="325"/>
      <c r="J40" s="325"/>
      <c r="K40" s="325"/>
      <c r="L40" s="325"/>
    </row>
    <row r="41">
      <c r="A41" s="325"/>
      <c r="B41" s="325"/>
      <c r="C41" s="325"/>
      <c r="D41" s="325"/>
      <c r="E41" s="325"/>
      <c r="F41" s="325"/>
      <c r="G41" s="325"/>
      <c r="H41" s="325"/>
      <c r="I41" s="325"/>
      <c r="J41" s="325"/>
      <c r="K41" s="325"/>
      <c r="L41" s="325"/>
    </row>
    <row r="42">
      <c r="A42" s="325"/>
      <c r="B42" s="325"/>
      <c r="C42" s="325"/>
      <c r="D42" s="325"/>
      <c r="E42" s="325"/>
      <c r="F42" s="325"/>
      <c r="G42" s="325"/>
      <c r="H42" s="325"/>
      <c r="I42" s="325"/>
      <c r="J42" s="325"/>
      <c r="K42" s="325"/>
      <c r="L42" s="325"/>
    </row>
    <row r="43">
      <c r="A43" s="325"/>
      <c r="B43" s="325"/>
      <c r="C43" s="325"/>
      <c r="D43" s="325"/>
      <c r="E43" s="325"/>
      <c r="F43" s="325"/>
      <c r="G43" s="325"/>
      <c r="H43" s="325"/>
      <c r="I43" s="325"/>
      <c r="J43" s="325"/>
      <c r="K43" s="325"/>
      <c r="L43" s="325"/>
    </row>
    <row r="44">
      <c r="A44" s="325"/>
      <c r="B44" s="325"/>
      <c r="C44" s="325"/>
      <c r="D44" s="325"/>
      <c r="E44" s="325"/>
      <c r="F44" s="325"/>
      <c r="G44" s="325"/>
      <c r="H44" s="325"/>
      <c r="I44" s="325"/>
      <c r="J44" s="325"/>
      <c r="K44" s="325"/>
      <c r="L44" s="325"/>
    </row>
    <row r="45">
      <c r="A45" s="325"/>
      <c r="B45" s="325"/>
      <c r="C45" s="325"/>
      <c r="D45" s="325"/>
      <c r="E45" s="325"/>
      <c r="F45" s="325"/>
      <c r="G45" s="325"/>
      <c r="H45" s="325"/>
      <c r="I45" s="325"/>
      <c r="J45" s="325"/>
      <c r="K45" s="325"/>
      <c r="L45" s="325"/>
    </row>
    <row r="46">
      <c r="A46" s="325"/>
      <c r="B46" s="325"/>
      <c r="C46" s="325"/>
      <c r="D46" s="325"/>
      <c r="E46" s="325"/>
      <c r="F46" s="325"/>
      <c r="G46" s="325"/>
      <c r="H46" s="325"/>
      <c r="I46" s="325"/>
      <c r="J46" s="325"/>
      <c r="K46" s="325"/>
      <c r="L46" s="325"/>
    </row>
    <row r="47">
      <c r="A47" s="325"/>
      <c r="B47" s="325"/>
      <c r="C47" s="325"/>
      <c r="D47" s="325"/>
      <c r="E47" s="325"/>
      <c r="F47" s="325"/>
      <c r="G47" s="325"/>
      <c r="H47" s="325"/>
      <c r="I47" s="325"/>
      <c r="J47" s="325"/>
      <c r="K47" s="325"/>
      <c r="L47" s="325"/>
    </row>
    <row r="48">
      <c r="A48" s="325"/>
      <c r="B48" s="325"/>
      <c r="C48" s="325"/>
      <c r="D48" s="325"/>
      <c r="E48" s="325"/>
      <c r="F48" s="325"/>
      <c r="G48" s="325"/>
      <c r="H48" s="325"/>
      <c r="I48" s="325"/>
      <c r="J48" s="325"/>
      <c r="K48" s="325"/>
      <c r="L48" s="325"/>
    </row>
    <row r="49">
      <c r="A49" s="325"/>
      <c r="B49" s="325"/>
      <c r="C49" s="325"/>
      <c r="D49" s="325"/>
      <c r="E49" s="325"/>
      <c r="F49" s="325"/>
      <c r="G49" s="325"/>
      <c r="H49" s="325"/>
      <c r="I49" s="325"/>
      <c r="J49" s="325"/>
      <c r="K49" s="325"/>
      <c r="L49" s="325"/>
    </row>
    <row r="50">
      <c r="A50" s="325"/>
      <c r="B50" s="325"/>
      <c r="C50" s="325"/>
      <c r="D50" s="325"/>
      <c r="E50" s="325"/>
      <c r="F50" s="325"/>
      <c r="G50" s="325"/>
      <c r="H50" s="325"/>
      <c r="I50" s="325"/>
      <c r="J50" s="325"/>
      <c r="K50" s="325"/>
      <c r="L50" s="325"/>
    </row>
    <row r="51">
      <c r="A51" s="325"/>
      <c r="B51" s="325"/>
      <c r="C51" s="325"/>
      <c r="D51" s="325"/>
      <c r="E51" s="325"/>
      <c r="F51" s="325"/>
      <c r="G51" s="325"/>
      <c r="H51" s="325"/>
      <c r="I51" s="325"/>
      <c r="J51" s="325"/>
      <c r="K51" s="325"/>
      <c r="L51" s="325"/>
    </row>
    <row r="52">
      <c r="A52" s="325"/>
      <c r="B52" s="325"/>
      <c r="C52" s="325"/>
      <c r="D52" s="325"/>
      <c r="E52" s="325"/>
      <c r="F52" s="325"/>
      <c r="G52" s="325"/>
      <c r="H52" s="325"/>
      <c r="I52" s="325"/>
      <c r="J52" s="325"/>
      <c r="K52" s="325"/>
      <c r="L52" s="325"/>
    </row>
    <row r="53">
      <c r="A53" s="325"/>
      <c r="B53" s="325"/>
      <c r="C53" s="325"/>
      <c r="D53" s="325"/>
      <c r="E53" s="325"/>
      <c r="F53" s="325"/>
      <c r="G53" s="325"/>
      <c r="H53" s="325"/>
      <c r="I53" s="325"/>
      <c r="J53" s="325"/>
      <c r="K53" s="325"/>
      <c r="L53" s="325"/>
    </row>
    <row r="54">
      <c r="A54" s="325"/>
      <c r="B54" s="325"/>
      <c r="C54" s="325"/>
      <c r="D54" s="325"/>
      <c r="E54" s="325"/>
      <c r="F54" s="325"/>
      <c r="G54" s="325"/>
      <c r="H54" s="325"/>
      <c r="I54" s="325"/>
      <c r="J54" s="325"/>
      <c r="K54" s="325"/>
      <c r="L54" s="325"/>
    </row>
    <row r="55">
      <c r="A55" s="325"/>
      <c r="B55" s="325"/>
      <c r="C55" s="325"/>
      <c r="D55" s="325"/>
      <c r="E55" s="325"/>
      <c r="F55" s="325"/>
      <c r="G55" s="325"/>
      <c r="H55" s="325"/>
      <c r="I55" s="325"/>
      <c r="J55" s="325"/>
      <c r="K55" s="325"/>
      <c r="L55" s="325"/>
    </row>
    <row r="56">
      <c r="A56" s="325"/>
      <c r="B56" s="325"/>
      <c r="C56" s="325"/>
      <c r="D56" s="325"/>
      <c r="E56" s="325"/>
      <c r="F56" s="325"/>
      <c r="G56" s="325"/>
      <c r="H56" s="325"/>
      <c r="I56" s="325"/>
      <c r="J56" s="325"/>
      <c r="K56" s="325"/>
      <c r="L56" s="325"/>
    </row>
    <row r="57">
      <c r="A57" s="325"/>
      <c r="B57" s="325"/>
      <c r="C57" s="325"/>
      <c r="D57" s="325"/>
      <c r="E57" s="325"/>
      <c r="F57" s="325"/>
      <c r="G57" s="325"/>
      <c r="H57" s="325"/>
      <c r="I57" s="325"/>
      <c r="J57" s="325"/>
      <c r="K57" s="325"/>
      <c r="L57" s="325"/>
    </row>
    <row r="58">
      <c r="A58" s="325"/>
      <c r="B58" s="325"/>
      <c r="C58" s="325"/>
      <c r="D58" s="325"/>
      <c r="E58" s="325"/>
      <c r="F58" s="325"/>
      <c r="G58" s="325"/>
      <c r="H58" s="325"/>
      <c r="I58" s="325"/>
      <c r="J58" s="325"/>
      <c r="K58" s="325"/>
      <c r="L58" s="325"/>
    </row>
    <row r="59">
      <c r="A59" s="325"/>
      <c r="B59" s="325"/>
      <c r="C59" s="325"/>
      <c r="D59" s="325"/>
      <c r="E59" s="325"/>
      <c r="F59" s="325"/>
      <c r="G59" s="325"/>
      <c r="H59" s="325"/>
      <c r="I59" s="325"/>
      <c r="J59" s="325"/>
      <c r="K59" s="325"/>
      <c r="L59" s="325"/>
    </row>
    <row r="60">
      <c r="A60" s="325"/>
      <c r="B60" s="325"/>
      <c r="C60" s="325"/>
      <c r="D60" s="325"/>
      <c r="E60" s="325"/>
      <c r="F60" s="325"/>
      <c r="G60" s="325"/>
      <c r="H60" s="325"/>
      <c r="I60" s="325"/>
      <c r="J60" s="325"/>
      <c r="K60" s="325"/>
      <c r="L60" s="325"/>
    </row>
    <row r="61">
      <c r="A61" s="325"/>
      <c r="B61" s="325"/>
      <c r="C61" s="325"/>
      <c r="D61" s="325"/>
      <c r="E61" s="325"/>
      <c r="F61" s="325"/>
      <c r="G61" s="325"/>
      <c r="H61" s="325"/>
      <c r="I61" s="325"/>
      <c r="J61" s="325"/>
      <c r="K61" s="325"/>
      <c r="L61" s="325"/>
    </row>
    <row r="62">
      <c r="A62" s="325"/>
      <c r="B62" s="325"/>
      <c r="C62" s="325"/>
      <c r="D62" s="325"/>
      <c r="E62" s="325"/>
      <c r="F62" s="325"/>
      <c r="G62" s="325"/>
      <c r="H62" s="325"/>
      <c r="I62" s="325"/>
      <c r="J62" s="325"/>
      <c r="K62" s="325"/>
      <c r="L62" s="325"/>
    </row>
    <row r="63">
      <c r="A63" s="325"/>
      <c r="B63" s="325"/>
      <c r="C63" s="325"/>
      <c r="D63" s="325"/>
      <c r="E63" s="325"/>
      <c r="F63" s="325"/>
      <c r="G63" s="325"/>
      <c r="H63" s="325"/>
      <c r="I63" s="325"/>
      <c r="J63" s="325"/>
      <c r="K63" s="325"/>
      <c r="L63" s="325"/>
    </row>
    <row r="64">
      <c r="A64" s="325"/>
      <c r="B64" s="325"/>
      <c r="C64" s="325"/>
      <c r="D64" s="325"/>
      <c r="E64" s="325"/>
      <c r="F64" s="325"/>
      <c r="G64" s="325"/>
      <c r="H64" s="325"/>
      <c r="I64" s="325"/>
      <c r="J64" s="325"/>
      <c r="K64" s="325"/>
      <c r="L64" s="325"/>
    </row>
    <row r="65">
      <c r="A65" s="325"/>
      <c r="B65" s="325"/>
      <c r="C65" s="325"/>
      <c r="D65" s="325"/>
      <c r="E65" s="325"/>
      <c r="F65" s="325"/>
      <c r="G65" s="325"/>
      <c r="H65" s="325"/>
      <c r="I65" s="325"/>
      <c r="J65" s="325"/>
      <c r="K65" s="325"/>
      <c r="L65" s="325"/>
    </row>
    <row r="66">
      <c r="A66" s="325"/>
      <c r="B66" s="325"/>
      <c r="C66" s="325"/>
      <c r="D66" s="325"/>
      <c r="E66" s="325"/>
      <c r="F66" s="325"/>
      <c r="G66" s="325"/>
      <c r="H66" s="325"/>
      <c r="I66" s="325"/>
      <c r="J66" s="325"/>
      <c r="K66" s="325"/>
      <c r="L66" s="325"/>
    </row>
    <row r="67">
      <c r="A67" s="325"/>
      <c r="B67" s="325"/>
      <c r="C67" s="325"/>
      <c r="D67" s="325"/>
      <c r="E67" s="325"/>
      <c r="F67" s="325"/>
      <c r="G67" s="325"/>
      <c r="H67" s="325"/>
      <c r="I67" s="325"/>
      <c r="J67" s="325"/>
      <c r="K67" s="325"/>
      <c r="L67" s="325"/>
    </row>
    <row r="68">
      <c r="A68" s="325"/>
      <c r="B68" s="325"/>
      <c r="C68" s="325"/>
      <c r="D68" s="325"/>
      <c r="E68" s="325"/>
      <c r="F68" s="325"/>
      <c r="G68" s="325"/>
      <c r="H68" s="325"/>
      <c r="I68" s="325"/>
      <c r="J68" s="325"/>
      <c r="K68" s="325"/>
      <c r="L68" s="325"/>
    </row>
    <row r="69">
      <c r="A69" s="325"/>
      <c r="B69" s="325"/>
      <c r="C69" s="325"/>
      <c r="D69" s="325"/>
      <c r="E69" s="325"/>
      <c r="F69" s="325"/>
      <c r="G69" s="325"/>
      <c r="H69" s="325"/>
      <c r="I69" s="325"/>
      <c r="J69" s="325"/>
      <c r="K69" s="325"/>
      <c r="L69" s="325"/>
    </row>
    <row r="70">
      <c r="A70" s="325"/>
      <c r="B70" s="325"/>
      <c r="C70" s="325"/>
      <c r="D70" s="325"/>
      <c r="E70" s="325"/>
      <c r="F70" s="325"/>
      <c r="G70" s="325"/>
      <c r="H70" s="325"/>
      <c r="I70" s="325"/>
      <c r="J70" s="325"/>
      <c r="K70" s="325"/>
      <c r="L70" s="325"/>
    </row>
    <row r="71">
      <c r="A71" s="325"/>
      <c r="B71" s="325"/>
      <c r="C71" s="325"/>
      <c r="D71" s="325"/>
      <c r="E71" s="325"/>
      <c r="F71" s="325"/>
      <c r="G71" s="325"/>
      <c r="H71" s="325"/>
      <c r="I71" s="325"/>
      <c r="J71" s="325"/>
      <c r="K71" s="325"/>
      <c r="L71" s="325"/>
    </row>
    <row r="72">
      <c r="A72" s="325"/>
      <c r="B72" s="325"/>
      <c r="C72" s="325"/>
      <c r="D72" s="325"/>
      <c r="E72" s="325"/>
      <c r="F72" s="325"/>
      <c r="G72" s="325"/>
      <c r="H72" s="325"/>
      <c r="I72" s="325"/>
      <c r="J72" s="325"/>
      <c r="K72" s="325"/>
      <c r="L72" s="325"/>
    </row>
    <row r="73">
      <c r="A73" s="325"/>
      <c r="B73" s="325"/>
      <c r="C73" s="325"/>
      <c r="D73" s="325"/>
      <c r="E73" s="325"/>
      <c r="F73" s="325"/>
      <c r="G73" s="325"/>
      <c r="H73" s="325"/>
      <c r="I73" s="325"/>
      <c r="J73" s="325"/>
      <c r="K73" s="325"/>
      <c r="L73" s="325"/>
    </row>
    <row r="74">
      <c r="A74" s="325"/>
      <c r="B74" s="325"/>
      <c r="C74" s="325"/>
      <c r="D74" s="325"/>
      <c r="E74" s="325"/>
      <c r="F74" s="325"/>
      <c r="G74" s="325"/>
      <c r="H74" s="325"/>
      <c r="I74" s="325"/>
      <c r="J74" s="325"/>
      <c r="K74" s="325"/>
      <c r="L74" s="325"/>
    </row>
    <row r="75">
      <c r="A75" s="325"/>
      <c r="B75" s="325"/>
      <c r="C75" s="325"/>
      <c r="D75" s="325"/>
      <c r="E75" s="325"/>
      <c r="F75" s="325"/>
      <c r="G75" s="325"/>
      <c r="H75" s="325"/>
      <c r="I75" s="325"/>
      <c r="J75" s="325"/>
      <c r="K75" s="325"/>
      <c r="L75" s="325"/>
    </row>
    <row r="76">
      <c r="A76" s="325"/>
      <c r="B76" s="325"/>
      <c r="C76" s="325"/>
      <c r="D76" s="325"/>
      <c r="E76" s="325"/>
      <c r="F76" s="325"/>
      <c r="G76" s="325"/>
      <c r="H76" s="325"/>
      <c r="I76" s="325"/>
      <c r="J76" s="325"/>
      <c r="K76" s="325"/>
      <c r="L76" s="325"/>
    </row>
    <row r="77">
      <c r="A77" s="325"/>
      <c r="B77" s="325"/>
      <c r="C77" s="325"/>
      <c r="D77" s="325"/>
      <c r="E77" s="325"/>
      <c r="F77" s="325"/>
      <c r="G77" s="325"/>
      <c r="H77" s="325"/>
      <c r="I77" s="325"/>
      <c r="J77" s="325"/>
      <c r="K77" s="325"/>
      <c r="L77" s="325"/>
    </row>
    <row r="78">
      <c r="A78" s="325"/>
      <c r="B78" s="325"/>
      <c r="C78" s="325"/>
      <c r="D78" s="325"/>
      <c r="E78" s="325"/>
      <c r="F78" s="325"/>
      <c r="G78" s="325"/>
      <c r="H78" s="325"/>
      <c r="I78" s="325"/>
      <c r="J78" s="325"/>
      <c r="K78" s="325"/>
      <c r="L78" s="325"/>
    </row>
    <row r="79">
      <c r="A79" s="325"/>
      <c r="B79" s="325"/>
      <c r="C79" s="325"/>
      <c r="D79" s="325"/>
      <c r="E79" s="325"/>
      <c r="F79" s="325"/>
      <c r="G79" s="325"/>
      <c r="H79" s="325"/>
      <c r="I79" s="325"/>
      <c r="J79" s="325"/>
      <c r="K79" s="325"/>
      <c r="L79" s="325"/>
    </row>
    <row r="80">
      <c r="A80" s="325"/>
      <c r="B80" s="325"/>
      <c r="C80" s="325"/>
      <c r="D80" s="325"/>
      <c r="E80" s="325"/>
      <c r="F80" s="325"/>
      <c r="G80" s="325"/>
      <c r="H80" s="325"/>
      <c r="I80" s="325"/>
      <c r="J80" s="325"/>
      <c r="K80" s="325"/>
      <c r="L80" s="325"/>
    </row>
    <row r="81">
      <c r="A81" s="325"/>
      <c r="B81" s="325"/>
      <c r="C81" s="325"/>
      <c r="D81" s="325"/>
      <c r="E81" s="325"/>
      <c r="F81" s="325"/>
      <c r="G81" s="325"/>
      <c r="H81" s="325"/>
      <c r="I81" s="325"/>
      <c r="J81" s="325"/>
      <c r="K81" s="325"/>
      <c r="L81" s="325"/>
    </row>
    <row r="82">
      <c r="A82" s="325"/>
      <c r="B82" s="325"/>
      <c r="C82" s="325"/>
      <c r="D82" s="325"/>
      <c r="E82" s="325"/>
      <c r="F82" s="325"/>
      <c r="G82" s="325"/>
      <c r="H82" s="325"/>
      <c r="I82" s="325"/>
      <c r="J82" s="325"/>
      <c r="K82" s="325"/>
      <c r="L82" s="325"/>
    </row>
    <row r="83">
      <c r="A83" s="325"/>
      <c r="B83" s="325"/>
      <c r="C83" s="325"/>
      <c r="D83" s="325"/>
      <c r="E83" s="325"/>
      <c r="F83" s="325"/>
      <c r="G83" s="325"/>
      <c r="H83" s="325"/>
      <c r="I83" s="325"/>
      <c r="J83" s="325"/>
      <c r="K83" s="325"/>
      <c r="L83" s="325"/>
    </row>
    <row r="84">
      <c r="A84" s="325"/>
      <c r="B84" s="325"/>
      <c r="C84" s="325"/>
      <c r="D84" s="325"/>
      <c r="E84" s="325"/>
      <c r="F84" s="325"/>
      <c r="G84" s="325"/>
      <c r="H84" s="325"/>
      <c r="I84" s="325"/>
      <c r="J84" s="325"/>
      <c r="K84" s="325"/>
      <c r="L84" s="325"/>
    </row>
    <row r="85">
      <c r="A85" s="325"/>
      <c r="B85" s="325"/>
      <c r="C85" s="325"/>
      <c r="D85" s="325"/>
      <c r="E85" s="325"/>
      <c r="F85" s="325"/>
      <c r="G85" s="325"/>
      <c r="H85" s="325"/>
      <c r="I85" s="325"/>
      <c r="J85" s="325"/>
      <c r="K85" s="325"/>
      <c r="L85" s="325"/>
    </row>
    <row r="86">
      <c r="A86" s="325"/>
      <c r="B86" s="325"/>
      <c r="C86" s="325"/>
      <c r="D86" s="325"/>
      <c r="E86" s="325"/>
      <c r="F86" s="325"/>
      <c r="G86" s="325"/>
      <c r="H86" s="325"/>
      <c r="I86" s="325"/>
      <c r="J86" s="325"/>
      <c r="K86" s="325"/>
      <c r="L86" s="325"/>
    </row>
    <row r="87">
      <c r="A87" s="325"/>
      <c r="B87" s="325"/>
      <c r="C87" s="325"/>
      <c r="D87" s="325"/>
      <c r="E87" s="325"/>
      <c r="F87" s="325"/>
      <c r="G87" s="325"/>
      <c r="H87" s="325"/>
      <c r="I87" s="325"/>
      <c r="J87" s="325"/>
      <c r="K87" s="325"/>
      <c r="L87" s="325"/>
    </row>
    <row r="88">
      <c r="A88" s="325"/>
      <c r="B88" s="325"/>
      <c r="C88" s="325"/>
      <c r="D88" s="325"/>
      <c r="E88" s="325"/>
      <c r="F88" s="325"/>
      <c r="G88" s="325"/>
      <c r="H88" s="325"/>
      <c r="I88" s="325"/>
      <c r="J88" s="325"/>
      <c r="K88" s="325"/>
      <c r="L88" s="325"/>
    </row>
    <row r="89">
      <c r="A89" s="325"/>
      <c r="B89" s="325"/>
      <c r="C89" s="325"/>
      <c r="D89" s="325"/>
      <c r="E89" s="325"/>
      <c r="F89" s="325"/>
      <c r="G89" s="325"/>
      <c r="H89" s="325"/>
      <c r="I89" s="325"/>
      <c r="J89" s="325"/>
      <c r="K89" s="325"/>
      <c r="L89" s="325"/>
    </row>
    <row r="90">
      <c r="A90" s="325"/>
      <c r="B90" s="325"/>
      <c r="C90" s="325"/>
      <c r="D90" s="325"/>
      <c r="E90" s="325"/>
      <c r="F90" s="325"/>
      <c r="G90" s="325"/>
      <c r="H90" s="325"/>
      <c r="I90" s="325"/>
      <c r="J90" s="325"/>
      <c r="K90" s="325"/>
      <c r="L90" s="325"/>
    </row>
    <row r="91">
      <c r="A91" s="325"/>
      <c r="B91" s="325"/>
      <c r="C91" s="325"/>
      <c r="D91" s="325"/>
      <c r="E91" s="325"/>
      <c r="F91" s="325"/>
      <c r="G91" s="325"/>
      <c r="H91" s="325"/>
      <c r="I91" s="325"/>
      <c r="J91" s="325"/>
      <c r="K91" s="325"/>
      <c r="L91" s="325"/>
    </row>
    <row r="92">
      <c r="A92" s="325"/>
      <c r="B92" s="325"/>
      <c r="C92" s="325"/>
      <c r="D92" s="325"/>
      <c r="E92" s="325"/>
      <c r="F92" s="325"/>
      <c r="G92" s="325"/>
      <c r="H92" s="325"/>
      <c r="I92" s="325"/>
      <c r="J92" s="325"/>
      <c r="K92" s="325"/>
      <c r="L92" s="325"/>
    </row>
    <row r="93">
      <c r="A93" s="325"/>
      <c r="B93" s="325"/>
      <c r="C93" s="325"/>
      <c r="D93" s="325"/>
      <c r="E93" s="325"/>
      <c r="F93" s="325"/>
      <c r="G93" s="325"/>
      <c r="H93" s="325"/>
      <c r="I93" s="325"/>
      <c r="J93" s="325"/>
      <c r="K93" s="325"/>
      <c r="L93" s="325"/>
    </row>
    <row r="94">
      <c r="A94" s="325"/>
      <c r="B94" s="325"/>
      <c r="C94" s="325"/>
      <c r="D94" s="325"/>
      <c r="E94" s="325"/>
      <c r="F94" s="325"/>
      <c r="G94" s="325"/>
      <c r="H94" s="325"/>
      <c r="I94" s="325"/>
      <c r="J94" s="325"/>
      <c r="K94" s="325"/>
      <c r="L94" s="325"/>
    </row>
    <row r="95">
      <c r="A95" s="325"/>
      <c r="B95" s="325"/>
      <c r="C95" s="325"/>
      <c r="D95" s="325"/>
      <c r="E95" s="325"/>
      <c r="F95" s="325"/>
      <c r="G95" s="325"/>
      <c r="H95" s="325"/>
      <c r="I95" s="325"/>
      <c r="J95" s="325"/>
      <c r="K95" s="325"/>
      <c r="L95" s="325"/>
    </row>
    <row r="96">
      <c r="A96" s="325"/>
      <c r="B96" s="325"/>
      <c r="C96" s="325"/>
      <c r="D96" s="325"/>
      <c r="E96" s="325"/>
      <c r="F96" s="325"/>
      <c r="G96" s="325"/>
      <c r="H96" s="325"/>
      <c r="I96" s="325"/>
      <c r="J96" s="325"/>
      <c r="K96" s="325"/>
      <c r="L96" s="325"/>
    </row>
    <row r="97">
      <c r="A97" s="325"/>
      <c r="B97" s="325"/>
      <c r="C97" s="325"/>
      <c r="D97" s="325"/>
      <c r="E97" s="325"/>
      <c r="F97" s="325"/>
      <c r="G97" s="325"/>
      <c r="H97" s="325"/>
      <c r="I97" s="325"/>
      <c r="J97" s="325"/>
      <c r="K97" s="325"/>
      <c r="L97" s="325"/>
    </row>
    <row r="98">
      <c r="A98" s="325"/>
      <c r="B98" s="325"/>
      <c r="C98" s="325"/>
      <c r="D98" s="325"/>
      <c r="E98" s="325"/>
      <c r="F98" s="325"/>
      <c r="G98" s="325"/>
      <c r="H98" s="325"/>
      <c r="I98" s="325"/>
      <c r="J98" s="325"/>
      <c r="K98" s="325"/>
      <c r="L98" s="325"/>
    </row>
    <row r="99">
      <c r="A99" s="325"/>
      <c r="B99" s="325"/>
      <c r="C99" s="325"/>
      <c r="D99" s="325"/>
      <c r="E99" s="325"/>
      <c r="F99" s="325"/>
      <c r="G99" s="325"/>
      <c r="H99" s="325"/>
      <c r="I99" s="325"/>
      <c r="J99" s="325"/>
      <c r="K99" s="325"/>
      <c r="L99" s="325"/>
    </row>
    <row r="100">
      <c r="A100" s="325"/>
      <c r="B100" s="325"/>
      <c r="C100" s="325"/>
      <c r="D100" s="325"/>
      <c r="E100" s="325"/>
      <c r="F100" s="325"/>
      <c r="G100" s="325"/>
      <c r="H100" s="325"/>
      <c r="I100" s="325"/>
      <c r="J100" s="325"/>
      <c r="K100" s="325"/>
      <c r="L100" s="325"/>
    </row>
    <row r="101">
      <c r="A101" s="325"/>
      <c r="B101" s="325"/>
      <c r="C101" s="325"/>
      <c r="D101" s="325"/>
      <c r="E101" s="325"/>
      <c r="F101" s="325"/>
      <c r="G101" s="325"/>
      <c r="H101" s="325"/>
      <c r="I101" s="325"/>
      <c r="J101" s="325"/>
      <c r="K101" s="325"/>
      <c r="L101" s="325"/>
    </row>
    <row r="102">
      <c r="A102" s="325"/>
      <c r="B102" s="325"/>
      <c r="C102" s="325"/>
      <c r="D102" s="325"/>
      <c r="E102" s="325"/>
      <c r="F102" s="325"/>
      <c r="G102" s="325"/>
      <c r="H102" s="325"/>
      <c r="I102" s="325"/>
      <c r="J102" s="325"/>
      <c r="K102" s="325"/>
      <c r="L102" s="325"/>
    </row>
    <row r="103">
      <c r="A103" s="325"/>
      <c r="B103" s="325"/>
      <c r="C103" s="325"/>
      <c r="D103" s="325"/>
      <c r="E103" s="325"/>
      <c r="F103" s="325"/>
      <c r="G103" s="325"/>
      <c r="H103" s="325"/>
      <c r="I103" s="325"/>
      <c r="J103" s="325"/>
      <c r="K103" s="325"/>
      <c r="L103" s="325"/>
    </row>
    <row r="104">
      <c r="A104" s="325"/>
      <c r="B104" s="325"/>
      <c r="C104" s="325"/>
      <c r="D104" s="325"/>
      <c r="E104" s="325"/>
      <c r="F104" s="325"/>
      <c r="G104" s="325"/>
      <c r="H104" s="325"/>
      <c r="I104" s="325"/>
      <c r="J104" s="325"/>
      <c r="K104" s="325"/>
      <c r="L104" s="325"/>
    </row>
    <row r="105">
      <c r="A105" s="325"/>
      <c r="B105" s="325"/>
      <c r="C105" s="325"/>
      <c r="D105" s="325"/>
      <c r="E105" s="325"/>
      <c r="F105" s="325"/>
      <c r="G105" s="325"/>
      <c r="H105" s="325"/>
      <c r="I105" s="325"/>
      <c r="J105" s="325"/>
      <c r="K105" s="325"/>
      <c r="L105" s="325"/>
    </row>
    <row r="106">
      <c r="A106" s="325"/>
      <c r="B106" s="325"/>
      <c r="C106" s="325"/>
      <c r="D106" s="325"/>
      <c r="E106" s="325"/>
      <c r="F106" s="325"/>
      <c r="G106" s="325"/>
      <c r="H106" s="325"/>
      <c r="I106" s="325"/>
      <c r="J106" s="325"/>
      <c r="K106" s="325"/>
      <c r="L106" s="325"/>
    </row>
    <row r="107">
      <c r="A107" s="325"/>
      <c r="B107" s="325"/>
      <c r="C107" s="325"/>
      <c r="D107" s="325"/>
      <c r="E107" s="325"/>
      <c r="F107" s="325"/>
      <c r="G107" s="325"/>
      <c r="H107" s="325"/>
      <c r="I107" s="325"/>
      <c r="J107" s="325"/>
      <c r="K107" s="325"/>
      <c r="L107" s="325"/>
    </row>
    <row r="108">
      <c r="L108" s="325"/>
    </row>
    <row r="109">
      <c r="L109" s="325"/>
    </row>
    <row r="110">
      <c r="L110" s="325"/>
    </row>
    <row r="111">
      <c r="L111" s="325"/>
    </row>
    <row r="112">
      <c r="L112" s="325"/>
    </row>
    <row r="113">
      <c r="L113" s="325"/>
    </row>
    <row r="114">
      <c r="L114" s="325"/>
    </row>
    <row r="115">
      <c r="L115" s="325"/>
    </row>
    <row r="116">
      <c r="L116" s="325"/>
    </row>
    <row r="117">
      <c r="L117" s="325"/>
    </row>
    <row r="118">
      <c r="L118" s="325"/>
    </row>
    <row r="119">
      <c r="L119" s="325"/>
    </row>
    <row r="120">
      <c r="L120" s="325"/>
    </row>
    <row r="121">
      <c r="L121" s="325"/>
    </row>
    <row r="122">
      <c r="L122" s="325"/>
    </row>
    <row r="123">
      <c r="L123" s="325"/>
    </row>
    <row r="124">
      <c r="L124" s="325"/>
    </row>
    <row r="125">
      <c r="L125" s="325"/>
    </row>
    <row r="126">
      <c r="L126" s="325"/>
    </row>
    <row r="127">
      <c r="L127" s="325"/>
    </row>
    <row r="128">
      <c r="L128" s="325"/>
    </row>
    <row r="129">
      <c r="L129" s="325"/>
    </row>
    <row r="130">
      <c r="L130" s="325"/>
    </row>
    <row r="131">
      <c r="L131" s="325"/>
    </row>
    <row r="132">
      <c r="L132" s="325"/>
    </row>
    <row r="133">
      <c r="L133" s="325"/>
    </row>
    <row r="134">
      <c r="L134" s="325"/>
    </row>
    <row r="135">
      <c r="L135" s="325"/>
    </row>
    <row r="136">
      <c r="L136" s="325"/>
    </row>
    <row r="137">
      <c r="L137" s="325"/>
    </row>
    <row r="138">
      <c r="L138" s="325"/>
    </row>
    <row r="139">
      <c r="L139" s="325"/>
    </row>
    <row r="140">
      <c r="L140" s="325"/>
    </row>
    <row r="141">
      <c r="L141" s="325"/>
    </row>
    <row r="142">
      <c r="L142" s="325"/>
    </row>
    <row r="143">
      <c r="L143" s="325"/>
    </row>
    <row r="144">
      <c r="L144" s="325"/>
    </row>
    <row r="145">
      <c r="L145" s="325"/>
    </row>
    <row r="146">
      <c r="L146" s="325"/>
    </row>
    <row r="147">
      <c r="L147" s="325"/>
    </row>
    <row r="148">
      <c r="L148" s="325"/>
    </row>
    <row r="149">
      <c r="L149" s="325"/>
    </row>
    <row r="150">
      <c r="L150" s="325"/>
    </row>
    <row r="151">
      <c r="L151" s="325"/>
    </row>
    <row r="152">
      <c r="L152" s="325"/>
    </row>
    <row r="153">
      <c r="L153" s="325"/>
    </row>
    <row r="154">
      <c r="L154" s="325"/>
    </row>
    <row r="155">
      <c r="L155" s="325"/>
    </row>
    <row r="156">
      <c r="L156" s="325"/>
    </row>
    <row r="157">
      <c r="L157" s="325"/>
    </row>
    <row r="158">
      <c r="L158" s="325"/>
    </row>
    <row r="159">
      <c r="L159" s="325"/>
    </row>
    <row r="160">
      <c r="L160" s="325"/>
    </row>
    <row r="161">
      <c r="L161" s="325"/>
    </row>
    <row r="162">
      <c r="L162" s="325"/>
    </row>
    <row r="163">
      <c r="L163" s="325"/>
    </row>
    <row r="164">
      <c r="L164" s="325"/>
    </row>
    <row r="165">
      <c r="L165" s="325"/>
    </row>
    <row r="166">
      <c r="L166" s="325"/>
    </row>
    <row r="167">
      <c r="L167" s="325"/>
    </row>
    <row r="168">
      <c r="L168" s="325"/>
    </row>
    <row r="169">
      <c r="L169" s="325"/>
    </row>
    <row r="170">
      <c r="L170" s="325"/>
    </row>
    <row r="171">
      <c r="L171" s="325"/>
    </row>
    <row r="172">
      <c r="L172" s="325"/>
    </row>
    <row r="173">
      <c r="L173" s="325"/>
    </row>
    <row r="174">
      <c r="L174" s="325"/>
    </row>
    <row r="175">
      <c r="L175" s="325"/>
    </row>
    <row r="176">
      <c r="L176" s="325"/>
    </row>
    <row r="177">
      <c r="L177" s="325"/>
    </row>
    <row r="178">
      <c r="L178" s="325"/>
    </row>
    <row r="179">
      <c r="L179" s="325"/>
    </row>
    <row r="180">
      <c r="L180" s="325"/>
    </row>
    <row r="181">
      <c r="L181" s="325"/>
    </row>
    <row r="182">
      <c r="L182" s="325"/>
    </row>
    <row r="183">
      <c r="L183" s="325"/>
    </row>
    <row r="184">
      <c r="L184" s="325"/>
    </row>
    <row r="185">
      <c r="L185" s="325"/>
    </row>
    <row r="186">
      <c r="L186" s="325"/>
    </row>
    <row r="187">
      <c r="L187" s="325"/>
    </row>
    <row r="188">
      <c r="L188" s="325"/>
    </row>
    <row r="189">
      <c r="L189" s="325"/>
    </row>
    <row r="190">
      <c r="L190" s="325"/>
    </row>
    <row r="191">
      <c r="L191" s="325"/>
    </row>
    <row r="192">
      <c r="L192" s="325"/>
    </row>
    <row r="193">
      <c r="L193" s="325"/>
    </row>
    <row r="194">
      <c r="L194" s="325"/>
    </row>
    <row r="195">
      <c r="L195" s="325"/>
    </row>
    <row r="196">
      <c r="L196" s="325"/>
    </row>
    <row r="197">
      <c r="L197" s="325"/>
    </row>
    <row r="198">
      <c r="L198" s="325"/>
    </row>
    <row r="199">
      <c r="L199" s="325"/>
    </row>
    <row r="200">
      <c r="L200" s="325"/>
    </row>
    <row r="201">
      <c r="L201" s="325"/>
    </row>
    <row r="202">
      <c r="L202" s="325"/>
    </row>
    <row r="203">
      <c r="L203" s="325"/>
    </row>
    <row r="204">
      <c r="L204" s="325"/>
    </row>
    <row r="205">
      <c r="L205" s="325"/>
    </row>
    <row r="206">
      <c r="L206" s="325"/>
    </row>
    <row r="207">
      <c r="L207" s="325"/>
    </row>
    <row r="208">
      <c r="L208" s="325"/>
    </row>
    <row r="209">
      <c r="L209" s="325"/>
    </row>
    <row r="210">
      <c r="L210" s="325"/>
    </row>
    <row r="211">
      <c r="L211" s="325"/>
    </row>
    <row r="212">
      <c r="L212" s="325"/>
    </row>
    <row r="213">
      <c r="L213" s="325"/>
    </row>
    <row r="214">
      <c r="L214" s="325"/>
    </row>
    <row r="215">
      <c r="L215" s="325"/>
    </row>
    <row r="216">
      <c r="L216" s="325"/>
    </row>
    <row r="217">
      <c r="L217" s="325"/>
    </row>
    <row r="218">
      <c r="L218" s="325"/>
    </row>
    <row r="219">
      <c r="L219" s="325"/>
    </row>
    <row r="220">
      <c r="L220" s="325"/>
    </row>
    <row r="221">
      <c r="L221" s="325"/>
    </row>
    <row r="222">
      <c r="L222" s="325"/>
    </row>
    <row r="223">
      <c r="L223" s="325"/>
    </row>
    <row r="224">
      <c r="L224" s="325"/>
    </row>
    <row r="225">
      <c r="L225" s="325"/>
    </row>
    <row r="226">
      <c r="L226" s="325"/>
    </row>
    <row r="227">
      <c r="L227" s="325"/>
    </row>
    <row r="228">
      <c r="L228" s="325"/>
    </row>
    <row r="229">
      <c r="L229" s="325"/>
    </row>
    <row r="230">
      <c r="L230" s="325"/>
    </row>
    <row r="231">
      <c r="L231" s="325"/>
    </row>
    <row r="232">
      <c r="L232" s="325"/>
    </row>
    <row r="233">
      <c r="L233" s="325"/>
    </row>
    <row r="234">
      <c r="L234" s="325"/>
    </row>
    <row r="235">
      <c r="L235" s="325"/>
    </row>
    <row r="236">
      <c r="L236" s="325"/>
    </row>
    <row r="237">
      <c r="L237" s="325"/>
    </row>
    <row r="238">
      <c r="L238" s="325"/>
    </row>
    <row r="239">
      <c r="L239" s="325"/>
    </row>
    <row r="240">
      <c r="L240" s="325"/>
    </row>
    <row r="241">
      <c r="L241" s="325"/>
    </row>
    <row r="242">
      <c r="L242" s="325"/>
    </row>
    <row r="243">
      <c r="L243" s="325"/>
    </row>
    <row r="244">
      <c r="L244" s="325"/>
    </row>
    <row r="245">
      <c r="L245" s="325"/>
    </row>
    <row r="246">
      <c r="L246" s="325"/>
    </row>
    <row r="247">
      <c r="L247" s="325"/>
    </row>
    <row r="248">
      <c r="L248" s="325"/>
    </row>
    <row r="249">
      <c r="L249" s="325"/>
    </row>
    <row r="250">
      <c r="L250" s="325"/>
    </row>
    <row r="251">
      <c r="L251" s="325"/>
    </row>
    <row r="252">
      <c r="L252" s="325"/>
    </row>
    <row r="253">
      <c r="L253" s="325"/>
    </row>
    <row r="254">
      <c r="L254" s="325"/>
    </row>
    <row r="255">
      <c r="L255" s="325"/>
    </row>
    <row r="256">
      <c r="L256" s="325"/>
    </row>
    <row r="257">
      <c r="L257" s="325"/>
    </row>
    <row r="258">
      <c r="L258" s="325"/>
    </row>
    <row r="259">
      <c r="L259" s="325"/>
    </row>
    <row r="260">
      <c r="L260" s="325"/>
    </row>
    <row r="261">
      <c r="L261" s="325"/>
    </row>
    <row r="262">
      <c r="L262" s="325"/>
    </row>
    <row r="263">
      <c r="L263" s="325"/>
    </row>
    <row r="264">
      <c r="L264" s="325"/>
    </row>
    <row r="265">
      <c r="L265" s="325"/>
    </row>
    <row r="266">
      <c r="L266" s="325"/>
    </row>
    <row r="267">
      <c r="L267" s="325"/>
    </row>
    <row r="268">
      <c r="L268" s="325"/>
    </row>
    <row r="269">
      <c r="L269" s="325"/>
    </row>
    <row r="270">
      <c r="L270" s="325"/>
    </row>
    <row r="271">
      <c r="L271" s="325"/>
    </row>
    <row r="272">
      <c r="L272" s="325"/>
    </row>
    <row r="273">
      <c r="L273" s="325"/>
    </row>
    <row r="274">
      <c r="L274" s="325"/>
    </row>
    <row r="275">
      <c r="L275" s="325"/>
    </row>
    <row r="276">
      <c r="L276" s="325"/>
    </row>
    <row r="277">
      <c r="L277" s="325"/>
    </row>
    <row r="278">
      <c r="L278" s="325"/>
    </row>
    <row r="279">
      <c r="L279" s="325"/>
    </row>
    <row r="280">
      <c r="L280" s="325"/>
    </row>
    <row r="281">
      <c r="L281" s="325"/>
    </row>
    <row r="282">
      <c r="L282" s="325"/>
    </row>
    <row r="283">
      <c r="L283" s="325"/>
    </row>
    <row r="284">
      <c r="L284" s="325"/>
    </row>
    <row r="285">
      <c r="L285" s="325"/>
    </row>
    <row r="286">
      <c r="L286" s="325"/>
    </row>
    <row r="287">
      <c r="L287" s="325"/>
    </row>
    <row r="288">
      <c r="L288" s="325"/>
    </row>
    <row r="289">
      <c r="L289" s="325"/>
    </row>
    <row r="290">
      <c r="L290" s="325"/>
    </row>
    <row r="291">
      <c r="L291" s="325"/>
    </row>
    <row r="292">
      <c r="L292" s="325"/>
    </row>
    <row r="293">
      <c r="L293" s="325"/>
    </row>
    <row r="294">
      <c r="L294" s="325"/>
    </row>
    <row r="295">
      <c r="L295" s="325"/>
    </row>
    <row r="296">
      <c r="L296" s="325"/>
    </row>
    <row r="297">
      <c r="L297" s="325"/>
    </row>
    <row r="298">
      <c r="L298" s="325"/>
    </row>
    <row r="299">
      <c r="L299" s="325"/>
    </row>
    <row r="300">
      <c r="L300" s="325"/>
    </row>
    <row r="301">
      <c r="L301" s="325"/>
    </row>
    <row r="302">
      <c r="L302" s="325"/>
    </row>
    <row r="303">
      <c r="L303" s="325"/>
    </row>
    <row r="304">
      <c r="L304" s="325"/>
    </row>
    <row r="305">
      <c r="L305" s="325"/>
    </row>
    <row r="306">
      <c r="L306" s="325"/>
    </row>
    <row r="307">
      <c r="L307" s="325"/>
    </row>
    <row r="308">
      <c r="L308" s="325"/>
    </row>
    <row r="309">
      <c r="L309" s="325"/>
    </row>
    <row r="310">
      <c r="L310" s="325"/>
    </row>
    <row r="311">
      <c r="L311" s="325"/>
    </row>
    <row r="312">
      <c r="L312" s="325"/>
    </row>
    <row r="313">
      <c r="L313" s="325"/>
    </row>
    <row r="314">
      <c r="L314" s="325"/>
    </row>
    <row r="315">
      <c r="L315" s="325"/>
    </row>
    <row r="316">
      <c r="L316" s="325"/>
    </row>
    <row r="317">
      <c r="L317" s="325"/>
    </row>
    <row r="318">
      <c r="L318" s="325"/>
    </row>
    <row r="319">
      <c r="L319" s="325"/>
    </row>
    <row r="320">
      <c r="L320" s="325"/>
    </row>
    <row r="321">
      <c r="L321" s="325"/>
    </row>
    <row r="322">
      <c r="L322" s="325"/>
    </row>
    <row r="323">
      <c r="L323" s="325"/>
    </row>
    <row r="324">
      <c r="L324" s="325"/>
    </row>
    <row r="325">
      <c r="L325" s="325"/>
    </row>
    <row r="326">
      <c r="L326" s="325"/>
    </row>
    <row r="327">
      <c r="L327" s="325"/>
    </row>
    <row r="328">
      <c r="L328" s="325"/>
    </row>
    <row r="329">
      <c r="L329" s="325"/>
    </row>
    <row r="330">
      <c r="L330" s="325"/>
    </row>
    <row r="331">
      <c r="L331" s="325"/>
    </row>
    <row r="332">
      <c r="L332" s="325"/>
    </row>
    <row r="333">
      <c r="L333" s="325"/>
    </row>
    <row r="334">
      <c r="L334" s="325"/>
    </row>
    <row r="335">
      <c r="L335" s="325"/>
    </row>
    <row r="336">
      <c r="L336" s="325"/>
    </row>
    <row r="337">
      <c r="L337" s="325"/>
    </row>
    <row r="338">
      <c r="L338" s="325"/>
    </row>
    <row r="339">
      <c r="L339" s="325"/>
    </row>
    <row r="340">
      <c r="L340" s="325"/>
    </row>
    <row r="341">
      <c r="L341" s="325"/>
    </row>
    <row r="342">
      <c r="L342" s="325"/>
    </row>
    <row r="343">
      <c r="L343" s="325"/>
    </row>
    <row r="344">
      <c r="L344" s="325"/>
    </row>
    <row r="345">
      <c r="L345" s="325"/>
    </row>
    <row r="346">
      <c r="L346" s="325"/>
    </row>
    <row r="347">
      <c r="L347" s="325"/>
    </row>
    <row r="348">
      <c r="L348" s="325"/>
    </row>
    <row r="349">
      <c r="L349" s="325"/>
    </row>
    <row r="350">
      <c r="L350" s="325"/>
    </row>
    <row r="351">
      <c r="L351" s="325"/>
    </row>
    <row r="352">
      <c r="L352" s="325"/>
    </row>
    <row r="353">
      <c r="L353" s="325"/>
    </row>
    <row r="354">
      <c r="L354" s="325"/>
    </row>
    <row r="355">
      <c r="L355" s="325"/>
    </row>
    <row r="356">
      <c r="L356" s="325"/>
    </row>
    <row r="357">
      <c r="L357" s="325"/>
    </row>
    <row r="358">
      <c r="L358" s="325"/>
    </row>
    <row r="359">
      <c r="L359" s="325"/>
    </row>
    <row r="360">
      <c r="L360" s="325"/>
    </row>
    <row r="361">
      <c r="L361" s="325"/>
    </row>
    <row r="362">
      <c r="L362" s="325"/>
    </row>
    <row r="363">
      <c r="L363" s="325"/>
    </row>
    <row r="364">
      <c r="L364" s="325"/>
    </row>
    <row r="365">
      <c r="L365" s="325"/>
    </row>
    <row r="366">
      <c r="L366" s="325"/>
    </row>
    <row r="367">
      <c r="L367" s="325"/>
    </row>
    <row r="368">
      <c r="L368" s="325"/>
    </row>
    <row r="369">
      <c r="L369" s="325"/>
    </row>
    <row r="370">
      <c r="L370" s="325"/>
    </row>
    <row r="371">
      <c r="L371" s="325"/>
    </row>
    <row r="372">
      <c r="L372" s="325"/>
    </row>
    <row r="373">
      <c r="L373" s="325"/>
    </row>
    <row r="374">
      <c r="L374" s="325"/>
    </row>
    <row r="375">
      <c r="L375" s="325"/>
    </row>
    <row r="376">
      <c r="L376" s="325"/>
    </row>
    <row r="377">
      <c r="L377" s="325"/>
    </row>
    <row r="378">
      <c r="L378" s="325"/>
    </row>
    <row r="379">
      <c r="L379" s="325"/>
    </row>
    <row r="380">
      <c r="L380" s="325"/>
    </row>
    <row r="381">
      <c r="L381" s="325"/>
    </row>
    <row r="382">
      <c r="L382" s="325"/>
    </row>
    <row r="383">
      <c r="L383" s="325"/>
    </row>
    <row r="384">
      <c r="L384" s="325"/>
    </row>
    <row r="385">
      <c r="L385" s="325"/>
    </row>
    <row r="386">
      <c r="L386" s="325"/>
    </row>
    <row r="387">
      <c r="L387" s="325"/>
    </row>
    <row r="388">
      <c r="L388" s="325"/>
    </row>
    <row r="389">
      <c r="L389" s="325"/>
    </row>
    <row r="390">
      <c r="L390" s="325"/>
    </row>
    <row r="391">
      <c r="L391" s="325"/>
    </row>
    <row r="392">
      <c r="L392" s="325"/>
    </row>
    <row r="393">
      <c r="L393" s="325"/>
    </row>
    <row r="394">
      <c r="L394" s="325"/>
    </row>
    <row r="395">
      <c r="L395" s="325"/>
    </row>
    <row r="396">
      <c r="L396" s="325"/>
    </row>
    <row r="397">
      <c r="L397" s="325"/>
    </row>
    <row r="398">
      <c r="L398" s="325"/>
    </row>
    <row r="399">
      <c r="L399" s="325"/>
    </row>
    <row r="400">
      <c r="L400" s="325"/>
    </row>
    <row r="401">
      <c r="L401" s="325"/>
    </row>
    <row r="402">
      <c r="L402" s="325"/>
    </row>
    <row r="403">
      <c r="L403" s="325"/>
    </row>
    <row r="404">
      <c r="L404" s="325"/>
    </row>
    <row r="405">
      <c r="L405" s="325"/>
    </row>
    <row r="406">
      <c r="L406" s="325"/>
    </row>
    <row r="407">
      <c r="L407" s="325"/>
    </row>
    <row r="408">
      <c r="L408" s="325"/>
    </row>
    <row r="409">
      <c r="L409" s="325"/>
    </row>
    <row r="410">
      <c r="L410" s="325"/>
    </row>
    <row r="411">
      <c r="L411" s="325"/>
    </row>
    <row r="412">
      <c r="L412" s="325"/>
    </row>
    <row r="413">
      <c r="L413" s="325"/>
    </row>
    <row r="414">
      <c r="L414" s="325"/>
    </row>
    <row r="415">
      <c r="L415" s="325"/>
    </row>
    <row r="416">
      <c r="L416" s="325"/>
    </row>
    <row r="417">
      <c r="L417" s="325"/>
    </row>
    <row r="418">
      <c r="L418" s="325"/>
    </row>
    <row r="419">
      <c r="L419" s="325"/>
    </row>
    <row r="420">
      <c r="L420" s="325"/>
    </row>
    <row r="421">
      <c r="L421" s="325"/>
    </row>
    <row r="422">
      <c r="L422" s="325"/>
    </row>
    <row r="423">
      <c r="L423" s="325"/>
    </row>
    <row r="424">
      <c r="L424" s="325"/>
    </row>
    <row r="425">
      <c r="L425" s="325"/>
    </row>
    <row r="426">
      <c r="L426" s="325"/>
    </row>
    <row r="427">
      <c r="L427" s="325"/>
    </row>
    <row r="428">
      <c r="L428" s="325"/>
    </row>
    <row r="429">
      <c r="L429" s="325"/>
    </row>
    <row r="430">
      <c r="L430" s="325"/>
    </row>
    <row r="431">
      <c r="L431" s="325"/>
    </row>
    <row r="432">
      <c r="L432" s="325"/>
    </row>
    <row r="433">
      <c r="L433" s="325"/>
    </row>
    <row r="434">
      <c r="L434" s="325"/>
    </row>
    <row r="435">
      <c r="L435" s="325"/>
    </row>
    <row r="436">
      <c r="L436" s="325"/>
    </row>
    <row r="437">
      <c r="L437" s="325"/>
    </row>
    <row r="438">
      <c r="L438" s="325"/>
    </row>
    <row r="439">
      <c r="L439" s="325"/>
    </row>
    <row r="440">
      <c r="L440" s="325"/>
    </row>
    <row r="441">
      <c r="L441" s="325"/>
    </row>
    <row r="442">
      <c r="L442" s="325"/>
    </row>
    <row r="443">
      <c r="L443" s="325"/>
    </row>
    <row r="444">
      <c r="L444" s="325"/>
    </row>
    <row r="445">
      <c r="L445" s="325"/>
    </row>
    <row r="446">
      <c r="L446" s="325"/>
    </row>
    <row r="447">
      <c r="L447" s="325"/>
    </row>
    <row r="448">
      <c r="L448" s="325"/>
    </row>
    <row r="449">
      <c r="L449" s="325"/>
    </row>
    <row r="450">
      <c r="L450" s="325"/>
    </row>
    <row r="451">
      <c r="L451" s="325"/>
    </row>
    <row r="452">
      <c r="L452" s="325"/>
    </row>
    <row r="453">
      <c r="L453" s="325"/>
    </row>
    <row r="454">
      <c r="L454" s="325"/>
    </row>
    <row r="455">
      <c r="L455" s="325"/>
    </row>
    <row r="456">
      <c r="L456" s="325"/>
    </row>
    <row r="457">
      <c r="L457" s="325"/>
    </row>
    <row r="458">
      <c r="L458" s="325"/>
    </row>
    <row r="459">
      <c r="L459" s="325"/>
    </row>
    <row r="460">
      <c r="L460" s="325"/>
    </row>
    <row r="461">
      <c r="L461" s="325"/>
    </row>
    <row r="462">
      <c r="L462" s="325"/>
    </row>
    <row r="463">
      <c r="L463" s="325"/>
    </row>
    <row r="464">
      <c r="L464" s="325"/>
    </row>
    <row r="465">
      <c r="L465" s="325"/>
    </row>
    <row r="466">
      <c r="L466" s="325"/>
    </row>
    <row r="467">
      <c r="L467" s="325"/>
    </row>
    <row r="468">
      <c r="L468" s="325"/>
    </row>
    <row r="469">
      <c r="L469" s="325"/>
    </row>
    <row r="470">
      <c r="L470" s="325"/>
    </row>
    <row r="471">
      <c r="L471" s="325"/>
    </row>
    <row r="472">
      <c r="L472" s="325"/>
    </row>
    <row r="473">
      <c r="L473" s="325"/>
    </row>
    <row r="474">
      <c r="L474" s="325"/>
    </row>
    <row r="475">
      <c r="L475" s="325"/>
    </row>
    <row r="476">
      <c r="L476" s="325"/>
    </row>
    <row r="477">
      <c r="L477" s="325"/>
    </row>
    <row r="478">
      <c r="L478" s="325"/>
    </row>
    <row r="479">
      <c r="L479" s="325"/>
    </row>
    <row r="480">
      <c r="L480" s="325"/>
    </row>
    <row r="481">
      <c r="L481" s="325"/>
    </row>
    <row r="482">
      <c r="L482" s="325"/>
    </row>
    <row r="483">
      <c r="L483" s="325"/>
    </row>
    <row r="484">
      <c r="L484" s="325"/>
    </row>
    <row r="485">
      <c r="L485" s="325"/>
    </row>
    <row r="486">
      <c r="L486" s="325"/>
    </row>
    <row r="487">
      <c r="L487" s="325"/>
    </row>
    <row r="488">
      <c r="L488" s="325"/>
    </row>
    <row r="489">
      <c r="L489" s="325"/>
    </row>
    <row r="490">
      <c r="L490" s="325"/>
    </row>
    <row r="491">
      <c r="L491" s="325"/>
    </row>
    <row r="492">
      <c r="L492" s="325"/>
    </row>
    <row r="493">
      <c r="L493" s="325"/>
    </row>
    <row r="494">
      <c r="L494" s="325"/>
    </row>
    <row r="495">
      <c r="L495" s="325"/>
    </row>
    <row r="496">
      <c r="L496" s="325"/>
    </row>
    <row r="497">
      <c r="L497" s="325"/>
    </row>
    <row r="498">
      <c r="L498" s="325"/>
    </row>
    <row r="499">
      <c r="L499" s="325"/>
    </row>
    <row r="500">
      <c r="L500" s="325"/>
    </row>
  </sheetData>
  <mergeCells count="2">
    <mergeCell ref="A1:K1"/>
    <mergeCell ref="A2:K2"/>
  </mergeCells>
  <conditionalFormatting sqref="L4:L500">
    <cfRule type="containsBlanks" dxfId="13" priority="1" stopIfTrue="1">
      <formula>LEN(TRIM(L4))=0</formula>
    </cfRule>
  </conditionalFormatting>
  <dataValidations>
    <dataValidation type="list" allowBlank="1" showErrorMessage="1" sqref="L4:L500">
      <formula1>"미확인,확인완료"</formula1>
    </dataValidation>
  </dataValidations>
  <hyperlinks>
    <hyperlink r:id="rId1" ref="K5"/>
    <hyperlink r:id="rId2" ref="K6"/>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346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2" max="12" width="12.63"/>
  </cols>
  <sheetData>
    <row r="1" ht="24.0" customHeight="1">
      <c r="A1" s="743" t="s">
        <v>4833</v>
      </c>
    </row>
    <row r="2" ht="21.0" customHeight="1">
      <c r="A2" s="744" t="s">
        <v>4813</v>
      </c>
    </row>
    <row r="3">
      <c r="L3" s="19" t="s">
        <v>4828</v>
      </c>
    </row>
    <row r="4">
      <c r="A4" s="325" t="str">
        <f>IFERROR(__xludf.DUMMYFUNCTION("IMPORTRANGE(""https://docs.google.com/spreadsheets/d/1WkXOfCVKTRsFJfsMnz6Y5wppyVXwJ9CIF3UiMpf6-X4"",""설문지 응답 시트1!A:K"")"),"타임스탬프")</f>
        <v>타임스탬프</v>
      </c>
      <c r="B4" s="325" t="str">
        <f>IFERROR(__xludf.DUMMYFUNCTION("""COMPUTED_VALUE"""),"성함을 기입해주세요")</f>
        <v>성함을 기입해주세요</v>
      </c>
      <c r="C4" s="325" t="str">
        <f>IFERROR(__xludf.DUMMYFUNCTION("""COMPUTED_VALUE"""),"활동명 및 닉네임을 기입해주세요")</f>
        <v>활동명 및 닉네임을 기입해주세요</v>
      </c>
      <c r="D4" s="325" t="str">
        <f>IFERROR(__xludf.DUMMYFUNCTION("""COMPUTED_VALUE"""),"연락처를 적어주세요")</f>
        <v>연락처를 적어주세요</v>
      </c>
      <c r="E4" s="325" t="str">
        <f>IFERROR(__xludf.DUMMYFUNCTION("""COMPUTED_VALUE"""),"다른 사이트 혹은 강의를 진행하신 경험이 있으신가요?")</f>
        <v>다른 사이트 혹은 강의를 진행하신 경험이 있으신가요?</v>
      </c>
      <c r="F4" s="325" t="str">
        <f>IFERROR(__xludf.DUMMYFUNCTION("""COMPUTED_VALUE"""),"강의하고 싶은 주제를 구체적으로 작성해주세요. 
예시
1. 구매대행과 AI를 활용한 수익화 방법
2. 부동산 경매를 통해 돈을 버는 방법")</f>
        <v>강의하고 싶은 주제를 구체적으로 작성해주세요. 
예시
1. 구매대행과 AI를 활용한 수익화 방법
2. 부동산 경매를 통해 돈을 버는 방법</v>
      </c>
      <c r="G4" s="325" t="str">
        <f>IFERROR(__xludf.DUMMYFUNCTION("""COMPUTED_VALUE"""),"머니업클래스 강사로 지원하신 동기 및 계기는 무엇인가요? 본인의 장점과 함께 자유롭게 작성해주세요. ")</f>
        <v>머니업클래스 강사로 지원하신 동기 및 계기는 무엇인가요? 본인의 장점과 함께 자유롭게 작성해주세요. </v>
      </c>
      <c r="H4" s="325" t="str">
        <f>IFERROR(__xludf.DUMMYFUNCTION("""COMPUTED_VALUE"""),"경력과 어떤 성과를 만드셨는지 수치적으로 작성해주세요*
예시
1. 쿠팡을 통해 연매출 20억 달성
2. 부동산 경매로 순자산 30억 ")</f>
        <v>경력과 어떤 성과를 만드셨는지 수치적으로 작성해주세요*
예시
1. 쿠팡을 통해 연매출 20억 달성
2. 부동산 경매로 순자산 30억 </v>
      </c>
      <c r="I4" s="325" t="str">
        <f>IFERROR(__xludf.DUMMYFUNCTION("""COMPUTED_VALUE"""),"해당 분야에서 수강생의 성과를 만든 경험이 있다면 적어주세요.
1. 수강생이 부업으로 시작해 월 3천만 원 매출 달성
2. 부동산 경매를 알려줘 시세보다 1천만 원 싸게 구입")</f>
        <v>해당 분야에서 수강생의 성과를 만든 경험이 있다면 적어주세요.
1. 수강생이 부업으로 시작해 월 3천만 원 매출 달성
2. 부동산 경매를 알려줘 시세보다 1천만 원 싸게 구입</v>
      </c>
      <c r="J4" s="325" t="str">
        <f>IFERROR(__xludf.DUMMYFUNCTION("""COMPUTED_VALUE"""),"해당 주제를 통해 수강생이 무엇을 얻을 수 있는지 구체적으로 작성해주세요.
예시
1. 쿠팡 부업을 통해 50만원 정도의 순이익
2. 경매를 통해, 시세보다 저렴하게 부동산 구입")</f>
        <v>해당 주제를 통해 수강생이 무엇을 얻을 수 있는지 구체적으로 작성해주세요.
예시
1. 쿠팡 부업을 통해 50만원 정도의 순이익
2. 경매를 통해, 시세보다 저렴하게 부동산 구입</v>
      </c>
      <c r="K4" s="325" t="str">
        <f>IFERROR(__xludf.DUMMYFUNCTION("""COMPUTED_VALUE"""),"개인 SNS 채널 링크를 남겨주세요.
※ 유튜브, 인스타그램, 블로그, 카페")</f>
        <v>개인 SNS 채널 링크를 남겨주세요.
※ 유튜브, 인스타그램, 블로그, 카페</v>
      </c>
      <c r="L4" s="681" t="s">
        <v>28</v>
      </c>
    </row>
    <row r="5">
      <c r="A5" s="754">
        <f>IFERROR(__xludf.DUMMYFUNCTION("""COMPUTED_VALUE"""),46042.63407525463)</f>
        <v>46042.63408</v>
      </c>
      <c r="B5" s="325" t="str">
        <f>IFERROR(__xludf.DUMMYFUNCTION("""COMPUTED_VALUE"""),"이항직")</f>
        <v>이항직</v>
      </c>
      <c r="C5" s="325" t="str">
        <f>IFERROR(__xludf.DUMMYFUNCTION("""COMPUTED_VALUE"""),"열정과 성실")</f>
        <v>열정과 성실</v>
      </c>
      <c r="D5" s="325" t="str">
        <f>IFERROR(__xludf.DUMMYFUNCTION("""COMPUTED_VALUE"""),"01056817602")</f>
        <v>01056817602</v>
      </c>
      <c r="E5"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F5" s="325" t="str">
        <f>IFERROR(__xludf.DUMMYFUNCTION("""COMPUTED_VALUE"""),"1.안전한 초보투자로 성공하기, 
2.디자인 세계를 맛보기.
3.현재 인기 최고의 안전관련 자격증 따기")</f>
        <v>1.안전한 초보투자로 성공하기, 
2.디자인 세계를 맛보기.
3.현재 인기 최고의 안전관련 자격증 따기</v>
      </c>
      <c r="G5" s="325" t="str">
        <f>IFERROR(__xludf.DUMMYFUNCTION("""COMPUTED_VALUE"""),"교육분야에서 많은 활동을 하고 있고 그 경험들을 나누고 인생의 맛을 깨워주고 싶어서입니다.")</f>
        <v>교육분야에서 많은 활동을 하고 있고 그 경험들을 나누고 인생의 맛을 깨워주고 싶어서입니다.</v>
      </c>
      <c r="H5" s="325" t="str">
        <f>IFERROR(__xludf.DUMMYFUNCTION("""COMPUTED_VALUE"""),"다음 카페의 1500명 이상의 많은 인원이 우리 학생들이었고 지금도 1000명 이상의  많은 학생들이 활동중임.  디자인과 안전을 배우고 현업에서 활동하고 창업을 했음")</f>
        <v>다음 카페의 1500명 이상의 많은 인원이 우리 학생들이었고 지금도 1000명 이상의  많은 학생들이 활동중임.  디자인과 안전을 배우고 현업에서 활동하고 창업을 했음</v>
      </c>
      <c r="I5" s="325" t="str">
        <f>IFERROR(__xludf.DUMMYFUNCTION("""COMPUTED_VALUE"""),"수강생이 창업을 시작하여 많은 직원을 거느린 디자인사 대표로 월 1000 이상의 수입을 창출.")</f>
        <v>수강생이 창업을 시작하여 많은 직원을 거느린 디자인사 대표로 월 1000 이상의 수입을 창출.</v>
      </c>
      <c r="J5" s="325" t="str">
        <f>IFERROR(__xludf.DUMMYFUNCTION("""COMPUTED_VALUE"""),"1.어려운 주식투자를 재미와 함께 수익을 맛보고 자신만의 노하우를 갖게되어 손실을 안보는 투자를 보게함.
2.디자인은 두뇌의 개발을 촉진하여  잘 사용하지 않던 좌뇌의 영역을 발달시키고 업무나 발표에서 보다 재미있는 발표와 보고를 가능케 함.
3.현재취업난이 가중되고있으나 모든 회사에서 필요한 안전관리자의 구인란이 벌어지고 있어 구직난을 해결 가능.")</f>
        <v>1.어려운 주식투자를 재미와 함께 수익을 맛보고 자신만의 노하우를 갖게되어 손실을 안보는 투자를 보게함.
2.디자인은 두뇌의 개발을 촉진하여  잘 사용하지 않던 좌뇌의 영역을 발달시키고 업무나 발표에서 보다 재미있는 발표와 보고를 가능케 함.
3.현재취업난이 가중되고있으나 모든 회사에서 필요한 안전관리자의 구인란이 벌어지고 있어 구직난을 해결 가능.</v>
      </c>
      <c r="K5" s="325" t="str">
        <f>IFERROR(__xludf.DUMMYFUNCTION("""COMPUTED_VALUE"""),"1.디음카페  '영재박사' 카페 2.네이버의 '영재박사1'")</f>
        <v>1.디음카페  '영재박사' 카페 2.네이버의 '영재박사1'</v>
      </c>
      <c r="L5" s="681" t="s">
        <v>29</v>
      </c>
    </row>
    <row r="6">
      <c r="A6" s="754">
        <f>IFERROR(__xludf.DUMMYFUNCTION("""COMPUTED_VALUE"""),46104.752091689814)</f>
        <v>46104.75209</v>
      </c>
      <c r="B6" s="325" t="str">
        <f>IFERROR(__xludf.DUMMYFUNCTION("""COMPUTED_VALUE"""),"장재원")</f>
        <v>장재원</v>
      </c>
      <c r="C6" s="325" t="str">
        <f>IFERROR(__xludf.DUMMYFUNCTION("""COMPUTED_VALUE"""),"부자집 막둥이")</f>
        <v>부자집 막둥이</v>
      </c>
      <c r="D6" s="325" t="str">
        <f>IFERROR(__xludf.DUMMYFUNCTION("""COMPUTED_VALUE"""),"01020778815")</f>
        <v>01020778815</v>
      </c>
      <c r="E6" s="325" t="str">
        <f>IFERROR(__xludf.DUMMYFUNCTION("""COMPUTED_VALUE"""),"있음(""있음""을 체크하셨다면, 기타에 강의를 진행하고 계신 사이트의 링크 넣어주세요)")</f>
        <v>있음("있음"을 체크하셨다면, 기타에 강의를 진행하고 계신 사이트의 링크 넣어주세요)</v>
      </c>
      <c r="F6" s="325" t="str">
        <f>IFERROR(__xludf.DUMMYFUNCTION("""COMPUTED_VALUE"""),"고객 상담 교육")</f>
        <v>고객 상담 교육</v>
      </c>
      <c r="G6" s="325" t="str">
        <f>IFERROR(__xludf.DUMMYFUNCTION("""COMPUTED_VALUE"""),"한번 더 발전하는 나 자신을 위해 ")</f>
        <v>한번 더 발전하는 나 자신을 위해 </v>
      </c>
      <c r="H6" s="325" t="str">
        <f>IFERROR(__xludf.DUMMYFUNCTION("""COMPUTED_VALUE"""),"영업조직 운영으로 매출 10억 달성중 ")</f>
        <v>영업조직 운영으로 매출 10억 달성중 </v>
      </c>
      <c r="I6" s="325" t="str">
        <f>IFERROR(__xludf.DUMMYFUNCTION("""COMPUTED_VALUE"""),"수강생 전업 변경후 월 매출 5천 진행중")</f>
        <v>수강생 전업 변경후 월 매출 5천 진행중</v>
      </c>
      <c r="J6" s="325" t="str">
        <f>IFERROR(__xludf.DUMMYFUNCTION("""COMPUTED_VALUE"""),"월 1000 100% 달성")</f>
        <v>월 1000 100% 달성</v>
      </c>
      <c r="K6" s="325" t="str">
        <f>IFERROR(__xludf.DUMMYFUNCTION("""COMPUTED_VALUE"""),"없음")</f>
        <v>없음</v>
      </c>
      <c r="L6" s="681" t="s">
        <v>29</v>
      </c>
    </row>
    <row r="7">
      <c r="A7" s="325"/>
      <c r="B7" s="325"/>
      <c r="C7" s="325"/>
      <c r="D7" s="325"/>
      <c r="E7" s="325"/>
      <c r="F7" s="325"/>
      <c r="G7" s="325"/>
      <c r="H7" s="325"/>
      <c r="I7" s="325"/>
      <c r="J7" s="325"/>
      <c r="K7" s="325"/>
      <c r="L7" s="325"/>
    </row>
    <row r="8">
      <c r="A8" s="325"/>
      <c r="B8" s="325"/>
      <c r="C8" s="325"/>
      <c r="D8" s="325"/>
      <c r="E8" s="325"/>
      <c r="F8" s="325"/>
      <c r="G8" s="325"/>
      <c r="H8" s="325"/>
      <c r="I8" s="325"/>
      <c r="J8" s="325"/>
      <c r="K8" s="325"/>
      <c r="L8" s="325"/>
    </row>
    <row r="9">
      <c r="A9" s="325"/>
      <c r="B9" s="325"/>
      <c r="C9" s="325"/>
      <c r="D9" s="325"/>
      <c r="E9" s="325"/>
      <c r="F9" s="325"/>
      <c r="G9" s="325"/>
      <c r="H9" s="325"/>
      <c r="I9" s="325"/>
      <c r="J9" s="325"/>
      <c r="K9" s="325"/>
      <c r="L9" s="325"/>
    </row>
    <row r="10">
      <c r="A10" s="325"/>
      <c r="B10" s="325"/>
      <c r="C10" s="325"/>
      <c r="D10" s="325"/>
      <c r="E10" s="325"/>
      <c r="F10" s="325"/>
      <c r="G10" s="325"/>
      <c r="H10" s="325"/>
      <c r="I10" s="325"/>
      <c r="J10" s="325"/>
      <c r="K10" s="325"/>
      <c r="L10" s="325"/>
    </row>
    <row r="11">
      <c r="A11" s="325"/>
      <c r="B11" s="325"/>
      <c r="C11" s="325"/>
      <c r="D11" s="325"/>
      <c r="E11" s="325"/>
      <c r="F11" s="325"/>
      <c r="G11" s="325"/>
      <c r="H11" s="325"/>
      <c r="I11" s="325"/>
      <c r="J11" s="325"/>
      <c r="K11" s="325"/>
      <c r="L11" s="325"/>
    </row>
    <row r="12">
      <c r="A12" s="325"/>
      <c r="B12" s="325"/>
      <c r="C12" s="325"/>
      <c r="D12" s="325"/>
      <c r="E12" s="325"/>
      <c r="F12" s="325"/>
      <c r="G12" s="325"/>
      <c r="H12" s="325"/>
      <c r="I12" s="325"/>
      <c r="J12" s="325"/>
      <c r="K12" s="325"/>
      <c r="L12" s="325"/>
    </row>
    <row r="13">
      <c r="A13" s="325"/>
      <c r="B13" s="325"/>
      <c r="C13" s="325"/>
      <c r="D13" s="325"/>
      <c r="E13" s="325"/>
      <c r="F13" s="325"/>
      <c r="G13" s="325"/>
      <c r="H13" s="325"/>
      <c r="I13" s="325"/>
      <c r="J13" s="325"/>
      <c r="K13" s="325"/>
      <c r="L13" s="325"/>
    </row>
    <row r="14">
      <c r="A14" s="325"/>
      <c r="B14" s="325"/>
      <c r="C14" s="325"/>
      <c r="D14" s="325"/>
      <c r="E14" s="325"/>
      <c r="F14" s="325"/>
      <c r="G14" s="325"/>
      <c r="H14" s="325"/>
      <c r="I14" s="325"/>
      <c r="J14" s="325"/>
      <c r="K14" s="325"/>
      <c r="L14" s="325"/>
    </row>
    <row r="15">
      <c r="A15" s="325"/>
      <c r="B15" s="325"/>
      <c r="C15" s="325"/>
      <c r="D15" s="325"/>
      <c r="E15" s="325"/>
      <c r="F15" s="325"/>
      <c r="G15" s="325"/>
      <c r="H15" s="325"/>
      <c r="I15" s="325"/>
      <c r="J15" s="325"/>
      <c r="K15" s="325"/>
      <c r="L15" s="325"/>
    </row>
    <row r="16">
      <c r="A16" s="325"/>
      <c r="B16" s="325"/>
      <c r="C16" s="325"/>
      <c r="D16" s="325"/>
      <c r="E16" s="325"/>
      <c r="F16" s="325"/>
      <c r="G16" s="325"/>
      <c r="H16" s="325"/>
      <c r="I16" s="325"/>
      <c r="J16" s="325"/>
      <c r="K16" s="325"/>
      <c r="L16" s="325"/>
    </row>
    <row r="17">
      <c r="A17" s="325"/>
      <c r="B17" s="325"/>
      <c r="C17" s="325"/>
      <c r="D17" s="325"/>
      <c r="E17" s="325"/>
      <c r="F17" s="325"/>
      <c r="G17" s="325"/>
      <c r="H17" s="325"/>
      <c r="I17" s="325"/>
      <c r="J17" s="325"/>
      <c r="K17" s="325"/>
      <c r="L17" s="325"/>
    </row>
    <row r="18">
      <c r="A18" s="325"/>
      <c r="B18" s="325"/>
      <c r="C18" s="325"/>
      <c r="D18" s="325"/>
      <c r="E18" s="325"/>
      <c r="F18" s="325"/>
      <c r="G18" s="325"/>
      <c r="H18" s="325"/>
      <c r="I18" s="325"/>
      <c r="J18" s="325"/>
      <c r="K18" s="325"/>
      <c r="L18" s="325"/>
    </row>
    <row r="19">
      <c r="A19" s="325"/>
      <c r="B19" s="325"/>
      <c r="C19" s="325"/>
      <c r="D19" s="325"/>
      <c r="E19" s="325"/>
      <c r="F19" s="325"/>
      <c r="G19" s="325"/>
      <c r="H19" s="325"/>
      <c r="I19" s="325"/>
      <c r="J19" s="325"/>
      <c r="K19" s="325"/>
      <c r="L19" s="325"/>
    </row>
    <row r="20">
      <c r="A20" s="325"/>
      <c r="B20" s="325"/>
      <c r="C20" s="325"/>
      <c r="D20" s="325"/>
      <c r="E20" s="325"/>
      <c r="F20" s="325"/>
      <c r="G20" s="325"/>
      <c r="H20" s="325"/>
      <c r="I20" s="325"/>
      <c r="J20" s="325"/>
      <c r="K20" s="325"/>
      <c r="L20" s="325"/>
    </row>
    <row r="21">
      <c r="A21" s="325"/>
      <c r="B21" s="325"/>
      <c r="C21" s="325"/>
      <c r="D21" s="325"/>
      <c r="E21" s="325"/>
      <c r="F21" s="325"/>
      <c r="G21" s="325"/>
      <c r="H21" s="325"/>
      <c r="I21" s="325"/>
      <c r="J21" s="325"/>
      <c r="K21" s="325"/>
      <c r="L21" s="325"/>
    </row>
    <row r="22">
      <c r="A22" s="325"/>
      <c r="B22" s="325"/>
      <c r="C22" s="325"/>
      <c r="D22" s="325"/>
      <c r="E22" s="325"/>
      <c r="F22" s="325"/>
      <c r="G22" s="325"/>
      <c r="H22" s="325"/>
      <c r="I22" s="325"/>
      <c r="J22" s="325"/>
      <c r="K22" s="325"/>
      <c r="L22" s="325"/>
    </row>
    <row r="23">
      <c r="A23" s="325"/>
      <c r="B23" s="325"/>
      <c r="C23" s="325"/>
      <c r="D23" s="325"/>
      <c r="E23" s="325"/>
      <c r="F23" s="325"/>
      <c r="G23" s="325"/>
      <c r="H23" s="325"/>
      <c r="I23" s="325"/>
      <c r="J23" s="325"/>
      <c r="K23" s="325"/>
      <c r="L23" s="325"/>
    </row>
    <row r="24">
      <c r="A24" s="325"/>
      <c r="B24" s="325"/>
      <c r="C24" s="325"/>
      <c r="D24" s="325"/>
      <c r="E24" s="325"/>
      <c r="F24" s="325"/>
      <c r="G24" s="325"/>
      <c r="H24" s="325"/>
      <c r="I24" s="325"/>
      <c r="J24" s="325"/>
      <c r="K24" s="325"/>
      <c r="L24" s="325"/>
    </row>
    <row r="25">
      <c r="A25" s="325"/>
      <c r="B25" s="325"/>
      <c r="C25" s="325"/>
      <c r="D25" s="325"/>
      <c r="E25" s="325"/>
      <c r="F25" s="325"/>
      <c r="G25" s="325"/>
      <c r="H25" s="325"/>
      <c r="I25" s="325"/>
      <c r="J25" s="325"/>
      <c r="K25" s="325"/>
      <c r="L25" s="325"/>
    </row>
    <row r="26">
      <c r="A26" s="325"/>
      <c r="B26" s="325"/>
      <c r="C26" s="325"/>
      <c r="D26" s="325"/>
      <c r="E26" s="325"/>
      <c r="F26" s="325"/>
      <c r="G26" s="325"/>
      <c r="H26" s="325"/>
      <c r="I26" s="325"/>
      <c r="J26" s="325"/>
      <c r="K26" s="325"/>
      <c r="L26" s="325"/>
    </row>
    <row r="27">
      <c r="A27" s="325"/>
      <c r="B27" s="325"/>
      <c r="C27" s="325"/>
      <c r="D27" s="325"/>
      <c r="E27" s="325"/>
      <c r="F27" s="325"/>
      <c r="G27" s="325"/>
      <c r="H27" s="325"/>
      <c r="I27" s="325"/>
      <c r="J27" s="325"/>
      <c r="K27" s="325"/>
      <c r="L27" s="325"/>
    </row>
    <row r="28">
      <c r="A28" s="325"/>
      <c r="B28" s="325"/>
      <c r="C28" s="325"/>
      <c r="D28" s="325"/>
      <c r="E28" s="325"/>
      <c r="F28" s="325"/>
      <c r="G28" s="325"/>
      <c r="H28" s="325"/>
      <c r="I28" s="325"/>
      <c r="J28" s="325"/>
      <c r="K28" s="325"/>
      <c r="L28" s="325"/>
    </row>
    <row r="29">
      <c r="A29" s="325"/>
      <c r="B29" s="325"/>
      <c r="C29" s="325"/>
      <c r="D29" s="325"/>
      <c r="E29" s="325"/>
      <c r="F29" s="325"/>
      <c r="G29" s="325"/>
      <c r="H29" s="325"/>
      <c r="I29" s="325"/>
      <c r="J29" s="325"/>
      <c r="K29" s="325"/>
      <c r="L29" s="325"/>
    </row>
    <row r="30">
      <c r="A30" s="325"/>
      <c r="B30" s="325"/>
      <c r="C30" s="325"/>
      <c r="D30" s="325"/>
      <c r="E30" s="325"/>
      <c r="F30" s="325"/>
      <c r="G30" s="325"/>
      <c r="H30" s="325"/>
      <c r="I30" s="325"/>
      <c r="J30" s="325"/>
      <c r="K30" s="325"/>
      <c r="L30" s="325"/>
    </row>
    <row r="31">
      <c r="A31" s="325"/>
      <c r="B31" s="325"/>
      <c r="C31" s="325"/>
      <c r="D31" s="325"/>
      <c r="E31" s="325"/>
      <c r="F31" s="325"/>
      <c r="G31" s="325"/>
      <c r="H31" s="325"/>
      <c r="I31" s="325"/>
      <c r="J31" s="325"/>
      <c r="K31" s="325"/>
      <c r="L31" s="325"/>
    </row>
    <row r="32">
      <c r="A32" s="325"/>
      <c r="B32" s="325"/>
      <c r="C32" s="325"/>
      <c r="D32" s="325"/>
      <c r="E32" s="325"/>
      <c r="F32" s="325"/>
      <c r="G32" s="325"/>
      <c r="H32" s="325"/>
      <c r="I32" s="325"/>
      <c r="J32" s="325"/>
      <c r="K32" s="325"/>
      <c r="L32" s="325"/>
    </row>
    <row r="33">
      <c r="A33" s="325"/>
      <c r="B33" s="325"/>
      <c r="C33" s="325"/>
      <c r="D33" s="325"/>
      <c r="E33" s="325"/>
      <c r="F33" s="325"/>
      <c r="G33" s="325"/>
      <c r="H33" s="325"/>
      <c r="I33" s="325"/>
      <c r="J33" s="325"/>
      <c r="K33" s="325"/>
      <c r="L33" s="325"/>
    </row>
    <row r="34">
      <c r="A34" s="325"/>
      <c r="B34" s="325"/>
      <c r="C34" s="325"/>
      <c r="D34" s="325"/>
      <c r="E34" s="325"/>
      <c r="F34" s="325"/>
      <c r="G34" s="325"/>
      <c r="H34" s="325"/>
      <c r="I34" s="325"/>
      <c r="J34" s="325"/>
      <c r="K34" s="325"/>
      <c r="L34" s="325"/>
    </row>
    <row r="35">
      <c r="A35" s="325"/>
      <c r="B35" s="325"/>
      <c r="C35" s="325"/>
      <c r="D35" s="325"/>
      <c r="E35" s="325"/>
      <c r="F35" s="325"/>
      <c r="G35" s="325"/>
      <c r="H35" s="325"/>
      <c r="I35" s="325"/>
      <c r="J35" s="325"/>
      <c r="K35" s="325"/>
      <c r="L35" s="325"/>
    </row>
    <row r="36">
      <c r="A36" s="325"/>
      <c r="B36" s="325"/>
      <c r="C36" s="325"/>
      <c r="D36" s="325"/>
      <c r="E36" s="325"/>
      <c r="F36" s="325"/>
      <c r="G36" s="325"/>
      <c r="H36" s="325"/>
      <c r="I36" s="325"/>
      <c r="J36" s="325"/>
      <c r="K36" s="325"/>
      <c r="L36" s="325"/>
    </row>
    <row r="37">
      <c r="A37" s="325"/>
      <c r="B37" s="325"/>
      <c r="C37" s="325"/>
      <c r="D37" s="325"/>
      <c r="E37" s="325"/>
      <c r="F37" s="325"/>
      <c r="G37" s="325"/>
      <c r="H37" s="325"/>
      <c r="I37" s="325"/>
      <c r="J37" s="325"/>
      <c r="K37" s="325"/>
      <c r="L37" s="325"/>
    </row>
    <row r="38">
      <c r="A38" s="325"/>
      <c r="B38" s="325"/>
      <c r="C38" s="325"/>
      <c r="D38" s="325"/>
      <c r="E38" s="325"/>
      <c r="F38" s="325"/>
      <c r="G38" s="325"/>
      <c r="H38" s="325"/>
      <c r="I38" s="325"/>
      <c r="J38" s="325"/>
      <c r="K38" s="325"/>
      <c r="L38" s="325"/>
    </row>
    <row r="39">
      <c r="A39" s="325"/>
      <c r="B39" s="325"/>
      <c r="C39" s="325"/>
      <c r="D39" s="325"/>
      <c r="E39" s="325"/>
      <c r="F39" s="325"/>
      <c r="G39" s="325"/>
      <c r="H39" s="325"/>
      <c r="I39" s="325"/>
      <c r="J39" s="325"/>
      <c r="K39" s="325"/>
      <c r="L39" s="325"/>
    </row>
    <row r="40">
      <c r="A40" s="325"/>
      <c r="B40" s="325"/>
      <c r="C40" s="325"/>
      <c r="D40" s="325"/>
      <c r="E40" s="325"/>
      <c r="F40" s="325"/>
      <c r="G40" s="325"/>
      <c r="H40" s="325"/>
      <c r="I40" s="325"/>
      <c r="J40" s="325"/>
      <c r="K40" s="325"/>
      <c r="L40" s="325"/>
    </row>
    <row r="41">
      <c r="A41" s="325"/>
      <c r="B41" s="325"/>
      <c r="C41" s="325"/>
      <c r="D41" s="325"/>
      <c r="E41" s="325"/>
      <c r="F41" s="325"/>
      <c r="G41" s="325"/>
      <c r="H41" s="325"/>
      <c r="I41" s="325"/>
      <c r="J41" s="325"/>
      <c r="K41" s="325"/>
      <c r="L41" s="325"/>
    </row>
    <row r="42">
      <c r="A42" s="325"/>
      <c r="B42" s="325"/>
      <c r="C42" s="325"/>
      <c r="D42" s="325"/>
      <c r="E42" s="325"/>
      <c r="F42" s="325"/>
      <c r="G42" s="325"/>
      <c r="H42" s="325"/>
      <c r="I42" s="325"/>
      <c r="J42" s="325"/>
      <c r="K42" s="325"/>
      <c r="L42" s="325"/>
    </row>
    <row r="43">
      <c r="A43" s="325"/>
      <c r="B43" s="325"/>
      <c r="C43" s="325"/>
      <c r="D43" s="325"/>
      <c r="E43" s="325"/>
      <c r="F43" s="325"/>
      <c r="G43" s="325"/>
      <c r="H43" s="325"/>
      <c r="I43" s="325"/>
      <c r="J43" s="325"/>
      <c r="K43" s="325"/>
      <c r="L43" s="325"/>
    </row>
    <row r="44">
      <c r="A44" s="325"/>
      <c r="B44" s="325"/>
      <c r="C44" s="325"/>
      <c r="D44" s="325"/>
      <c r="E44" s="325"/>
      <c r="F44" s="325"/>
      <c r="G44" s="325"/>
      <c r="H44" s="325"/>
      <c r="I44" s="325"/>
      <c r="J44" s="325"/>
      <c r="K44" s="325"/>
      <c r="L44" s="325"/>
    </row>
    <row r="45">
      <c r="A45" s="325"/>
      <c r="B45" s="325"/>
      <c r="C45" s="325"/>
      <c r="D45" s="325"/>
      <c r="E45" s="325"/>
      <c r="F45" s="325"/>
      <c r="G45" s="325"/>
      <c r="H45" s="325"/>
      <c r="I45" s="325"/>
      <c r="J45" s="325"/>
      <c r="K45" s="325"/>
      <c r="L45" s="325"/>
    </row>
    <row r="46">
      <c r="A46" s="325"/>
      <c r="B46" s="325"/>
      <c r="C46" s="325"/>
      <c r="D46" s="325"/>
      <c r="E46" s="325"/>
      <c r="F46" s="325"/>
      <c r="G46" s="325"/>
      <c r="H46" s="325"/>
      <c r="I46" s="325"/>
      <c r="J46" s="325"/>
      <c r="K46" s="325"/>
      <c r="L46" s="325"/>
    </row>
    <row r="47">
      <c r="A47" s="325"/>
      <c r="B47" s="325"/>
      <c r="C47" s="325"/>
      <c r="D47" s="325"/>
      <c r="E47" s="325"/>
      <c r="F47" s="325"/>
      <c r="G47" s="325"/>
      <c r="H47" s="325"/>
      <c r="I47" s="325"/>
      <c r="J47" s="325"/>
      <c r="K47" s="325"/>
      <c r="L47" s="325"/>
    </row>
    <row r="48">
      <c r="A48" s="325"/>
      <c r="B48" s="325"/>
      <c r="C48" s="325"/>
      <c r="D48" s="325"/>
      <c r="E48" s="325"/>
      <c r="F48" s="325"/>
      <c r="G48" s="325"/>
      <c r="H48" s="325"/>
      <c r="I48" s="325"/>
      <c r="J48" s="325"/>
      <c r="K48" s="325"/>
      <c r="L48" s="325"/>
    </row>
    <row r="49">
      <c r="A49" s="325"/>
      <c r="B49" s="325"/>
      <c r="C49" s="325"/>
      <c r="D49" s="325"/>
      <c r="E49" s="325"/>
      <c r="F49" s="325"/>
      <c r="G49" s="325"/>
      <c r="H49" s="325"/>
      <c r="I49" s="325"/>
      <c r="J49" s="325"/>
      <c r="K49" s="325"/>
      <c r="L49" s="325"/>
    </row>
    <row r="50">
      <c r="A50" s="325"/>
      <c r="B50" s="325"/>
      <c r="C50" s="325"/>
      <c r="D50" s="325"/>
      <c r="E50" s="325"/>
      <c r="F50" s="325"/>
      <c r="G50" s="325"/>
      <c r="H50" s="325"/>
      <c r="I50" s="325"/>
      <c r="J50" s="325"/>
      <c r="K50" s="325"/>
      <c r="L50" s="325"/>
    </row>
    <row r="51">
      <c r="A51" s="325"/>
      <c r="B51" s="325"/>
      <c r="C51" s="325"/>
      <c r="D51" s="325"/>
      <c r="E51" s="325"/>
      <c r="F51" s="325"/>
      <c r="G51" s="325"/>
      <c r="H51" s="325"/>
      <c r="I51" s="325"/>
      <c r="J51" s="325"/>
      <c r="K51" s="325"/>
      <c r="L51" s="325"/>
    </row>
    <row r="52">
      <c r="A52" s="325"/>
      <c r="B52" s="325"/>
      <c r="C52" s="325"/>
      <c r="D52" s="325"/>
      <c r="E52" s="325"/>
      <c r="F52" s="325"/>
      <c r="G52" s="325"/>
      <c r="H52" s="325"/>
      <c r="I52" s="325"/>
      <c r="J52" s="325"/>
      <c r="K52" s="325"/>
      <c r="L52" s="325"/>
    </row>
    <row r="53">
      <c r="A53" s="325"/>
      <c r="B53" s="325"/>
      <c r="C53" s="325"/>
      <c r="D53" s="325"/>
      <c r="E53" s="325"/>
      <c r="F53" s="325"/>
      <c r="G53" s="325"/>
      <c r="H53" s="325"/>
      <c r="I53" s="325"/>
      <c r="J53" s="325"/>
      <c r="K53" s="325"/>
      <c r="L53" s="325"/>
    </row>
    <row r="54">
      <c r="A54" s="325"/>
      <c r="B54" s="325"/>
      <c r="C54" s="325"/>
      <c r="D54" s="325"/>
      <c r="E54" s="325"/>
      <c r="F54" s="325"/>
      <c r="G54" s="325"/>
      <c r="H54" s="325"/>
      <c r="I54" s="325"/>
      <c r="J54" s="325"/>
      <c r="K54" s="325"/>
      <c r="L54" s="325"/>
    </row>
    <row r="55">
      <c r="A55" s="325"/>
      <c r="B55" s="325"/>
      <c r="C55" s="325"/>
      <c r="D55" s="325"/>
      <c r="E55" s="325"/>
      <c r="F55" s="325"/>
      <c r="G55" s="325"/>
      <c r="H55" s="325"/>
      <c r="I55" s="325"/>
      <c r="J55" s="325"/>
      <c r="K55" s="325"/>
      <c r="L55" s="325"/>
    </row>
    <row r="56">
      <c r="A56" s="325"/>
      <c r="B56" s="325"/>
      <c r="C56" s="325"/>
      <c r="D56" s="325"/>
      <c r="E56" s="325"/>
      <c r="F56" s="325"/>
      <c r="G56" s="325"/>
      <c r="H56" s="325"/>
      <c r="I56" s="325"/>
      <c r="J56" s="325"/>
      <c r="K56" s="325"/>
      <c r="L56" s="325"/>
    </row>
    <row r="57">
      <c r="A57" s="325"/>
      <c r="B57" s="325"/>
      <c r="C57" s="325"/>
      <c r="D57" s="325"/>
      <c r="E57" s="325"/>
      <c r="F57" s="325"/>
      <c r="G57" s="325"/>
      <c r="H57" s="325"/>
      <c r="I57" s="325"/>
      <c r="J57" s="325"/>
      <c r="K57" s="325"/>
      <c r="L57" s="325"/>
    </row>
    <row r="58">
      <c r="A58" s="325"/>
      <c r="B58" s="325"/>
      <c r="C58" s="325"/>
      <c r="D58" s="325"/>
      <c r="E58" s="325"/>
      <c r="F58" s="325"/>
      <c r="G58" s="325"/>
      <c r="H58" s="325"/>
      <c r="I58" s="325"/>
      <c r="J58" s="325"/>
      <c r="K58" s="325"/>
      <c r="L58" s="325"/>
    </row>
    <row r="59">
      <c r="A59" s="325"/>
      <c r="B59" s="325"/>
      <c r="C59" s="325"/>
      <c r="D59" s="325"/>
      <c r="E59" s="325"/>
      <c r="F59" s="325"/>
      <c r="G59" s="325"/>
      <c r="H59" s="325"/>
      <c r="I59" s="325"/>
      <c r="J59" s="325"/>
      <c r="K59" s="325"/>
      <c r="L59" s="325"/>
    </row>
    <row r="60">
      <c r="A60" s="325"/>
      <c r="B60" s="325"/>
      <c r="C60" s="325"/>
      <c r="D60" s="325"/>
      <c r="E60" s="325"/>
      <c r="F60" s="325"/>
      <c r="G60" s="325"/>
      <c r="H60" s="325"/>
      <c r="I60" s="325"/>
      <c r="J60" s="325"/>
      <c r="K60" s="325"/>
      <c r="L60" s="325"/>
    </row>
    <row r="61">
      <c r="A61" s="325"/>
      <c r="B61" s="325"/>
      <c r="C61" s="325"/>
      <c r="D61" s="325"/>
      <c r="E61" s="325"/>
      <c r="F61" s="325"/>
      <c r="G61" s="325"/>
      <c r="H61" s="325"/>
      <c r="I61" s="325"/>
      <c r="J61" s="325"/>
      <c r="K61" s="325"/>
      <c r="L61" s="325"/>
    </row>
    <row r="62">
      <c r="A62" s="325"/>
      <c r="B62" s="325"/>
      <c r="C62" s="325"/>
      <c r="D62" s="325"/>
      <c r="E62" s="325"/>
      <c r="F62" s="325"/>
      <c r="G62" s="325"/>
      <c r="H62" s="325"/>
      <c r="I62" s="325"/>
      <c r="J62" s="325"/>
      <c r="K62" s="325"/>
      <c r="L62" s="325"/>
    </row>
    <row r="63">
      <c r="A63" s="325"/>
      <c r="B63" s="325"/>
      <c r="C63" s="325"/>
      <c r="D63" s="325"/>
      <c r="E63" s="325"/>
      <c r="F63" s="325"/>
      <c r="G63" s="325"/>
      <c r="H63" s="325"/>
      <c r="I63" s="325"/>
      <c r="J63" s="325"/>
      <c r="K63" s="325"/>
      <c r="L63" s="325"/>
    </row>
    <row r="64">
      <c r="A64" s="325"/>
      <c r="B64" s="325"/>
      <c r="C64" s="325"/>
      <c r="D64" s="325"/>
      <c r="E64" s="325"/>
      <c r="F64" s="325"/>
      <c r="G64" s="325"/>
      <c r="H64" s="325"/>
      <c r="I64" s="325"/>
      <c r="J64" s="325"/>
      <c r="K64" s="325"/>
      <c r="L64" s="325"/>
    </row>
    <row r="65">
      <c r="A65" s="325"/>
      <c r="B65" s="325"/>
      <c r="C65" s="325"/>
      <c r="D65" s="325"/>
      <c r="E65" s="325"/>
      <c r="F65" s="325"/>
      <c r="G65" s="325"/>
      <c r="H65" s="325"/>
      <c r="I65" s="325"/>
      <c r="J65" s="325"/>
      <c r="K65" s="325"/>
      <c r="L65" s="325"/>
    </row>
    <row r="66">
      <c r="A66" s="325"/>
      <c r="B66" s="325"/>
      <c r="C66" s="325"/>
      <c r="D66" s="325"/>
      <c r="E66" s="325"/>
      <c r="F66" s="325"/>
      <c r="G66" s="325"/>
      <c r="H66" s="325"/>
      <c r="I66" s="325"/>
      <c r="J66" s="325"/>
      <c r="K66" s="325"/>
      <c r="L66" s="325"/>
    </row>
    <row r="67">
      <c r="A67" s="325"/>
      <c r="B67" s="325"/>
      <c r="C67" s="325"/>
      <c r="D67" s="325"/>
      <c r="E67" s="325"/>
      <c r="F67" s="325"/>
      <c r="G67" s="325"/>
      <c r="H67" s="325"/>
      <c r="I67" s="325"/>
      <c r="J67" s="325"/>
      <c r="K67" s="325"/>
      <c r="L67" s="325"/>
    </row>
    <row r="68">
      <c r="A68" s="325"/>
      <c r="B68" s="325"/>
      <c r="C68" s="325"/>
      <c r="D68" s="325"/>
      <c r="E68" s="325"/>
      <c r="F68" s="325"/>
      <c r="G68" s="325"/>
      <c r="H68" s="325"/>
      <c r="I68" s="325"/>
      <c r="J68" s="325"/>
      <c r="K68" s="325"/>
      <c r="L68" s="325"/>
    </row>
    <row r="69">
      <c r="A69" s="325"/>
      <c r="B69" s="325"/>
      <c r="C69" s="325"/>
      <c r="D69" s="325"/>
      <c r="E69" s="325"/>
      <c r="F69" s="325"/>
      <c r="G69" s="325"/>
      <c r="H69" s="325"/>
      <c r="I69" s="325"/>
      <c r="J69" s="325"/>
      <c r="K69" s="325"/>
      <c r="L69" s="325"/>
    </row>
    <row r="70">
      <c r="A70" s="325"/>
      <c r="B70" s="325"/>
      <c r="C70" s="325"/>
      <c r="D70" s="325"/>
      <c r="E70" s="325"/>
      <c r="F70" s="325"/>
      <c r="G70" s="325"/>
      <c r="H70" s="325"/>
      <c r="I70" s="325"/>
      <c r="J70" s="325"/>
      <c r="K70" s="325"/>
      <c r="L70" s="325"/>
    </row>
    <row r="71">
      <c r="A71" s="325"/>
      <c r="B71" s="325"/>
      <c r="C71" s="325"/>
      <c r="D71" s="325"/>
      <c r="E71" s="325"/>
      <c r="F71" s="325"/>
      <c r="G71" s="325"/>
      <c r="H71" s="325"/>
      <c r="I71" s="325"/>
      <c r="J71" s="325"/>
      <c r="K71" s="325"/>
      <c r="L71" s="325"/>
    </row>
    <row r="72">
      <c r="A72" s="325"/>
      <c r="B72" s="325"/>
      <c r="C72" s="325"/>
      <c r="D72" s="325"/>
      <c r="E72" s="325"/>
      <c r="F72" s="325"/>
      <c r="G72" s="325"/>
      <c r="H72" s="325"/>
      <c r="I72" s="325"/>
      <c r="J72" s="325"/>
      <c r="K72" s="325"/>
      <c r="L72" s="325"/>
    </row>
    <row r="73">
      <c r="A73" s="325"/>
      <c r="B73" s="325"/>
      <c r="C73" s="325"/>
      <c r="D73" s="325"/>
      <c r="E73" s="325"/>
      <c r="F73" s="325"/>
      <c r="G73" s="325"/>
      <c r="H73" s="325"/>
      <c r="I73" s="325"/>
      <c r="J73" s="325"/>
      <c r="K73" s="325"/>
      <c r="L73" s="325"/>
    </row>
    <row r="74">
      <c r="A74" s="325"/>
      <c r="B74" s="325"/>
      <c r="C74" s="325"/>
      <c r="D74" s="325"/>
      <c r="E74" s="325"/>
      <c r="F74" s="325"/>
      <c r="G74" s="325"/>
      <c r="H74" s="325"/>
      <c r="I74" s="325"/>
      <c r="J74" s="325"/>
      <c r="K74" s="325"/>
      <c r="L74" s="325"/>
    </row>
    <row r="75">
      <c r="A75" s="325"/>
      <c r="B75" s="325"/>
      <c r="C75" s="325"/>
      <c r="D75" s="325"/>
      <c r="E75" s="325"/>
      <c r="F75" s="325"/>
      <c r="G75" s="325"/>
      <c r="H75" s="325"/>
      <c r="I75" s="325"/>
      <c r="J75" s="325"/>
      <c r="K75" s="325"/>
      <c r="L75" s="325"/>
    </row>
    <row r="76">
      <c r="A76" s="325"/>
      <c r="B76" s="325"/>
      <c r="C76" s="325"/>
      <c r="D76" s="325"/>
      <c r="E76" s="325"/>
      <c r="F76" s="325"/>
      <c r="G76" s="325"/>
      <c r="H76" s="325"/>
      <c r="I76" s="325"/>
      <c r="J76" s="325"/>
      <c r="K76" s="325"/>
      <c r="L76" s="325"/>
    </row>
    <row r="77">
      <c r="A77" s="325"/>
      <c r="B77" s="325"/>
      <c r="C77" s="325"/>
      <c r="D77" s="325"/>
      <c r="E77" s="325"/>
      <c r="F77" s="325"/>
      <c r="G77" s="325"/>
      <c r="H77" s="325"/>
      <c r="I77" s="325"/>
      <c r="J77" s="325"/>
      <c r="K77" s="325"/>
      <c r="L77" s="325"/>
    </row>
    <row r="78">
      <c r="A78" s="325"/>
      <c r="B78" s="325"/>
      <c r="C78" s="325"/>
      <c r="D78" s="325"/>
      <c r="E78" s="325"/>
      <c r="F78" s="325"/>
      <c r="G78" s="325"/>
      <c r="H78" s="325"/>
      <c r="I78" s="325"/>
      <c r="J78" s="325"/>
      <c r="K78" s="325"/>
      <c r="L78" s="325"/>
    </row>
    <row r="79">
      <c r="A79" s="325"/>
      <c r="B79" s="325"/>
      <c r="C79" s="325"/>
      <c r="D79" s="325"/>
      <c r="E79" s="325"/>
      <c r="F79" s="325"/>
      <c r="G79" s="325"/>
      <c r="H79" s="325"/>
      <c r="I79" s="325"/>
      <c r="J79" s="325"/>
      <c r="K79" s="325"/>
      <c r="L79" s="325"/>
    </row>
    <row r="80">
      <c r="A80" s="325"/>
      <c r="B80" s="325"/>
      <c r="C80" s="325"/>
      <c r="D80" s="325"/>
      <c r="E80" s="325"/>
      <c r="F80" s="325"/>
      <c r="G80" s="325"/>
      <c r="H80" s="325"/>
      <c r="I80" s="325"/>
      <c r="J80" s="325"/>
      <c r="K80" s="325"/>
      <c r="L80" s="325"/>
    </row>
    <row r="81">
      <c r="A81" s="325"/>
      <c r="B81" s="325"/>
      <c r="C81" s="325"/>
      <c r="D81" s="325"/>
      <c r="E81" s="325"/>
      <c r="F81" s="325"/>
      <c r="G81" s="325"/>
      <c r="H81" s="325"/>
      <c r="I81" s="325"/>
      <c r="J81" s="325"/>
      <c r="K81" s="325"/>
      <c r="L81" s="325"/>
    </row>
    <row r="82">
      <c r="A82" s="325"/>
      <c r="B82" s="325"/>
      <c r="C82" s="325"/>
      <c r="D82" s="325"/>
      <c r="E82" s="325"/>
      <c r="F82" s="325"/>
      <c r="G82" s="325"/>
      <c r="H82" s="325"/>
      <c r="I82" s="325"/>
      <c r="J82" s="325"/>
      <c r="K82" s="325"/>
      <c r="L82" s="325"/>
    </row>
    <row r="83">
      <c r="A83" s="325"/>
      <c r="B83" s="325"/>
      <c r="C83" s="325"/>
      <c r="D83" s="325"/>
      <c r="E83" s="325"/>
      <c r="F83" s="325"/>
      <c r="G83" s="325"/>
      <c r="H83" s="325"/>
      <c r="I83" s="325"/>
      <c r="J83" s="325"/>
      <c r="K83" s="325"/>
      <c r="L83" s="325"/>
    </row>
    <row r="84">
      <c r="A84" s="325"/>
      <c r="B84" s="325"/>
      <c r="C84" s="325"/>
      <c r="D84" s="325"/>
      <c r="E84" s="325"/>
      <c r="F84" s="325"/>
      <c r="G84" s="325"/>
      <c r="H84" s="325"/>
      <c r="I84" s="325"/>
      <c r="J84" s="325"/>
      <c r="K84" s="325"/>
      <c r="L84" s="325"/>
    </row>
    <row r="85">
      <c r="A85" s="325"/>
      <c r="B85" s="325"/>
      <c r="C85" s="325"/>
      <c r="D85" s="325"/>
      <c r="E85" s="325"/>
      <c r="F85" s="325"/>
      <c r="G85" s="325"/>
      <c r="H85" s="325"/>
      <c r="I85" s="325"/>
      <c r="J85" s="325"/>
      <c r="K85" s="325"/>
      <c r="L85" s="325"/>
    </row>
    <row r="86">
      <c r="A86" s="325"/>
      <c r="B86" s="325"/>
      <c r="C86" s="325"/>
      <c r="D86" s="325"/>
      <c r="E86" s="325"/>
      <c r="F86" s="325"/>
      <c r="G86" s="325"/>
      <c r="H86" s="325"/>
      <c r="I86" s="325"/>
      <c r="J86" s="325"/>
      <c r="K86" s="325"/>
      <c r="L86" s="325"/>
    </row>
    <row r="87">
      <c r="A87" s="325"/>
      <c r="B87" s="325"/>
      <c r="C87" s="325"/>
      <c r="D87" s="325"/>
      <c r="E87" s="325"/>
      <c r="F87" s="325"/>
      <c r="G87" s="325"/>
      <c r="H87" s="325"/>
      <c r="I87" s="325"/>
      <c r="J87" s="325"/>
      <c r="K87" s="325"/>
      <c r="L87" s="325"/>
    </row>
    <row r="88">
      <c r="A88" s="325"/>
      <c r="B88" s="325"/>
      <c r="C88" s="325"/>
      <c r="D88" s="325"/>
      <c r="E88" s="325"/>
      <c r="F88" s="325"/>
      <c r="G88" s="325"/>
      <c r="H88" s="325"/>
      <c r="I88" s="325"/>
      <c r="J88" s="325"/>
      <c r="K88" s="325"/>
      <c r="L88" s="325"/>
    </row>
    <row r="89">
      <c r="A89" s="325"/>
      <c r="B89" s="325"/>
      <c r="C89" s="325"/>
      <c r="D89" s="325"/>
      <c r="E89" s="325"/>
      <c r="F89" s="325"/>
      <c r="G89" s="325"/>
      <c r="H89" s="325"/>
      <c r="I89" s="325"/>
      <c r="J89" s="325"/>
      <c r="K89" s="325"/>
      <c r="L89" s="325"/>
    </row>
    <row r="90">
      <c r="A90" s="325"/>
      <c r="B90" s="325"/>
      <c r="C90" s="325"/>
      <c r="D90" s="325"/>
      <c r="E90" s="325"/>
      <c r="F90" s="325"/>
      <c r="G90" s="325"/>
      <c r="H90" s="325"/>
      <c r="I90" s="325"/>
      <c r="J90" s="325"/>
      <c r="K90" s="325"/>
      <c r="L90" s="325"/>
    </row>
    <row r="91">
      <c r="A91" s="325"/>
      <c r="B91" s="325"/>
      <c r="C91" s="325"/>
      <c r="D91" s="325"/>
      <c r="E91" s="325"/>
      <c r="F91" s="325"/>
      <c r="G91" s="325"/>
      <c r="H91" s="325"/>
      <c r="I91" s="325"/>
      <c r="J91" s="325"/>
      <c r="K91" s="325"/>
      <c r="L91" s="325"/>
    </row>
    <row r="92">
      <c r="A92" s="325"/>
      <c r="B92" s="325"/>
      <c r="C92" s="325"/>
      <c r="D92" s="325"/>
      <c r="E92" s="325"/>
      <c r="F92" s="325"/>
      <c r="G92" s="325"/>
      <c r="H92" s="325"/>
      <c r="I92" s="325"/>
      <c r="J92" s="325"/>
      <c r="K92" s="325"/>
      <c r="L92" s="325"/>
    </row>
    <row r="93">
      <c r="A93" s="325"/>
      <c r="B93" s="325"/>
      <c r="C93" s="325"/>
      <c r="D93" s="325"/>
      <c r="E93" s="325"/>
      <c r="F93" s="325"/>
      <c r="G93" s="325"/>
      <c r="H93" s="325"/>
      <c r="I93" s="325"/>
      <c r="J93" s="325"/>
      <c r="K93" s="325"/>
      <c r="L93" s="325"/>
    </row>
    <row r="94">
      <c r="A94" s="325"/>
      <c r="B94" s="325"/>
      <c r="C94" s="325"/>
      <c r="D94" s="325"/>
      <c r="E94" s="325"/>
      <c r="F94" s="325"/>
      <c r="G94" s="325"/>
      <c r="H94" s="325"/>
      <c r="I94" s="325"/>
      <c r="J94" s="325"/>
      <c r="K94" s="325"/>
      <c r="L94" s="325"/>
    </row>
    <row r="95">
      <c r="A95" s="325"/>
      <c r="B95" s="325"/>
      <c r="C95" s="325"/>
      <c r="D95" s="325"/>
      <c r="E95" s="325"/>
      <c r="F95" s="325"/>
      <c r="G95" s="325"/>
      <c r="H95" s="325"/>
      <c r="I95" s="325"/>
      <c r="J95" s="325"/>
      <c r="K95" s="325"/>
      <c r="L95" s="325"/>
    </row>
    <row r="96">
      <c r="A96" s="325"/>
      <c r="B96" s="325"/>
      <c r="C96" s="325"/>
      <c r="D96" s="325"/>
      <c r="E96" s="325"/>
      <c r="F96" s="325"/>
      <c r="G96" s="325"/>
      <c r="H96" s="325"/>
      <c r="I96" s="325"/>
      <c r="J96" s="325"/>
      <c r="K96" s="325"/>
      <c r="L96" s="325"/>
    </row>
    <row r="97">
      <c r="A97" s="325"/>
      <c r="B97" s="325"/>
      <c r="C97" s="325"/>
      <c r="D97" s="325"/>
      <c r="E97" s="325"/>
      <c r="F97" s="325"/>
      <c r="G97" s="325"/>
      <c r="H97" s="325"/>
      <c r="I97" s="325"/>
      <c r="J97" s="325"/>
      <c r="K97" s="325"/>
      <c r="L97" s="325"/>
    </row>
    <row r="98">
      <c r="A98" s="325"/>
      <c r="B98" s="325"/>
      <c r="C98" s="325"/>
      <c r="D98" s="325"/>
      <c r="E98" s="325"/>
      <c r="F98" s="325"/>
      <c r="G98" s="325"/>
      <c r="H98" s="325"/>
      <c r="I98" s="325"/>
      <c r="J98" s="325"/>
      <c r="K98" s="325"/>
      <c r="L98" s="325"/>
    </row>
    <row r="99">
      <c r="A99" s="325"/>
      <c r="B99" s="325"/>
      <c r="C99" s="325"/>
      <c r="D99" s="325"/>
      <c r="E99" s="325"/>
      <c r="F99" s="325"/>
      <c r="G99" s="325"/>
      <c r="H99" s="325"/>
      <c r="I99" s="325"/>
      <c r="J99" s="325"/>
      <c r="K99" s="325"/>
      <c r="L99" s="325"/>
    </row>
    <row r="100">
      <c r="A100" s="325"/>
      <c r="B100" s="325"/>
      <c r="C100" s="325"/>
      <c r="D100" s="325"/>
      <c r="E100" s="325"/>
      <c r="F100" s="325"/>
      <c r="G100" s="325"/>
      <c r="H100" s="325"/>
      <c r="I100" s="325"/>
      <c r="J100" s="325"/>
      <c r="K100" s="325"/>
      <c r="L100" s="325"/>
    </row>
    <row r="101">
      <c r="A101" s="325"/>
      <c r="B101" s="325"/>
      <c r="C101" s="325"/>
      <c r="D101" s="325"/>
      <c r="E101" s="325"/>
      <c r="F101" s="325"/>
      <c r="G101" s="325"/>
      <c r="H101" s="325"/>
      <c r="I101" s="325"/>
      <c r="J101" s="325"/>
      <c r="K101" s="325"/>
      <c r="L101" s="325"/>
    </row>
    <row r="102">
      <c r="A102" s="325"/>
      <c r="B102" s="325"/>
      <c r="C102" s="325"/>
      <c r="D102" s="325"/>
      <c r="E102" s="325"/>
      <c r="F102" s="325"/>
      <c r="G102" s="325"/>
      <c r="H102" s="325"/>
      <c r="I102" s="325"/>
      <c r="J102" s="325"/>
      <c r="K102" s="325"/>
      <c r="L102" s="325"/>
    </row>
    <row r="103">
      <c r="A103" s="325"/>
      <c r="B103" s="325"/>
      <c r="C103" s="325"/>
      <c r="D103" s="325"/>
      <c r="E103" s="325"/>
      <c r="F103" s="325"/>
      <c r="G103" s="325"/>
      <c r="H103" s="325"/>
      <c r="I103" s="325"/>
      <c r="J103" s="325"/>
      <c r="K103" s="325"/>
      <c r="L103" s="325"/>
    </row>
    <row r="104">
      <c r="A104" s="325"/>
      <c r="B104" s="325"/>
      <c r="C104" s="325"/>
      <c r="D104" s="325"/>
      <c r="E104" s="325"/>
      <c r="F104" s="325"/>
      <c r="G104" s="325"/>
      <c r="H104" s="325"/>
      <c r="I104" s="325"/>
      <c r="J104" s="325"/>
      <c r="K104" s="325"/>
      <c r="L104" s="325"/>
    </row>
    <row r="105">
      <c r="A105" s="325"/>
      <c r="B105" s="325"/>
      <c r="C105" s="325"/>
      <c r="D105" s="325"/>
      <c r="E105" s="325"/>
      <c r="F105" s="325"/>
      <c r="G105" s="325"/>
      <c r="H105" s="325"/>
      <c r="I105" s="325"/>
      <c r="J105" s="325"/>
      <c r="K105" s="325"/>
      <c r="L105" s="325"/>
    </row>
    <row r="106">
      <c r="A106" s="325"/>
      <c r="B106" s="325"/>
      <c r="C106" s="325"/>
      <c r="D106" s="325"/>
      <c r="E106" s="325"/>
      <c r="F106" s="325"/>
      <c r="G106" s="325"/>
      <c r="H106" s="325"/>
      <c r="I106" s="325"/>
      <c r="J106" s="325"/>
      <c r="K106" s="325"/>
      <c r="L106" s="325"/>
    </row>
    <row r="107">
      <c r="L107" s="325"/>
    </row>
    <row r="108">
      <c r="L108" s="325"/>
    </row>
    <row r="109">
      <c r="L109" s="325"/>
    </row>
    <row r="110">
      <c r="L110" s="325"/>
    </row>
    <row r="111">
      <c r="L111" s="325"/>
    </row>
    <row r="112">
      <c r="L112" s="325"/>
    </row>
    <row r="113">
      <c r="L113" s="325"/>
    </row>
    <row r="114">
      <c r="L114" s="325"/>
    </row>
    <row r="115">
      <c r="L115" s="325"/>
    </row>
    <row r="116">
      <c r="L116" s="325"/>
    </row>
    <row r="117">
      <c r="L117" s="325"/>
    </row>
    <row r="118">
      <c r="L118" s="325"/>
    </row>
    <row r="119">
      <c r="L119" s="325"/>
    </row>
    <row r="120">
      <c r="L120" s="325"/>
    </row>
    <row r="121">
      <c r="L121" s="325"/>
    </row>
    <row r="122">
      <c r="L122" s="325"/>
    </row>
    <row r="123">
      <c r="L123" s="325"/>
    </row>
    <row r="124">
      <c r="L124" s="325"/>
    </row>
    <row r="125">
      <c r="L125" s="325"/>
    </row>
    <row r="126">
      <c r="L126" s="325"/>
    </row>
    <row r="127">
      <c r="L127" s="325"/>
    </row>
    <row r="128">
      <c r="L128" s="325"/>
    </row>
    <row r="129">
      <c r="L129" s="325"/>
    </row>
    <row r="130">
      <c r="L130" s="325"/>
    </row>
    <row r="131">
      <c r="L131" s="325"/>
    </row>
    <row r="132">
      <c r="L132" s="325"/>
    </row>
    <row r="133">
      <c r="L133" s="325"/>
    </row>
    <row r="134">
      <c r="L134" s="325"/>
    </row>
    <row r="135">
      <c r="L135" s="325"/>
    </row>
    <row r="136">
      <c r="L136" s="325"/>
    </row>
    <row r="137">
      <c r="L137" s="325"/>
    </row>
    <row r="138">
      <c r="L138" s="325"/>
    </row>
    <row r="139">
      <c r="L139" s="325"/>
    </row>
    <row r="140">
      <c r="L140" s="325"/>
    </row>
    <row r="141">
      <c r="L141" s="325"/>
    </row>
    <row r="142">
      <c r="L142" s="325"/>
    </row>
    <row r="143">
      <c r="L143" s="325"/>
    </row>
    <row r="144">
      <c r="L144" s="325"/>
    </row>
    <row r="145">
      <c r="L145" s="325"/>
    </row>
    <row r="146">
      <c r="L146" s="325"/>
    </row>
    <row r="147">
      <c r="L147" s="325"/>
    </row>
    <row r="148">
      <c r="L148" s="325"/>
    </row>
    <row r="149">
      <c r="L149" s="325"/>
    </row>
    <row r="150">
      <c r="L150" s="325"/>
    </row>
    <row r="151">
      <c r="L151" s="325"/>
    </row>
    <row r="152">
      <c r="L152" s="325"/>
    </row>
    <row r="153">
      <c r="L153" s="325"/>
    </row>
    <row r="154">
      <c r="L154" s="325"/>
    </row>
    <row r="155">
      <c r="L155" s="325"/>
    </row>
    <row r="156">
      <c r="L156" s="325"/>
    </row>
    <row r="157">
      <c r="L157" s="325"/>
    </row>
    <row r="158">
      <c r="L158" s="325"/>
    </row>
    <row r="159">
      <c r="L159" s="325"/>
    </row>
    <row r="160">
      <c r="L160" s="325"/>
    </row>
    <row r="161">
      <c r="L161" s="325"/>
    </row>
    <row r="162">
      <c r="L162" s="325"/>
    </row>
    <row r="163">
      <c r="L163" s="325"/>
    </row>
    <row r="164">
      <c r="L164" s="325"/>
    </row>
    <row r="165">
      <c r="L165" s="325"/>
    </row>
    <row r="166">
      <c r="L166" s="325"/>
    </row>
    <row r="167">
      <c r="L167" s="325"/>
    </row>
    <row r="168">
      <c r="L168" s="325"/>
    </row>
    <row r="169">
      <c r="L169" s="325"/>
    </row>
    <row r="170">
      <c r="L170" s="325"/>
    </row>
    <row r="171">
      <c r="L171" s="325"/>
    </row>
    <row r="172">
      <c r="L172" s="325"/>
    </row>
    <row r="173">
      <c r="L173" s="325"/>
    </row>
    <row r="174">
      <c r="L174" s="325"/>
    </row>
    <row r="175">
      <c r="L175" s="325"/>
    </row>
    <row r="176">
      <c r="L176" s="325"/>
    </row>
    <row r="177">
      <c r="L177" s="325"/>
    </row>
    <row r="178">
      <c r="L178" s="325"/>
    </row>
    <row r="179">
      <c r="L179" s="325"/>
    </row>
    <row r="180">
      <c r="L180" s="325"/>
    </row>
    <row r="181">
      <c r="L181" s="325"/>
    </row>
    <row r="182">
      <c r="L182" s="325"/>
    </row>
    <row r="183">
      <c r="L183" s="325"/>
    </row>
    <row r="184">
      <c r="L184" s="325"/>
    </row>
    <row r="185">
      <c r="L185" s="325"/>
    </row>
    <row r="186">
      <c r="L186" s="325"/>
    </row>
    <row r="187">
      <c r="L187" s="325"/>
    </row>
    <row r="188">
      <c r="L188" s="325"/>
    </row>
    <row r="189">
      <c r="L189" s="325"/>
    </row>
    <row r="190">
      <c r="L190" s="325"/>
    </row>
    <row r="191">
      <c r="L191" s="325"/>
    </row>
    <row r="192">
      <c r="L192" s="325"/>
    </row>
    <row r="193">
      <c r="L193" s="325"/>
    </row>
    <row r="194">
      <c r="L194" s="325"/>
    </row>
    <row r="195">
      <c r="L195" s="325"/>
    </row>
    <row r="196">
      <c r="L196" s="325"/>
    </row>
    <row r="197">
      <c r="L197" s="325"/>
    </row>
    <row r="198">
      <c r="L198" s="325"/>
    </row>
    <row r="199">
      <c r="L199" s="325"/>
    </row>
    <row r="200">
      <c r="L200" s="325"/>
    </row>
    <row r="201">
      <c r="L201" s="325"/>
    </row>
    <row r="202">
      <c r="L202" s="325"/>
    </row>
    <row r="203">
      <c r="L203" s="325"/>
    </row>
    <row r="204">
      <c r="L204" s="325"/>
    </row>
    <row r="205">
      <c r="L205" s="325"/>
    </row>
    <row r="206">
      <c r="L206" s="325"/>
    </row>
    <row r="207">
      <c r="L207" s="325"/>
    </row>
    <row r="208">
      <c r="L208" s="325"/>
    </row>
    <row r="209">
      <c r="L209" s="325"/>
    </row>
    <row r="210">
      <c r="L210" s="325"/>
    </row>
    <row r="211">
      <c r="L211" s="325"/>
    </row>
    <row r="212">
      <c r="L212" s="325"/>
    </row>
    <row r="213">
      <c r="L213" s="325"/>
    </row>
    <row r="214">
      <c r="L214" s="325"/>
    </row>
    <row r="215">
      <c r="L215" s="325"/>
    </row>
    <row r="216">
      <c r="L216" s="325"/>
    </row>
    <row r="217">
      <c r="L217" s="325"/>
    </row>
    <row r="218">
      <c r="L218" s="325"/>
    </row>
    <row r="219">
      <c r="L219" s="325"/>
    </row>
    <row r="220">
      <c r="L220" s="325"/>
    </row>
    <row r="221">
      <c r="L221" s="325"/>
    </row>
    <row r="222">
      <c r="L222" s="325"/>
    </row>
    <row r="223">
      <c r="L223" s="325"/>
    </row>
    <row r="224">
      <c r="L224" s="325"/>
    </row>
    <row r="225">
      <c r="L225" s="325"/>
    </row>
    <row r="226">
      <c r="L226" s="325"/>
    </row>
    <row r="227">
      <c r="L227" s="325"/>
    </row>
    <row r="228">
      <c r="L228" s="325"/>
    </row>
    <row r="229">
      <c r="L229" s="325"/>
    </row>
    <row r="230">
      <c r="L230" s="325"/>
    </row>
    <row r="231">
      <c r="L231" s="325"/>
    </row>
    <row r="232">
      <c r="L232" s="325"/>
    </row>
    <row r="233">
      <c r="L233" s="325"/>
    </row>
    <row r="234">
      <c r="L234" s="325"/>
    </row>
    <row r="235">
      <c r="L235" s="325"/>
    </row>
    <row r="236">
      <c r="L236" s="325"/>
    </row>
    <row r="237">
      <c r="L237" s="325"/>
    </row>
    <row r="238">
      <c r="L238" s="325"/>
    </row>
    <row r="239">
      <c r="L239" s="325"/>
    </row>
    <row r="240">
      <c r="L240" s="325"/>
    </row>
    <row r="241">
      <c r="L241" s="325"/>
    </row>
    <row r="242">
      <c r="L242" s="325"/>
    </row>
    <row r="243">
      <c r="L243" s="325"/>
    </row>
    <row r="244">
      <c r="L244" s="325"/>
    </row>
    <row r="245">
      <c r="L245" s="325"/>
    </row>
    <row r="246">
      <c r="L246" s="325"/>
    </row>
    <row r="247">
      <c r="L247" s="325"/>
    </row>
    <row r="248">
      <c r="L248" s="325"/>
    </row>
    <row r="249">
      <c r="L249" s="325"/>
    </row>
    <row r="250">
      <c r="L250" s="325"/>
    </row>
    <row r="251">
      <c r="L251" s="325"/>
    </row>
    <row r="252">
      <c r="L252" s="325"/>
    </row>
    <row r="253">
      <c r="L253" s="325"/>
    </row>
    <row r="254">
      <c r="L254" s="325"/>
    </row>
    <row r="255">
      <c r="L255" s="325"/>
    </row>
    <row r="256">
      <c r="L256" s="325"/>
    </row>
    <row r="257">
      <c r="L257" s="325"/>
    </row>
    <row r="258">
      <c r="L258" s="325"/>
    </row>
    <row r="259">
      <c r="L259" s="325"/>
    </row>
    <row r="260">
      <c r="L260" s="325"/>
    </row>
    <row r="261">
      <c r="L261" s="325"/>
    </row>
    <row r="262">
      <c r="L262" s="325"/>
    </row>
    <row r="263">
      <c r="L263" s="325"/>
    </row>
    <row r="264">
      <c r="L264" s="325"/>
    </row>
    <row r="265">
      <c r="L265" s="325"/>
    </row>
    <row r="266">
      <c r="L266" s="325"/>
    </row>
    <row r="267">
      <c r="L267" s="325"/>
    </row>
    <row r="268">
      <c r="L268" s="325"/>
    </row>
    <row r="269">
      <c r="L269" s="325"/>
    </row>
    <row r="270">
      <c r="L270" s="325"/>
    </row>
    <row r="271">
      <c r="L271" s="325"/>
    </row>
    <row r="272">
      <c r="L272" s="325"/>
    </row>
    <row r="273">
      <c r="L273" s="325"/>
    </row>
    <row r="274">
      <c r="L274" s="325"/>
    </row>
    <row r="275">
      <c r="L275" s="325"/>
    </row>
    <row r="276">
      <c r="L276" s="325"/>
    </row>
    <row r="277">
      <c r="L277" s="325"/>
    </row>
    <row r="278">
      <c r="L278" s="325"/>
    </row>
    <row r="279">
      <c r="L279" s="325"/>
    </row>
    <row r="280">
      <c r="L280" s="325"/>
    </row>
    <row r="281">
      <c r="L281" s="325"/>
    </row>
    <row r="282">
      <c r="L282" s="325"/>
    </row>
    <row r="283">
      <c r="L283" s="325"/>
    </row>
    <row r="284">
      <c r="L284" s="325"/>
    </row>
    <row r="285">
      <c r="L285" s="325"/>
    </row>
    <row r="286">
      <c r="L286" s="325"/>
    </row>
    <row r="287">
      <c r="L287" s="325"/>
    </row>
    <row r="288">
      <c r="L288" s="325"/>
    </row>
    <row r="289">
      <c r="L289" s="325"/>
    </row>
    <row r="290">
      <c r="L290" s="325"/>
    </row>
    <row r="291">
      <c r="L291" s="325"/>
    </row>
    <row r="292">
      <c r="L292" s="325"/>
    </row>
    <row r="293">
      <c r="L293" s="325"/>
    </row>
    <row r="294">
      <c r="L294" s="325"/>
    </row>
    <row r="295">
      <c r="L295" s="325"/>
    </row>
    <row r="296">
      <c r="L296" s="325"/>
    </row>
    <row r="297">
      <c r="L297" s="325"/>
    </row>
    <row r="298">
      <c r="L298" s="325"/>
    </row>
    <row r="299">
      <c r="L299" s="325"/>
    </row>
    <row r="300">
      <c r="L300" s="325"/>
    </row>
    <row r="301">
      <c r="L301" s="325"/>
    </row>
    <row r="302">
      <c r="L302" s="325"/>
    </row>
    <row r="303">
      <c r="L303" s="325"/>
    </row>
    <row r="304">
      <c r="L304" s="325"/>
    </row>
    <row r="305">
      <c r="L305" s="325"/>
    </row>
    <row r="306">
      <c r="L306" s="325"/>
    </row>
    <row r="307">
      <c r="L307" s="325"/>
    </row>
    <row r="308">
      <c r="L308" s="325"/>
    </row>
    <row r="309">
      <c r="L309" s="325"/>
    </row>
    <row r="310">
      <c r="L310" s="325"/>
    </row>
    <row r="311">
      <c r="L311" s="325"/>
    </row>
    <row r="312">
      <c r="L312" s="325"/>
    </row>
    <row r="313">
      <c r="L313" s="325"/>
    </row>
    <row r="314">
      <c r="L314" s="325"/>
    </row>
    <row r="315">
      <c r="L315" s="325"/>
    </row>
    <row r="316">
      <c r="L316" s="325"/>
    </row>
    <row r="317">
      <c r="L317" s="325"/>
    </row>
    <row r="318">
      <c r="L318" s="325"/>
    </row>
    <row r="319">
      <c r="L319" s="325"/>
    </row>
    <row r="320">
      <c r="L320" s="325"/>
    </row>
    <row r="321">
      <c r="L321" s="325"/>
    </row>
    <row r="322">
      <c r="L322" s="325"/>
    </row>
    <row r="323">
      <c r="L323" s="325"/>
    </row>
    <row r="324">
      <c r="L324" s="325"/>
    </row>
    <row r="325">
      <c r="L325" s="325"/>
    </row>
    <row r="326">
      <c r="L326" s="325"/>
    </row>
    <row r="327">
      <c r="L327" s="325"/>
    </row>
    <row r="328">
      <c r="L328" s="325"/>
    </row>
    <row r="329">
      <c r="L329" s="325"/>
    </row>
    <row r="330">
      <c r="L330" s="325"/>
    </row>
    <row r="331">
      <c r="L331" s="325"/>
    </row>
    <row r="332">
      <c r="L332" s="325"/>
    </row>
    <row r="333">
      <c r="L333" s="325"/>
    </row>
    <row r="334">
      <c r="L334" s="325"/>
    </row>
    <row r="335">
      <c r="L335" s="325"/>
    </row>
    <row r="336">
      <c r="L336" s="325"/>
    </row>
    <row r="337">
      <c r="L337" s="325"/>
    </row>
    <row r="338">
      <c r="L338" s="325"/>
    </row>
    <row r="339">
      <c r="L339" s="325"/>
    </row>
    <row r="340">
      <c r="L340" s="325"/>
    </row>
    <row r="341">
      <c r="L341" s="325"/>
    </row>
    <row r="342">
      <c r="L342" s="325"/>
    </row>
    <row r="343">
      <c r="L343" s="325"/>
    </row>
    <row r="344">
      <c r="L344" s="325"/>
    </row>
    <row r="345">
      <c r="L345" s="325"/>
    </row>
    <row r="346">
      <c r="L346" s="325"/>
    </row>
    <row r="347">
      <c r="L347" s="325"/>
    </row>
    <row r="348">
      <c r="L348" s="325"/>
    </row>
    <row r="349">
      <c r="L349" s="325"/>
    </row>
    <row r="350">
      <c r="L350" s="325"/>
    </row>
    <row r="351">
      <c r="L351" s="325"/>
    </row>
    <row r="352">
      <c r="L352" s="325"/>
    </row>
    <row r="353">
      <c r="L353" s="325"/>
    </row>
    <row r="354">
      <c r="L354" s="325"/>
    </row>
    <row r="355">
      <c r="L355" s="325"/>
    </row>
    <row r="356">
      <c r="L356" s="325"/>
    </row>
    <row r="357">
      <c r="L357" s="325"/>
    </row>
    <row r="358">
      <c r="L358" s="325"/>
    </row>
    <row r="359">
      <c r="L359" s="325"/>
    </row>
    <row r="360">
      <c r="L360" s="325"/>
    </row>
    <row r="361">
      <c r="L361" s="325"/>
    </row>
    <row r="362">
      <c r="L362" s="325"/>
    </row>
    <row r="363">
      <c r="L363" s="325"/>
    </row>
    <row r="364">
      <c r="L364" s="325"/>
    </row>
    <row r="365">
      <c r="L365" s="325"/>
    </row>
    <row r="366">
      <c r="L366" s="325"/>
    </row>
    <row r="367">
      <c r="L367" s="325"/>
    </row>
    <row r="368">
      <c r="L368" s="325"/>
    </row>
    <row r="369">
      <c r="L369" s="325"/>
    </row>
    <row r="370">
      <c r="L370" s="325"/>
    </row>
    <row r="371">
      <c r="L371" s="325"/>
    </row>
    <row r="372">
      <c r="L372" s="325"/>
    </row>
    <row r="373">
      <c r="L373" s="325"/>
    </row>
    <row r="374">
      <c r="L374" s="325"/>
    </row>
    <row r="375">
      <c r="L375" s="325"/>
    </row>
    <row r="376">
      <c r="L376" s="325"/>
    </row>
    <row r="377">
      <c r="L377" s="325"/>
    </row>
    <row r="378">
      <c r="L378" s="325"/>
    </row>
    <row r="379">
      <c r="L379" s="325"/>
    </row>
    <row r="380">
      <c r="L380" s="325"/>
    </row>
    <row r="381">
      <c r="L381" s="325"/>
    </row>
    <row r="382">
      <c r="L382" s="325"/>
    </row>
    <row r="383">
      <c r="L383" s="325"/>
    </row>
    <row r="384">
      <c r="L384" s="325"/>
    </row>
    <row r="385">
      <c r="L385" s="325"/>
    </row>
    <row r="386">
      <c r="L386" s="325"/>
    </row>
    <row r="387">
      <c r="L387" s="325"/>
    </row>
    <row r="388">
      <c r="L388" s="325"/>
    </row>
    <row r="389">
      <c r="L389" s="325"/>
    </row>
    <row r="390">
      <c r="L390" s="325"/>
    </row>
    <row r="391">
      <c r="L391" s="325"/>
    </row>
    <row r="392">
      <c r="L392" s="325"/>
    </row>
    <row r="393">
      <c r="L393" s="325"/>
    </row>
    <row r="394">
      <c r="L394" s="325"/>
    </row>
    <row r="395">
      <c r="L395" s="325"/>
    </row>
    <row r="396">
      <c r="L396" s="325"/>
    </row>
    <row r="397">
      <c r="L397" s="325"/>
    </row>
    <row r="398">
      <c r="L398" s="325"/>
    </row>
    <row r="399">
      <c r="L399" s="325"/>
    </row>
    <row r="400">
      <c r="L400" s="325"/>
    </row>
    <row r="401">
      <c r="L401" s="325"/>
    </row>
    <row r="402">
      <c r="L402" s="325"/>
    </row>
    <row r="403">
      <c r="L403" s="325"/>
    </row>
    <row r="404">
      <c r="L404" s="325"/>
    </row>
    <row r="405">
      <c r="L405" s="325"/>
    </row>
    <row r="406">
      <c r="L406" s="325"/>
    </row>
    <row r="407">
      <c r="L407" s="325"/>
    </row>
    <row r="408">
      <c r="L408" s="325"/>
    </row>
    <row r="409">
      <c r="L409" s="325"/>
    </row>
    <row r="410">
      <c r="L410" s="325"/>
    </row>
    <row r="411">
      <c r="L411" s="325"/>
    </row>
    <row r="412">
      <c r="L412" s="325"/>
    </row>
    <row r="413">
      <c r="L413" s="325"/>
    </row>
    <row r="414">
      <c r="L414" s="325"/>
    </row>
    <row r="415">
      <c r="L415" s="325"/>
    </row>
    <row r="416">
      <c r="L416" s="325"/>
    </row>
    <row r="417">
      <c r="L417" s="325"/>
    </row>
    <row r="418">
      <c r="L418" s="325"/>
    </row>
    <row r="419">
      <c r="L419" s="325"/>
    </row>
    <row r="420">
      <c r="L420" s="325"/>
    </row>
    <row r="421">
      <c r="L421" s="325"/>
    </row>
    <row r="422">
      <c r="L422" s="325"/>
    </row>
    <row r="423">
      <c r="L423" s="325"/>
    </row>
    <row r="424">
      <c r="L424" s="325"/>
    </row>
    <row r="425">
      <c r="L425" s="325"/>
    </row>
    <row r="426">
      <c r="L426" s="325"/>
    </row>
    <row r="427">
      <c r="L427" s="325"/>
    </row>
    <row r="428">
      <c r="L428" s="325"/>
    </row>
    <row r="429">
      <c r="L429" s="325"/>
    </row>
    <row r="430">
      <c r="L430" s="325"/>
    </row>
    <row r="431">
      <c r="L431" s="325"/>
    </row>
    <row r="432">
      <c r="L432" s="325"/>
    </row>
    <row r="433">
      <c r="L433" s="325"/>
    </row>
    <row r="434">
      <c r="L434" s="325"/>
    </row>
    <row r="435">
      <c r="L435" s="325"/>
    </row>
    <row r="436">
      <c r="L436" s="325"/>
    </row>
    <row r="437">
      <c r="L437" s="325"/>
    </row>
    <row r="438">
      <c r="L438" s="325"/>
    </row>
    <row r="439">
      <c r="L439" s="325"/>
    </row>
    <row r="440">
      <c r="L440" s="325"/>
    </row>
    <row r="441">
      <c r="L441" s="325"/>
    </row>
    <row r="442">
      <c r="L442" s="325"/>
    </row>
    <row r="443">
      <c r="L443" s="325"/>
    </row>
    <row r="444">
      <c r="L444" s="325"/>
    </row>
    <row r="445">
      <c r="L445" s="325"/>
    </row>
    <row r="446">
      <c r="L446" s="325"/>
    </row>
    <row r="447">
      <c r="L447" s="325"/>
    </row>
    <row r="448">
      <c r="L448" s="325"/>
    </row>
    <row r="449">
      <c r="L449" s="325"/>
    </row>
    <row r="450">
      <c r="L450" s="325"/>
    </row>
    <row r="451">
      <c r="L451" s="325"/>
    </row>
    <row r="452">
      <c r="L452" s="325"/>
    </row>
    <row r="453">
      <c r="L453" s="325"/>
    </row>
    <row r="454">
      <c r="L454" s="325"/>
    </row>
    <row r="455">
      <c r="L455" s="325"/>
    </row>
    <row r="456">
      <c r="L456" s="325"/>
    </row>
    <row r="457">
      <c r="L457" s="325"/>
    </row>
    <row r="458">
      <c r="L458" s="325"/>
    </row>
    <row r="459">
      <c r="L459" s="325"/>
    </row>
    <row r="460">
      <c r="L460" s="325"/>
    </row>
    <row r="461">
      <c r="L461" s="325"/>
    </row>
    <row r="462">
      <c r="L462" s="325"/>
    </row>
    <row r="463">
      <c r="L463" s="325"/>
    </row>
    <row r="464">
      <c r="L464" s="325"/>
    </row>
    <row r="465">
      <c r="L465" s="325"/>
    </row>
    <row r="466">
      <c r="L466" s="325"/>
    </row>
    <row r="467">
      <c r="L467" s="325"/>
    </row>
    <row r="468">
      <c r="L468" s="325"/>
    </row>
    <row r="469">
      <c r="L469" s="325"/>
    </row>
    <row r="470">
      <c r="L470" s="325"/>
    </row>
    <row r="471">
      <c r="L471" s="325"/>
    </row>
    <row r="472">
      <c r="L472" s="325"/>
    </row>
    <row r="473">
      <c r="L473" s="325"/>
    </row>
    <row r="474">
      <c r="L474" s="325"/>
    </row>
    <row r="475">
      <c r="L475" s="325"/>
    </row>
    <row r="476">
      <c r="L476" s="325"/>
    </row>
    <row r="477">
      <c r="L477" s="325"/>
    </row>
    <row r="478">
      <c r="L478" s="325"/>
    </row>
    <row r="479">
      <c r="L479" s="325"/>
    </row>
    <row r="480">
      <c r="L480" s="325"/>
    </row>
    <row r="481">
      <c r="L481" s="325"/>
    </row>
    <row r="482">
      <c r="L482" s="325"/>
    </row>
    <row r="483">
      <c r="L483" s="325"/>
    </row>
    <row r="484">
      <c r="L484" s="325"/>
    </row>
    <row r="485">
      <c r="L485" s="325"/>
    </row>
    <row r="486">
      <c r="L486" s="325"/>
    </row>
    <row r="487">
      <c r="L487" s="325"/>
    </row>
    <row r="488">
      <c r="L488" s="325"/>
    </row>
    <row r="489">
      <c r="L489" s="325"/>
    </row>
    <row r="490">
      <c r="L490" s="325"/>
    </row>
    <row r="491">
      <c r="L491" s="325"/>
    </row>
    <row r="492">
      <c r="L492" s="325"/>
    </row>
    <row r="493">
      <c r="L493" s="325"/>
    </row>
    <row r="494">
      <c r="L494" s="325"/>
    </row>
    <row r="495">
      <c r="L495" s="325"/>
    </row>
    <row r="496">
      <c r="L496" s="325"/>
    </row>
    <row r="497">
      <c r="L497" s="325"/>
    </row>
    <row r="498">
      <c r="L498" s="325"/>
    </row>
    <row r="499">
      <c r="L499" s="325"/>
    </row>
    <row r="500">
      <c r="L500" s="325"/>
    </row>
  </sheetData>
  <mergeCells count="2">
    <mergeCell ref="A1:K1"/>
    <mergeCell ref="A2:K2"/>
  </mergeCells>
  <conditionalFormatting sqref="L4:L500">
    <cfRule type="containsBlanks" dxfId="13" priority="1" stopIfTrue="1">
      <formula>LEN(TRIM(L4))=0</formula>
    </cfRule>
  </conditionalFormatting>
  <dataValidations>
    <dataValidation type="list" allowBlank="1" showErrorMessage="1" sqref="L4:L500">
      <formula1>"미확인,확인완료"</formula1>
    </dataValidation>
  </dataValidations>
  <drawing r:id="rId1"/>
</worksheet>
</file>